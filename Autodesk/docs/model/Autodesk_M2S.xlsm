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adam.aranyos\Box Sync\ADSK M2S\2. Development\"/>
    </mc:Choice>
  </mc:AlternateContent>
  <bookViews>
    <workbookView xWindow="0" yWindow="0" windowWidth="28800" windowHeight="11610" activeTab="3"/>
  </bookViews>
  <sheets>
    <sheet name="Dev_Instructions_README" sheetId="47" r:id="rId1"/>
    <sheet name="Controls" sheetId="1" r:id="rId2"/>
    <sheet name="PopUp" sheetId="28" r:id="rId3"/>
    <sheet name="tlM2S" sheetId="31" r:id="rId4"/>
    <sheet name="Dashboard" sheetId="36" r:id="rId5"/>
    <sheet name="btnLevel" sheetId="46" r:id="rId6"/>
    <sheet name="btnPlusMinus" sheetId="50" r:id="rId7"/>
    <sheet name="Dec" sheetId="29" r:id="rId8"/>
    <sheet name="Calc" sheetId="44" r:id="rId9"/>
    <sheet name="Charts" sheetId="49" r:id="rId10"/>
    <sheet name="Test_Output" sheetId="51" r:id="rId11"/>
    <sheet name="Glossary" sheetId="33" r:id="rId12"/>
    <sheet name="DataPaths" sheetId="37" r:id="rId13"/>
    <sheet name="DataUnifiedPricing" sheetId="45" r:id="rId14"/>
    <sheet name="M2S_Eligibility_List" sheetId="38" r:id="rId15"/>
    <sheet name="Data_USD" sheetId="39" r:id="rId16"/>
    <sheet name="Data_CAD" sheetId="40" r:id="rId17"/>
    <sheet name="Data_Euro" sheetId="41" r:id="rId18"/>
    <sheet name="Data_Yen" sheetId="42" r:id="rId19"/>
    <sheet name="Data_AUD" sheetId="43" r:id="rId20"/>
    <sheet name="Data_GBP" sheetId="48" r:id="rId21"/>
  </sheets>
  <functionGroups builtInGroupCount="18"/>
  <externalReferences>
    <externalReference r:id="rId22"/>
  </externalReferences>
  <definedNames>
    <definedName name="_xlnm._FilterDatabase" localSheetId="19" hidden="1">Data_AUD!$A$2:$L$118</definedName>
    <definedName name="_xlnm._FilterDatabase" localSheetId="16" hidden="1">Data_CAD!$A$2:$L$118</definedName>
    <definedName name="_xlnm._FilterDatabase" localSheetId="17" hidden="1">Data_Euro!$A$2:$L$118</definedName>
    <definedName name="_xlnm._FilterDatabase" localSheetId="20" hidden="1">Data_GBP!$A$2:$L$118</definedName>
    <definedName name="_xlnm._FilterDatabase" localSheetId="15" hidden="1">Data_USD!$A$2:$L$118</definedName>
    <definedName name="_xlnm._FilterDatabase" localSheetId="18" hidden="1">Data_Yen!$A$2:$L$118</definedName>
    <definedName name="_xlnm._FilterDatabase" localSheetId="14" hidden="1">M2S_Eligibility_List!$A$21:$S$66</definedName>
    <definedName name="_Order1" hidden="1">255</definedName>
    <definedName name="_Order2" hidden="1">255</definedName>
    <definedName name="btnLevelCount">btnLevel!$C$42</definedName>
    <definedName name="btnLevelDec1">btnLevel!$M$22</definedName>
    <definedName name="btnLevelDec2">btnLevel!$M$24</definedName>
    <definedName name="btnLevelDec3">btnLevel!$M$26</definedName>
    <definedName name="btnLevelDec4">btnLevel!$M$28</definedName>
    <definedName name="btnLevelDec5">btnLevel!$M$30</definedName>
    <definedName name="btnLevelDec6">btnLevel!$M$32</definedName>
    <definedName name="btnLevelDec7">btnLevel!$M$34</definedName>
    <definedName name="btnLevelDec8">btnLevel!$M$36</definedName>
    <definedName name="btnLevelDeselected">btnLevel!$D$16</definedName>
    <definedName name="btnLevelLevels1">btnLevel!$G$22</definedName>
    <definedName name="btnLevelLevels2">btnLevel!$G$24</definedName>
    <definedName name="btnLevelLevels3">btnLevel!$G$26</definedName>
    <definedName name="btnLevelLevels4">btnLevel!$G$28</definedName>
    <definedName name="btnLevelLevels5">btnLevel!$G$30</definedName>
    <definedName name="btnLevelLevels6">btnLevel!$G$32</definedName>
    <definedName name="btnLevelLevels7">btnLevel!$G$34</definedName>
    <definedName name="btnLevelLevels8">btnLevel!$G$36</definedName>
    <definedName name="btnLevelSelected">btnLevel!$D$14</definedName>
    <definedName name="btnLevelSheet1">btnLevel!$J$22</definedName>
    <definedName name="btnLevelSheet2">btnLevel!$J$24</definedName>
    <definedName name="btnLevelSheet3">btnLevel!$J$26</definedName>
    <definedName name="btnLevelSheet4">btnLevel!$J$28</definedName>
    <definedName name="btnLevelSheet5">btnLevel!$J$30</definedName>
    <definedName name="btnLevelSheet6">btnLevel!$J$32</definedName>
    <definedName name="btnLevelSheet7">btnLevel!$J$34</definedName>
    <definedName name="btnLevelSheet8">btnLevel!$J$36</definedName>
    <definedName name="btnPlusMinusDec1">btnPlusMinus!$P$16</definedName>
    <definedName name="btnPlusMinusDec2">btnPlusMinus!$P$19</definedName>
    <definedName name="btnPlusMinusDec3">btnPlusMinus!$P$22</definedName>
    <definedName name="btnPlusMinusDec4">btnPlusMinus!$P$25</definedName>
    <definedName name="btnPlusMinusDec5">btnPlusMinus!$P$28</definedName>
    <definedName name="btnPlusMinusDec6">btnPlusMinus!$P$31</definedName>
    <definedName name="btnPlusMinusDec7">btnPlusMinus!$P$34</definedName>
    <definedName name="btnPlusMinusDec8">btnPlusMinus!$P$37</definedName>
    <definedName name="btnPlusMinusIncr1">btnPlusMinus!$G$16</definedName>
    <definedName name="btnPlusMinusIncr2">btnPlusMinus!$G$19</definedName>
    <definedName name="btnPlusMinusIncr3">btnPlusMinus!$G$22</definedName>
    <definedName name="btnPlusMinusIncr4">btnPlusMinus!$G$25</definedName>
    <definedName name="btnPlusMinusIncr5">btnPlusMinus!$G$28</definedName>
    <definedName name="btnPlusMinusIncr6">btnPlusMinus!$G$31</definedName>
    <definedName name="btnPlusMinusIncr7">btnPlusMinus!$G$34</definedName>
    <definedName name="btnPlusMinusIncr8">btnPlusMinus!$G$37</definedName>
    <definedName name="btnPlusMinusMax1">btnPlusMinus!$J$16</definedName>
    <definedName name="btnPlusMinusMax2">btnPlusMinus!$J$19</definedName>
    <definedName name="btnPlusMinusMax3">btnPlusMinus!$J$22</definedName>
    <definedName name="btnPlusMinusMax4">btnPlusMinus!$J$25</definedName>
    <definedName name="btnPlusMinusMax5">btnPlusMinus!$J$28</definedName>
    <definedName name="btnPlusMinusMax6">btnPlusMinus!$J$31</definedName>
    <definedName name="btnPlusMinusMax7">btnPlusMinus!$J$34</definedName>
    <definedName name="btnPlusMinusMax8">btnPlusMinus!$J$37</definedName>
    <definedName name="btnPlusMinusMin1">btnPlusMinus!$M$16</definedName>
    <definedName name="btnPlusMinusMin2">btnPlusMinus!$M$19</definedName>
    <definedName name="btnPlusMinusMin3">btnPlusMinus!$M$22</definedName>
    <definedName name="btnPlusMinusMin4">btnPlusMinus!$M$25</definedName>
    <definedName name="btnPlusMinusMin5">btnPlusMinus!$M$28</definedName>
    <definedName name="btnPlusMinusMin6">btnPlusMinus!$M$31</definedName>
    <definedName name="btnPlusMinusMin7">btnPlusMinus!$M$34</definedName>
    <definedName name="btnPlusMinusMin8">btnPlusMinus!$M$37</definedName>
    <definedName name="calcCurrencyConvTbl">Calc!$G$5:$L$6</definedName>
    <definedName name="calcCurrencyIndexNum">Calc!$E$6</definedName>
    <definedName name="calcPath1ExpMt">Calc!$E$30</definedName>
    <definedName name="calcPath1ExpMt_Code">Calc!$E$31</definedName>
    <definedName name="calcPath1MTCost_AllYears">Calc!$E$38</definedName>
    <definedName name="calcPath1MTCost_Yr1">Calc!$E$34</definedName>
    <definedName name="calcPath1MTCost_Yr2">Calc!$E$35</definedName>
    <definedName name="calcPath1MTCost_Yr3">Calc!$E$36</definedName>
    <definedName name="calcPath1MTPrice">Calc!$E$28</definedName>
    <definedName name="calcPath1SubSRP">Calc!$E$44</definedName>
    <definedName name="calcPath1SubSRP3Yr">Calc!$E$45</definedName>
    <definedName name="calcPath1Yr1_CostTotal">Calc!$E$52</definedName>
    <definedName name="calcPath1Yr1_CostYr1">Calc!$E$48</definedName>
    <definedName name="calcPath1Yr1_CostYr2">Calc!$E$49</definedName>
    <definedName name="calcPath1Yr1_CostYr3">Calc!$E$50</definedName>
    <definedName name="calcPath1Yr1_MaintDiff">Calc!$E$54</definedName>
    <definedName name="calcPath1Yr1_SRPDisc">Calc!$E$53</definedName>
    <definedName name="calcPath1Yr2_CostTotal">Calc!$E$61</definedName>
    <definedName name="calcPath1Yr2_CostYr1">Calc!$E$57</definedName>
    <definedName name="calcPath1Yr2_CostYr2">Calc!$E$58</definedName>
    <definedName name="calcPath1Yr2_CostYr3">Calc!$E$59</definedName>
    <definedName name="calcPath1Yr2_MaintDiff">Calc!$E$63</definedName>
    <definedName name="calcPath1Yr2_SRPDisc">Calc!$E$62</definedName>
    <definedName name="calcPath1Yr3_CostTotal">Calc!$E$70</definedName>
    <definedName name="calcPath1Yr3_CostYr1">Calc!$E$66</definedName>
    <definedName name="calcPath1Yr3_CostYr2">Calc!$E$67</definedName>
    <definedName name="calcPath1Yr3_CostYr3">Calc!$E$68</definedName>
    <definedName name="calcPath1Yr3_MaintDiff">Calc!$E$72</definedName>
    <definedName name="calcPath1Yr3_SRPDisc">Calc!$E$71</definedName>
    <definedName name="calcPath1Yr4Cost">Calc!$E$75</definedName>
    <definedName name="calcPath2ExpMt">Calc!$E$86</definedName>
    <definedName name="calcPath2ExpMt_Code">Calc!$E$87</definedName>
    <definedName name="calcPath2MTCost_AllYears">Calc!$E$94</definedName>
    <definedName name="calcPath2MTCost_Yr1">Calc!$E$90</definedName>
    <definedName name="calcPath2MTCost_Yr2">Calc!$E$91</definedName>
    <definedName name="calcPath2MTCost_Yr3">Calc!$E$92</definedName>
    <definedName name="calcPath2MTPrice">Calc!$E$84</definedName>
    <definedName name="calcPath2SubSRP">Calc!$E$100</definedName>
    <definedName name="calcPath2SubSRP3Yr">Calc!$E$101</definedName>
    <definedName name="calcPath2Yr1_CostTotal">Calc!$E$108</definedName>
    <definedName name="calcPath2Yr1_CostYr1">Calc!$E$104</definedName>
    <definedName name="calcPath2Yr1_CostYr2">Calc!$E$105</definedName>
    <definedName name="calcPath2Yr1_CostYr3">Calc!$E$106</definedName>
    <definedName name="calcPath2Yr1_MaintDiff">Calc!$E$110</definedName>
    <definedName name="calcPath2Yr1_SRPDisc">Calc!$E$109</definedName>
    <definedName name="calcPath2Yr2_CostTotal">Calc!$E$117</definedName>
    <definedName name="calcPath2Yr2_CostYr1">Calc!$E$113</definedName>
    <definedName name="calcPath2Yr2_CostYr2">Calc!$E$114</definedName>
    <definedName name="calcPath2Yr2_CostYr3">Calc!$E$115</definedName>
    <definedName name="calcPath2Yr2_MaintDiff">Calc!$E$119</definedName>
    <definedName name="calcPath2Yr2_SRPDisc">Calc!$E$118</definedName>
    <definedName name="calcPath2Yr3_CostTotal">Calc!$E$126</definedName>
    <definedName name="calcPath2Yr3_CostYr1">Calc!$E$122</definedName>
    <definedName name="calcPath2Yr3_CostYr2">Calc!$E$123</definedName>
    <definedName name="calcPath2Yr3_CostYr3">Calc!$E$124</definedName>
    <definedName name="calcPath2Yr3_MaintDiff">Calc!$E$128</definedName>
    <definedName name="calcPath2Yr3_SRPDisc">Calc!$E$127</definedName>
    <definedName name="calcPath2Yr4Cost">Calc!$E$131</definedName>
    <definedName name="calcPath3ExpMt">Calc!$E$142</definedName>
    <definedName name="calcPath3ExpMt_Code">Calc!$E$143</definedName>
    <definedName name="calcPath3MTCost_AllYears">Calc!$E$150</definedName>
    <definedName name="calcPath3MTCost_Yr1">Calc!$E$146</definedName>
    <definedName name="calcPath3MTCost_Yr2">Calc!$E$147</definedName>
    <definedName name="calcPath3MTCost_Yr3">Calc!$E$148</definedName>
    <definedName name="calcPath3MTPrice">Calc!$E$140</definedName>
    <definedName name="calcPath3SubSRP">Calc!$E$156</definedName>
    <definedName name="calcPath3SubSRP3Yr">Calc!$E$157</definedName>
    <definedName name="calcPath3Yr1_CostTotal">Calc!$E$164</definedName>
    <definedName name="calcPath3Yr1_CostYr1">Calc!$E$160</definedName>
    <definedName name="calcPath3Yr1_CostYr2">Calc!$E$161</definedName>
    <definedName name="calcPath3Yr1_CostYr3">Calc!$E$162</definedName>
    <definedName name="calcPath3Yr1_MaintDiff">Calc!$E$166</definedName>
    <definedName name="calcPath3Yr1_SRPDisc">Calc!$E$165</definedName>
    <definedName name="calcPath3Yr2_CostTotal">Calc!$E$173</definedName>
    <definedName name="calcPath3Yr2_CostYr1">Calc!$E$169</definedName>
    <definedName name="calcPath3Yr2_CostYr2">Calc!$E$170</definedName>
    <definedName name="calcPath3Yr2_CostYr3">Calc!$E$171</definedName>
    <definedName name="calcPath3Yr2_MaintDiff">Calc!$E$175</definedName>
    <definedName name="calcPath3Yr2_SRPDisc">Calc!$E$174</definedName>
    <definedName name="calcPath3Yr3_CostTotal">Calc!$E$182</definedName>
    <definedName name="calcPath3Yr3_CostYr1">Calc!$E$178</definedName>
    <definedName name="calcPath3Yr3_CostYr2">Calc!$E$179</definedName>
    <definedName name="calcPath3Yr3_CostYr3">Calc!$E$180</definedName>
    <definedName name="calcPath3Yr3_MaintDiff">Calc!$E$184</definedName>
    <definedName name="calcPath3Yr3_SRPDisc">Calc!$E$183</definedName>
    <definedName name="calcPath3Yr4Cost">Calc!$E$187</definedName>
    <definedName name="calcPath4ExpMt">Calc!$E$198</definedName>
    <definedName name="calcPath4ExpMt_Code">Calc!$E$199</definedName>
    <definedName name="calcPath4MTCost_AllYears">Calc!$E$206</definedName>
    <definedName name="calcPath4MTCost_Yr1">Calc!$E$202</definedName>
    <definedName name="calcPath4MTCost_Yr2">Calc!$E$203</definedName>
    <definedName name="calcPath4MTCost_Yr3">Calc!$E$204</definedName>
    <definedName name="calcPath4MTPrice">Calc!$E$196</definedName>
    <definedName name="calcPath4SubSRP">Calc!$E$212</definedName>
    <definedName name="calcPath4SubSRP3Yr">Calc!$E$213</definedName>
    <definedName name="calcPath4Yr1_CostTotal">Calc!$E$220</definedName>
    <definedName name="calcPath4Yr1_CostYr1">Calc!$E$216</definedName>
    <definedName name="calcPath4Yr1_CostYr2">Calc!$E$217</definedName>
    <definedName name="calcPath4Yr1_CostYr3">Calc!$E$218</definedName>
    <definedName name="calcPath4Yr1_MaintDiff">Calc!$E$222</definedName>
    <definedName name="calcPath4Yr1_SRPDisc">Calc!$E$221</definedName>
    <definedName name="calcPath4Yr2_CostTotal">Calc!$E$229</definedName>
    <definedName name="calcPath4Yr2_CostYr1">Calc!$E$225</definedName>
    <definedName name="calcPath4Yr2_CostYr2">Calc!$E$226</definedName>
    <definedName name="calcPath4Yr2_CostYr3">Calc!$E$227</definedName>
    <definedName name="calcPath4Yr2_MaintDiff">Calc!$E$231</definedName>
    <definedName name="calcPath4Yr2_SRPDisc">Calc!$E$230</definedName>
    <definedName name="calcPath4Yr3_CostTotal">Calc!$E$238</definedName>
    <definedName name="calcPath4Yr3_CostYr1">Calc!$E$234</definedName>
    <definedName name="calcPath4Yr3_CostYr2">Calc!$E$235</definedName>
    <definedName name="calcPath4Yr3_CostYr3">Calc!$E$236</definedName>
    <definedName name="calcPath4Yr3_MaintDiff">Calc!$E$240</definedName>
    <definedName name="calcPath4Yr3_SRPDisc">Calc!$E$239</definedName>
    <definedName name="calcPath4Yr4Cost">Calc!$E$243</definedName>
    <definedName name="calcPath5ExpMt">Calc!$E$254</definedName>
    <definedName name="calcPath5ExpMt_Code">Calc!$E$255</definedName>
    <definedName name="calcPath5MTCost_AllYears">Calc!$E$262</definedName>
    <definedName name="calcPath5MTCost_Yr1">Calc!$E$258</definedName>
    <definedName name="calcPath5MTCost_Yr2">Calc!$E$259</definedName>
    <definedName name="calcPath5MTCost_Yr3">Calc!$E$260</definedName>
    <definedName name="calcPath5MTPrice">Calc!$E$252</definedName>
    <definedName name="calcPath5SubSRP">Calc!$E$268</definedName>
    <definedName name="calcPath5SubSRP3Yr">Calc!$E$269</definedName>
    <definedName name="calcPath5Yr1_CostTotal">Calc!$E$276</definedName>
    <definedName name="calcPath5Yr1_CostYr1">Calc!$E$272</definedName>
    <definedName name="calcPath5Yr1_CostYr2">Calc!$E$273</definedName>
    <definedName name="calcPath5Yr1_CostYr3">Calc!$E$274</definedName>
    <definedName name="calcPath5Yr1_MaintDiff">Calc!$E$278</definedName>
    <definedName name="calcPath5Yr1_SRPDisc">Calc!$E$277</definedName>
    <definedName name="calcPath5Yr2_CostTotal">Calc!$E$285</definedName>
    <definedName name="calcPath5Yr2_CostYr1">Calc!$E$281</definedName>
    <definedName name="calcPath5Yr2_CostYr2">Calc!$E$282</definedName>
    <definedName name="calcPath5Yr2_CostYr3">Calc!$E$283</definedName>
    <definedName name="calcPath5Yr2_MaintDiff">Calc!$E$287</definedName>
    <definedName name="calcPath5Yr2_SRPDisc">Calc!$E$286</definedName>
    <definedName name="calcPath5Yr3_CostTotal">Calc!$E$294</definedName>
    <definedName name="calcPath5Yr3_CostYr1">Calc!$E$290</definedName>
    <definedName name="calcPath5Yr3_CostYr2">Calc!$E$291</definedName>
    <definedName name="calcPath5Yr3_CostYr3">Calc!$E$292</definedName>
    <definedName name="calcPath5Yr3_MaintDiff">Calc!$E$296</definedName>
    <definedName name="calcPath5Yr3_SRPDisc">Calc!$E$295</definedName>
    <definedName name="calcPath5Yr4Cost">Calc!$E$299</definedName>
    <definedName name="calcPath6ExpMt">Calc!$E$310</definedName>
    <definedName name="calcPath6ExpMt_Code">Calc!$E$311</definedName>
    <definedName name="calcPath6MTCost_AllYears">Calc!$E$318</definedName>
    <definedName name="calcPath6MTCost_Yr1">Calc!$E$314</definedName>
    <definedName name="calcPath6MTCost_Yr2">Calc!$E$315</definedName>
    <definedName name="calcPath6MTCost_Yr3">Calc!$E$316</definedName>
    <definedName name="calcPath6MTPrice">Calc!$E$308</definedName>
    <definedName name="calcPath6SubSRP">Calc!$E$324</definedName>
    <definedName name="calcPath6SubSRP3Yr">Calc!$E$325</definedName>
    <definedName name="calcPath6Yr1_CostTotal">Calc!$E$332</definedName>
    <definedName name="calcPath6Yr1_CostYr1">Calc!$E$328</definedName>
    <definedName name="calcPath6Yr1_CostYr2">Calc!$E$329</definedName>
    <definedName name="calcPath6Yr1_CostYr3">Calc!$E$330</definedName>
    <definedName name="calcPath6Yr1_MaintDiff">Calc!$E$334</definedName>
    <definedName name="calcPath6Yr1_SRPDisc">Calc!$E$333</definedName>
    <definedName name="calcPath6Yr2_CostTotal">Calc!$E$341</definedName>
    <definedName name="calcPath6Yr2_CostYr1">Calc!$E$337</definedName>
    <definedName name="calcPath6Yr2_CostYr2">Calc!$E$338</definedName>
    <definedName name="calcPath6Yr2_CostYr3">Calc!$E$339</definedName>
    <definedName name="calcPath6Yr2_MaintDiff">Calc!$E$343</definedName>
    <definedName name="calcPath6Yr2_SRPDisc">Calc!$E$342</definedName>
    <definedName name="calcPath6Yr3_CostTotal">Calc!$E$350</definedName>
    <definedName name="calcPath6Yr3_CostYr1">Calc!$E$346</definedName>
    <definedName name="calcPath6Yr3_CostYr2">Calc!$E$347</definedName>
    <definedName name="calcPath6Yr3_CostYr3">Calc!$E$348</definedName>
    <definedName name="calcPath6Yr3_MaintDiff">Calc!$E$352</definedName>
    <definedName name="calcPath6Yr3_SRPDisc">Calc!$E$351</definedName>
    <definedName name="calcPath6Yr4Cost">Calc!$E$355</definedName>
    <definedName name="calcPath7ExpMt">Calc!$E$366</definedName>
    <definedName name="calcPath7ExpMt_Code">Calc!$E$367</definedName>
    <definedName name="calcPath7MTCost_AllYears">Calc!$E$374</definedName>
    <definedName name="calcPath7MTCost_Yr1">Calc!$E$370</definedName>
    <definedName name="calcPath7MTCost_Yr2">Calc!$E$371</definedName>
    <definedName name="calcPath7MTCost_Yr3">Calc!$E$372</definedName>
    <definedName name="calcPath7MTPrice">Calc!$E$364</definedName>
    <definedName name="calcPath7SubSRP">Calc!$E$380</definedName>
    <definedName name="calcPath7SubSRP3Yr">Calc!$E$381</definedName>
    <definedName name="calcPath7Yr1_CostTotal">Calc!$E$388</definedName>
    <definedName name="calcPath7Yr1_CostYr1">Calc!$E$384</definedName>
    <definedName name="calcPath7Yr1_CostYr2">Calc!$E$385</definedName>
    <definedName name="calcPath7Yr1_CostYr3">Calc!$E$386</definedName>
    <definedName name="calcPath7Yr1_MaintDiff">Calc!$E$390</definedName>
    <definedName name="calcPath7Yr1_SRPDisc">Calc!$E$389</definedName>
    <definedName name="calcPath7Yr2_CostTotal">Calc!$E$397</definedName>
    <definedName name="calcPath7Yr2_CostYr1">Calc!$E$393</definedName>
    <definedName name="calcPath7Yr2_CostYr2">Calc!$E$394</definedName>
    <definedName name="calcPath7Yr2_CostYr3">Calc!$E$395</definedName>
    <definedName name="calcPath7Yr2_MaintDiff">Calc!$E$399</definedName>
    <definedName name="calcPath7Yr2_SRPDisc">Calc!$E$398</definedName>
    <definedName name="calcPath7Yr3_CostTotal">Calc!$E$406</definedName>
    <definedName name="calcPath7Yr3_CostYr1">Calc!$E$402</definedName>
    <definedName name="calcPath7Yr3_CostYr2">Calc!$E$403</definedName>
    <definedName name="calcPath7Yr3_CostYr3">Calc!$E$404</definedName>
    <definedName name="calcPath7Yr3_MaintDiff">Calc!$E$408</definedName>
    <definedName name="calcPath7Yr3_SRPDisc">Calc!$E$407</definedName>
    <definedName name="calcPath7Yr4Cost">Calc!$E$411</definedName>
    <definedName name="calcPath8ExpMt">Calc!$E$422</definedName>
    <definedName name="calcPath8ExpMt_Code">Calc!$E$423</definedName>
    <definedName name="calcPath8MTCost_AllYears">Calc!$E$430</definedName>
    <definedName name="calcPath8MTCost_Yr1">Calc!$E$426</definedName>
    <definedName name="calcPath8MTCost_Yr2">Calc!$E$427</definedName>
    <definedName name="calcPath8MTCost_Yr3">Calc!$E$428</definedName>
    <definedName name="calcPath8MTPrice">Calc!$E$420</definedName>
    <definedName name="calcPath8SubSRP">Calc!$E$436</definedName>
    <definedName name="calcPath8SubSRP3Yr">Calc!$E$437</definedName>
    <definedName name="calcPath8Yr1_CostTotal">Calc!$E$444</definedName>
    <definedName name="calcPath8Yr1_CostYr1">Calc!$E$440</definedName>
    <definedName name="calcPath8Yr1_CostYr2">Calc!$E$441</definedName>
    <definedName name="calcPath8Yr1_CostYr3">Calc!$E$442</definedName>
    <definedName name="calcPath8Yr1_MaintDiff">Calc!$E$446</definedName>
    <definedName name="calcPath8Yr1_SRPDisc">Calc!$E$445</definedName>
    <definedName name="calcPath8Yr2_CostTotal">Calc!$E$453</definedName>
    <definedName name="calcPath8Yr2_CostYr1">Calc!$E$449</definedName>
    <definedName name="calcPath8Yr2_CostYr2">Calc!$E$450</definedName>
    <definedName name="calcPath8Yr2_CostYr3">Calc!$E$451</definedName>
    <definedName name="calcPath8Yr2_MaintDiff">Calc!$E$455</definedName>
    <definedName name="calcPath8Yr2_SRPDisc">Calc!$E$454</definedName>
    <definedName name="calcPath8Yr3_CostTotal">Calc!$E$462</definedName>
    <definedName name="calcPath8Yr3_CostYr1">Calc!$E$458</definedName>
    <definedName name="calcPath8Yr3_CostYr2">Calc!$E$459</definedName>
    <definedName name="calcPath8Yr3_CostYr3">Calc!$E$460</definedName>
    <definedName name="calcPath8Yr3_MaintDiff">Calc!$E$464</definedName>
    <definedName name="calcPath8Yr3_SRPDisc">Calc!$E$463</definedName>
    <definedName name="calcPath8Yr4Cost">Calc!$E$467</definedName>
    <definedName name="calcTotalActivePaths">Calc!$E$19</definedName>
    <definedName name="calcTotalMTCost_AllYears">Calc!$E$477</definedName>
    <definedName name="calcTotalMTCost_Yr1">Calc!$E$473</definedName>
    <definedName name="calcTotalMTCost_Yr2">Calc!$E$474</definedName>
    <definedName name="calcTotalMTCost_Yr3">Calc!$E$475</definedName>
    <definedName name="calcTotalSubSRP">Calc!$E$480</definedName>
    <definedName name="calcTotalSubSRP3Yr">Calc!$E$481</definedName>
    <definedName name="calcTotalYr1_CostTotal">Calc!$E$488</definedName>
    <definedName name="calcTotalYr1_CostYr1">Calc!$E$484</definedName>
    <definedName name="calcTotalYr1_CostYr2">Calc!$E$485</definedName>
    <definedName name="calcTotalYr1_CostYr3">Calc!$E$486</definedName>
    <definedName name="calcTotalYr1_MaintDiff">Calc!$E$490</definedName>
    <definedName name="calcTotalYr1_SRPDisc">Calc!$E$489</definedName>
    <definedName name="calcTotalYr2_CostTotal">Calc!$E$497</definedName>
    <definedName name="calcTotalYr2_CostYr1">Calc!$E$493</definedName>
    <definedName name="calcTotalYr2_CostYr2">Calc!$E$494</definedName>
    <definedName name="calcTotalYr2_CostYr3">Calc!$E$495</definedName>
    <definedName name="calcTotalYr2_MaintDiff">Calc!$E$499</definedName>
    <definedName name="calcTotalYr2_SRPDisc">Calc!$E$498</definedName>
    <definedName name="calcTotalYr3_CostTotal">Calc!$E$506</definedName>
    <definedName name="calcTotalYr3_CostYr1">Calc!$E$502</definedName>
    <definedName name="calcTotalYr3_CostYr2">Calc!$E$503</definedName>
    <definedName name="calcTotalYr3_CostYr3">Calc!$E$504</definedName>
    <definedName name="calcTotalYr3_MaintDiff">Calc!$E$508</definedName>
    <definedName name="calcTotalYr3_SRPDisc">Calc!$E$507</definedName>
    <definedName name="calcTotalYr4Cost">Calc!$E$511</definedName>
    <definedName name="cnstComma">PopUp!$E$60</definedName>
    <definedName name="cnstDoubleQuote">PopUp!$E$59</definedName>
    <definedName name="cnstMillion">Glossary!$D$19</definedName>
    <definedName name="cnstSingleQuote">PopUp!$E$58</definedName>
    <definedName name="cnstYears">Glossary!$D$20</definedName>
    <definedName name="core_FilePrefix">Controls!$D$5</definedName>
    <definedName name="Data_AUD_Tbl">Data_AUD!$B$3:$K$118</definedName>
    <definedName name="Data_CAD_Tbl">Data_CAD!$B$3:$K$118</definedName>
    <definedName name="Data_EUR_Tbl">Data_Euro!$B$3:$K$118</definedName>
    <definedName name="Data_GBP_Tbl">Data_GBP!$B$3:$K$118</definedName>
    <definedName name="Data_JPY_Tbl">Data_Yen!$B$3:$K$118</definedName>
    <definedName name="Data_Unified_Pricing_Tbl">DataUnifiedPricing!$B$3:$K$118</definedName>
    <definedName name="Data_USD_Tbl">Data_USD!$B$3:$K$118</definedName>
    <definedName name="dataList">DataPaths!$B$36:$D$36</definedName>
    <definedName name="DataPaths_Code">DataPaths!$C$30</definedName>
    <definedName name="DataPaths_List_Path1_Count">DataPaths!$B$268</definedName>
    <definedName name="DataPaths_List_Path1_ProdSub">DataPaths!$B$8:$B$20</definedName>
    <definedName name="DataPaths_List_Path2_Count">DataPaths!$C$268</definedName>
    <definedName name="DataPaths_List_Path2_ProdSub">DataPaths!$C$8:$C$20</definedName>
    <definedName name="DataPaths_List_Path3_Count">DataPaths!$D$268</definedName>
    <definedName name="DataPaths_List_Path3_ProdSub">DataPaths!$D$8:$D$20</definedName>
    <definedName name="DataPaths_List_Path4_Count">DataPaths!$E$268</definedName>
    <definedName name="DataPaths_List_Path4_ProdSub">DataPaths!$E$8:$E$20</definedName>
    <definedName name="DataPaths_List_Path5_Count">DataPaths!$F$268</definedName>
    <definedName name="DataPaths_List_Path5_ProdSub">DataPaths!$F$8:$F$20</definedName>
    <definedName name="DataPaths_List_Path6_Count">DataPaths!$G$268</definedName>
    <definedName name="DataPaths_List_Path6_ProdSub">DataPaths!$G$8:$G$20</definedName>
    <definedName name="DataPaths_List_Path7_Count">DataPaths!$H$268</definedName>
    <definedName name="DataPaths_List_Path7_ProdSub">DataPaths!$H$8:$H$20</definedName>
    <definedName name="DataPaths_List_Path8_Count">DataPaths!$I$268</definedName>
    <definedName name="DataPaths_List_Path8_ProdSub">DataPaths!$I$8:$I$20</definedName>
    <definedName name="DataPaths_List_ProdMT">DataPaths!$B$34:$B$144</definedName>
    <definedName name="DataPaths_List_ProdMT_NonCurrency">DataPaths!$A$35:$A$144</definedName>
    <definedName name="DataPaths_Path1_ProdSub">DataPaths!$B$24</definedName>
    <definedName name="DataPaths_Path2_ProdSub">DataPaths!$C$24</definedName>
    <definedName name="DataPaths_Path3_ProdSub">DataPaths!$D$24</definedName>
    <definedName name="DataPaths_Path4_ProdSub">DataPaths!$E$24</definedName>
    <definedName name="DataPaths_Path5_ProdSub">DataPaths!$F$24</definedName>
    <definedName name="DataPaths_Path6_ProdSub">DataPaths!$G$24</definedName>
    <definedName name="DataPaths_Path7_ProdSub">DataPaths!$H$24</definedName>
    <definedName name="DataPaths_Path8_ProdSub">DataPaths!$I$24</definedName>
    <definedName name="DataPaths_Tbl_AllPaths">DataPaths!$B$35:$N$144</definedName>
    <definedName name="DataPaths_Tbl_AllPathsMultiUser">DataPaths!$B$152:$N$261</definedName>
    <definedName name="DB_ArrayDash1Names">Dashboard!$C$37:$C$46</definedName>
    <definedName name="DB_ArrayDash1Values">Dashboard!$G$37:$G$46</definedName>
    <definedName name="DB_ArrayDash2Names">Dashboard!$C$51:$C$60</definedName>
    <definedName name="DB_ArrayDash2Values">Dashboard!$G$51:$G$60</definedName>
    <definedName name="DB_ArrayDash3Names">Dashboard!$C$65:$C$74</definedName>
    <definedName name="DB_ArrayDash3Values">Dashboard!$G$65:$G$74</definedName>
    <definedName name="DB_ArrayDash4Names">Dashboard!$C$79:$C$88</definedName>
    <definedName name="DB_ArrayDash4Values">Dashboard!$G$79:$G$88</definedName>
    <definedName name="DB_ArrayDash5Names">Dashboard!$C$93:$C$102</definedName>
    <definedName name="DB_ArrayDash5Values">Dashboard!$G$93:$G$102</definedName>
    <definedName name="DB_Dashboard1">Dashboard!$E$14</definedName>
    <definedName name="DB_Dashboard2">Dashboard!$E$17</definedName>
    <definedName name="DB_Dashboard3">Dashboard!$E$20</definedName>
    <definedName name="DB_Dashboard4">Dashboard!$E$23</definedName>
    <definedName name="DB_Dashboard5">Dashboard!$E$26</definedName>
    <definedName name="DB_LargeWhiteSpace">Dashboard!$E$109</definedName>
    <definedName name="DB_LargeWhiteSpaceLength">Dashboard!$E$32</definedName>
    <definedName name="DB_SubWhiteSpace">Dashboard!$E$110</definedName>
    <definedName name="DB_SubWhiteSpaceLength">Dashboard!$E$33</definedName>
    <definedName name="DB_WhiteSpace">Dashboard!$E$108</definedName>
    <definedName name="DB_WhiteSpaceLength">Dashboard!$E$31</definedName>
    <definedName name="dec_End">Dec!$E$95</definedName>
    <definedName name="dec_FormulaReset">Dec!$G$18:$G$95</definedName>
    <definedName name="dec_Names">Dec!$F$18:$F$95</definedName>
    <definedName name="dec_Paste">Dec!$E$18:$E$18</definedName>
    <definedName name="dec_PasteY1">Dec!$L$18:$P$18</definedName>
    <definedName name="dec_PasteY2">Dec!$R$18:$V$18</definedName>
    <definedName name="dec_PasteY3">Dec!$X$18:$AB$18</definedName>
    <definedName name="dec_Round">Controls!$D$41</definedName>
    <definedName name="dec_TeamName">Controls!$D$37</definedName>
    <definedName name="dec_TeamNumber">Controls!$D$39</definedName>
    <definedName name="dec_ToolInputPrefix">Controls!$D$43</definedName>
    <definedName name="dec_ToolReset">Dec!$H$18:$H$95</definedName>
    <definedName name="dec_ToolResetR0">Dec!$I$18:$I$95</definedName>
    <definedName name="dec_ToolResetValues">Dec!$J$18:$J$95</definedName>
    <definedName name="decCurrency">Dec!$E$20:$E$20</definedName>
    <definedName name="decLanguage">Dec!$E$21:$E$21</definedName>
    <definedName name="decPath1_Access">Dec!$E$28</definedName>
    <definedName name="decPath1_ExpMT">Dec!$E$24</definedName>
    <definedName name="decPath1_PriceMT">Dec!$E$25</definedName>
    <definedName name="decPath1_PriceMT_Adj">Dec!$E$26</definedName>
    <definedName name="decPath1_ProdMT">Dec!$E$27</definedName>
    <definedName name="decPath1_ProdSub">Dec!$E$29</definedName>
    <definedName name="decPath1_Qty">Dec!$E$30</definedName>
    <definedName name="decPath2_Access">Dec!$E$37</definedName>
    <definedName name="decPath2_ExpMT">Dec!$E$33</definedName>
    <definedName name="decPath2_PriceMT">Dec!$E$34</definedName>
    <definedName name="decPath2_PriceMT_Adj">Dec!$E$35</definedName>
    <definedName name="decPath2_ProdMT">Dec!$E$36</definedName>
    <definedName name="decPath2_ProdSub">Dec!$E$38</definedName>
    <definedName name="decPath2_Qty">Dec!$E$39</definedName>
    <definedName name="decPath3_Access">Dec!$E$46</definedName>
    <definedName name="decPath3_ExpMT">Dec!$E$42</definedName>
    <definedName name="decPath3_PriceMT">Dec!$E$43</definedName>
    <definedName name="decPath3_PriceMT_Adj">Dec!$E$44</definedName>
    <definedName name="decPath3_ProdMT">Dec!$E$45</definedName>
    <definedName name="decPath3_ProdSub">Dec!$E$47</definedName>
    <definedName name="decPath3_Qty">Dec!$E$48</definedName>
    <definedName name="decPath4_Access">Dec!$E$55</definedName>
    <definedName name="decPath4_ExpMT">Dec!$E$51</definedName>
    <definedName name="decPath4_PriceMT">Dec!$E$52</definedName>
    <definedName name="decPath4_PriceMT_Adj">Dec!$E$53</definedName>
    <definedName name="decPath4_ProdMT">Dec!$E$54</definedName>
    <definedName name="decPath4_ProdSub">Dec!$E$56</definedName>
    <definedName name="decPath4_Qty">Dec!$E$57</definedName>
    <definedName name="decPath5_Access">Dec!$E$64</definedName>
    <definedName name="decPath5_ExpMT">Dec!$E$60</definedName>
    <definedName name="decPath5_PriceMT">Dec!$E$61</definedName>
    <definedName name="decPath5_PriceMT_Adj">Dec!$E$62</definedName>
    <definedName name="decPath5_ProdMT">Dec!$E$63</definedName>
    <definedName name="decPath5_ProdSub">Dec!$E$65</definedName>
    <definedName name="decPath5_Qty">Dec!$E$66</definedName>
    <definedName name="decPath6_Access">Dec!$E$73</definedName>
    <definedName name="decPath6_ExpMT">Dec!$E$69</definedName>
    <definedName name="decPath6_PriceMT">Dec!$E$70</definedName>
    <definedName name="decPath6_PriceMT_Adj">Dec!$E$71</definedName>
    <definedName name="decPath6_ProdMT">Dec!$E$72</definedName>
    <definedName name="decPath6_ProdSub">Dec!$E$74</definedName>
    <definedName name="decPath6_Qty">Dec!$E$75</definedName>
    <definedName name="decPath7_Access">Dec!$E$82</definedName>
    <definedName name="decPath7_ExpMT">Dec!$E$78</definedName>
    <definedName name="decPath7_PriceMT">Dec!$E$79</definedName>
    <definedName name="decPath7_PriceMT_Adj">Dec!$E$80</definedName>
    <definedName name="decPath7_ProdMT">Dec!$E$81</definedName>
    <definedName name="decPath7_ProdSub">Dec!$E$83</definedName>
    <definedName name="decPath7_Qty">Dec!$E$84</definedName>
    <definedName name="decPath8_Access">Dec!$E$91</definedName>
    <definedName name="decPath8_ExpMT">Dec!$E$87</definedName>
    <definedName name="decPath8_PriceMT">Dec!$E$88</definedName>
    <definedName name="decPath8_PriceMT_Adj">Dec!$E$89</definedName>
    <definedName name="decPath8_ProdMT">Dec!$E$90</definedName>
    <definedName name="decPath8_ProdSub">Dec!$E$92</definedName>
    <definedName name="decPath8_Qty">Dec!$E$93</definedName>
    <definedName name="decSimulationType">Dec!$E$14</definedName>
    <definedName name="feedback_FeedbackFileName">Controls!$D$7</definedName>
    <definedName name="feedback_FeedbackSheetName">Controls!$D$31</definedName>
    <definedName name="feedback_TimeSeriesFeedbackSheetName">Controls!$D$33</definedName>
    <definedName name="glossaryLanguage">Glossary!$E$14</definedName>
    <definedName name="hood_OnHoodCloseGoTo">Controls!$D$29</definedName>
    <definedName name="hood_ToolPrefix">Controls!$D$47</definedName>
    <definedName name="LicTypes">[1]Lists!$P$2:$P$5</definedName>
    <definedName name="nmADwSP">Glossary!$D$76</definedName>
    <definedName name="nmAUD">Glossary!$D$84</definedName>
    <definedName name="nmAutoCAD">Glossary!$D$77</definedName>
    <definedName name="nmBenchmarks">Glossary!$D$33</definedName>
    <definedName name="nmCAD">Glossary!$D$81</definedName>
    <definedName name="nmCharts">Glossary!$D$35</definedName>
    <definedName name="nmConsolidatedReports">Glossary!$D$116</definedName>
    <definedName name="nmCopyrightText">Glossary!$D$117</definedName>
    <definedName name="nmCostBreakdownAnaly">Glossary!$D$107</definedName>
    <definedName name="nmCreateNewPath">Glossary!$D$112</definedName>
    <definedName name="nmCurrency">Glossary!$D$28</definedName>
    <definedName name="nmDashboardData">Glossary!$D$118</definedName>
    <definedName name="nmEUR">Glossary!$D$82</definedName>
    <definedName name="nmExpMT">Glossary!$D$48</definedName>
    <definedName name="nmFirstTimeMessage">Glossary!$D$126</definedName>
    <definedName name="nmFY1">Glossary!$D$67</definedName>
    <definedName name="nmFY1_Def">Glossary!$D$72</definedName>
    <definedName name="nmFY2">Glossary!$D$68</definedName>
    <definedName name="nmFY2_Def">Glossary!$D$73</definedName>
    <definedName name="nmFY3">Glossary!$D$69</definedName>
    <definedName name="nmFY3_Def">Glossary!$D$74</definedName>
    <definedName name="nmGBP">Glossary!$D$85</definedName>
    <definedName name="nmInputs">Glossary!$D$31</definedName>
    <definedName name="nmInvOpt">Glossary!$D$102</definedName>
    <definedName name="nmJPY">Glossary!$D$83</definedName>
    <definedName name="nmLanguage">Glossary!$D$29</definedName>
    <definedName name="nmLanguages">Glossary!$E$23:$O$23</definedName>
    <definedName name="nmLegend">Glossary!$D$109</definedName>
    <definedName name="nmListCurrency">Glossary!$D$80:$D$85</definedName>
    <definedName name="nmListGlossary">Glossary!$D$67:$D$68</definedName>
    <definedName name="nmLogout">Glossary!$D$124</definedName>
    <definedName name="nmLogoutConfirmMsg">Glossary!$D$120</definedName>
    <definedName name="nmM2SCost">Glossary!$D$104</definedName>
    <definedName name="nmM2SMaintDiff">Glossary!$D$106</definedName>
    <definedName name="nmM2SSavings">Glossary!$D$105</definedName>
    <definedName name="nmMaint">Glossary!$D$99</definedName>
    <definedName name="nmMaintCOst">Glossary!$D$103</definedName>
    <definedName name="nmMaintenancePeriod">Glossary!$D$110</definedName>
    <definedName name="nmMigrate">Glossary!$D$91</definedName>
    <definedName name="nmMigrateFY1">Glossary!$D$54</definedName>
    <definedName name="nmMigrateFY2">Glossary!$D$55</definedName>
    <definedName name="nmMigrateFY3">Glossary!$D$56</definedName>
    <definedName name="nmMigrateYr">Glossary!$D$92</definedName>
    <definedName name="nmMigration">Glossary!$D$111</definedName>
    <definedName name="nmMTAll">Glossary!$D$52</definedName>
    <definedName name="nmMulti">Glossary!$D$90</definedName>
    <definedName name="nmNewSub">Glossary!$D$53</definedName>
    <definedName name="nmNLM">Glossary!$D$95</definedName>
    <definedName name="nmNo">Glossary!$D$123</definedName>
    <definedName name="nmOutputs">Glossary!$D$32</definedName>
    <definedName name="nmPath1">Glossary!$D$37</definedName>
    <definedName name="nmPath2">Glossary!$D$38</definedName>
    <definedName name="nmPath3">Glossary!$D$39</definedName>
    <definedName name="nmPath4">Glossary!$D$40</definedName>
    <definedName name="nmPath5">Glossary!$D$41</definedName>
    <definedName name="nmPath6">Glossary!$D$42</definedName>
    <definedName name="nmPath7">Glossary!$D$43</definedName>
    <definedName name="nmPath8">Glossary!$D$44</definedName>
    <definedName name="nmPriceMT">Glossary!$D$47</definedName>
    <definedName name="nmProdMT">Glossary!$D$46</definedName>
    <definedName name="nmProdSub">Glossary!$D$49</definedName>
    <definedName name="nmProgramSubtitle">Glossary!$D$26</definedName>
    <definedName name="nmProgramTitle">Glossary!$D$25</definedName>
    <definedName name="nmProjections">Glossary!$D$34</definedName>
    <definedName name="nmQty">Glossary!$D$50</definedName>
    <definedName name="nmReportsTitle">Glossary!$D$115</definedName>
    <definedName name="nmReset">Glossary!$D$97</definedName>
    <definedName name="nmResetAll">Glossary!$D$119</definedName>
    <definedName name="nmResetConfirmMsg">Glossary!$D$121</definedName>
    <definedName name="nmSavings">Glossary!$D$65</definedName>
    <definedName name="nmSelect">Glossary!$D$88</definedName>
    <definedName name="nmSelectCurrency">Glossary!$D$114</definedName>
    <definedName name="nmSelectLanguage">Glossary!$D$113</definedName>
    <definedName name="nmSingle">Glossary!$D$89</definedName>
    <definedName name="nmSLM">Glossary!$D$94</definedName>
    <definedName name="nmSpecializedToolsets">Glossary!$D$78</definedName>
    <definedName name="nmSub">Glossary!$D$100</definedName>
    <definedName name="nmTotal">Glossary!$D$61</definedName>
    <definedName name="nmTotal1Yr">Glossary!$D$63</definedName>
    <definedName name="nmTotal3Yr">Glossary!$D$64</definedName>
    <definedName name="nmTotalInv">Glossary!$D$62</definedName>
    <definedName name="nmTutorial">Glossary!$D$125</definedName>
    <definedName name="nmUSD">Glossary!$D$80</definedName>
    <definedName name="nmY4Disclaimer">Glossary!$D$127</definedName>
    <definedName name="nmYes">Glossary!$D$122</definedName>
    <definedName name="nmYr1">Glossary!$D$57</definedName>
    <definedName name="nmYr2">Glossary!$D$58</definedName>
    <definedName name="nmYr3">Glossary!$D$59</definedName>
    <definedName name="nmYr4">Glossary!$D$60</definedName>
    <definedName name="Products">[1]Lists!$M$2:$M$7</definedName>
    <definedName name="sim_OnResetGoTo">Controls!$D$25</definedName>
    <definedName name="simulation_Type">Controls!$D$9</definedName>
    <definedName name="tlInputCurrency">tlM2S!$E$7</definedName>
    <definedName name="tlInputLanguage">tlM2S!$E$9</definedName>
    <definedName name="tlInputPath1_Access">Dec!$A$28</definedName>
    <definedName name="tlInputPath1_ExpMT">tlM2S!$E$19</definedName>
    <definedName name="tlInputPath1_PriceMT">tlM2S!$E$17</definedName>
    <definedName name="tlInputPath1_PriceMT_Adj">Dec!$A$26</definedName>
    <definedName name="tlInputPath1_ProdMT">tlM2S!$E$13</definedName>
    <definedName name="tlInputPath1_ProdSub">tlM2S!$E$21</definedName>
    <definedName name="tlInputPath1_Qty">tlM2S!$E$23</definedName>
    <definedName name="tlInputPath2_Access">Dec!$A$37</definedName>
    <definedName name="tlInputPath2_ExpMT">tlM2S!$G$19</definedName>
    <definedName name="tlInputPath2_PriceMT">tlM2S!$G$17</definedName>
    <definedName name="tlInputPath2_PriceMT_Adj">Dec!$A$35</definedName>
    <definedName name="tlInputPath2_ProdMT">tlM2S!$G$13</definedName>
    <definedName name="tlInputPath2_ProdSub">tlM2S!$G$21</definedName>
    <definedName name="tlInputPath2_Qty">tlM2S!$G$23</definedName>
    <definedName name="tlInputPath3_Access">Dec!$A$46</definedName>
    <definedName name="tlInputPath3_ExpMT">tlM2S!$I$19</definedName>
    <definedName name="tlInputPath3_PriceMT">tlM2S!$I$17</definedName>
    <definedName name="tlInputPath3_PriceMT_Adj">Dec!$A$44</definedName>
    <definedName name="tlInputPath3_ProdMT">tlM2S!$I$13</definedName>
    <definedName name="tlInputPath3_ProdSub">tlM2S!$I$21</definedName>
    <definedName name="tlInputPath3_Qty">tlM2S!$I$23</definedName>
    <definedName name="tlInputPath4_Access">Dec!$A$55</definedName>
    <definedName name="tlInputPath4_ExpMT">tlM2S!$K$19</definedName>
    <definedName name="tlInputPath4_PriceMT">tlM2S!$K$17</definedName>
    <definedName name="tlInputPath4_PriceMT_Adj">Dec!$A$53</definedName>
    <definedName name="tlInputPath4_ProdMT">tlM2S!$K$13</definedName>
    <definedName name="tlInputPath4_ProdSub">tlM2S!$K$21</definedName>
    <definedName name="tlInputPath4_Qty">tlM2S!$K$23</definedName>
    <definedName name="tlInputPath5_Access">Dec!$A$64</definedName>
    <definedName name="tlInputPath5_ExpMT">tlM2S!$M$19</definedName>
    <definedName name="tlInputPath5_PriceMT">tlM2S!$M$17</definedName>
    <definedName name="tlInputPath5_PriceMT_Adj">Dec!$A$62</definedName>
    <definedName name="tlInputPath5_ProdMT">tlM2S!$M$13</definedName>
    <definedName name="tlInputPath5_ProdSub">tlM2S!$M$21</definedName>
    <definedName name="tlInputPath5_Qty">tlM2S!$M$23</definedName>
    <definedName name="tlInputPath6_Access">Dec!$A$73</definedName>
    <definedName name="tlInputPath6_ExpMT">tlM2S!$O$19</definedName>
    <definedName name="tlInputPath6_PriceMT">tlM2S!$O$17</definedName>
    <definedName name="tlInputPath6_PriceMT_Adj">Dec!$A$71</definedName>
    <definedName name="tlInputPath6_ProdMT">tlM2S!$O$13</definedName>
    <definedName name="tlInputPath6_ProdSub">tlM2S!$O$21</definedName>
    <definedName name="tlInputPath6_Qty">tlM2S!$O$23</definedName>
    <definedName name="tlInputPath7_Access">Dec!$A$82</definedName>
    <definedName name="tlInputPath7_ExpMT">tlM2S!$Q$19</definedName>
    <definedName name="tlInputPath7_PriceMT">tlM2S!$Q$17</definedName>
    <definedName name="tlInputPath7_PriceMT_Adj">Dec!$A$80</definedName>
    <definedName name="tlInputPath7_ProdMT">tlM2S!$Q$13</definedName>
    <definedName name="tlInputPath7_ProdSub">tlM2S!$Q$21</definedName>
    <definedName name="tlInputPath7_Qty">tlM2S!$Q$23</definedName>
    <definedName name="tlInputPath8_Access">Dec!$A$91</definedName>
    <definedName name="tlInputPath8_ExpMT">tlM2S!$S$19</definedName>
    <definedName name="tlInputPath8_PriceMT">tlM2S!$S$17</definedName>
    <definedName name="tlInputPath8_PriceMT_Adj">Dec!$A$89</definedName>
    <definedName name="tlInputPath8_ProdMT">tlM2S!$S$13</definedName>
    <definedName name="tlInputPath8_ProdSub">tlM2S!$S$21</definedName>
    <definedName name="tlInputPath8_Qty">tlM2S!$S$23</definedName>
    <definedName name="tlInputTotalActivePaths">Calc!$E$19</definedName>
    <definedName name="tlOutput_Cht_AllPaths_HorizAxisLbl">Charts!$E$3</definedName>
    <definedName name="tlOutput_Cht_Path1_HorizLbl1">Charts!$E$74</definedName>
    <definedName name="tlOutput_Cht_Path1_HorizLbl2">Charts!$F$74</definedName>
    <definedName name="tlOutput_Cht_Path1_HorizLbl3">Charts!$G$74</definedName>
    <definedName name="tlOutput_Cht_Path1_HorizLbl4">Charts!$H$74</definedName>
    <definedName name="tlOutput_Cht_Path1_M2SLabel">Charts!$E$9</definedName>
    <definedName name="tlOutput_Cht_Path1_MTDiscLabel">Charts!$G$9</definedName>
    <definedName name="tlOutput_Cht_Path1_SRPDiscLabel">Charts!$F$9</definedName>
    <definedName name="tlOutput_Cht_Path1_Y1_M2SInv">Charts!$E$10</definedName>
    <definedName name="tlOutput_Cht_Path1_Y1_MTDisc">Charts!$G$10</definedName>
    <definedName name="tlOutput_Cht_Path1_Y1_SRPDisc">Charts!$F$10</definedName>
    <definedName name="tlOutput_Cht_Path1_Y1Label">Charts!$D$10</definedName>
    <definedName name="tlOutput_Cht_Path1_Y2_M2SInv">Charts!$E$11</definedName>
    <definedName name="tlOutput_Cht_Path1_Y2_MTDisc">Charts!$G$11</definedName>
    <definedName name="tlOutput_Cht_Path1_Y2_SRPDisc">Charts!$F$11</definedName>
    <definedName name="tlOutput_Cht_Path1_Y2Label">Charts!$D$11</definedName>
    <definedName name="tlOutput_Cht_Path1_Y3_M2SInv">Charts!$E$12</definedName>
    <definedName name="tlOutput_Cht_Path1_Y3_MTDisc">Charts!$G$12</definedName>
    <definedName name="tlOutput_Cht_Path1_Y3_SRPDisc">Charts!$F$12</definedName>
    <definedName name="tlOutput_Cht_Path1_Y3Label">Charts!$D$12</definedName>
    <definedName name="tlOutput_Cht_Path1MTCost_AllYears">Charts!$H$78</definedName>
    <definedName name="tlOutput_Cht_Path1MTCost_Yr1">Charts!$E$78</definedName>
    <definedName name="tlOutput_Cht_Path1MTCost_Yr2">Charts!$F$78</definedName>
    <definedName name="tlOutput_Cht_Path1MTCost_Yr3">Charts!$G$78</definedName>
    <definedName name="tlOutput_Cht_Path1SubSRP">Charts!$G$79</definedName>
    <definedName name="tlOutput_Cht_Path1SubSRP1">Charts!$E$79</definedName>
    <definedName name="tlOutput_Cht_Path1SubSRP2">Charts!$F$79</definedName>
    <definedName name="tlOutput_Cht_Path1SubSRP3">Charts!$G$79</definedName>
    <definedName name="tlOutput_Cht_Path1SubSRP3Yr">Charts!$H$79</definedName>
    <definedName name="tlOutput_Cht_Path1Yr1_CostTotal">Charts!$H$75</definedName>
    <definedName name="tlOutput_Cht_Path1Yr1_CostYr1">Charts!$E$75</definedName>
    <definedName name="tlOutput_Cht_Path1Yr1_CostYr2">Charts!$F$75</definedName>
    <definedName name="tlOutput_Cht_Path1Yr1_CostYr3">Charts!$G$75</definedName>
    <definedName name="tlOutput_Cht_Path1Yr2_CostTotal">Charts!$H$76</definedName>
    <definedName name="tlOutput_Cht_Path1Yr2_CostYr1">Charts!$E$76</definedName>
    <definedName name="tlOutput_Cht_Path1Yr2_CostYr2">Charts!$F$76</definedName>
    <definedName name="tlOutput_Cht_Path1Yr2_CostYr3">Charts!$G$76</definedName>
    <definedName name="tlOutput_Cht_Path1Yr3_CostTotal">Charts!$H$77</definedName>
    <definedName name="tlOutput_Cht_Path1Yr3_CostYr1">Charts!$E$77</definedName>
    <definedName name="tlOutput_Cht_Path1Yr3_CostYr2">Charts!$F$77</definedName>
    <definedName name="tlOutput_Cht_Path1Yr3_CostYr3">Charts!$G$77</definedName>
    <definedName name="tlOutput_Cht_Path2_HorizLbl1">Charts!$E$83</definedName>
    <definedName name="tlOutput_Cht_Path2_HorizLbl2">Charts!$F$83</definedName>
    <definedName name="tlOutput_Cht_Path2_HorizLbl3">Charts!$G$83</definedName>
    <definedName name="tlOutput_Cht_Path2_HorizLbl4">Charts!$H$83</definedName>
    <definedName name="tlOutput_Cht_Path2_M2SLabel">Charts!$E$16</definedName>
    <definedName name="tlOutput_Cht_Path2_MTDiscLabel">Charts!$G$16</definedName>
    <definedName name="tlOutput_Cht_Path2_SRPDiscLabel">Charts!$F$16</definedName>
    <definedName name="tlOutput_Cht_Path2_Y1_M2SInv">Charts!$E$17</definedName>
    <definedName name="tlOutput_Cht_Path2_Y1_MTDisc">Charts!$G$17</definedName>
    <definedName name="tlOutput_Cht_Path2_Y1_SRPDisc">Charts!$F$17</definedName>
    <definedName name="tlOutput_Cht_Path2_Y1Label">Charts!$D$17</definedName>
    <definedName name="tlOutput_Cht_Path2_Y2_M2SInv">Charts!$E$18</definedName>
    <definedName name="tlOutput_Cht_Path2_Y2_MTDisc">Charts!$G$18</definedName>
    <definedName name="tlOutput_Cht_Path2_Y2_SRPDisc">Charts!$F$18</definedName>
    <definedName name="tlOutput_Cht_Path2_Y2Label">Charts!$D$18</definedName>
    <definedName name="tlOutput_Cht_Path2_Y3_M2SInv">Charts!$E$19</definedName>
    <definedName name="tlOutput_Cht_Path2_Y3_MTDisc">Charts!$G$19</definedName>
    <definedName name="tlOutput_Cht_Path2_Y3_SRPDisc">Charts!$F$19</definedName>
    <definedName name="tlOutput_Cht_Path2_Y3Label">Charts!$D$19</definedName>
    <definedName name="tlOutput_Cht_Path2MTCost_AllYears">Charts!$H$87</definedName>
    <definedName name="tlOutput_Cht_Path2MTCost_Yr1">Charts!$E$87</definedName>
    <definedName name="tlOutput_Cht_Path2MTCost_Yr2">Charts!$F$87</definedName>
    <definedName name="tlOutput_Cht_Path2MTCost_Yr3">Charts!$G$87</definedName>
    <definedName name="tlOutput_Cht_Path2SubSRP">Charts!$G$88</definedName>
    <definedName name="tlOutput_Cht_Path2SubSRP1">Charts!$E$88</definedName>
    <definedName name="tlOutput_Cht_Path2SubSRP2">Charts!$F$88</definedName>
    <definedName name="tlOutput_Cht_Path2SubSRP3">Charts!$G$88</definedName>
    <definedName name="tlOutput_Cht_Path2SubSRP3Yr">Charts!$H$88</definedName>
    <definedName name="tlOutput_Cht_Path2Yr1_CostTotal">Charts!$H$84</definedName>
    <definedName name="tlOutput_Cht_Path2Yr1_CostYr1">Charts!$E$84</definedName>
    <definedName name="tlOutput_Cht_Path2Yr1_CostYr2">Charts!$F$84</definedName>
    <definedName name="tlOutput_Cht_Path2Yr1_CostYr3">Charts!$G$84</definedName>
    <definedName name="tlOutput_Cht_Path2Yr2_CostTotal">Charts!$H$85</definedName>
    <definedName name="tlOutput_Cht_Path2Yr2_CostYr1">Charts!$E$85</definedName>
    <definedName name="tlOutput_Cht_Path2Yr2_CostYr2">Charts!$F$85</definedName>
    <definedName name="tlOutput_Cht_Path2Yr2_CostYr3">Charts!$G$85</definedName>
    <definedName name="tlOutput_Cht_Path2Yr3_CostTotal">Charts!$H$86</definedName>
    <definedName name="tlOutput_Cht_Path2Yr3_CostYr1">Charts!$E$86</definedName>
    <definedName name="tlOutput_Cht_Path2Yr3_CostYr2">Charts!$F$86</definedName>
    <definedName name="tlOutput_Cht_Path2Yr3_CostYr3">Charts!$G$86</definedName>
    <definedName name="tlOutput_Cht_Path3_HorizLbl1">Charts!$E$92</definedName>
    <definedName name="tlOutput_Cht_Path3_HorizLbl2">Charts!$F$92</definedName>
    <definedName name="tlOutput_Cht_Path3_HorizLbl3">Charts!$G$92</definedName>
    <definedName name="tlOutput_Cht_Path3_HorizLbl4">Charts!$H$92</definedName>
    <definedName name="tlOutput_Cht_Path3_M2SLabel">Charts!$E$23</definedName>
    <definedName name="tlOutput_Cht_Path3_MTDiscLabel">Charts!$G$23</definedName>
    <definedName name="tlOutput_Cht_Path3_SRPDiscLabel">Charts!$F$23</definedName>
    <definedName name="tlOutput_Cht_Path3_Y1_M2SInv">Charts!$E$24</definedName>
    <definedName name="tlOutput_Cht_Path3_Y1_MTDisc">Charts!$G$24</definedName>
    <definedName name="tlOutput_Cht_Path3_Y1_SRPDisc">Charts!$F$24</definedName>
    <definedName name="tlOutput_Cht_Path3_Y1Label">Charts!$D$24</definedName>
    <definedName name="tlOutput_Cht_Path3_Y2_M2SInv">Charts!$E$25</definedName>
    <definedName name="tlOutput_Cht_Path3_Y2_MTDisc">Charts!$G$25</definedName>
    <definedName name="tlOutput_Cht_Path3_Y2_SRPDisc">Charts!$F$25</definedName>
    <definedName name="tlOutput_Cht_Path3_Y2Label">Charts!$D$25</definedName>
    <definedName name="tlOutput_Cht_Path3_Y3_M2SInv">Charts!$E$26</definedName>
    <definedName name="tlOutput_Cht_Path3_Y3_MTDisc">Charts!$G$26</definedName>
    <definedName name="tlOutput_Cht_Path3_Y3_SRPDisc">Charts!$F$26</definedName>
    <definedName name="tlOutput_Cht_Path3_Y3Label">Charts!$D$26</definedName>
    <definedName name="tlOutput_Cht_Path3MTCost_AllYears">Charts!$H$96</definedName>
    <definedName name="tlOutput_Cht_Path3MTCost_Yr1">Charts!$E$96</definedName>
    <definedName name="tlOutput_Cht_Path3MTCost_Yr2">Charts!$F$96</definedName>
    <definedName name="tlOutput_Cht_Path3MTCost_Yr3">Charts!$G$96</definedName>
    <definedName name="tlOutput_Cht_Path3SubSRP1">Charts!$E$97</definedName>
    <definedName name="tlOutput_Cht_Path3SubSRP2">Charts!$F$97</definedName>
    <definedName name="tlOutput_Cht_Path3SubSRP3">Charts!$G$97</definedName>
    <definedName name="tlOutput_Cht_Path3SubSRP3Yr">Charts!$H$97</definedName>
    <definedName name="tlOutput_Cht_Path3Yr1_CostTotal">Charts!$H$93</definedName>
    <definedName name="tlOutput_Cht_Path3Yr1_CostYr1">Charts!$E$93</definedName>
    <definedName name="tlOutput_Cht_Path3Yr1_CostYr2">Charts!$F$93</definedName>
    <definedName name="tlOutput_Cht_Path3Yr1_CostYr3">Charts!$G$93</definedName>
    <definedName name="tlOutput_Cht_Path3Yr2_CostTotal">Charts!$H$94</definedName>
    <definedName name="tlOutput_Cht_Path3Yr2_CostYr1">Charts!$E$94</definedName>
    <definedName name="tlOutput_Cht_Path3Yr2_CostYr2">Charts!$F$94</definedName>
    <definedName name="tlOutput_Cht_Path3Yr2_CostYr3">Charts!$G$94</definedName>
    <definedName name="tlOutput_Cht_Path3Yr3_CostTotal">Charts!$H$95</definedName>
    <definedName name="tlOutput_Cht_Path3Yr3_CostYr1">Charts!$E$95</definedName>
    <definedName name="tlOutput_Cht_Path3Yr3_CostYr2">Charts!$F$95</definedName>
    <definedName name="tlOutput_Cht_Path3Yr3_CostYr3">Charts!$G$95</definedName>
    <definedName name="tlOutput_Cht_Path4_HorizLbl1">Charts!$E$101</definedName>
    <definedName name="tlOutput_Cht_Path4_HorizLbl2">Charts!$F$101</definedName>
    <definedName name="tlOutput_Cht_Path4_HorizLbl3">Charts!$G$101</definedName>
    <definedName name="tlOutput_Cht_Path4_HorizLbl4">Charts!$H$101</definedName>
    <definedName name="tlOutput_Cht_Path4_M2SLabel">Charts!$E$30</definedName>
    <definedName name="tlOutput_Cht_Path4_MTDiscLabel">Charts!$G$30</definedName>
    <definedName name="tlOutput_Cht_Path4_SRPDiscLabel">Charts!$F$30</definedName>
    <definedName name="tlOutput_Cht_Path4_Y1_M2SInv">Charts!$E$31</definedName>
    <definedName name="tlOutput_Cht_Path4_Y1_MTDisc">Charts!$G$31</definedName>
    <definedName name="tlOutput_Cht_Path4_Y1_SRPDisc">Charts!$F$31</definedName>
    <definedName name="tlOutput_Cht_Path4_Y1Label">Charts!$D$31</definedName>
    <definedName name="tlOutput_Cht_Path4_Y2_M2SInv">Charts!$E$32</definedName>
    <definedName name="tlOutput_Cht_Path4_Y2_MTDisc">Charts!$G$32</definedName>
    <definedName name="tlOutput_Cht_Path4_Y2_SRPDisc">Charts!$F$32</definedName>
    <definedName name="tlOutput_Cht_Path4_Y2Label">Charts!$D$32</definedName>
    <definedName name="tlOutput_Cht_Path4_Y3_M2SInv">Charts!$E$33</definedName>
    <definedName name="tlOutput_Cht_Path4_Y3_MTDisc">Charts!$G$33</definedName>
    <definedName name="tlOutput_Cht_Path4_Y3_SRPDisc">Charts!$F$33</definedName>
    <definedName name="tlOutput_Cht_Path4_Y3Label">Charts!$D$33</definedName>
    <definedName name="tlOutput_Cht_Path4MTCost_AllYears">Charts!$H$105</definedName>
    <definedName name="tlOutput_Cht_Path4MTCost_Yr1">Charts!$E$105</definedName>
    <definedName name="tlOutput_Cht_Path4MTCost_Yr2">Charts!$F$105</definedName>
    <definedName name="tlOutput_Cht_Path4MTCost_Yr3">Charts!$G$105</definedName>
    <definedName name="tlOutput_Cht_Path4SubSRP1">Charts!$E$106</definedName>
    <definedName name="tlOutput_Cht_Path4SubSRP2">Charts!$F$106</definedName>
    <definedName name="tlOutput_Cht_Path4SubSRP3">Charts!$G$106</definedName>
    <definedName name="tlOutput_Cht_Path4SubSRP3Yr">Charts!$H$106</definedName>
    <definedName name="tlOutput_Cht_Path4Yr1_CostTotal">Charts!$H$102</definedName>
    <definedName name="tlOutput_Cht_Path4Yr1_CostYr1">Charts!$E$102</definedName>
    <definedName name="tlOutput_Cht_Path4Yr1_CostYr2">Charts!$F$102</definedName>
    <definedName name="tlOutput_Cht_Path4Yr1_CostYr3">Charts!$G$102</definedName>
    <definedName name="tlOutput_Cht_Path4Yr2_CostTotal">Charts!$H$103</definedName>
    <definedName name="tlOutput_Cht_Path4Yr2_CostYr1">Charts!$E$103</definedName>
    <definedName name="tlOutput_Cht_Path4Yr2_CostYr2">Charts!$F$103</definedName>
    <definedName name="tlOutput_Cht_Path4Yr2_CostYr3">Charts!$G$103</definedName>
    <definedName name="tlOutput_Cht_Path4Yr3_CostTotal">Charts!$H$104</definedName>
    <definedName name="tlOutput_Cht_Path4Yr3_CostYr1">Charts!$E$104</definedName>
    <definedName name="tlOutput_Cht_Path4Yr3_CostYr2">Charts!$F$104</definedName>
    <definedName name="tlOutput_Cht_Path4Yr3_CostYr3">Charts!$G$104</definedName>
    <definedName name="tlOutput_Cht_Path5_HorizLbl1">Charts!$E$110</definedName>
    <definedName name="tlOutput_Cht_Path5_HorizLbl2">Charts!$F$110</definedName>
    <definedName name="tlOutput_Cht_Path5_HorizLbl3">Charts!$G$110</definedName>
    <definedName name="tlOutput_Cht_Path5_HorizLbl4">Charts!$H$110</definedName>
    <definedName name="tlOutput_Cht_Path5_M2SLabel">Charts!$E$37</definedName>
    <definedName name="tlOutput_Cht_Path5_MTDiscLabel">Charts!$G$37</definedName>
    <definedName name="tlOutput_Cht_Path5_SRPDiscLabel">Charts!$F$37</definedName>
    <definedName name="tlOutput_Cht_Path5_Y1_M2SInv">Charts!$E$38</definedName>
    <definedName name="tlOutput_Cht_Path5_Y1_MTDisc">Charts!$G$38</definedName>
    <definedName name="tlOutput_Cht_Path5_Y1_SRPDisc">Charts!$F$38</definedName>
    <definedName name="tlOutput_Cht_Path5_Y1Label">Charts!$D$38</definedName>
    <definedName name="tlOutput_Cht_Path5_Y2_M2SInv">Charts!$E$39</definedName>
    <definedName name="tlOutput_Cht_Path5_Y2_MTDisc">Charts!$G$39</definedName>
    <definedName name="tlOutput_Cht_Path5_Y2_SRPDisc">Charts!$F$39</definedName>
    <definedName name="tlOutput_Cht_Path5_Y2Label">Charts!$D$39</definedName>
    <definedName name="tlOutput_Cht_Path5_Y3_M2SInv">Charts!$E$40</definedName>
    <definedName name="tlOutput_Cht_Path5_Y3_MTDisc">Charts!$G$40</definedName>
    <definedName name="tlOutput_Cht_Path5_Y3_SRPDisc">Charts!$F$40</definedName>
    <definedName name="tlOutput_Cht_Path5_Y3Label">Charts!$D$40</definedName>
    <definedName name="tlOutput_Cht_Path5MTCost_AllYears">Charts!$H$114</definedName>
    <definedName name="tlOutput_Cht_Path5MTCost_Yr1">Charts!$E$114</definedName>
    <definedName name="tlOutput_Cht_Path5MTCost_Yr2">Charts!$F$114</definedName>
    <definedName name="tlOutput_Cht_Path5MTCost_Yr3">Charts!$G$114</definedName>
    <definedName name="tlOutput_Cht_Path5SubSRP1">Charts!$E$115</definedName>
    <definedName name="tlOutput_Cht_Path5SubSRP2">Charts!$F$115</definedName>
    <definedName name="tlOutput_Cht_Path5SubSRP3">Charts!$G$115</definedName>
    <definedName name="tlOutput_Cht_Path5SubSRP3Yr">Charts!$H$115</definedName>
    <definedName name="tlOutput_Cht_Path5Yr1_CostTotal">Charts!$H$111</definedName>
    <definedName name="tlOutput_Cht_Path5Yr1_CostYr1">Charts!$E$111</definedName>
    <definedName name="tlOutput_Cht_Path5Yr1_CostYr2">Charts!$F$111</definedName>
    <definedName name="tlOutput_Cht_Path5Yr1_CostYr3">Charts!$G$111</definedName>
    <definedName name="tlOutput_Cht_Path5Yr2_CostTotal">Charts!$H$112</definedName>
    <definedName name="tlOutput_Cht_Path5Yr2_CostYr1">Charts!$E$112</definedName>
    <definedName name="tlOutput_Cht_Path5Yr2_CostYr2">Charts!$F$112</definedName>
    <definedName name="tlOutput_Cht_Path5Yr2_CostYr3">Charts!$G$112</definedName>
    <definedName name="tlOutput_Cht_Path5Yr3_CostTotal">Charts!$H$113</definedName>
    <definedName name="tlOutput_Cht_Path5Yr3_CostYr1">Charts!$E$113</definedName>
    <definedName name="tlOutput_Cht_Path5Yr3_CostYr2">Charts!$F$113</definedName>
    <definedName name="tlOutput_Cht_Path5Yr3_CostYr3">Charts!$G$113</definedName>
    <definedName name="tlOutput_Cht_Path6_HorizLbl1">Charts!$E$119</definedName>
    <definedName name="tlOutput_Cht_Path6_HorizLbl2">Charts!$F$119</definedName>
    <definedName name="tlOutput_Cht_Path6_HorizLbl3">Charts!$G$119</definedName>
    <definedName name="tlOutput_Cht_Path6_HorizLbl4">Charts!$H$119</definedName>
    <definedName name="tlOutput_Cht_Path6_M2SLabel">Charts!$E$44</definedName>
    <definedName name="tlOutput_Cht_Path6_MTDiscLabel">Charts!$G$44</definedName>
    <definedName name="tlOutput_Cht_Path6_SRPDiscLabel">Charts!$F$44</definedName>
    <definedName name="tlOutput_Cht_Path6_Y1_M2SInv">Charts!$E$45</definedName>
    <definedName name="tlOutput_Cht_Path6_Y1_MTDisc">Charts!$G$45</definedName>
    <definedName name="tlOutput_Cht_Path6_Y1_SRPDisc">Charts!$F$45</definedName>
    <definedName name="tlOutput_Cht_Path6_Y1Label">Charts!$D$45</definedName>
    <definedName name="tlOutput_Cht_Path6_Y2_M2SInv">Charts!$E$46</definedName>
    <definedName name="tlOutput_Cht_Path6_Y2_MTDisc">Charts!$G$46</definedName>
    <definedName name="tlOutput_Cht_Path6_Y2_SRPDisc">Charts!$F$46</definedName>
    <definedName name="tlOutput_Cht_Path6_Y2Label">Charts!$D$46</definedName>
    <definedName name="tlOutput_Cht_Path6_Y3_M2SInv">Charts!$E$47</definedName>
    <definedName name="tlOutput_Cht_Path6_Y3_MTDisc">Charts!$G$47</definedName>
    <definedName name="tlOutput_Cht_Path6_Y3_SRPDisc">Charts!$F$47</definedName>
    <definedName name="tlOutput_Cht_Path6_Y3Label">Charts!$D$47</definedName>
    <definedName name="tlOutput_Cht_Path6MTCost_AllYears">Charts!$H$123</definedName>
    <definedName name="tlOutput_Cht_Path6MTCost_Yr1">Charts!$E$123</definedName>
    <definedName name="tlOutput_Cht_Path6MTCost_Yr2">Charts!$F$123</definedName>
    <definedName name="tlOutput_Cht_Path6MTCost_Yr3">Charts!$G$123</definedName>
    <definedName name="tlOutput_Cht_Path6SubSRP1">Charts!$E$124</definedName>
    <definedName name="tlOutput_Cht_Path6SubSRP2">Charts!$F$124</definedName>
    <definedName name="tlOutput_Cht_Path6SubSRP3">Charts!$G$124</definedName>
    <definedName name="tlOutput_Cht_Path6SubSRP3Yr">Charts!$H$124</definedName>
    <definedName name="tlOutput_Cht_Path6Yr1_CostTotal">Charts!$H$120</definedName>
    <definedName name="tlOutput_Cht_Path6Yr1_CostYr1">Charts!$E$120</definedName>
    <definedName name="tlOutput_Cht_Path6Yr1_CostYr2">Charts!$F$120</definedName>
    <definedName name="tlOutput_Cht_Path6Yr1_CostYr3">Charts!$G$120</definedName>
    <definedName name="tlOutput_Cht_Path6Yr2_CostTotal">Charts!$H$121</definedName>
    <definedName name="tlOutput_Cht_Path6Yr2_CostYr1">Charts!$E$121</definedName>
    <definedName name="tlOutput_Cht_Path6Yr2_CostYr2">Charts!$F$121</definedName>
    <definedName name="tlOutput_Cht_Path6Yr2_CostYr3">Charts!$G$121</definedName>
    <definedName name="tlOutput_Cht_Path6Yr3_CostTotal">Charts!$H$122</definedName>
    <definedName name="tlOutput_Cht_Path6Yr3_CostYr1">Charts!$E$122</definedName>
    <definedName name="tlOutput_Cht_Path6Yr3_CostYr2">Charts!$F$122</definedName>
    <definedName name="tlOutput_Cht_Path6Yr3_CostYr3">Charts!$G$122</definedName>
    <definedName name="tlOutput_Cht_Path7_HorizLbl1">Charts!$E$128</definedName>
    <definedName name="tlOutput_Cht_Path7_HorizLbl2">Charts!$F$128</definedName>
    <definedName name="tlOutput_Cht_Path7_HorizLbl3">Charts!$G$128</definedName>
    <definedName name="tlOutput_Cht_Path7_HorizLbl4">Charts!$H$128</definedName>
    <definedName name="tlOutput_Cht_Path7_M2SLabel">Charts!$E$51</definedName>
    <definedName name="tlOutput_Cht_Path7_MTDiscLabel">Charts!$G$51</definedName>
    <definedName name="tlOutput_Cht_Path7_SRPDiscLabel">Charts!$F$51</definedName>
    <definedName name="tlOutput_Cht_Path7_Y1_M2SInv">Charts!$E$52</definedName>
    <definedName name="tlOutput_Cht_Path7_Y1_MTDisc">Charts!$G$52</definedName>
    <definedName name="tlOutput_Cht_Path7_Y1_SRPDisc">Charts!$F$52</definedName>
    <definedName name="tlOutput_Cht_Path7_Y1Label">Charts!$D$52</definedName>
    <definedName name="tlOutput_Cht_Path7_Y2_M2SInv">Charts!$E$53</definedName>
    <definedName name="tlOutput_Cht_Path7_Y2_MTDisc">Charts!$G$53</definedName>
    <definedName name="tlOutput_Cht_Path7_Y2_SRPDisc">Charts!$F$53</definedName>
    <definedName name="tlOutput_Cht_Path7_Y2Label">Charts!$D$53</definedName>
    <definedName name="tlOutput_Cht_Path7_Y3_M2SInv">Charts!$E$54</definedName>
    <definedName name="tlOutput_Cht_Path7_Y3_MTDisc">Charts!$G$54</definedName>
    <definedName name="tlOutput_Cht_Path7_Y3_SRPDisc">Charts!$F$54</definedName>
    <definedName name="tlOutput_Cht_Path7_Y3Label">Charts!$D$54</definedName>
    <definedName name="tlOutput_Cht_Path7MTCost_AllYears">Charts!$H$132</definedName>
    <definedName name="tlOutput_Cht_Path7MTCost_Yr1">Charts!$E$132</definedName>
    <definedName name="tlOutput_Cht_Path7MTCost_Yr2">Charts!$F$132</definedName>
    <definedName name="tlOutput_Cht_Path7MTCost_Yr3">Charts!$G$132</definedName>
    <definedName name="tlOutput_Cht_Path7SubSRP1">Charts!$E$133</definedName>
    <definedName name="tlOutput_Cht_Path7SubSRP2">Charts!$F$133</definedName>
    <definedName name="tlOutput_Cht_Path7SubSRP3">Charts!$G$133</definedName>
    <definedName name="tlOutput_Cht_Path7SubSRP3Yr">Charts!$H$133</definedName>
    <definedName name="tlOutput_Cht_Path7Yr1_CostTotal">Charts!$H$129</definedName>
    <definedName name="tlOutput_Cht_Path7Yr1_CostYr1">Charts!$E$129</definedName>
    <definedName name="tlOutput_Cht_Path7Yr1_CostYr2">Charts!$F$129</definedName>
    <definedName name="tlOutput_Cht_Path7Yr1_CostYr3">Charts!$G$129</definedName>
    <definedName name="tlOutput_Cht_Path7Yr2_CostTotal">Charts!$H$130</definedName>
    <definedName name="tlOutput_Cht_Path7Yr2_CostYr1">Charts!$E$130</definedName>
    <definedName name="tlOutput_Cht_Path7Yr2_CostYr2">Charts!$F$130</definedName>
    <definedName name="tlOutput_Cht_Path7Yr2_CostYr3">Charts!$G$130</definedName>
    <definedName name="tlOutput_Cht_Path7Yr3_CostTotal">Charts!$H$131</definedName>
    <definedName name="tlOutput_Cht_Path7Yr3_CostYr1">Charts!$E$131</definedName>
    <definedName name="tlOutput_Cht_Path7Yr3_CostYr2">Charts!$F$131</definedName>
    <definedName name="tlOutput_Cht_Path7Yr3_CostYr3">Charts!$G$131</definedName>
    <definedName name="tlOutput_Cht_Path8_HorizLbl1">Charts!$E$137</definedName>
    <definedName name="tlOutput_Cht_Path8_HorizLbl2">Charts!$F$137</definedName>
    <definedName name="tlOutput_Cht_Path8_HorizLbl3">Charts!$G$137</definedName>
    <definedName name="tlOutput_Cht_Path8_HorizLbl4">Charts!$H$137</definedName>
    <definedName name="tlOutput_Cht_Path8_M2SLabel">Charts!$E$58</definedName>
    <definedName name="tlOutput_Cht_Path8_MTDiscLabel">Charts!$G$58</definedName>
    <definedName name="tlOutput_Cht_Path8_SRPDiscLabel">Charts!$F$58</definedName>
    <definedName name="tlOutput_Cht_Path8_Y1_M2SInv">Charts!$E$59</definedName>
    <definedName name="tlOutput_Cht_Path8_Y1_MTDisc">Charts!$G$59</definedName>
    <definedName name="tlOutput_Cht_Path8_Y1_SRPDisc">Charts!$F$59</definedName>
    <definedName name="tlOutput_Cht_Path8_Y1Label">Charts!$D$59</definedName>
    <definedName name="tlOutput_Cht_Path8_Y2_M2SInv">Charts!$E$60</definedName>
    <definedName name="tlOutput_Cht_Path8_Y2_MTDisc">Charts!$G$60</definedName>
    <definedName name="tlOutput_Cht_Path8_Y2_SRPDisc">Charts!$F$60</definedName>
    <definedName name="tlOutput_Cht_Path8_Y2Label">Charts!$D$60</definedName>
    <definedName name="tlOutput_Cht_Path8_Y3_M2SInv">Charts!$E$61</definedName>
    <definedName name="tlOutput_Cht_Path8_Y3_MTDisc">Charts!$G$61</definedName>
    <definedName name="tlOutput_Cht_Path8_Y3_SRPDisc">Charts!$F$61</definedName>
    <definedName name="tlOutput_Cht_Path8_Y3Label">Charts!$D$61</definedName>
    <definedName name="tlOutput_Cht_Path8MTCost_AllYears">Charts!$H$141</definedName>
    <definedName name="tlOutput_Cht_Path8MTCost_Yr1">Charts!$E$141</definedName>
    <definedName name="tlOutput_Cht_Path8MTCost_Yr2">Charts!$F$141</definedName>
    <definedName name="tlOutput_Cht_Path8MTCost_Yr3">Charts!$G$141</definedName>
    <definedName name="tlOutput_Cht_Path8SubSRP1">Charts!$E$142</definedName>
    <definedName name="tlOutput_Cht_Path8SubSRP2">Charts!$F$142</definedName>
    <definedName name="tlOutput_Cht_Path8SubSRP3">Charts!$G$142</definedName>
    <definedName name="tlOutput_Cht_Path8SubSRP3Yr">Charts!$H$142</definedName>
    <definedName name="tlOutput_Cht_Path8Yr1_CostTotal">Charts!$H$138</definedName>
    <definedName name="tlOutput_Cht_Path8Yr1_CostYr1">Charts!$E$138</definedName>
    <definedName name="tlOutput_Cht_Path8Yr1_CostYr2">Charts!$F$138</definedName>
    <definedName name="tlOutput_Cht_Path8Yr1_CostYr3">Charts!$G$138</definedName>
    <definedName name="tlOutput_Cht_Path8Yr2_CostTotal">Charts!$H$139</definedName>
    <definedName name="tlOutput_Cht_Path8Yr2_CostYr1">Charts!$E$139</definedName>
    <definedName name="tlOutput_Cht_Path8Yr2_CostYr2">Charts!$F$139</definedName>
    <definedName name="tlOutput_Cht_Path8Yr2_CostYr3">Charts!$G$139</definedName>
    <definedName name="tlOutput_Cht_Path8Yr3_CostTotal">Charts!$H$140</definedName>
    <definedName name="tlOutput_Cht_Path8Yr3_CostYr1">Charts!$E$140</definedName>
    <definedName name="tlOutput_Cht_Path8Yr3_CostYr2">Charts!$F$140</definedName>
    <definedName name="tlOutput_Cht_Path8Yr3_CostYr3">Charts!$G$140</definedName>
    <definedName name="tlOutput_Cht_Total_HorizLbl1">Charts!$E$146</definedName>
    <definedName name="tlOutput_Cht_Total_HorizLbl2">Charts!$F$146</definedName>
    <definedName name="tlOutput_Cht_Total_HorizLbl3">Charts!$G$146</definedName>
    <definedName name="tlOutput_Cht_Total_HorizLbl4">Charts!$H$146</definedName>
    <definedName name="tlOutput_Cht_Total_M2SLabel">Charts!$E$65</definedName>
    <definedName name="tlOutput_Cht_Total_MTDiscLabel">Charts!$G$65</definedName>
    <definedName name="tlOutput_Cht_Total_SRPDiscLabel">Charts!$F$65</definedName>
    <definedName name="tlOutput_Cht_Total_Y1_M2SInv">Charts!$E$66</definedName>
    <definedName name="tlOutput_Cht_Total_Y1_MTDisc">Charts!$G$66</definedName>
    <definedName name="tlOutput_Cht_Total_Y1_SRPDisc">Charts!$F$66</definedName>
    <definedName name="tlOutput_Cht_Total_Y1Label">Charts!$D$66</definedName>
    <definedName name="tlOutput_Cht_Total_Y2_M2SInv">Charts!$E$67</definedName>
    <definedName name="tlOutput_Cht_Total_Y2_MTDisc">Charts!$G$67</definedName>
    <definedName name="tlOutput_Cht_Total_Y2_SRPDisc">Charts!$F$67</definedName>
    <definedName name="tlOutput_Cht_Total_Y2Label">Charts!$D$67</definedName>
    <definedName name="tlOutput_Cht_Total_Y3_M2SInv">Charts!$E$68</definedName>
    <definedName name="tlOutput_Cht_Total_Y3_MTDisc">Charts!$G$68</definedName>
    <definedName name="tlOutput_Cht_Total_Y3_SRPDisc">Charts!$F$68</definedName>
    <definedName name="tlOutput_Cht_Total_Y3Label">Charts!$D$68</definedName>
    <definedName name="tlOutput_Cht_TotalMTCost_AllYears">Charts!$H$150</definedName>
    <definedName name="tlOutput_Cht_TotalMTCost_Yr1">Charts!$E$150</definedName>
    <definedName name="tlOutput_Cht_TotalMTCost_Yr2">Charts!$F$150</definedName>
    <definedName name="tlOutput_Cht_TotalMTCost_Yr3">Charts!$G$150</definedName>
    <definedName name="tlOutput_Cht_TotalSubSRP1">Charts!$E$151</definedName>
    <definedName name="tlOutput_Cht_TotalSubSRP2">Charts!$F$151</definedName>
    <definedName name="tlOutput_Cht_TotalSubSRP3">Charts!$G$151</definedName>
    <definedName name="tlOutput_Cht_TotalSubSRP3Yr">Charts!$H$151</definedName>
    <definedName name="tlOutput_Cht_TotalYr1_CostTotal">Charts!$H$147</definedName>
    <definedName name="tlOutput_Cht_TotalYr1_CostYr1">Charts!$E$147</definedName>
    <definedName name="tlOutput_Cht_TotalYr1_CostYr2">Charts!$F$147</definedName>
    <definedName name="tlOutput_Cht_TotalYr1_CostYr3">Charts!$G$147</definedName>
    <definedName name="tlOutput_Cht_TotalYr2_CostTotal">Charts!$H$148</definedName>
    <definedName name="tlOutput_Cht_TotalYr2_CostYr1">Charts!$E$148</definedName>
    <definedName name="tlOutput_Cht_TotalYr2_CostYr2">Charts!$F$148</definedName>
    <definedName name="tlOutput_Cht_TotalYr2_CostYr3">Charts!$G$148</definedName>
    <definedName name="tlOutput_Cht_TotalYr3_CostTotal">Charts!$H$149</definedName>
    <definedName name="tlOutput_Cht_TotalYr3_CostYr1">Charts!$E$149</definedName>
    <definedName name="tlOutput_Cht_TotalYr3_CostYr2">Charts!$F$149</definedName>
    <definedName name="tlOutput_Cht_TotalYr3_CostYr3">Charts!$G$149</definedName>
    <definedName name="tlOutput_ChtStck_Path1_MTLabel">Charts!$D$78</definedName>
    <definedName name="tlOutput_ChtStck_Path1_SRPLabel">Charts!$D$79</definedName>
    <definedName name="tlOutput_ChtStck_Path1_Y1Label">Charts!$D$75</definedName>
    <definedName name="tlOutput_ChtStck_Path1_Y2Label">Charts!$D$76</definedName>
    <definedName name="tlOutput_ChtStck_Path1_Y3Label">Charts!$D$77</definedName>
    <definedName name="tlOutput_ChtStck_Path2_MTLabel">Charts!$D$87</definedName>
    <definedName name="tlOutput_ChtStck_Path2_SRPLabel">Charts!$D$88</definedName>
    <definedName name="tlOutput_ChtStck_Path2_Y1Label">Charts!$D$84</definedName>
    <definedName name="tlOutput_ChtStck_Path2_Y2Label">Charts!$D$85</definedName>
    <definedName name="tlOutput_ChtStck_Path2_Y3Label">Charts!$D$86</definedName>
    <definedName name="tlOutput_ChtStck_Path3_MTLabel">Charts!$D$96</definedName>
    <definedName name="tlOutput_ChtStck_Path3_SRPLabel">Charts!$D$97</definedName>
    <definedName name="tlOutput_ChtStck_Path3_Y1Label">Charts!$D$93</definedName>
    <definedName name="tlOutput_ChtStck_Path3_Y2Label">Charts!$D$94</definedName>
    <definedName name="tlOutput_ChtStck_Path3_Y3Label">Charts!$D$95</definedName>
    <definedName name="tlOutput_ChtStck_Path4_MTLabel">Charts!$D$105</definedName>
    <definedName name="tlOutput_ChtStck_Path4_SRPLabel">Charts!$D$106</definedName>
    <definedName name="tlOutput_ChtStck_Path4_Y1Label">Charts!$D$102</definedName>
    <definedName name="tlOutput_ChtStck_Path4_Y2Label">Charts!$D$103</definedName>
    <definedName name="tlOutput_ChtStck_Path4_Y3Label">Charts!$D$104</definedName>
    <definedName name="tlOutput_ChtStck_Path5_MTLabel">Charts!$D$114</definedName>
    <definedName name="tlOutput_ChtStck_Path5_SRPLabel">Charts!$D$115</definedName>
    <definedName name="tlOutput_ChtStck_Path5_Y1Label">Charts!$D$111</definedName>
    <definedName name="tlOutput_ChtStck_Path5_Y2Label">Charts!$D$112</definedName>
    <definedName name="tlOutput_ChtStck_Path5_Y3Label">Charts!$D$113</definedName>
    <definedName name="tlOutput_ChtStck_Path6_MTLabel">Charts!$D$123</definedName>
    <definedName name="tlOutput_ChtStck_Path6_SRPLabel">Charts!$D$124</definedName>
    <definedName name="tlOutput_ChtStck_Path6_Y1Label">Charts!$D$120</definedName>
    <definedName name="tlOutput_ChtStck_Path6_Y2Label">Charts!$D$121</definedName>
    <definedName name="tlOutput_ChtStck_Path6_Y3Label">Charts!$D$122</definedName>
    <definedName name="tlOutput_ChtStck_Path7_MTLabel">Charts!$D$132</definedName>
    <definedName name="tlOutput_ChtStck_Path7_SRPLabel">Charts!$D$133</definedName>
    <definedName name="tlOutput_ChtStck_Path7_Y1Label">Charts!$D$129</definedName>
    <definedName name="tlOutput_ChtStck_Path7_Y2Label">Charts!$D$130</definedName>
    <definedName name="tlOutput_ChtStck_Path7_Y3Label">Charts!$D$131</definedName>
    <definedName name="tlOutput_ChtStck_Path8_MTLabel">Charts!$D$141</definedName>
    <definedName name="tlOutput_ChtStck_Path8_SRPLabel">Charts!$D$142</definedName>
    <definedName name="tlOutput_ChtStck_Path8_Y1Label">Charts!$D$138</definedName>
    <definedName name="tlOutput_ChtStck_Path8_Y2Label">Charts!$D$139</definedName>
    <definedName name="tlOutput_ChtStck_Path8_Y3Label">Charts!$D$140</definedName>
    <definedName name="tlOutput_ChtStck_Total_MTLabel">Charts!$D$150</definedName>
    <definedName name="tlOutput_ChtStck_Total_SRPLabel">Charts!$D$151</definedName>
    <definedName name="tlOutput_ChtStck_Total_Y1Label">Charts!$D$147</definedName>
    <definedName name="tlOutput_ChtStck_Total_Y2Label">Charts!$D$148</definedName>
    <definedName name="tlOutput_ChtStck_Total_Y3Label">Charts!$D$149</definedName>
    <definedName name="tlOutput_Lbl_Chart">tlM2S!$C$70</definedName>
    <definedName name="tlOutput_Lbl_Chart_Instr">tlM2S!$C$71</definedName>
    <definedName name="tlOutput_Lbl_Currency">tlM2S!$C$7</definedName>
    <definedName name="tlOutput_Lbl_ExpMT">tlM2S!$C$19</definedName>
    <definedName name="tlOutput_Lbl_Inputs">tlM2S!$C$11</definedName>
    <definedName name="tlOutput_Lbl_Inputs_Path1">tlM2S!$E$11</definedName>
    <definedName name="tlOutput_Lbl_Inputs_Path2">tlM2S!$G$11</definedName>
    <definedName name="tlOutput_Lbl_Inputs_Path3">tlM2S!$I$11</definedName>
    <definedName name="tlOutput_Lbl_Inputs_Path4">tlM2S!$K$11</definedName>
    <definedName name="tlOutput_Lbl_Language">tlM2S!$C$9</definedName>
    <definedName name="tlOutput_Lbl_MtExp">tlM2S!$C$30</definedName>
    <definedName name="tlOutput_Lbl_MtExp_Total">tlM2S!$C$34</definedName>
    <definedName name="tlOutput_Lbl_MtExp_Yr1">tlM2S!$C$31</definedName>
    <definedName name="tlOutput_Lbl_MtExp_Yr2">tlM2S!$C$32</definedName>
    <definedName name="tlOutput_Lbl_MtExp_Yr3">tlM2S!$C$33</definedName>
    <definedName name="tlOutput_Lbl_NewSubSRP">tlM2S!$C$36</definedName>
    <definedName name="tlOutput_Lbl_NewSubSRPInv">tlM2S!$C$38</definedName>
    <definedName name="tlOutput_Lbl_NewSubSRPInv_1Yr">tlM2S!$C$37</definedName>
    <definedName name="tlOutput_Lbl_Outputs">tlM2S!$C$26</definedName>
    <definedName name="tlOutput_Lbl_Outputs_Path1">tlM2S!$E$26</definedName>
    <definedName name="tlOutput_Lbl_Outputs_Path2">tlM2S!$G$26</definedName>
    <definedName name="tlOutput_Lbl_Outputs_Path3">tlM2S!$I$26</definedName>
    <definedName name="tlOutput_Lbl_Outputs_Path4">tlM2S!$K$26</definedName>
    <definedName name="tlOutput_Lbl_PriceMT">tlM2S!$C$17</definedName>
    <definedName name="tlOutput_Lbl_ProdMT">tlM2S!$C$13</definedName>
    <definedName name="tlOutput_Lbl_ProdSub">tlM2S!$C$21</definedName>
    <definedName name="tlOutput_Lbl_Qty">tlM2S!$C$23</definedName>
    <definedName name="tlOutput_Lbl_Yr1Header">tlM2S!$C$43</definedName>
    <definedName name="tlOutput_Lbl_Yr1Savings">tlM2S!$C$48</definedName>
    <definedName name="tlOutput_Lbl_Yr1Savings_Perc">tlM2S!$C$49</definedName>
    <definedName name="tlOutput_Lbl_Yr1Total">tlM2S!$C$47</definedName>
    <definedName name="tlOutput_Lbl_Yr1Yr1">tlM2S!$C$44</definedName>
    <definedName name="tlOutput_Lbl_Yr1Yr2">tlM2S!$C$45</definedName>
    <definedName name="tlOutput_Lbl_Yr1Yr3">tlM2S!$C$46</definedName>
    <definedName name="tlOutput_Lbl_Yr2Header">tlM2S!$C$51</definedName>
    <definedName name="tlOutput_Lbl_Yr2Savings">tlM2S!$C$56</definedName>
    <definedName name="tlOutput_Lbl_Yr2Savings_Perc">tlM2S!$C$57</definedName>
    <definedName name="tlOutput_Lbl_Yr2Total">tlM2S!$C$55</definedName>
    <definedName name="tlOutput_Lbl_Yr2Yr1">tlM2S!$C$52</definedName>
    <definedName name="tlOutput_Lbl_Yr2Yr2">tlM2S!$C$53</definedName>
    <definedName name="tlOutput_Lbl_Yr2Yr3">tlM2S!$C$54</definedName>
    <definedName name="tlOutput_Lbl_Yr3Header">tlM2S!$C$59</definedName>
    <definedName name="tlOutput_Lbl_Yr3Savings">tlM2S!$C$64</definedName>
    <definedName name="tlOutput_Lbl_Yr3Savings_Perc">tlM2S!$C$65</definedName>
    <definedName name="tlOutput_Lbl_Yr3Total">tlM2S!$C$63</definedName>
    <definedName name="tlOutput_Lbl_Yr3Yr1">tlM2S!$C$60</definedName>
    <definedName name="tlOutput_Lbl_Yr3Yr2">tlM2S!$C$61</definedName>
    <definedName name="tlOutput_Lbl_Yr3Yr3">tlM2S!$C$62</definedName>
    <definedName name="tlOutput_Lbl_Yr4">tlM2S!$C$67</definedName>
    <definedName name="tlOutput_List_Path1_ProdSub">DataPaths!$B$8:$B$20</definedName>
    <definedName name="tlOutput_List_Path2_ProdSub">DataPaths!$C$8:$C$20</definedName>
    <definedName name="tlOutput_List_Path3_ProdSub">DataPaths!$D$8:$D$20</definedName>
    <definedName name="tlOutput_List_Path4_ProdSub">DataPaths!$E$8:$E$20</definedName>
    <definedName name="tlOutput_List_Path5_ProdSub">DataPaths!$F$8:$F$20</definedName>
    <definedName name="tlOutput_List_Path6_ProdSub">DataPaths!$G$8:$G$20</definedName>
    <definedName name="tlOutput_List_Path7_ProdSub">DataPaths!$H$8:$H$20</definedName>
    <definedName name="tlOutput_List_Path8_ProdSub">DataPaths!$I$8:$I$20</definedName>
    <definedName name="tlOutput_List_ProdMT">DataPaths!$B$34:$B$144</definedName>
    <definedName name="tlOutput_Path1_ProdSub">DataPaths!$B$24</definedName>
    <definedName name="tlOutput_Path2_ProdSub">DataPaths!$C$24</definedName>
    <definedName name="tlOutput_Path3_ProdSub">DataPaths!$D$24</definedName>
    <definedName name="tlOutput_Path4_ProdSub">DataPaths!$E$24</definedName>
    <definedName name="tlOutput_Path5_ProdSub">DataPaths!$F$24</definedName>
    <definedName name="tlOutput_Path6_ProdSub">DataPaths!$G$24</definedName>
    <definedName name="tlOutput_Path7_ProdSub">DataPaths!$H$24</definedName>
    <definedName name="tlOutput_Path8_ProdSub">DataPaths!$I$24</definedName>
    <definedName name="tlOutputLanguages">Glossary!$E$23:$O$23</definedName>
    <definedName name="tlOutputListCurrency">Glossary!$D$80:$D$85</definedName>
    <definedName name="tlOutputListGlossary">Glossary!$D$67:$D$68</definedName>
    <definedName name="tlOutputPath1MTCost_AllYears">tlM2S!$E$34</definedName>
    <definedName name="tlOutputPath1MTCost_Yr1">tlM2S!$E$31</definedName>
    <definedName name="tlOutputPath1MTCost_Yr2">tlM2S!$E$32</definedName>
    <definedName name="tlOutputPath1MTCost_Yr3">tlM2S!$E$33</definedName>
    <definedName name="tlOutputPath1SubSRP">tlM2S!$E$37</definedName>
    <definedName name="tlOutputPath1SubSRP3Yr">tlM2S!$E$38</definedName>
    <definedName name="tlOutputPath1Yr1_CostTotal">tlM2S!$E$47</definedName>
    <definedName name="tlOutputPath1Yr1_CostYr1">tlM2S!$E$44</definedName>
    <definedName name="tlOutputPath1Yr1_CostYr2">tlM2S!$E$45</definedName>
    <definedName name="tlOutputPath1Yr1_CostYr3">tlM2S!$E$46</definedName>
    <definedName name="tlOutputPath1Yr1_SRPDisc">tlM2S!$E$48</definedName>
    <definedName name="tlOutputPath1Yr1_SRPDisc_Perc">tlM2S!$E$49</definedName>
    <definedName name="tlOutputPath1Yr2_CostTotal">tlM2S!$E$55</definedName>
    <definedName name="tlOutputPath1Yr2_CostYr1">tlM2S!$E$52</definedName>
    <definedName name="tlOutputPath1Yr2_CostYr2">tlM2S!$E$53</definedName>
    <definedName name="tlOutputPath1Yr2_CostYr3">tlM2S!$E$54</definedName>
    <definedName name="tlOutputPath1Yr2_SRPDisc">tlM2S!$E$56</definedName>
    <definedName name="tlOutputPath1Yr2_SRPDisc_Perc">tlM2S!$E$57</definedName>
    <definedName name="tlOutputPath1Yr3_CostTotal">tlM2S!$E$63</definedName>
    <definedName name="tlOutputPath1Yr3_CostYr1">tlM2S!$E$60</definedName>
    <definedName name="tlOutputPath1Yr3_CostYr2">tlM2S!$E$61</definedName>
    <definedName name="tlOutputPath1Yr3_CostYr3">tlM2S!$E$62</definedName>
    <definedName name="tlOutputPath1Yr3_SRPDisc">tlM2S!$E$64</definedName>
    <definedName name="tlOutputPath1Yr3_SRPDisc_Perc">tlM2S!$E$65</definedName>
    <definedName name="tlOutputPath1Yr4Cost">tlM2S!$E$67</definedName>
    <definedName name="tlOutputPath2MTCost_AllYears">tlM2S!$G$34</definedName>
    <definedName name="tlOutputPath2MTCost_Yr1">tlM2S!$G$31</definedName>
    <definedName name="tlOutputPath2MTCost_Yr2">tlM2S!$G$32</definedName>
    <definedName name="tlOutputPath2MTCost_Yr3">tlM2S!$G$33</definedName>
    <definedName name="tlOutputPath2SubSRP">tlM2S!$G$37</definedName>
    <definedName name="tlOutputPath2SubSRP3Yr">tlM2S!$G$38</definedName>
    <definedName name="tlOutputPath2Yr1_CostTotal">tlM2S!$G$47</definedName>
    <definedName name="tlOutputPath2Yr1_CostYr1">tlM2S!$G$44</definedName>
    <definedName name="tlOutputPath2Yr1_CostYr2">tlM2S!$G$45</definedName>
    <definedName name="tlOutputPath2Yr1_CostYr3">tlM2S!$G$46</definedName>
    <definedName name="tlOutputPath2Yr1_SRPDisc">tlM2S!$G$48</definedName>
    <definedName name="tlOutputPath2Yr1_SRPDisc_Perc">tlM2S!$G$49</definedName>
    <definedName name="tlOutputPath2Yr2_CostTotal">tlM2S!$G$55</definedName>
    <definedName name="tlOutputPath2Yr2_CostYr1">tlM2S!$G$52</definedName>
    <definedName name="tlOutputPath2Yr2_CostYr2">tlM2S!$G$53</definedName>
    <definedName name="tlOutputPath2Yr2_CostYr3">tlM2S!$G$54</definedName>
    <definedName name="tlOutputPath2Yr2_SRPDisc">tlM2S!$G$56</definedName>
    <definedName name="tlOutputPath2Yr2_SRPDisc_Perc">tlM2S!$G$57</definedName>
    <definedName name="tlOutputPath2Yr3_CostTotal">tlM2S!$G$63</definedName>
    <definedName name="tlOutputPath2Yr3_CostYr1">tlM2S!$G$60</definedName>
    <definedName name="tlOutputPath2Yr3_CostYr2">tlM2S!$G$61</definedName>
    <definedName name="tlOutputPath2Yr3_CostYr3">tlM2S!$G$62</definedName>
    <definedName name="tlOutputPath2Yr3_SRPDisc">tlM2S!$G$64</definedName>
    <definedName name="tlOutputPath2Yr3_SRPDisc_Perc">tlM2S!$G$65</definedName>
    <definedName name="tlOutputPath2Yr4Cost">tlM2S!$G$67</definedName>
    <definedName name="tlOutputPath3MTCost_AllYears">tlM2S!$I$34</definedName>
    <definedName name="tlOutputPath3MTCost_Yr1">tlM2S!$I$31</definedName>
    <definedName name="tlOutputPath3MTCost_Yr2">tlM2S!$I$32</definedName>
    <definedName name="tlOutputPath3MTCost_Yr3">tlM2S!$I$33</definedName>
    <definedName name="tlOutputPath3SubSRP">tlM2S!$I$37</definedName>
    <definedName name="tlOutputPath3SubSRP3Yr">tlM2S!$I$38</definedName>
    <definedName name="tlOutputPath3Yr1_CostTotal">tlM2S!$I$47</definedName>
    <definedName name="tlOutputPath3Yr1_CostYr1">tlM2S!$I$44</definedName>
    <definedName name="tlOutputPath3Yr1_CostYr2">tlM2S!$I$45</definedName>
    <definedName name="tlOutputPath3Yr1_CostYr3">tlM2S!$I$46</definedName>
    <definedName name="tlOutputPath3Yr1_SRPDisc">tlM2S!$I$48</definedName>
    <definedName name="tlOutputPath3Yr1_SRPDisc_Perc">tlM2S!$I$49</definedName>
    <definedName name="tlOutputPath3Yr2_CostTotal">tlM2S!$I$55</definedName>
    <definedName name="tlOutputPath3Yr2_CostYr1">tlM2S!$I$52</definedName>
    <definedName name="tlOutputPath3Yr2_CostYr2">tlM2S!$I$53</definedName>
    <definedName name="tlOutputPath3Yr2_CostYr3">tlM2S!$I$54</definedName>
    <definedName name="tlOutputPath3Yr2_SRPDisc">tlM2S!$I$56</definedName>
    <definedName name="tlOutputPath3Yr2_SRPDisc_Perc">tlM2S!$I$57</definedName>
    <definedName name="tlOutputPath3Yr3_CostTotal">tlM2S!$I$63</definedName>
    <definedName name="tlOutputPath3Yr3_CostYr1">tlM2S!$I$60</definedName>
    <definedName name="tlOutputPath3Yr3_CostYr2">tlM2S!$I$61</definedName>
    <definedName name="tlOutputPath3Yr3_CostYr3">tlM2S!$I$62</definedName>
    <definedName name="tlOutputPath3Yr3_SRPDisc">tlM2S!$I$64</definedName>
    <definedName name="tlOutputPath3Yr3_SRPDisc_Perc">tlM2S!$I$65</definedName>
    <definedName name="tlOutputPath3Yr4Cost">tlM2S!$I$67</definedName>
    <definedName name="tlOutputPath4MTCost_AllYears">tlM2S!$K$34</definedName>
    <definedName name="tlOutputPath4MTCost_Yr1">tlM2S!$K$31</definedName>
    <definedName name="tlOutputPath4MTCost_Yr2">tlM2S!$K$32</definedName>
    <definedName name="tlOutputPath4MTCost_Yr3">tlM2S!$K$33</definedName>
    <definedName name="tlOutputPath4SubSRP">tlM2S!$K$37</definedName>
    <definedName name="tlOutputPath4SubSRP3Yr">tlM2S!$K$38</definedName>
    <definedName name="tlOutputPath4Yr1_CostTotal">tlM2S!$K$47</definedName>
    <definedName name="tlOutputPath4Yr1_CostYr1">tlM2S!$K$44</definedName>
    <definedName name="tlOutputPath4Yr1_CostYr2">tlM2S!$K$45</definedName>
    <definedName name="tlOutputPath4Yr1_CostYr3">tlM2S!$K$46</definedName>
    <definedName name="tlOutputPath4Yr1_SRPDisc">tlM2S!$K$48</definedName>
    <definedName name="tlOutputPath4Yr1_SRPDisc_Perc">tlM2S!$K$49</definedName>
    <definedName name="tlOutputPath4Yr2_CostTotal">tlM2S!$K$55</definedName>
    <definedName name="tlOutputPath4Yr2_CostYr1">tlM2S!$K$52</definedName>
    <definedName name="tlOutputPath4Yr2_CostYr2">tlM2S!$K$53</definedName>
    <definedName name="tlOutputPath4Yr2_CostYr3">tlM2S!$K$54</definedName>
    <definedName name="tlOutputPath4Yr2_SRPDisc">tlM2S!$K$56</definedName>
    <definedName name="tlOutputPath4Yr2_SRPDisc_Perc">tlM2S!$K$57</definedName>
    <definedName name="tlOutputPath4Yr3_CostTotal">tlM2S!$K$63</definedName>
    <definedName name="tlOutputPath4Yr3_CostYr1">tlM2S!$K$60</definedName>
    <definedName name="tlOutputPath4Yr3_CostYr2">tlM2S!$K$61</definedName>
    <definedName name="tlOutputPath4Yr3_CostYr3">tlM2S!$K$62</definedName>
    <definedName name="tlOutputPath4Yr3_SRPDisc">tlM2S!$K$64</definedName>
    <definedName name="tlOutputPath4Yr3_SRPDisc_Perc">tlM2S!$K$65</definedName>
    <definedName name="tlOutputPath4Yr4Cost">tlM2S!$K$67</definedName>
    <definedName name="tlOutputPath5MTCost_AllYears">tlM2S!$M$34</definedName>
    <definedName name="tlOutputPath5MTCost_Yr1">tlM2S!$M$31</definedName>
    <definedName name="tlOutputPath5MTCost_Yr2">tlM2S!$M$32</definedName>
    <definedName name="tlOutputPath5MTCost_Yr3">tlM2S!$M$33</definedName>
    <definedName name="tlOutputPath5SubSRP">tlM2S!$M$37</definedName>
    <definedName name="tlOutputPath5SubSRP3Yr">tlM2S!$M$38</definedName>
    <definedName name="tlOutputPath5Yr1_CostTotal">tlM2S!$M$47</definedName>
    <definedName name="tlOutputPath5Yr1_CostYr1">tlM2S!$M$44</definedName>
    <definedName name="tlOutputPath5Yr1_CostYr2">tlM2S!$M$45</definedName>
    <definedName name="tlOutputPath5Yr1_CostYr3">tlM2S!$M$46</definedName>
    <definedName name="tlOutputPath5Yr1_SRPDisc">tlM2S!$M$48</definedName>
    <definedName name="tlOutputPath5Yr1_SRPDisc_Perc">tlM2S!$M$49</definedName>
    <definedName name="tlOutputPath5Yr2_CostTotal">tlM2S!$M$55</definedName>
    <definedName name="tlOutputPath5Yr2_CostYr1">tlM2S!$M$52</definedName>
    <definedName name="tlOutputPath5Yr2_CostYr2">tlM2S!$M$53</definedName>
    <definedName name="tlOutputPath5Yr2_CostYr3">tlM2S!$M$54</definedName>
    <definedName name="tlOutputPath5Yr2_SRPDisc">tlM2S!$M$56</definedName>
    <definedName name="tlOutputPath5Yr2_SRPDisc_Perc">tlM2S!$M$57</definedName>
    <definedName name="tlOutputPath5Yr3_CostTotal">tlM2S!$M$63</definedName>
    <definedName name="tlOutputPath5Yr3_CostYr1">tlM2S!$M$60</definedName>
    <definedName name="tlOutputPath5Yr3_CostYr2">tlM2S!$M$61</definedName>
    <definedName name="tlOutputPath5Yr3_CostYr3">tlM2S!$M$62</definedName>
    <definedName name="tlOutputPath5Yr3_SRPDisc">tlM2S!$M$64</definedName>
    <definedName name="tlOutputPath5Yr3_SRPDisc_Perc">tlM2S!$M$65</definedName>
    <definedName name="tlOutputPath5Yr4Cost">tlM2S!$M$67</definedName>
    <definedName name="tlOutputPath6MTCost_AllYears">tlM2S!$O$34</definedName>
    <definedName name="tlOutputPath6MTCost_Yr1">tlM2S!$O$31</definedName>
    <definedName name="tlOutputPath6MTCost_Yr2">tlM2S!$O$32</definedName>
    <definedName name="tlOutputPath6MTCost_Yr3">tlM2S!$O$33</definedName>
    <definedName name="tlOutputPath6SubSRP">tlM2S!$O$37</definedName>
    <definedName name="tlOutputPath6SubSRP3Yr">tlM2S!$O$38</definedName>
    <definedName name="tlOutputPath6Yr1_CostTotal">tlM2S!$O$47</definedName>
    <definedName name="tlOutputPath6Yr1_CostYr1">tlM2S!$O$44</definedName>
    <definedName name="tlOutputPath6Yr1_CostYr2">tlM2S!$O$45</definedName>
    <definedName name="tlOutputPath6Yr1_CostYr3">tlM2S!$O$46</definedName>
    <definedName name="tlOutputPath6Yr1_SRPDisc">tlM2S!$O$48</definedName>
    <definedName name="tlOutputPath6Yr1_SRPDisc_Perc">tlM2S!$O$49</definedName>
    <definedName name="tlOutputPath6Yr2_CostTotal">tlM2S!$O$55</definedName>
    <definedName name="tlOutputPath6Yr2_CostYr1">tlM2S!$O$52</definedName>
    <definedName name="tlOutputPath6Yr2_CostYr2">tlM2S!$O$53</definedName>
    <definedName name="tlOutputPath6Yr2_CostYr3">tlM2S!$O$54</definedName>
    <definedName name="tlOutputPath6Yr2_SRPDisc">tlM2S!$O$56</definedName>
    <definedName name="tlOutputPath6Yr2_SRPDisc_Perc">tlM2S!$O$57</definedName>
    <definedName name="tlOutputPath6Yr3_CostTotal">tlM2S!$O$63</definedName>
    <definedName name="tlOutputPath6Yr3_CostYr1">tlM2S!$O$60</definedName>
    <definedName name="tlOutputPath6Yr3_CostYr2">tlM2S!$O$61</definedName>
    <definedName name="tlOutputPath6Yr3_CostYr3">tlM2S!$O$62</definedName>
    <definedName name="tlOutputPath6Yr3_SRPDisc">tlM2S!$O$64</definedName>
    <definedName name="tlOutputPath6Yr3_SRPDisc_Perc">tlM2S!$O$65</definedName>
    <definedName name="tlOutputPath6Yr4Cost">tlM2S!$O$67</definedName>
    <definedName name="tlOutputPath7MTCost_AllYears">tlM2S!$Q$34</definedName>
    <definedName name="tlOutputPath7MTCost_Yr1">tlM2S!$Q$31</definedName>
    <definedName name="tlOutputPath7MTCost_Yr2">tlM2S!$Q$32</definedName>
    <definedName name="tlOutputPath7MTCost_Yr3">tlM2S!$Q$33</definedName>
    <definedName name="tlOutputPath7SubSRP">tlM2S!$Q$37</definedName>
    <definedName name="tlOutputPath7SubSRP3Yr">tlM2S!$Q$38</definedName>
    <definedName name="tlOutputPath7Yr1_CostTotal">tlM2S!$Q$47</definedName>
    <definedName name="tlOutputPath7Yr1_CostYr1">tlM2S!$Q$44</definedName>
    <definedName name="tlOutputPath7Yr1_CostYr2">tlM2S!$Q$45</definedName>
    <definedName name="tlOutputPath7Yr1_CostYr3">tlM2S!$Q$46</definedName>
    <definedName name="tlOutputPath7Yr1_SRPDisc">tlM2S!$Q$48</definedName>
    <definedName name="tlOutputPath7Yr1_SRPDisc_Perc">tlM2S!$Q$49</definedName>
    <definedName name="tlOutputPath7Yr2_CostTotal">tlM2S!$Q$55</definedName>
    <definedName name="tlOutputPath7Yr2_CostYr1">tlM2S!$Q$52</definedName>
    <definedName name="tlOutputPath7Yr2_CostYr2">tlM2S!$Q$53</definedName>
    <definedName name="tlOutputPath7Yr2_CostYr3">tlM2S!$Q$54</definedName>
    <definedName name="tlOutputPath7Yr2_SRPDisc">tlM2S!$Q$56</definedName>
    <definedName name="tlOutputPath7Yr2_SRPDisc_Perc">tlM2S!$Q$57</definedName>
    <definedName name="tlOutputPath7Yr3_CostTotal">tlM2S!$Q$63</definedName>
    <definedName name="tlOutputPath7Yr3_CostYr1">tlM2S!$Q$60</definedName>
    <definedName name="tlOutputPath7Yr3_CostYr2">tlM2S!$Q$61</definedName>
    <definedName name="tlOutputPath7Yr3_CostYr3">tlM2S!$Q$62</definedName>
    <definedName name="tlOutputPath7Yr3_SRPDisc">tlM2S!$Q$64</definedName>
    <definedName name="tlOutputPath7Yr3_SRPDisc_Perc">tlM2S!$Q$65</definedName>
    <definedName name="tlOutputPath7Yr4Cost">tlM2S!$Q$67</definedName>
    <definedName name="tlOutputPath8MTCost_AllYears">tlM2S!$S$34</definedName>
    <definedName name="tlOutputPath8MTCost_Yr1">tlM2S!$S$31</definedName>
    <definedName name="tlOutputPath8MTCost_Yr2">tlM2S!$S$32</definedName>
    <definedName name="tlOutputPath8MTCost_Yr3">tlM2S!$S$33</definedName>
    <definedName name="tlOutputPath8SubSRP">tlM2S!$S$37</definedName>
    <definedName name="tlOutputPath8SubSRP3Yr">tlM2S!$S$38</definedName>
    <definedName name="tlOutputPath8Yr1_CostTotal">tlM2S!$S$47</definedName>
    <definedName name="tlOutputPath8Yr1_CostYr1">tlM2S!$S$44</definedName>
    <definedName name="tlOutputPath8Yr1_CostYr2">tlM2S!$S$45</definedName>
    <definedName name="tlOutputPath8Yr1_CostYr3">tlM2S!$S$46</definedName>
    <definedName name="tlOutputPath8Yr1_SRPDisc">tlM2S!$S$48</definedName>
    <definedName name="tlOutputPath8Yr1_SRPDisc_Perc">tlM2S!$S$49</definedName>
    <definedName name="tlOutputPath8Yr2_CostTotal">tlM2S!$S$55</definedName>
    <definedName name="tlOutputPath8Yr2_CostYr1">tlM2S!$S$52</definedName>
    <definedName name="tlOutputPath8Yr2_CostYr2">tlM2S!$S$53</definedName>
    <definedName name="tlOutputPath8Yr2_CostYr3">tlM2S!$S$54</definedName>
    <definedName name="tlOutputPath8Yr2_SRPDisc">tlM2S!$S$56</definedName>
    <definedName name="tlOutputPath8Yr2_SRPDisc_Perc">tlM2S!$S$57</definedName>
    <definedName name="tlOutputPath8Yr3_CostTotal">tlM2S!$S$63</definedName>
    <definedName name="tlOutputPath8Yr3_CostYr1">tlM2S!$S$60</definedName>
    <definedName name="tlOutputPath8Yr3_CostYr2">tlM2S!$S$61</definedName>
    <definedName name="tlOutputPath8Yr3_CostYr3">tlM2S!$S$62</definedName>
    <definedName name="tlOutputPath8Yr3_SRPDisc">tlM2S!$S$64</definedName>
    <definedName name="tlOutputPath8Yr3_SRPDisc_Perc">tlM2S!$S$65</definedName>
    <definedName name="tlOutputPath8Yr4Cost">tlM2S!$S$67</definedName>
    <definedName name="tlOutputTotalMTCost_AllYears">tlM2S!$U$34</definedName>
    <definedName name="tlOutputTotalMTCost_Yr1">tlM2S!$U$31</definedName>
    <definedName name="tlOutputTotalMTCost_Yr2">tlM2S!$U$32</definedName>
    <definedName name="tlOutputTotalMTCost_Yr3">tlM2S!$U$33</definedName>
    <definedName name="tlOutputTotalSubSRP">tlM2S!$U$37</definedName>
    <definedName name="tlOutputTotalSubSRP3Yr">tlM2S!$U$38</definedName>
    <definedName name="tlOutputTotalYr1_CostTotal">tlM2S!$U$47</definedName>
    <definedName name="tlOutputTotalYr1_CostYr1">tlM2S!$U$44</definedName>
    <definedName name="tlOutputTotalYr1_CostYr2">tlM2S!$U$45</definedName>
    <definedName name="tlOutputTotalYr1_CostYr3">tlM2S!$U$46</definedName>
    <definedName name="tlOutputTotalYr1_SRPDisc">tlM2S!$U$48</definedName>
    <definedName name="tlOutputTotalYr1_SRPDisc_Perc">tlM2S!$U$49</definedName>
    <definedName name="tlOutputTotalYr2_CostTotal">tlM2S!$U$55</definedName>
    <definedName name="tlOutputTotalYr2_CostYr1">tlM2S!$U$52</definedName>
    <definedName name="tlOutputTotalYr2_CostYr2">tlM2S!$U$53</definedName>
    <definedName name="tlOutputTotalYr2_CostYr3">tlM2S!$U$54</definedName>
    <definedName name="tlOutputTotalYr2_SRPDisc">tlM2S!$U$56</definedName>
    <definedName name="tlOutputTotalYr2_SRPDisc_Perc">tlM2S!$U$57</definedName>
    <definedName name="tlOutputTotalYr3_CostTotal">tlM2S!$U$63</definedName>
    <definedName name="tlOutputTotalYr3_CostYr1">tlM2S!$U$60</definedName>
    <definedName name="tlOutputTotalYr3_CostYr2">tlM2S!$U$61</definedName>
    <definedName name="tlOutputTotalYr3_CostYr3">tlM2S!$U$62</definedName>
    <definedName name="tlOutputTotalYr3_SRPDisc">tlM2S!$U$64</definedName>
    <definedName name="tlOutputTotalYr3_SRPDisc_Perc">tlM2S!$U$65</definedName>
    <definedName name="tlOutputTotalYr4Cost">tlM2S!$U$67</definedName>
    <definedName name="tlTestOutputData">tlM2S!$C$30:$U$67</definedName>
    <definedName name="vbaPopupMenu1ItemNumber">PopUp!$E$35</definedName>
    <definedName name="vbaPopupMenu1ListFaceID">PopUp!$L$22:$L$27</definedName>
    <definedName name="vbaPopupMenu1ListLevel">PopUp!$E$22:$E$27</definedName>
    <definedName name="vbaPopupMenu1ListMacro">PopUp!$K$22:$K$27</definedName>
    <definedName name="vbaPopupMenu1ListTitle">PopUp!$F$22:$F$27</definedName>
    <definedName name="vbaPopupMenu1Lvl1ItemNumber">PopUp!$E$33</definedName>
    <definedName name="vbaPopupMenu1Lvl2ItemNumber">PopUp!$E$34</definedName>
    <definedName name="vbaPopupMenuActive">PopUp!$E$17</definedName>
    <definedName name="vbaPopupMenuName">PopUp!$E$16</definedName>
    <definedName name="xxIndexTeam">Controls!$D$21</definedName>
    <definedName name="xxNumOfTeams">Controls!$D$13</definedName>
    <definedName name="xxRound">Controls!$D$17</definedName>
    <definedName name="xxSim0Tool1">Controls!$D$19</definedName>
    <definedName name="xxToolPrefix">Controls!$D$27</definedName>
  </definedNames>
  <calcPr calcId="171027"/>
</workbook>
</file>

<file path=xl/calcChain.xml><?xml version="1.0" encoding="utf-8"?>
<calcChain xmlns="http://schemas.openxmlformats.org/spreadsheetml/2006/main">
  <c r="H3" i="51" l="1"/>
  <c r="E7" i="51"/>
  <c r="E6" i="51"/>
  <c r="E5" i="51"/>
  <c r="E4" i="51"/>
  <c r="E3" i="51"/>
  <c r="L116" i="43" l="1"/>
  <c r="L115" i="43"/>
  <c r="L114" i="43"/>
  <c r="L113" i="43"/>
  <c r="L112" i="43"/>
  <c r="L111" i="43"/>
  <c r="L110" i="43"/>
  <c r="L109" i="43"/>
  <c r="L108" i="43"/>
  <c r="L107" i="43"/>
  <c r="L106" i="43"/>
  <c r="L105" i="43"/>
  <c r="L104" i="43"/>
  <c r="L117" i="48"/>
  <c r="L116" i="48"/>
  <c r="L115" i="48"/>
  <c r="L114" i="48"/>
  <c r="L113" i="48"/>
  <c r="L112" i="48"/>
  <c r="L111" i="48"/>
  <c r="L110" i="48"/>
  <c r="L109" i="48"/>
  <c r="L108" i="48"/>
  <c r="L107" i="48"/>
  <c r="L106" i="48"/>
  <c r="L105" i="48"/>
  <c r="L104" i="48"/>
  <c r="L117" i="42"/>
  <c r="L116" i="42"/>
  <c r="L115" i="42"/>
  <c r="L114" i="42"/>
  <c r="L113" i="42"/>
  <c r="L112" i="42"/>
  <c r="L111" i="42"/>
  <c r="L110" i="42"/>
  <c r="L109" i="42"/>
  <c r="L108" i="42"/>
  <c r="L107" i="42"/>
  <c r="L106" i="42"/>
  <c r="L105" i="42"/>
  <c r="L104" i="42"/>
  <c r="L116" i="41"/>
  <c r="L115" i="41"/>
  <c r="L114" i="41"/>
  <c r="L113" i="41"/>
  <c r="L112" i="41"/>
  <c r="L111" i="41"/>
  <c r="L110" i="41"/>
  <c r="L109" i="41"/>
  <c r="L108" i="41"/>
  <c r="L107" i="41"/>
  <c r="L106" i="41"/>
  <c r="L105" i="41"/>
  <c r="L104" i="41"/>
  <c r="L116" i="40"/>
  <c r="L115" i="40"/>
  <c r="L114" i="40"/>
  <c r="L113" i="40"/>
  <c r="L112" i="40"/>
  <c r="L111" i="40"/>
  <c r="L110" i="40"/>
  <c r="L109" i="40"/>
  <c r="L108" i="40"/>
  <c r="L107" i="40"/>
  <c r="L106" i="40"/>
  <c r="L105" i="40"/>
  <c r="L104" i="40"/>
  <c r="L116" i="39"/>
  <c r="L115" i="39"/>
  <c r="L114" i="39"/>
  <c r="L113" i="39"/>
  <c r="L112" i="39"/>
  <c r="L111" i="39"/>
  <c r="L110" i="39"/>
  <c r="L109" i="39"/>
  <c r="L108" i="39"/>
  <c r="L107" i="39"/>
  <c r="L106" i="39"/>
  <c r="L105" i="39"/>
  <c r="L104" i="39"/>
  <c r="C31" i="37" l="1"/>
  <c r="C313" i="37"/>
  <c r="C312" i="37"/>
  <c r="C311" i="37"/>
  <c r="C353" i="37"/>
  <c r="C352" i="37"/>
  <c r="C351" i="37"/>
  <c r="C350" i="37"/>
  <c r="C349" i="37"/>
  <c r="C348" i="37"/>
  <c r="D349" i="37" l="1"/>
  <c r="E349" i="37" s="1"/>
  <c r="F349" i="37" s="1"/>
  <c r="G349" i="37" s="1"/>
  <c r="H349" i="37" s="1"/>
  <c r="I349" i="37" s="1"/>
  <c r="J349" i="37" s="1"/>
  <c r="K349" i="37" s="1"/>
  <c r="L349" i="37" s="1"/>
  <c r="M349" i="37" s="1"/>
  <c r="N349" i="37" s="1"/>
  <c r="O349" i="37" s="1"/>
  <c r="P349" i="37" s="1"/>
  <c r="Q349" i="37" s="1"/>
  <c r="R349" i="37" s="1"/>
  <c r="S349" i="37" s="1"/>
  <c r="T349" i="37" s="1"/>
  <c r="U349" i="37" s="1"/>
  <c r="V349" i="37" s="1"/>
  <c r="W349" i="37" s="1"/>
  <c r="X349" i="37" s="1"/>
  <c r="Y349" i="37" s="1"/>
  <c r="Z349" i="37" s="1"/>
  <c r="AA349" i="37" s="1"/>
  <c r="AB349" i="37" s="1"/>
  <c r="AC349" i="37" s="1"/>
  <c r="AD349" i="37" s="1"/>
  <c r="AE349" i="37" s="1"/>
  <c r="AF349" i="37" s="1"/>
  <c r="AG349" i="37" s="1"/>
  <c r="AH349" i="37" s="1"/>
  <c r="AI349" i="37" s="1"/>
  <c r="AJ349" i="37" s="1"/>
  <c r="AK349" i="37" s="1"/>
  <c r="AL349" i="37" s="1"/>
  <c r="AM349" i="37" s="1"/>
  <c r="AN349" i="37" s="1"/>
  <c r="AO349" i="37" s="1"/>
  <c r="AP349" i="37" s="1"/>
  <c r="AQ349" i="37" s="1"/>
  <c r="AR349" i="37" s="1"/>
  <c r="AS349" i="37" s="1"/>
  <c r="AT349" i="37" s="1"/>
  <c r="AU349" i="37" s="1"/>
  <c r="AV349" i="37" s="1"/>
  <c r="AW349" i="37" s="1"/>
  <c r="AX349" i="37" s="1"/>
  <c r="AY349" i="37" s="1"/>
  <c r="AZ349" i="37" s="1"/>
  <c r="BA349" i="37" s="1"/>
  <c r="BB349" i="37" s="1"/>
  <c r="BC349" i="37" s="1"/>
  <c r="BD349" i="37" s="1"/>
  <c r="BE349" i="37" s="1"/>
  <c r="BF349" i="37" s="1"/>
  <c r="BG349" i="37" s="1"/>
  <c r="BH349" i="37" s="1"/>
  <c r="BI349" i="37" s="1"/>
  <c r="BJ349" i="37" s="1"/>
  <c r="BK349" i="37" s="1"/>
  <c r="BL349" i="37" s="1"/>
  <c r="BM349" i="37" s="1"/>
  <c r="BN349" i="37" s="1"/>
  <c r="BO349" i="37" s="1"/>
  <c r="BP349" i="37" s="1"/>
  <c r="BQ349" i="37" s="1"/>
  <c r="BR349" i="37" s="1"/>
  <c r="BS349" i="37" s="1"/>
  <c r="BT349" i="37" s="1"/>
  <c r="BU349" i="37" s="1"/>
  <c r="BV349" i="37" s="1"/>
  <c r="BW349" i="37" s="1"/>
  <c r="D351" i="37"/>
  <c r="E351" i="37" s="1"/>
  <c r="F351" i="37" s="1"/>
  <c r="G351" i="37" s="1"/>
  <c r="H351" i="37" s="1"/>
  <c r="I351" i="37" s="1"/>
  <c r="J351" i="37" s="1"/>
  <c r="K351" i="37" s="1"/>
  <c r="L351" i="37" s="1"/>
  <c r="M351" i="37" s="1"/>
  <c r="N351" i="37" s="1"/>
  <c r="O351" i="37" s="1"/>
  <c r="P351" i="37" s="1"/>
  <c r="Q351" i="37" s="1"/>
  <c r="R351" i="37" s="1"/>
  <c r="S351" i="37" s="1"/>
  <c r="T351" i="37" s="1"/>
  <c r="U351" i="37" s="1"/>
  <c r="V351" i="37" s="1"/>
  <c r="W351" i="37" s="1"/>
  <c r="X351" i="37" s="1"/>
  <c r="Y351" i="37" s="1"/>
  <c r="Z351" i="37" s="1"/>
  <c r="AA351" i="37" s="1"/>
  <c r="AB351" i="37" s="1"/>
  <c r="AC351" i="37" s="1"/>
  <c r="AD351" i="37" s="1"/>
  <c r="AE351" i="37" s="1"/>
  <c r="AF351" i="37" s="1"/>
  <c r="AG351" i="37" s="1"/>
  <c r="AH351" i="37" s="1"/>
  <c r="AI351" i="37" s="1"/>
  <c r="AJ351" i="37" s="1"/>
  <c r="AK351" i="37" s="1"/>
  <c r="AL351" i="37" s="1"/>
  <c r="AM351" i="37" s="1"/>
  <c r="AN351" i="37" s="1"/>
  <c r="AO351" i="37" s="1"/>
  <c r="AP351" i="37" s="1"/>
  <c r="AQ351" i="37" s="1"/>
  <c r="AR351" i="37" s="1"/>
  <c r="AS351" i="37" s="1"/>
  <c r="AT351" i="37" s="1"/>
  <c r="AU351" i="37" s="1"/>
  <c r="AV351" i="37" s="1"/>
  <c r="AW351" i="37" s="1"/>
  <c r="AX351" i="37" s="1"/>
  <c r="AY351" i="37" s="1"/>
  <c r="AZ351" i="37" s="1"/>
  <c r="BA351" i="37" s="1"/>
  <c r="BB351" i="37" s="1"/>
  <c r="BC351" i="37" s="1"/>
  <c r="BD351" i="37" s="1"/>
  <c r="BE351" i="37" s="1"/>
  <c r="BF351" i="37" s="1"/>
  <c r="BG351" i="37" s="1"/>
  <c r="BH351" i="37" s="1"/>
  <c r="BI351" i="37" s="1"/>
  <c r="BJ351" i="37" s="1"/>
  <c r="BK351" i="37" s="1"/>
  <c r="BL351" i="37" s="1"/>
  <c r="BM351" i="37" s="1"/>
  <c r="BN351" i="37" s="1"/>
  <c r="BO351" i="37" s="1"/>
  <c r="BP351" i="37" s="1"/>
  <c r="BQ351" i="37" s="1"/>
  <c r="BR351" i="37" s="1"/>
  <c r="BS351" i="37" s="1"/>
  <c r="BT351" i="37" s="1"/>
  <c r="BU351" i="37" s="1"/>
  <c r="BV351" i="37" s="1"/>
  <c r="BW351" i="37" s="1"/>
  <c r="D353" i="37"/>
  <c r="E353" i="37" s="1"/>
  <c r="F353" i="37" s="1"/>
  <c r="G353" i="37" s="1"/>
  <c r="H353" i="37" s="1"/>
  <c r="I353" i="37" s="1"/>
  <c r="J353" i="37" s="1"/>
  <c r="K353" i="37" s="1"/>
  <c r="L353" i="37" s="1"/>
  <c r="M353" i="37" s="1"/>
  <c r="N353" i="37" s="1"/>
  <c r="O353" i="37" s="1"/>
  <c r="P353" i="37" s="1"/>
  <c r="Q353" i="37" s="1"/>
  <c r="R353" i="37" s="1"/>
  <c r="S353" i="37" s="1"/>
  <c r="T353" i="37" s="1"/>
  <c r="U353" i="37" s="1"/>
  <c r="V353" i="37" s="1"/>
  <c r="W353" i="37" s="1"/>
  <c r="X353" i="37" s="1"/>
  <c r="Y353" i="37" s="1"/>
  <c r="Z353" i="37" s="1"/>
  <c r="AA353" i="37" s="1"/>
  <c r="AB353" i="37" s="1"/>
  <c r="AC353" i="37" s="1"/>
  <c r="AD353" i="37" s="1"/>
  <c r="AE353" i="37" s="1"/>
  <c r="AF353" i="37" s="1"/>
  <c r="AG353" i="37" s="1"/>
  <c r="AH353" i="37" s="1"/>
  <c r="AI353" i="37" s="1"/>
  <c r="AJ353" i="37" s="1"/>
  <c r="AK353" i="37" s="1"/>
  <c r="AL353" i="37" s="1"/>
  <c r="AM353" i="37" s="1"/>
  <c r="AN353" i="37" s="1"/>
  <c r="AO353" i="37" s="1"/>
  <c r="AP353" i="37" s="1"/>
  <c r="AQ353" i="37" s="1"/>
  <c r="AR353" i="37" s="1"/>
  <c r="AS353" i="37" s="1"/>
  <c r="AT353" i="37" s="1"/>
  <c r="AU353" i="37" s="1"/>
  <c r="AV353" i="37" s="1"/>
  <c r="AW353" i="37" s="1"/>
  <c r="AX353" i="37" s="1"/>
  <c r="AY353" i="37" s="1"/>
  <c r="AZ353" i="37" s="1"/>
  <c r="BA353" i="37" s="1"/>
  <c r="BB353" i="37" s="1"/>
  <c r="BC353" i="37" s="1"/>
  <c r="BD353" i="37" s="1"/>
  <c r="BE353" i="37" s="1"/>
  <c r="BF353" i="37" s="1"/>
  <c r="BG353" i="37" s="1"/>
  <c r="BH353" i="37" s="1"/>
  <c r="BI353" i="37" s="1"/>
  <c r="BJ353" i="37" s="1"/>
  <c r="BK353" i="37" s="1"/>
  <c r="BL353" i="37" s="1"/>
  <c r="BM353" i="37" s="1"/>
  <c r="BN353" i="37" s="1"/>
  <c r="BO353" i="37" s="1"/>
  <c r="BP353" i="37" s="1"/>
  <c r="BQ353" i="37" s="1"/>
  <c r="BR353" i="37" s="1"/>
  <c r="BS353" i="37" s="1"/>
  <c r="BT353" i="37" s="1"/>
  <c r="BU353" i="37" s="1"/>
  <c r="BV353" i="37" s="1"/>
  <c r="BW353" i="37" s="1"/>
  <c r="D312" i="37"/>
  <c r="E312" i="37" s="1"/>
  <c r="F312" i="37" s="1"/>
  <c r="G312" i="37" s="1"/>
  <c r="H312" i="37" s="1"/>
  <c r="I312" i="37" s="1"/>
  <c r="J312" i="37" s="1"/>
  <c r="K312" i="37" s="1"/>
  <c r="L312" i="37" s="1"/>
  <c r="M312" i="37" s="1"/>
  <c r="N312" i="37" s="1"/>
  <c r="O312" i="37" s="1"/>
  <c r="P312" i="37" s="1"/>
  <c r="Q312" i="37" s="1"/>
  <c r="R312" i="37" s="1"/>
  <c r="S312" i="37" s="1"/>
  <c r="T312" i="37" s="1"/>
  <c r="U312" i="37" s="1"/>
  <c r="V312" i="37" s="1"/>
  <c r="W312" i="37" s="1"/>
  <c r="X312" i="37" s="1"/>
  <c r="Y312" i="37" s="1"/>
  <c r="Z312" i="37" s="1"/>
  <c r="AA312" i="37" s="1"/>
  <c r="AB312" i="37" s="1"/>
  <c r="AC312" i="37" s="1"/>
  <c r="AD312" i="37" s="1"/>
  <c r="AE312" i="37" s="1"/>
  <c r="AF312" i="37" s="1"/>
  <c r="AG312" i="37" s="1"/>
  <c r="AH312" i="37" s="1"/>
  <c r="AI312" i="37" s="1"/>
  <c r="AJ312" i="37" s="1"/>
  <c r="AK312" i="37" s="1"/>
  <c r="AL312" i="37" s="1"/>
  <c r="AM312" i="37" s="1"/>
  <c r="AN312" i="37" s="1"/>
  <c r="AO312" i="37" s="1"/>
  <c r="AP312" i="37" s="1"/>
  <c r="AQ312" i="37" s="1"/>
  <c r="AR312" i="37" s="1"/>
  <c r="AS312" i="37" s="1"/>
  <c r="AT312" i="37" s="1"/>
  <c r="AU312" i="37" s="1"/>
  <c r="AV312" i="37" s="1"/>
  <c r="AW312" i="37" s="1"/>
  <c r="AX312" i="37" s="1"/>
  <c r="AY312" i="37" s="1"/>
  <c r="AZ312" i="37" s="1"/>
  <c r="BA312" i="37" s="1"/>
  <c r="BB312" i="37" s="1"/>
  <c r="BC312" i="37" s="1"/>
  <c r="BD312" i="37" s="1"/>
  <c r="BE312" i="37" s="1"/>
  <c r="BF312" i="37" s="1"/>
  <c r="BG312" i="37" s="1"/>
  <c r="BH312" i="37" s="1"/>
  <c r="BI312" i="37" s="1"/>
  <c r="BJ312" i="37" s="1"/>
  <c r="BK312" i="37" s="1"/>
  <c r="BL312" i="37" s="1"/>
  <c r="BM312" i="37" s="1"/>
  <c r="BN312" i="37" s="1"/>
  <c r="BO312" i="37" s="1"/>
  <c r="BP312" i="37" s="1"/>
  <c r="BQ312" i="37" s="1"/>
  <c r="BR312" i="37" s="1"/>
  <c r="BS312" i="37" s="1"/>
  <c r="BT312" i="37" s="1"/>
  <c r="BU312" i="37" s="1"/>
  <c r="BV312" i="37" s="1"/>
  <c r="BW312" i="37" s="1"/>
  <c r="D348" i="37"/>
  <c r="E348" i="37" s="1"/>
  <c r="F348" i="37" s="1"/>
  <c r="G348" i="37" s="1"/>
  <c r="H348" i="37" s="1"/>
  <c r="I348" i="37" s="1"/>
  <c r="J348" i="37" s="1"/>
  <c r="K348" i="37" s="1"/>
  <c r="L348" i="37" s="1"/>
  <c r="M348" i="37" s="1"/>
  <c r="N348" i="37" s="1"/>
  <c r="O348" i="37" s="1"/>
  <c r="P348" i="37" s="1"/>
  <c r="Q348" i="37" s="1"/>
  <c r="R348" i="37" s="1"/>
  <c r="S348" i="37" s="1"/>
  <c r="T348" i="37" s="1"/>
  <c r="U348" i="37" s="1"/>
  <c r="V348" i="37" s="1"/>
  <c r="W348" i="37" s="1"/>
  <c r="X348" i="37" s="1"/>
  <c r="Y348" i="37" s="1"/>
  <c r="Z348" i="37" s="1"/>
  <c r="AA348" i="37" s="1"/>
  <c r="AB348" i="37" s="1"/>
  <c r="AC348" i="37" s="1"/>
  <c r="AD348" i="37" s="1"/>
  <c r="AE348" i="37" s="1"/>
  <c r="AF348" i="37" s="1"/>
  <c r="AG348" i="37" s="1"/>
  <c r="AH348" i="37" s="1"/>
  <c r="AI348" i="37" s="1"/>
  <c r="AJ348" i="37" s="1"/>
  <c r="AK348" i="37" s="1"/>
  <c r="AL348" i="37" s="1"/>
  <c r="AM348" i="37" s="1"/>
  <c r="AN348" i="37" s="1"/>
  <c r="AO348" i="37" s="1"/>
  <c r="AP348" i="37" s="1"/>
  <c r="AQ348" i="37" s="1"/>
  <c r="AR348" i="37" s="1"/>
  <c r="AS348" i="37" s="1"/>
  <c r="AT348" i="37" s="1"/>
  <c r="AU348" i="37" s="1"/>
  <c r="AV348" i="37" s="1"/>
  <c r="AW348" i="37" s="1"/>
  <c r="AX348" i="37" s="1"/>
  <c r="AY348" i="37" s="1"/>
  <c r="AZ348" i="37" s="1"/>
  <c r="BA348" i="37" s="1"/>
  <c r="BB348" i="37" s="1"/>
  <c r="BC348" i="37" s="1"/>
  <c r="BD348" i="37" s="1"/>
  <c r="BE348" i="37" s="1"/>
  <c r="BF348" i="37" s="1"/>
  <c r="BG348" i="37" s="1"/>
  <c r="BH348" i="37" s="1"/>
  <c r="BI348" i="37" s="1"/>
  <c r="BJ348" i="37" s="1"/>
  <c r="BK348" i="37" s="1"/>
  <c r="BL348" i="37" s="1"/>
  <c r="BM348" i="37" s="1"/>
  <c r="BN348" i="37" s="1"/>
  <c r="BO348" i="37" s="1"/>
  <c r="BP348" i="37" s="1"/>
  <c r="BQ348" i="37" s="1"/>
  <c r="BR348" i="37" s="1"/>
  <c r="BS348" i="37" s="1"/>
  <c r="BT348" i="37" s="1"/>
  <c r="BU348" i="37" s="1"/>
  <c r="BV348" i="37" s="1"/>
  <c r="BW348" i="37" s="1"/>
  <c r="D350" i="37"/>
  <c r="E350" i="37" s="1"/>
  <c r="F350" i="37" s="1"/>
  <c r="G350" i="37" s="1"/>
  <c r="H350" i="37" s="1"/>
  <c r="I350" i="37" s="1"/>
  <c r="J350" i="37" s="1"/>
  <c r="K350" i="37" s="1"/>
  <c r="L350" i="37" s="1"/>
  <c r="M350" i="37" s="1"/>
  <c r="N350" i="37" s="1"/>
  <c r="O350" i="37" s="1"/>
  <c r="P350" i="37" s="1"/>
  <c r="Q350" i="37" s="1"/>
  <c r="R350" i="37" s="1"/>
  <c r="S350" i="37" s="1"/>
  <c r="T350" i="37" s="1"/>
  <c r="U350" i="37" s="1"/>
  <c r="V350" i="37" s="1"/>
  <c r="W350" i="37" s="1"/>
  <c r="X350" i="37" s="1"/>
  <c r="Y350" i="37" s="1"/>
  <c r="Z350" i="37" s="1"/>
  <c r="AA350" i="37" s="1"/>
  <c r="AB350" i="37" s="1"/>
  <c r="AC350" i="37" s="1"/>
  <c r="AD350" i="37" s="1"/>
  <c r="AE350" i="37" s="1"/>
  <c r="AF350" i="37" s="1"/>
  <c r="AG350" i="37" s="1"/>
  <c r="AH350" i="37" s="1"/>
  <c r="AI350" i="37" s="1"/>
  <c r="AJ350" i="37" s="1"/>
  <c r="AK350" i="37" s="1"/>
  <c r="AL350" i="37" s="1"/>
  <c r="AM350" i="37" s="1"/>
  <c r="AN350" i="37" s="1"/>
  <c r="AO350" i="37" s="1"/>
  <c r="AP350" i="37" s="1"/>
  <c r="AQ350" i="37" s="1"/>
  <c r="AR350" i="37" s="1"/>
  <c r="AS350" i="37" s="1"/>
  <c r="AT350" i="37" s="1"/>
  <c r="AU350" i="37" s="1"/>
  <c r="AV350" i="37" s="1"/>
  <c r="AW350" i="37" s="1"/>
  <c r="AX350" i="37" s="1"/>
  <c r="AY350" i="37" s="1"/>
  <c r="AZ350" i="37" s="1"/>
  <c r="BA350" i="37" s="1"/>
  <c r="BB350" i="37" s="1"/>
  <c r="BC350" i="37" s="1"/>
  <c r="BD350" i="37" s="1"/>
  <c r="BE350" i="37" s="1"/>
  <c r="BF350" i="37" s="1"/>
  <c r="BG350" i="37" s="1"/>
  <c r="BH350" i="37" s="1"/>
  <c r="BI350" i="37" s="1"/>
  <c r="BJ350" i="37" s="1"/>
  <c r="BK350" i="37" s="1"/>
  <c r="BL350" i="37" s="1"/>
  <c r="BM350" i="37" s="1"/>
  <c r="BN350" i="37" s="1"/>
  <c r="BO350" i="37" s="1"/>
  <c r="BP350" i="37" s="1"/>
  <c r="BQ350" i="37" s="1"/>
  <c r="BR350" i="37" s="1"/>
  <c r="BS350" i="37" s="1"/>
  <c r="BT350" i="37" s="1"/>
  <c r="BU350" i="37" s="1"/>
  <c r="BV350" i="37" s="1"/>
  <c r="BW350" i="37" s="1"/>
  <c r="D352" i="37"/>
  <c r="E352" i="37" s="1"/>
  <c r="F352" i="37" s="1"/>
  <c r="G352" i="37" s="1"/>
  <c r="H352" i="37" s="1"/>
  <c r="I352" i="37" s="1"/>
  <c r="J352" i="37" s="1"/>
  <c r="K352" i="37" s="1"/>
  <c r="L352" i="37" s="1"/>
  <c r="M352" i="37" s="1"/>
  <c r="N352" i="37" s="1"/>
  <c r="O352" i="37" s="1"/>
  <c r="P352" i="37" s="1"/>
  <c r="Q352" i="37" s="1"/>
  <c r="R352" i="37" s="1"/>
  <c r="S352" i="37" s="1"/>
  <c r="T352" i="37" s="1"/>
  <c r="U352" i="37" s="1"/>
  <c r="V352" i="37" s="1"/>
  <c r="W352" i="37" s="1"/>
  <c r="X352" i="37" s="1"/>
  <c r="Y352" i="37" s="1"/>
  <c r="Z352" i="37" s="1"/>
  <c r="AA352" i="37" s="1"/>
  <c r="AB352" i="37" s="1"/>
  <c r="AC352" i="37" s="1"/>
  <c r="AD352" i="37" s="1"/>
  <c r="AE352" i="37" s="1"/>
  <c r="AF352" i="37" s="1"/>
  <c r="AG352" i="37" s="1"/>
  <c r="AH352" i="37" s="1"/>
  <c r="AI352" i="37" s="1"/>
  <c r="AJ352" i="37" s="1"/>
  <c r="AK352" i="37" s="1"/>
  <c r="AL352" i="37" s="1"/>
  <c r="AM352" i="37" s="1"/>
  <c r="AN352" i="37" s="1"/>
  <c r="AO352" i="37" s="1"/>
  <c r="AP352" i="37" s="1"/>
  <c r="AQ352" i="37" s="1"/>
  <c r="AR352" i="37" s="1"/>
  <c r="AS352" i="37" s="1"/>
  <c r="AT352" i="37" s="1"/>
  <c r="AU352" i="37" s="1"/>
  <c r="AV352" i="37" s="1"/>
  <c r="AW352" i="37" s="1"/>
  <c r="AX352" i="37" s="1"/>
  <c r="AY352" i="37" s="1"/>
  <c r="AZ352" i="37" s="1"/>
  <c r="BA352" i="37" s="1"/>
  <c r="BB352" i="37" s="1"/>
  <c r="BC352" i="37" s="1"/>
  <c r="BD352" i="37" s="1"/>
  <c r="BE352" i="37" s="1"/>
  <c r="BF352" i="37" s="1"/>
  <c r="BG352" i="37" s="1"/>
  <c r="BH352" i="37" s="1"/>
  <c r="BI352" i="37" s="1"/>
  <c r="BJ352" i="37" s="1"/>
  <c r="BK352" i="37" s="1"/>
  <c r="BL352" i="37" s="1"/>
  <c r="BM352" i="37" s="1"/>
  <c r="BN352" i="37" s="1"/>
  <c r="BO352" i="37" s="1"/>
  <c r="BP352" i="37" s="1"/>
  <c r="BQ352" i="37" s="1"/>
  <c r="BR352" i="37" s="1"/>
  <c r="BS352" i="37" s="1"/>
  <c r="BT352" i="37" s="1"/>
  <c r="BU352" i="37" s="1"/>
  <c r="BV352" i="37" s="1"/>
  <c r="BW352" i="37" s="1"/>
  <c r="D311" i="37"/>
  <c r="E311" i="37" s="1"/>
  <c r="F311" i="37" s="1"/>
  <c r="G311" i="37" s="1"/>
  <c r="H311" i="37" s="1"/>
  <c r="I311" i="37" s="1"/>
  <c r="J311" i="37" s="1"/>
  <c r="K311" i="37" s="1"/>
  <c r="L311" i="37" s="1"/>
  <c r="M311" i="37" s="1"/>
  <c r="N311" i="37" s="1"/>
  <c r="O311" i="37" s="1"/>
  <c r="P311" i="37" s="1"/>
  <c r="Q311" i="37" s="1"/>
  <c r="R311" i="37" s="1"/>
  <c r="S311" i="37" s="1"/>
  <c r="T311" i="37" s="1"/>
  <c r="U311" i="37" s="1"/>
  <c r="V311" i="37" s="1"/>
  <c r="W311" i="37" s="1"/>
  <c r="X311" i="37" s="1"/>
  <c r="Y311" i="37" s="1"/>
  <c r="Z311" i="37" s="1"/>
  <c r="AA311" i="37" s="1"/>
  <c r="AB311" i="37" s="1"/>
  <c r="AC311" i="37" s="1"/>
  <c r="AD311" i="37" s="1"/>
  <c r="AE311" i="37" s="1"/>
  <c r="AF311" i="37" s="1"/>
  <c r="AG311" i="37" s="1"/>
  <c r="AH311" i="37" s="1"/>
  <c r="AI311" i="37" s="1"/>
  <c r="AJ311" i="37" s="1"/>
  <c r="AK311" i="37" s="1"/>
  <c r="AL311" i="37" s="1"/>
  <c r="AM311" i="37" s="1"/>
  <c r="AN311" i="37" s="1"/>
  <c r="AO311" i="37" s="1"/>
  <c r="AP311" i="37" s="1"/>
  <c r="AQ311" i="37" s="1"/>
  <c r="AR311" i="37" s="1"/>
  <c r="AS311" i="37" s="1"/>
  <c r="AT311" i="37" s="1"/>
  <c r="AU311" i="37" s="1"/>
  <c r="AV311" i="37" s="1"/>
  <c r="AW311" i="37" s="1"/>
  <c r="AX311" i="37" s="1"/>
  <c r="AY311" i="37" s="1"/>
  <c r="AZ311" i="37" s="1"/>
  <c r="BA311" i="37" s="1"/>
  <c r="BB311" i="37" s="1"/>
  <c r="BC311" i="37" s="1"/>
  <c r="BD311" i="37" s="1"/>
  <c r="BE311" i="37" s="1"/>
  <c r="BF311" i="37" s="1"/>
  <c r="BG311" i="37" s="1"/>
  <c r="BH311" i="37" s="1"/>
  <c r="BI311" i="37" s="1"/>
  <c r="BJ311" i="37" s="1"/>
  <c r="BK311" i="37" s="1"/>
  <c r="BL311" i="37" s="1"/>
  <c r="BM311" i="37" s="1"/>
  <c r="BN311" i="37" s="1"/>
  <c r="BO311" i="37" s="1"/>
  <c r="BP311" i="37" s="1"/>
  <c r="BQ311" i="37" s="1"/>
  <c r="BR311" i="37" s="1"/>
  <c r="BS311" i="37" s="1"/>
  <c r="BT311" i="37" s="1"/>
  <c r="BU311" i="37" s="1"/>
  <c r="BV311" i="37" s="1"/>
  <c r="BW311" i="37" s="1"/>
  <c r="D313" i="37"/>
  <c r="E313" i="37" s="1"/>
  <c r="F313" i="37" s="1"/>
  <c r="G313" i="37" s="1"/>
  <c r="H313" i="37" s="1"/>
  <c r="I313" i="37" s="1"/>
  <c r="J313" i="37" s="1"/>
  <c r="K313" i="37" s="1"/>
  <c r="L313" i="37" s="1"/>
  <c r="M313" i="37" s="1"/>
  <c r="N313" i="37" s="1"/>
  <c r="O313" i="37" s="1"/>
  <c r="P313" i="37" s="1"/>
  <c r="Q313" i="37" s="1"/>
  <c r="R313" i="37" s="1"/>
  <c r="S313" i="37" s="1"/>
  <c r="T313" i="37" s="1"/>
  <c r="U313" i="37" s="1"/>
  <c r="V313" i="37" s="1"/>
  <c r="W313" i="37" s="1"/>
  <c r="X313" i="37" s="1"/>
  <c r="Y313" i="37" s="1"/>
  <c r="Z313" i="37" s="1"/>
  <c r="AA313" i="37" s="1"/>
  <c r="AB313" i="37" s="1"/>
  <c r="AC313" i="37" s="1"/>
  <c r="AD313" i="37" s="1"/>
  <c r="AE313" i="37" s="1"/>
  <c r="AF313" i="37" s="1"/>
  <c r="AG313" i="37" s="1"/>
  <c r="AH313" i="37" s="1"/>
  <c r="AI313" i="37" s="1"/>
  <c r="AJ313" i="37" s="1"/>
  <c r="AK313" i="37" s="1"/>
  <c r="AL313" i="37" s="1"/>
  <c r="AM313" i="37" s="1"/>
  <c r="AN313" i="37" s="1"/>
  <c r="AO313" i="37" s="1"/>
  <c r="AP313" i="37" s="1"/>
  <c r="AQ313" i="37" s="1"/>
  <c r="AR313" i="37" s="1"/>
  <c r="AS313" i="37" s="1"/>
  <c r="AT313" i="37" s="1"/>
  <c r="AU313" i="37" s="1"/>
  <c r="AV313" i="37" s="1"/>
  <c r="AW313" i="37" s="1"/>
  <c r="AX313" i="37" s="1"/>
  <c r="AY313" i="37" s="1"/>
  <c r="AZ313" i="37" s="1"/>
  <c r="BA313" i="37" s="1"/>
  <c r="BB313" i="37" s="1"/>
  <c r="BC313" i="37" s="1"/>
  <c r="BD313" i="37" s="1"/>
  <c r="BE313" i="37" s="1"/>
  <c r="BF313" i="37" s="1"/>
  <c r="BG313" i="37" s="1"/>
  <c r="BH313" i="37" s="1"/>
  <c r="BI313" i="37" s="1"/>
  <c r="BJ313" i="37" s="1"/>
  <c r="BK313" i="37" s="1"/>
  <c r="BL313" i="37" s="1"/>
  <c r="BM313" i="37" s="1"/>
  <c r="BN313" i="37" s="1"/>
  <c r="BO313" i="37" s="1"/>
  <c r="BP313" i="37" s="1"/>
  <c r="BQ313" i="37" s="1"/>
  <c r="BR313" i="37" s="1"/>
  <c r="BS313" i="37" s="1"/>
  <c r="BT313" i="37" s="1"/>
  <c r="BU313" i="37" s="1"/>
  <c r="BV313" i="37" s="1"/>
  <c r="BW313" i="37" s="1"/>
  <c r="L38" i="43" l="1"/>
  <c r="L14" i="48"/>
  <c r="L14" i="43"/>
  <c r="L14" i="42"/>
  <c r="L14" i="41"/>
  <c r="L14" i="40"/>
  <c r="L14" i="39"/>
  <c r="L17" i="48"/>
  <c r="L17" i="43"/>
  <c r="L17" i="42"/>
  <c r="L17" i="41"/>
  <c r="L17" i="40"/>
  <c r="L17" i="39"/>
  <c r="D201" i="37" l="1"/>
  <c r="N150" i="37" l="1"/>
  <c r="M150" i="37"/>
  <c r="L150" i="37"/>
  <c r="K150" i="37"/>
  <c r="J150" i="37"/>
  <c r="I150" i="37"/>
  <c r="H150" i="37"/>
  <c r="G150" i="37"/>
  <c r="F150" i="37"/>
  <c r="E150" i="37"/>
  <c r="D150" i="37"/>
  <c r="C150" i="37"/>
  <c r="L3" i="42"/>
  <c r="L4" i="42"/>
  <c r="L5" i="42"/>
  <c r="L6" i="42"/>
  <c r="L7" i="42"/>
  <c r="L8" i="42"/>
  <c r="L9" i="42"/>
  <c r="L10" i="42"/>
  <c r="L11" i="42"/>
  <c r="L12" i="42"/>
  <c r="L13" i="42"/>
  <c r="L15" i="42"/>
  <c r="L16"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44" i="42"/>
  <c r="L45" i="42"/>
  <c r="L46" i="42"/>
  <c r="L47" i="42"/>
  <c r="L48" i="42"/>
  <c r="L49" i="42"/>
  <c r="L50" i="42"/>
  <c r="L51" i="42"/>
  <c r="L52" i="42"/>
  <c r="L53" i="42"/>
  <c r="L54" i="42"/>
  <c r="L55" i="42"/>
  <c r="L56" i="42"/>
  <c r="L57" i="42"/>
  <c r="L58" i="42"/>
  <c r="L59" i="42"/>
  <c r="L60" i="42"/>
  <c r="L61" i="42"/>
  <c r="L62" i="42"/>
  <c r="L63" i="42"/>
  <c r="L64" i="42"/>
  <c r="L65" i="42"/>
  <c r="L66" i="42"/>
  <c r="L67" i="42"/>
  <c r="L68" i="42"/>
  <c r="L69" i="42"/>
  <c r="L70" i="42"/>
  <c r="L71" i="42"/>
  <c r="L72" i="42"/>
  <c r="L73" i="42"/>
  <c r="L74" i="42"/>
  <c r="L75" i="42"/>
  <c r="L76" i="42"/>
  <c r="L77" i="42"/>
  <c r="L78" i="42"/>
  <c r="L79" i="42"/>
  <c r="L80" i="42"/>
  <c r="L81" i="42"/>
  <c r="L82" i="42"/>
  <c r="L83" i="42"/>
  <c r="L84" i="42"/>
  <c r="L85" i="42"/>
  <c r="L86" i="42"/>
  <c r="L87" i="42"/>
  <c r="L88" i="42"/>
  <c r="L89" i="42"/>
  <c r="L90" i="42"/>
  <c r="L91" i="42"/>
  <c r="L92" i="42"/>
  <c r="L93" i="42"/>
  <c r="L94" i="42"/>
  <c r="L95" i="42"/>
  <c r="L96" i="42"/>
  <c r="L97" i="42"/>
  <c r="L98" i="42"/>
  <c r="L99" i="42"/>
  <c r="L100" i="42"/>
  <c r="L101" i="42"/>
  <c r="L102" i="42"/>
  <c r="L103" i="42"/>
  <c r="L118" i="42"/>
  <c r="D204" i="37" l="1"/>
  <c r="E219" i="37"/>
  <c r="D237" i="37"/>
  <c r="D164" i="37"/>
  <c r="C324" i="37" l="1"/>
  <c r="E20" i="29" l="1"/>
  <c r="E21" i="29"/>
  <c r="E14" i="33" s="1"/>
  <c r="D78" i="33" s="1"/>
  <c r="L88" i="48"/>
  <c r="L88" i="43"/>
  <c r="L88" i="41"/>
  <c r="L88" i="40"/>
  <c r="C366" i="37"/>
  <c r="C367" i="37"/>
  <c r="L88" i="39"/>
  <c r="L53" i="48"/>
  <c r="L3" i="48"/>
  <c r="L20" i="48"/>
  <c r="L79" i="48"/>
  <c r="L60" i="48"/>
  <c r="L6" i="48"/>
  <c r="L103" i="48"/>
  <c r="L102" i="48"/>
  <c r="L101" i="48"/>
  <c r="L100" i="48"/>
  <c r="L99" i="48"/>
  <c r="L98" i="48"/>
  <c r="L97" i="48"/>
  <c r="L96" i="48"/>
  <c r="L95" i="48"/>
  <c r="L94" i="48"/>
  <c r="L93" i="48"/>
  <c r="L92" i="48"/>
  <c r="L91" i="48"/>
  <c r="L90" i="48"/>
  <c r="L89" i="48"/>
  <c r="L87" i="48"/>
  <c r="L86" i="48"/>
  <c r="L85" i="48"/>
  <c r="L84" i="48"/>
  <c r="L83" i="48"/>
  <c r="L82" i="48"/>
  <c r="L81" i="48"/>
  <c r="L80" i="48"/>
  <c r="L78" i="48"/>
  <c r="L77" i="48"/>
  <c r="L76" i="48"/>
  <c r="L75" i="48"/>
  <c r="L74" i="48"/>
  <c r="L73" i="48"/>
  <c r="L72" i="48"/>
  <c r="L71" i="48"/>
  <c r="L70" i="48"/>
  <c r="L69" i="48"/>
  <c r="L68" i="48"/>
  <c r="L67" i="48"/>
  <c r="L66" i="48"/>
  <c r="L65" i="48"/>
  <c r="L64" i="48"/>
  <c r="L63" i="48"/>
  <c r="L62" i="48"/>
  <c r="L61" i="48"/>
  <c r="L59" i="48"/>
  <c r="L58" i="48"/>
  <c r="L57" i="48"/>
  <c r="L56" i="48"/>
  <c r="L55" i="48"/>
  <c r="L54" i="48"/>
  <c r="L52" i="48"/>
  <c r="L51" i="48"/>
  <c r="L50" i="48"/>
  <c r="L49" i="48"/>
  <c r="L48" i="48"/>
  <c r="L47" i="48"/>
  <c r="L46" i="48"/>
  <c r="L45" i="48"/>
  <c r="L44" i="48"/>
  <c r="L43" i="48"/>
  <c r="L42" i="48"/>
  <c r="L41" i="48"/>
  <c r="L40" i="48"/>
  <c r="L39" i="48"/>
  <c r="L38" i="48"/>
  <c r="L37" i="48"/>
  <c r="L36" i="48"/>
  <c r="L35" i="48"/>
  <c r="L34" i="48"/>
  <c r="L33" i="48"/>
  <c r="L32" i="48"/>
  <c r="L31" i="48"/>
  <c r="L30" i="48"/>
  <c r="L29" i="48"/>
  <c r="L28" i="48"/>
  <c r="L27" i="48"/>
  <c r="L26" i="48"/>
  <c r="L25" i="48"/>
  <c r="L24" i="48"/>
  <c r="L23" i="48"/>
  <c r="L22" i="48"/>
  <c r="L21" i="48"/>
  <c r="L19" i="48"/>
  <c r="L18" i="48"/>
  <c r="L16" i="48"/>
  <c r="L15" i="48"/>
  <c r="L13" i="48"/>
  <c r="L12" i="48"/>
  <c r="L11" i="48"/>
  <c r="L10" i="48"/>
  <c r="L9" i="48"/>
  <c r="L8" i="48"/>
  <c r="L7" i="48"/>
  <c r="L5" i="48"/>
  <c r="L4" i="48"/>
  <c r="L53" i="43"/>
  <c r="L3" i="43"/>
  <c r="L20" i="43"/>
  <c r="L79" i="43"/>
  <c r="L60" i="43"/>
  <c r="L6" i="43"/>
  <c r="L103" i="43"/>
  <c r="L102" i="43"/>
  <c r="L101" i="43"/>
  <c r="L100" i="43"/>
  <c r="L99" i="43"/>
  <c r="L98" i="43"/>
  <c r="L97" i="43"/>
  <c r="L96" i="43"/>
  <c r="L95" i="43"/>
  <c r="L94" i="43"/>
  <c r="L93" i="43"/>
  <c r="L92" i="43"/>
  <c r="L91" i="43"/>
  <c r="L90" i="43"/>
  <c r="L89" i="43"/>
  <c r="L87" i="43"/>
  <c r="L86" i="43"/>
  <c r="L85" i="43"/>
  <c r="L84" i="43"/>
  <c r="L83" i="43"/>
  <c r="L82" i="43"/>
  <c r="L81" i="43"/>
  <c r="L80" i="43"/>
  <c r="L78" i="43"/>
  <c r="L77" i="43"/>
  <c r="L76" i="43"/>
  <c r="L75" i="43"/>
  <c r="L74" i="43"/>
  <c r="L73" i="43"/>
  <c r="L72" i="43"/>
  <c r="L71" i="43"/>
  <c r="L70" i="43"/>
  <c r="L69" i="43"/>
  <c r="L68" i="43"/>
  <c r="L67" i="43"/>
  <c r="L66" i="43"/>
  <c r="L65" i="43"/>
  <c r="L64" i="43"/>
  <c r="L63" i="43"/>
  <c r="L62" i="43"/>
  <c r="L61" i="43"/>
  <c r="L59" i="43"/>
  <c r="L58" i="43"/>
  <c r="L57" i="43"/>
  <c r="L56" i="43"/>
  <c r="L55" i="43"/>
  <c r="L54" i="43"/>
  <c r="L52" i="43"/>
  <c r="L51" i="43"/>
  <c r="L50" i="43"/>
  <c r="L49" i="43"/>
  <c r="L48" i="43"/>
  <c r="L47" i="43"/>
  <c r="L46" i="43"/>
  <c r="L45" i="43"/>
  <c r="L44" i="43"/>
  <c r="L43" i="43"/>
  <c r="L42" i="43"/>
  <c r="L41" i="43"/>
  <c r="L40" i="43"/>
  <c r="L39" i="43"/>
  <c r="L37" i="43"/>
  <c r="L36" i="43"/>
  <c r="L35" i="43"/>
  <c r="L34" i="43"/>
  <c r="L33" i="43"/>
  <c r="L32" i="43"/>
  <c r="L31" i="43"/>
  <c r="L30" i="43"/>
  <c r="L29" i="43"/>
  <c r="L28" i="43"/>
  <c r="L27" i="43"/>
  <c r="L26" i="43"/>
  <c r="L25" i="43"/>
  <c r="L24" i="43"/>
  <c r="L23" i="43"/>
  <c r="L22" i="43"/>
  <c r="L21" i="43"/>
  <c r="L19" i="43"/>
  <c r="L18" i="43"/>
  <c r="L16" i="43"/>
  <c r="L15" i="43"/>
  <c r="L13" i="43"/>
  <c r="L12" i="43"/>
  <c r="L11" i="43"/>
  <c r="L10" i="43"/>
  <c r="L9" i="43"/>
  <c r="L8" i="43"/>
  <c r="L7" i="43"/>
  <c r="L5" i="43"/>
  <c r="L4" i="43"/>
  <c r="L118" i="41"/>
  <c r="L53" i="41"/>
  <c r="L3" i="41"/>
  <c r="L20" i="41"/>
  <c r="L79" i="41"/>
  <c r="L60" i="41"/>
  <c r="L6" i="41"/>
  <c r="L103" i="41"/>
  <c r="L102" i="41"/>
  <c r="L101" i="41"/>
  <c r="L100" i="41"/>
  <c r="L99" i="41"/>
  <c r="L98" i="41"/>
  <c r="L97" i="41"/>
  <c r="L96" i="41"/>
  <c r="L95" i="41"/>
  <c r="L94" i="41"/>
  <c r="L93" i="41"/>
  <c r="L92" i="41"/>
  <c r="L91" i="41"/>
  <c r="L90" i="41"/>
  <c r="L89" i="41"/>
  <c r="L87" i="41"/>
  <c r="L86" i="41"/>
  <c r="L85" i="41"/>
  <c r="L84" i="41"/>
  <c r="L83" i="41"/>
  <c r="L82" i="41"/>
  <c r="L81" i="41"/>
  <c r="L80" i="41"/>
  <c r="L78" i="41"/>
  <c r="L77" i="41"/>
  <c r="L76" i="41"/>
  <c r="L75" i="41"/>
  <c r="L74" i="41"/>
  <c r="L73" i="41"/>
  <c r="L72" i="41"/>
  <c r="L71" i="41"/>
  <c r="L70" i="41"/>
  <c r="L69" i="41"/>
  <c r="L68" i="41"/>
  <c r="L67" i="41"/>
  <c r="L66" i="41"/>
  <c r="L65" i="41"/>
  <c r="L64" i="41"/>
  <c r="L63" i="41"/>
  <c r="L62" i="41"/>
  <c r="L61" i="41"/>
  <c r="L59" i="41"/>
  <c r="L58" i="41"/>
  <c r="L57" i="41"/>
  <c r="L56" i="41"/>
  <c r="L55" i="41"/>
  <c r="L54" i="41"/>
  <c r="L52" i="41"/>
  <c r="L51" i="41"/>
  <c r="L50" i="41"/>
  <c r="L49" i="41"/>
  <c r="L48" i="41"/>
  <c r="L47" i="41"/>
  <c r="L46" i="41"/>
  <c r="L45" i="41"/>
  <c r="L44" i="41"/>
  <c r="L43" i="41"/>
  <c r="L42" i="41"/>
  <c r="L41" i="41"/>
  <c r="L40" i="41"/>
  <c r="L39" i="41"/>
  <c r="L38" i="41"/>
  <c r="L37" i="41"/>
  <c r="L36" i="41"/>
  <c r="L35" i="41"/>
  <c r="L34" i="41"/>
  <c r="L33" i="41"/>
  <c r="L32" i="41"/>
  <c r="L31" i="41"/>
  <c r="L30" i="41"/>
  <c r="L29" i="41"/>
  <c r="L28" i="41"/>
  <c r="L27" i="41"/>
  <c r="L26" i="41"/>
  <c r="L25" i="41"/>
  <c r="L24" i="41"/>
  <c r="L23" i="41"/>
  <c r="L22" i="41"/>
  <c r="L21" i="41"/>
  <c r="L19" i="41"/>
  <c r="L18" i="41"/>
  <c r="L16" i="41"/>
  <c r="L15" i="41"/>
  <c r="L13" i="41"/>
  <c r="L12" i="41"/>
  <c r="L11" i="41"/>
  <c r="L10" i="41"/>
  <c r="L9" i="41"/>
  <c r="L8" i="41"/>
  <c r="L7" i="41"/>
  <c r="L5" i="41"/>
  <c r="L4" i="41"/>
  <c r="L117" i="40"/>
  <c r="L118" i="40"/>
  <c r="L53" i="40"/>
  <c r="L3" i="40"/>
  <c r="L20" i="40"/>
  <c r="L79" i="40"/>
  <c r="L60" i="40"/>
  <c r="L6" i="40"/>
  <c r="L103" i="40"/>
  <c r="L102" i="40"/>
  <c r="L101" i="40"/>
  <c r="L100" i="40"/>
  <c r="L99" i="40"/>
  <c r="L98" i="40"/>
  <c r="L97" i="40"/>
  <c r="L96" i="40"/>
  <c r="L95" i="40"/>
  <c r="L94" i="40"/>
  <c r="L93" i="40"/>
  <c r="L92" i="40"/>
  <c r="L91" i="40"/>
  <c r="L90" i="40"/>
  <c r="L89" i="40"/>
  <c r="L87" i="40"/>
  <c r="L86" i="40"/>
  <c r="L85" i="40"/>
  <c r="L84" i="40"/>
  <c r="L83" i="40"/>
  <c r="L82" i="40"/>
  <c r="L81" i="40"/>
  <c r="L80" i="40"/>
  <c r="L78" i="40"/>
  <c r="L77" i="40"/>
  <c r="L76" i="40"/>
  <c r="L75" i="40"/>
  <c r="L74" i="40"/>
  <c r="L73" i="40"/>
  <c r="L72" i="40"/>
  <c r="L71" i="40"/>
  <c r="L70" i="40"/>
  <c r="L69" i="40"/>
  <c r="L68" i="40"/>
  <c r="L67" i="40"/>
  <c r="L66" i="40"/>
  <c r="L65" i="40"/>
  <c r="L64" i="40"/>
  <c r="L63" i="40"/>
  <c r="L62" i="40"/>
  <c r="L61" i="40"/>
  <c r="L59" i="40"/>
  <c r="L58" i="40"/>
  <c r="L57" i="40"/>
  <c r="L56" i="40"/>
  <c r="L55" i="40"/>
  <c r="L54" i="40"/>
  <c r="L52" i="40"/>
  <c r="L51" i="40"/>
  <c r="L50" i="40"/>
  <c r="L49" i="40"/>
  <c r="L48" i="40"/>
  <c r="L47" i="40"/>
  <c r="L46" i="40"/>
  <c r="L45" i="40"/>
  <c r="L44" i="40"/>
  <c r="L43" i="40"/>
  <c r="L42" i="40"/>
  <c r="L41" i="40"/>
  <c r="L40" i="40"/>
  <c r="L39" i="40"/>
  <c r="L38" i="40"/>
  <c r="L37" i="40"/>
  <c r="L36" i="40"/>
  <c r="L35" i="40"/>
  <c r="L34" i="40"/>
  <c r="L33" i="40"/>
  <c r="L32" i="40"/>
  <c r="L31" i="40"/>
  <c r="L30" i="40"/>
  <c r="L29" i="40"/>
  <c r="L28" i="40"/>
  <c r="L27" i="40"/>
  <c r="L26" i="40"/>
  <c r="L25" i="40"/>
  <c r="L24" i="40"/>
  <c r="L23" i="40"/>
  <c r="L22" i="40"/>
  <c r="L21" i="40"/>
  <c r="L19" i="40"/>
  <c r="L18" i="40"/>
  <c r="L16" i="40"/>
  <c r="L15" i="40"/>
  <c r="L13" i="40"/>
  <c r="L12" i="40"/>
  <c r="L11" i="40"/>
  <c r="L10" i="40"/>
  <c r="L9" i="40"/>
  <c r="L8" i="40"/>
  <c r="L7" i="40"/>
  <c r="L5" i="40"/>
  <c r="L117" i="39"/>
  <c r="L118" i="39"/>
  <c r="L53" i="39"/>
  <c r="L3" i="39"/>
  <c r="L103" i="39"/>
  <c r="L20" i="39"/>
  <c r="L79" i="39"/>
  <c r="L60" i="39"/>
  <c r="L6" i="39"/>
  <c r="L102" i="39"/>
  <c r="L101" i="39"/>
  <c r="L100" i="39"/>
  <c r="L99" i="39"/>
  <c r="L98" i="39"/>
  <c r="L97" i="39"/>
  <c r="L96" i="39"/>
  <c r="L95" i="39"/>
  <c r="L94" i="39"/>
  <c r="L93" i="39"/>
  <c r="L92" i="39"/>
  <c r="L91" i="39"/>
  <c r="L90" i="39"/>
  <c r="L89" i="39"/>
  <c r="L87" i="39"/>
  <c r="L86" i="39"/>
  <c r="L85" i="39"/>
  <c r="L84" i="39"/>
  <c r="L83" i="39"/>
  <c r="L82" i="39"/>
  <c r="L81" i="39"/>
  <c r="L80" i="39"/>
  <c r="L78" i="39"/>
  <c r="L77" i="39"/>
  <c r="L76" i="39"/>
  <c r="L75" i="39"/>
  <c r="L74" i="39"/>
  <c r="L73" i="39"/>
  <c r="L72" i="39"/>
  <c r="L71" i="39"/>
  <c r="L70" i="39"/>
  <c r="L69" i="39"/>
  <c r="L68" i="39"/>
  <c r="L67" i="39"/>
  <c r="L66" i="39"/>
  <c r="L65" i="39"/>
  <c r="L64" i="39"/>
  <c r="L63" i="39"/>
  <c r="L62" i="39"/>
  <c r="L61" i="39"/>
  <c r="L59" i="39"/>
  <c r="L58" i="39"/>
  <c r="L57" i="39"/>
  <c r="L56" i="39"/>
  <c r="L55" i="39"/>
  <c r="L54" i="39"/>
  <c r="L52" i="39"/>
  <c r="L51" i="39"/>
  <c r="L50" i="39"/>
  <c r="L49" i="39"/>
  <c r="L48" i="39"/>
  <c r="L47" i="39"/>
  <c r="L46" i="39"/>
  <c r="L45" i="39"/>
  <c r="L44" i="39"/>
  <c r="L43" i="39"/>
  <c r="L42" i="39"/>
  <c r="L41" i="39"/>
  <c r="L40" i="39"/>
  <c r="L39" i="39"/>
  <c r="L38" i="39"/>
  <c r="L37" i="39"/>
  <c r="L36" i="39"/>
  <c r="L35" i="39"/>
  <c r="L34" i="39"/>
  <c r="L33" i="39"/>
  <c r="L32" i="39"/>
  <c r="L31" i="39"/>
  <c r="L30" i="39"/>
  <c r="L29" i="39"/>
  <c r="L28" i="39"/>
  <c r="L27" i="39"/>
  <c r="L26" i="39"/>
  <c r="L25" i="39"/>
  <c r="L24" i="39"/>
  <c r="L23" i="39"/>
  <c r="L22" i="39"/>
  <c r="L21" i="39"/>
  <c r="L19" i="39"/>
  <c r="L18" i="39"/>
  <c r="L16" i="39"/>
  <c r="L15" i="39"/>
  <c r="L13" i="39"/>
  <c r="L12" i="39"/>
  <c r="L11" i="39"/>
  <c r="L10" i="39"/>
  <c r="L9" i="39"/>
  <c r="L8" i="39"/>
  <c r="L7" i="39"/>
  <c r="L5" i="39"/>
  <c r="C360" i="37"/>
  <c r="C331" i="37"/>
  <c r="C287" i="37"/>
  <c r="C274" i="37"/>
  <c r="L4" i="39"/>
  <c r="L4" i="40"/>
  <c r="L117" i="41"/>
  <c r="L117" i="43"/>
  <c r="L118" i="43"/>
  <c r="L118" i="48"/>
  <c r="B117" i="39"/>
  <c r="B118" i="39"/>
  <c r="B3" i="39"/>
  <c r="B117" i="40"/>
  <c r="B118" i="40"/>
  <c r="B3" i="40"/>
  <c r="C347" i="37"/>
  <c r="C346" i="37"/>
  <c r="C345" i="37"/>
  <c r="C281" i="37"/>
  <c r="C381" i="37"/>
  <c r="C380" i="37"/>
  <c r="C379" i="37"/>
  <c r="C378" i="37"/>
  <c r="C377" i="37"/>
  <c r="C376" i="37"/>
  <c r="C375" i="37"/>
  <c r="C374" i="37"/>
  <c r="C373" i="37"/>
  <c r="C372" i="37"/>
  <c r="C371" i="37"/>
  <c r="C370" i="37"/>
  <c r="C369" i="37"/>
  <c r="C368" i="37"/>
  <c r="C365" i="37"/>
  <c r="C364" i="37"/>
  <c r="C363" i="37"/>
  <c r="C362" i="37"/>
  <c r="C361" i="37"/>
  <c r="C359" i="37"/>
  <c r="C358" i="37"/>
  <c r="C357" i="37"/>
  <c r="C356" i="37"/>
  <c r="C355" i="37"/>
  <c r="C354" i="37"/>
  <c r="C344" i="37"/>
  <c r="C343" i="37"/>
  <c r="C342" i="37"/>
  <c r="C341" i="37"/>
  <c r="C340" i="37"/>
  <c r="C339" i="37"/>
  <c r="C338" i="37"/>
  <c r="C337" i="37"/>
  <c r="C336" i="37"/>
  <c r="C335" i="37"/>
  <c r="C334" i="37"/>
  <c r="C333" i="37"/>
  <c r="C332" i="37"/>
  <c r="C330" i="37"/>
  <c r="C329" i="37"/>
  <c r="C328" i="37"/>
  <c r="C327" i="37"/>
  <c r="C326" i="37"/>
  <c r="C325" i="37"/>
  <c r="C323" i="37"/>
  <c r="C322" i="37"/>
  <c r="C321" i="37"/>
  <c r="M28" i="50"/>
  <c r="M31" i="50"/>
  <c r="M34" i="50"/>
  <c r="M37" i="50"/>
  <c r="G93" i="29"/>
  <c r="E93" i="29"/>
  <c r="G92" i="29"/>
  <c r="E92" i="29"/>
  <c r="G91" i="29"/>
  <c r="E91" i="29"/>
  <c r="E434" i="44" s="1"/>
  <c r="G90" i="29"/>
  <c r="E90" i="29"/>
  <c r="I7" i="37" s="1"/>
  <c r="G89" i="29"/>
  <c r="E89" i="29"/>
  <c r="E418" i="44" s="1"/>
  <c r="G87" i="29"/>
  <c r="E87" i="29"/>
  <c r="E422" i="44" s="1"/>
  <c r="G84" i="29"/>
  <c r="E84" i="29"/>
  <c r="G83" i="29"/>
  <c r="E83" i="29"/>
  <c r="G82" i="29"/>
  <c r="E82" i="29"/>
  <c r="G81" i="29"/>
  <c r="E81" i="29"/>
  <c r="H7" i="37" s="1"/>
  <c r="G80" i="29"/>
  <c r="E80" i="29"/>
  <c r="E362" i="44" s="1"/>
  <c r="G78" i="29"/>
  <c r="E78" i="29"/>
  <c r="E366" i="44" s="1"/>
  <c r="G75" i="29"/>
  <c r="E75" i="29"/>
  <c r="G74" i="29"/>
  <c r="E74" i="29"/>
  <c r="G73" i="29"/>
  <c r="E73" i="29"/>
  <c r="G72" i="29"/>
  <c r="E72" i="29"/>
  <c r="G7" i="37" s="1"/>
  <c r="G71" i="29"/>
  <c r="E71" i="29"/>
  <c r="E306" i="44" s="1"/>
  <c r="G69" i="29"/>
  <c r="E69" i="29"/>
  <c r="E310" i="44" s="1"/>
  <c r="G66" i="29"/>
  <c r="E66" i="29"/>
  <c r="G65" i="29"/>
  <c r="E65" i="29"/>
  <c r="G64" i="29"/>
  <c r="E64" i="29"/>
  <c r="G63" i="29"/>
  <c r="E63" i="29"/>
  <c r="G62" i="29"/>
  <c r="E62" i="29"/>
  <c r="E250" i="44" s="1"/>
  <c r="G60" i="29"/>
  <c r="E60" i="29"/>
  <c r="E254" i="44" s="1"/>
  <c r="D324" i="37"/>
  <c r="E324" i="37" s="1"/>
  <c r="F324" i="37" s="1"/>
  <c r="G324" i="37" s="1"/>
  <c r="H324" i="37" s="1"/>
  <c r="I324" i="37" s="1"/>
  <c r="J324" i="37" s="1"/>
  <c r="K324" i="37" s="1"/>
  <c r="L324" i="37" s="1"/>
  <c r="M324" i="37" s="1"/>
  <c r="N324" i="37" s="1"/>
  <c r="O324" i="37" s="1"/>
  <c r="P324" i="37" s="1"/>
  <c r="Q324" i="37" s="1"/>
  <c r="R324" i="37" s="1"/>
  <c r="S324" i="37" s="1"/>
  <c r="T324" i="37" s="1"/>
  <c r="U324" i="37" s="1"/>
  <c r="V324" i="37" s="1"/>
  <c r="W324" i="37" s="1"/>
  <c r="X324" i="37" s="1"/>
  <c r="Y324" i="37" s="1"/>
  <c r="Z324" i="37" s="1"/>
  <c r="AA324" i="37" s="1"/>
  <c r="AB324" i="37" s="1"/>
  <c r="AC324" i="37" s="1"/>
  <c r="AD324" i="37" s="1"/>
  <c r="AE324" i="37" s="1"/>
  <c r="AF324" i="37" s="1"/>
  <c r="AG324" i="37" s="1"/>
  <c r="AH324" i="37" s="1"/>
  <c r="AI324" i="37" s="1"/>
  <c r="AJ324" i="37" s="1"/>
  <c r="AK324" i="37" s="1"/>
  <c r="AL324" i="37" s="1"/>
  <c r="AM324" i="37" s="1"/>
  <c r="AN324" i="37" s="1"/>
  <c r="AO324" i="37" s="1"/>
  <c r="AP324" i="37" s="1"/>
  <c r="AQ324" i="37" s="1"/>
  <c r="AR324" i="37" s="1"/>
  <c r="AS324" i="37" s="1"/>
  <c r="AT324" i="37" s="1"/>
  <c r="AU324" i="37" s="1"/>
  <c r="AV324" i="37" s="1"/>
  <c r="AW324" i="37" s="1"/>
  <c r="AX324" i="37" s="1"/>
  <c r="AY324" i="37" s="1"/>
  <c r="AZ324" i="37" s="1"/>
  <c r="BA324" i="37" s="1"/>
  <c r="BB324" i="37" s="1"/>
  <c r="BC324" i="37" s="1"/>
  <c r="BD324" i="37" s="1"/>
  <c r="BE324" i="37" s="1"/>
  <c r="BF324" i="37" s="1"/>
  <c r="BG324" i="37" s="1"/>
  <c r="BH324" i="37" s="1"/>
  <c r="BI324" i="37" s="1"/>
  <c r="BJ324" i="37" s="1"/>
  <c r="BK324" i="37" s="1"/>
  <c r="BL324" i="37" s="1"/>
  <c r="BM324" i="37" s="1"/>
  <c r="BN324" i="37" s="1"/>
  <c r="BO324" i="37" s="1"/>
  <c r="BP324" i="37" s="1"/>
  <c r="BQ324" i="37" s="1"/>
  <c r="BR324" i="37" s="1"/>
  <c r="BS324" i="37" s="1"/>
  <c r="BT324" i="37" s="1"/>
  <c r="BU324" i="37" s="1"/>
  <c r="BV324" i="37" s="1"/>
  <c r="BW324" i="37" s="1"/>
  <c r="D328" i="37"/>
  <c r="E328" i="37" s="1"/>
  <c r="F328" i="37" s="1"/>
  <c r="G328" i="37" s="1"/>
  <c r="H328" i="37" s="1"/>
  <c r="I328" i="37" s="1"/>
  <c r="J328" i="37" s="1"/>
  <c r="K328" i="37" s="1"/>
  <c r="L328" i="37" s="1"/>
  <c r="M328" i="37" s="1"/>
  <c r="N328" i="37" s="1"/>
  <c r="O328" i="37" s="1"/>
  <c r="P328" i="37" s="1"/>
  <c r="Q328" i="37" s="1"/>
  <c r="R328" i="37" s="1"/>
  <c r="S328" i="37" s="1"/>
  <c r="T328" i="37" s="1"/>
  <c r="U328" i="37" s="1"/>
  <c r="V328" i="37" s="1"/>
  <c r="W328" i="37" s="1"/>
  <c r="X328" i="37" s="1"/>
  <c r="Y328" i="37" s="1"/>
  <c r="Z328" i="37" s="1"/>
  <c r="AA328" i="37" s="1"/>
  <c r="AB328" i="37" s="1"/>
  <c r="AC328" i="37" s="1"/>
  <c r="AD328" i="37" s="1"/>
  <c r="AE328" i="37" s="1"/>
  <c r="AF328" i="37" s="1"/>
  <c r="AG328" i="37" s="1"/>
  <c r="AH328" i="37" s="1"/>
  <c r="AI328" i="37" s="1"/>
  <c r="AJ328" i="37" s="1"/>
  <c r="AK328" i="37" s="1"/>
  <c r="AL328" i="37" s="1"/>
  <c r="AM328" i="37" s="1"/>
  <c r="AN328" i="37" s="1"/>
  <c r="AO328" i="37" s="1"/>
  <c r="AP328" i="37" s="1"/>
  <c r="AQ328" i="37" s="1"/>
  <c r="AR328" i="37" s="1"/>
  <c r="AS328" i="37" s="1"/>
  <c r="AT328" i="37" s="1"/>
  <c r="AU328" i="37" s="1"/>
  <c r="AV328" i="37" s="1"/>
  <c r="AW328" i="37" s="1"/>
  <c r="AX328" i="37" s="1"/>
  <c r="AY328" i="37" s="1"/>
  <c r="AZ328" i="37" s="1"/>
  <c r="BA328" i="37" s="1"/>
  <c r="BB328" i="37" s="1"/>
  <c r="BC328" i="37" s="1"/>
  <c r="BD328" i="37" s="1"/>
  <c r="BE328" i="37" s="1"/>
  <c r="BF328" i="37" s="1"/>
  <c r="BG328" i="37" s="1"/>
  <c r="BH328" i="37" s="1"/>
  <c r="BI328" i="37" s="1"/>
  <c r="BJ328" i="37" s="1"/>
  <c r="BK328" i="37" s="1"/>
  <c r="BL328" i="37" s="1"/>
  <c r="BM328" i="37" s="1"/>
  <c r="BN328" i="37" s="1"/>
  <c r="BO328" i="37" s="1"/>
  <c r="BP328" i="37" s="1"/>
  <c r="BQ328" i="37" s="1"/>
  <c r="BR328" i="37" s="1"/>
  <c r="BS328" i="37" s="1"/>
  <c r="BT328" i="37" s="1"/>
  <c r="BU328" i="37" s="1"/>
  <c r="BV328" i="37" s="1"/>
  <c r="BW328" i="37" s="1"/>
  <c r="D354" i="37"/>
  <c r="E354" i="37" s="1"/>
  <c r="F354" i="37" s="1"/>
  <c r="G354" i="37" s="1"/>
  <c r="H354" i="37" s="1"/>
  <c r="I354" i="37" s="1"/>
  <c r="J354" i="37" s="1"/>
  <c r="K354" i="37" s="1"/>
  <c r="L354" i="37" s="1"/>
  <c r="M354" i="37" s="1"/>
  <c r="N354" i="37" s="1"/>
  <c r="O354" i="37" s="1"/>
  <c r="P354" i="37" s="1"/>
  <c r="Q354" i="37" s="1"/>
  <c r="R354" i="37" s="1"/>
  <c r="S354" i="37" s="1"/>
  <c r="T354" i="37" s="1"/>
  <c r="U354" i="37" s="1"/>
  <c r="V354" i="37" s="1"/>
  <c r="W354" i="37" s="1"/>
  <c r="X354" i="37" s="1"/>
  <c r="Y354" i="37" s="1"/>
  <c r="Z354" i="37" s="1"/>
  <c r="AA354" i="37" s="1"/>
  <c r="AB354" i="37" s="1"/>
  <c r="AC354" i="37" s="1"/>
  <c r="AD354" i="37" s="1"/>
  <c r="AE354" i="37" s="1"/>
  <c r="AF354" i="37" s="1"/>
  <c r="AG354" i="37" s="1"/>
  <c r="AH354" i="37" s="1"/>
  <c r="AI354" i="37" s="1"/>
  <c r="AJ354" i="37" s="1"/>
  <c r="AK354" i="37" s="1"/>
  <c r="AL354" i="37" s="1"/>
  <c r="AM354" i="37" s="1"/>
  <c r="AN354" i="37" s="1"/>
  <c r="AO354" i="37" s="1"/>
  <c r="AP354" i="37" s="1"/>
  <c r="AQ354" i="37" s="1"/>
  <c r="AR354" i="37" s="1"/>
  <c r="AS354" i="37" s="1"/>
  <c r="AT354" i="37" s="1"/>
  <c r="AU354" i="37" s="1"/>
  <c r="AV354" i="37" s="1"/>
  <c r="AW354" i="37" s="1"/>
  <c r="AX354" i="37" s="1"/>
  <c r="AY354" i="37" s="1"/>
  <c r="AZ354" i="37" s="1"/>
  <c r="BA354" i="37" s="1"/>
  <c r="BB354" i="37" s="1"/>
  <c r="BC354" i="37" s="1"/>
  <c r="BD354" i="37" s="1"/>
  <c r="BE354" i="37" s="1"/>
  <c r="BF354" i="37" s="1"/>
  <c r="BG354" i="37" s="1"/>
  <c r="BH354" i="37" s="1"/>
  <c r="BI354" i="37" s="1"/>
  <c r="BJ354" i="37" s="1"/>
  <c r="BK354" i="37" s="1"/>
  <c r="BL354" i="37" s="1"/>
  <c r="BM354" i="37" s="1"/>
  <c r="BN354" i="37" s="1"/>
  <c r="BO354" i="37" s="1"/>
  <c r="BP354" i="37" s="1"/>
  <c r="BQ354" i="37" s="1"/>
  <c r="BR354" i="37" s="1"/>
  <c r="BS354" i="37" s="1"/>
  <c r="BT354" i="37" s="1"/>
  <c r="BU354" i="37" s="1"/>
  <c r="BV354" i="37" s="1"/>
  <c r="BW354" i="37" s="1"/>
  <c r="K27" i="28"/>
  <c r="K26" i="28"/>
  <c r="E56" i="33"/>
  <c r="E55" i="33"/>
  <c r="E54" i="33"/>
  <c r="M25" i="50"/>
  <c r="M19" i="50"/>
  <c r="M22" i="50"/>
  <c r="M16" i="50"/>
  <c r="G35" i="29"/>
  <c r="E35" i="29"/>
  <c r="E82" i="44" s="1"/>
  <c r="G44" i="29"/>
  <c r="E44" i="29"/>
  <c r="E138" i="44" s="1"/>
  <c r="G53" i="29"/>
  <c r="E53" i="29"/>
  <c r="E194" i="44" s="1"/>
  <c r="G26" i="29"/>
  <c r="E26" i="29"/>
  <c r="E26" i="44" s="1"/>
  <c r="G60" i="36"/>
  <c r="G59" i="36"/>
  <c r="G58" i="36"/>
  <c r="G57" i="36"/>
  <c r="G56" i="36"/>
  <c r="G55" i="36"/>
  <c r="G54" i="36"/>
  <c r="G46" i="36"/>
  <c r="G45" i="36"/>
  <c r="G44" i="36"/>
  <c r="G43" i="36"/>
  <c r="G42" i="36"/>
  <c r="G41" i="36"/>
  <c r="G40" i="36"/>
  <c r="G39" i="36"/>
  <c r="B117" i="48"/>
  <c r="B118" i="48"/>
  <c r="B3" i="48"/>
  <c r="G55" i="29"/>
  <c r="E55" i="29"/>
  <c r="G46" i="29"/>
  <c r="E46" i="29"/>
  <c r="E154" i="44" s="1"/>
  <c r="G37" i="29"/>
  <c r="E37" i="29"/>
  <c r="G28" i="29"/>
  <c r="E28" i="29"/>
  <c r="C42" i="46"/>
  <c r="B117" i="43"/>
  <c r="B118" i="43"/>
  <c r="B3" i="43"/>
  <c r="B117" i="42"/>
  <c r="B118" i="42"/>
  <c r="B3" i="42"/>
  <c r="B117" i="41"/>
  <c r="B118" i="41"/>
  <c r="B3" i="41"/>
  <c r="C320" i="37"/>
  <c r="C319" i="37"/>
  <c r="C318" i="37"/>
  <c r="C317" i="37"/>
  <c r="C316" i="37"/>
  <c r="C315" i="37"/>
  <c r="D315" i="37" s="1"/>
  <c r="E315" i="37" s="1"/>
  <c r="F315" i="37" s="1"/>
  <c r="G315" i="37" s="1"/>
  <c r="H315" i="37" s="1"/>
  <c r="I315" i="37" s="1"/>
  <c r="J315" i="37" s="1"/>
  <c r="K315" i="37" s="1"/>
  <c r="L315" i="37" s="1"/>
  <c r="M315" i="37" s="1"/>
  <c r="N315" i="37" s="1"/>
  <c r="O315" i="37" s="1"/>
  <c r="P315" i="37" s="1"/>
  <c r="Q315" i="37" s="1"/>
  <c r="R315" i="37" s="1"/>
  <c r="S315" i="37" s="1"/>
  <c r="T315" i="37" s="1"/>
  <c r="U315" i="37" s="1"/>
  <c r="V315" i="37" s="1"/>
  <c r="W315" i="37" s="1"/>
  <c r="X315" i="37" s="1"/>
  <c r="Y315" i="37" s="1"/>
  <c r="Z315" i="37" s="1"/>
  <c r="AA315" i="37" s="1"/>
  <c r="AB315" i="37" s="1"/>
  <c r="AC315" i="37" s="1"/>
  <c r="AD315" i="37" s="1"/>
  <c r="AE315" i="37" s="1"/>
  <c r="AF315" i="37" s="1"/>
  <c r="AG315" i="37" s="1"/>
  <c r="AH315" i="37" s="1"/>
  <c r="AI315" i="37" s="1"/>
  <c r="AJ315" i="37" s="1"/>
  <c r="AK315" i="37" s="1"/>
  <c r="AL315" i="37" s="1"/>
  <c r="AM315" i="37" s="1"/>
  <c r="AN315" i="37" s="1"/>
  <c r="AO315" i="37" s="1"/>
  <c r="AP315" i="37" s="1"/>
  <c r="AQ315" i="37" s="1"/>
  <c r="AR315" i="37" s="1"/>
  <c r="AS315" i="37" s="1"/>
  <c r="AT315" i="37" s="1"/>
  <c r="AU315" i="37" s="1"/>
  <c r="AV315" i="37" s="1"/>
  <c r="AW315" i="37" s="1"/>
  <c r="AX315" i="37" s="1"/>
  <c r="AY315" i="37" s="1"/>
  <c r="AZ315" i="37" s="1"/>
  <c r="BA315" i="37" s="1"/>
  <c r="BB315" i="37" s="1"/>
  <c r="BC315" i="37" s="1"/>
  <c r="BD315" i="37" s="1"/>
  <c r="BE315" i="37" s="1"/>
  <c r="BF315" i="37" s="1"/>
  <c r="BG315" i="37" s="1"/>
  <c r="BH315" i="37" s="1"/>
  <c r="BI315" i="37" s="1"/>
  <c r="BJ315" i="37" s="1"/>
  <c r="BK315" i="37" s="1"/>
  <c r="BL315" i="37" s="1"/>
  <c r="BM315" i="37" s="1"/>
  <c r="BN315" i="37" s="1"/>
  <c r="BO315" i="37" s="1"/>
  <c r="BP315" i="37" s="1"/>
  <c r="BQ315" i="37" s="1"/>
  <c r="BR315" i="37" s="1"/>
  <c r="BS315" i="37" s="1"/>
  <c r="BT315" i="37" s="1"/>
  <c r="BU315" i="37" s="1"/>
  <c r="BV315" i="37" s="1"/>
  <c r="BW315" i="37" s="1"/>
  <c r="C314" i="37"/>
  <c r="C310" i="37"/>
  <c r="C309" i="37"/>
  <c r="C308" i="37"/>
  <c r="C307" i="37"/>
  <c r="C306" i="37"/>
  <c r="C305" i="37"/>
  <c r="C304" i="37"/>
  <c r="C303" i="37"/>
  <c r="C302" i="37"/>
  <c r="C301" i="37"/>
  <c r="C300" i="37"/>
  <c r="C299" i="37"/>
  <c r="C298" i="37"/>
  <c r="C297" i="37"/>
  <c r="C296" i="37"/>
  <c r="C295" i="37"/>
  <c r="C294" i="37"/>
  <c r="C293" i="37"/>
  <c r="C292" i="37"/>
  <c r="C291" i="37"/>
  <c r="C290" i="37"/>
  <c r="C289" i="37"/>
  <c r="C288" i="37"/>
  <c r="C286" i="37"/>
  <c r="C285" i="37"/>
  <c r="C284" i="37"/>
  <c r="C283" i="37"/>
  <c r="C282" i="37"/>
  <c r="C280" i="37"/>
  <c r="C279" i="37"/>
  <c r="C278" i="37"/>
  <c r="C277" i="37"/>
  <c r="C276" i="37"/>
  <c r="C275" i="37"/>
  <c r="C273" i="37"/>
  <c r="C272" i="37"/>
  <c r="E57" i="29"/>
  <c r="G57" i="29"/>
  <c r="E56" i="29"/>
  <c r="G56" i="29"/>
  <c r="E54" i="29"/>
  <c r="G54" i="29"/>
  <c r="E51" i="29"/>
  <c r="E198" i="44" s="1"/>
  <c r="G51" i="29"/>
  <c r="E48" i="29"/>
  <c r="G48" i="29"/>
  <c r="E47" i="29"/>
  <c r="G47" i="29"/>
  <c r="E45" i="29"/>
  <c r="D7" i="37" s="1"/>
  <c r="G45" i="29"/>
  <c r="E42" i="29"/>
  <c r="E142" i="44" s="1"/>
  <c r="G42" i="29"/>
  <c r="E39" i="29"/>
  <c r="G39" i="29"/>
  <c r="E38" i="29"/>
  <c r="G38" i="29"/>
  <c r="E36" i="29"/>
  <c r="G36" i="29"/>
  <c r="E33" i="29"/>
  <c r="E86" i="44" s="1"/>
  <c r="G33" i="29"/>
  <c r="E30" i="29"/>
  <c r="G30" i="29"/>
  <c r="E29" i="29"/>
  <c r="G29" i="29"/>
  <c r="E27" i="29"/>
  <c r="G27" i="29"/>
  <c r="E24" i="29"/>
  <c r="E30" i="44" s="1"/>
  <c r="G24" i="29"/>
  <c r="G21" i="29"/>
  <c r="G20" i="29"/>
  <c r="K23" i="28"/>
  <c r="K22" i="28"/>
  <c r="E108" i="36"/>
  <c r="E117" i="36" s="1"/>
  <c r="F120" i="36"/>
  <c r="E109" i="36"/>
  <c r="E110" i="36"/>
  <c r="F131" i="36"/>
  <c r="F132" i="36"/>
  <c r="F133" i="36"/>
  <c r="F134" i="36"/>
  <c r="F135" i="36"/>
  <c r="F136" i="36"/>
  <c r="F137" i="36"/>
  <c r="E142" i="36"/>
  <c r="F142" i="36" s="1"/>
  <c r="E143" i="36"/>
  <c r="F143" i="36" s="1"/>
  <c r="E144" i="36"/>
  <c r="F144" i="36" s="1"/>
  <c r="E145" i="36"/>
  <c r="F145" i="36" s="1"/>
  <c r="E146" i="36"/>
  <c r="F146" i="36" s="1"/>
  <c r="E147" i="36"/>
  <c r="F147" i="36" s="1"/>
  <c r="E148" i="36"/>
  <c r="F148" i="36" s="1"/>
  <c r="E149" i="36"/>
  <c r="F149" i="36" s="1"/>
  <c r="E150" i="36"/>
  <c r="F150" i="36" s="1"/>
  <c r="E151" i="36"/>
  <c r="F151" i="36" s="1"/>
  <c r="E156" i="36"/>
  <c r="F156" i="36" s="1"/>
  <c r="E157" i="36"/>
  <c r="F157" i="36" s="1"/>
  <c r="E158" i="36"/>
  <c r="F158" i="36" s="1"/>
  <c r="E159" i="36"/>
  <c r="F159" i="36" s="1"/>
  <c r="E160" i="36"/>
  <c r="F160" i="36" s="1"/>
  <c r="E161" i="36"/>
  <c r="F161" i="36" s="1"/>
  <c r="E162" i="36"/>
  <c r="F162" i="36" s="1"/>
  <c r="E163" i="36"/>
  <c r="F163" i="36" s="1"/>
  <c r="E164" i="36"/>
  <c r="F164" i="36" s="1"/>
  <c r="E165" i="36"/>
  <c r="F165" i="36" s="1"/>
  <c r="E170" i="36"/>
  <c r="F170" i="36" s="1"/>
  <c r="E171" i="36"/>
  <c r="F171" i="36" s="1"/>
  <c r="E172" i="36"/>
  <c r="F172" i="36" s="1"/>
  <c r="E173" i="36"/>
  <c r="F173" i="36" s="1"/>
  <c r="E174" i="36"/>
  <c r="F174" i="36" s="1"/>
  <c r="E175" i="36"/>
  <c r="F175" i="36" s="1"/>
  <c r="E176" i="36"/>
  <c r="F176" i="36" s="1"/>
  <c r="E177" i="36"/>
  <c r="F177" i="36" s="1"/>
  <c r="E178" i="36"/>
  <c r="F178" i="36" s="1"/>
  <c r="E179" i="36"/>
  <c r="F179" i="36" s="1"/>
  <c r="F123" i="36"/>
  <c r="F118" i="36"/>
  <c r="F117" i="36"/>
  <c r="F119" i="36"/>
  <c r="F122" i="36"/>
  <c r="F121" i="36"/>
  <c r="F116" i="36"/>
  <c r="E14" i="29"/>
  <c r="J16" i="29" s="1"/>
  <c r="K24" i="28"/>
  <c r="K25" i="28"/>
  <c r="E33" i="28"/>
  <c r="E35" i="28" s="1"/>
  <c r="E34" i="28"/>
  <c r="D47" i="1"/>
  <c r="D43" i="1"/>
  <c r="D41" i="1"/>
  <c r="D285" i="37" l="1"/>
  <c r="E285" i="37" s="1"/>
  <c r="F285" i="37" s="1"/>
  <c r="G285" i="37" s="1"/>
  <c r="H285" i="37" s="1"/>
  <c r="I285" i="37" s="1"/>
  <c r="J285" i="37" s="1"/>
  <c r="K285" i="37" s="1"/>
  <c r="L285" i="37" s="1"/>
  <c r="M285" i="37" s="1"/>
  <c r="N285" i="37" s="1"/>
  <c r="O285" i="37" s="1"/>
  <c r="P285" i="37" s="1"/>
  <c r="Q285" i="37" s="1"/>
  <c r="R285" i="37" s="1"/>
  <c r="S285" i="37" s="1"/>
  <c r="T285" i="37" s="1"/>
  <c r="U285" i="37" s="1"/>
  <c r="V285" i="37" s="1"/>
  <c r="W285" i="37" s="1"/>
  <c r="X285" i="37" s="1"/>
  <c r="Y285" i="37" s="1"/>
  <c r="Z285" i="37" s="1"/>
  <c r="AA285" i="37" s="1"/>
  <c r="AB285" i="37" s="1"/>
  <c r="AC285" i="37" s="1"/>
  <c r="AD285" i="37" s="1"/>
  <c r="AE285" i="37" s="1"/>
  <c r="AF285" i="37" s="1"/>
  <c r="AG285" i="37" s="1"/>
  <c r="AH285" i="37" s="1"/>
  <c r="AI285" i="37" s="1"/>
  <c r="AJ285" i="37" s="1"/>
  <c r="AK285" i="37" s="1"/>
  <c r="AL285" i="37" s="1"/>
  <c r="AM285" i="37" s="1"/>
  <c r="AN285" i="37" s="1"/>
  <c r="AO285" i="37" s="1"/>
  <c r="AP285" i="37" s="1"/>
  <c r="AQ285" i="37" s="1"/>
  <c r="AR285" i="37" s="1"/>
  <c r="AS285" i="37" s="1"/>
  <c r="AT285" i="37" s="1"/>
  <c r="AU285" i="37" s="1"/>
  <c r="AV285" i="37" s="1"/>
  <c r="AW285" i="37" s="1"/>
  <c r="AX285" i="37" s="1"/>
  <c r="AY285" i="37" s="1"/>
  <c r="AZ285" i="37" s="1"/>
  <c r="BA285" i="37" s="1"/>
  <c r="BB285" i="37" s="1"/>
  <c r="BC285" i="37" s="1"/>
  <c r="BD285" i="37" s="1"/>
  <c r="BE285" i="37" s="1"/>
  <c r="BF285" i="37" s="1"/>
  <c r="BG285" i="37" s="1"/>
  <c r="BH285" i="37" s="1"/>
  <c r="BI285" i="37" s="1"/>
  <c r="BJ285" i="37" s="1"/>
  <c r="BK285" i="37" s="1"/>
  <c r="BL285" i="37" s="1"/>
  <c r="BM285" i="37" s="1"/>
  <c r="BN285" i="37" s="1"/>
  <c r="BO285" i="37" s="1"/>
  <c r="BP285" i="37" s="1"/>
  <c r="BQ285" i="37" s="1"/>
  <c r="BR285" i="37" s="1"/>
  <c r="BS285" i="37" s="1"/>
  <c r="BT285" i="37" s="1"/>
  <c r="BU285" i="37" s="1"/>
  <c r="BV285" i="37" s="1"/>
  <c r="BW285" i="37" s="1"/>
  <c r="D298" i="37"/>
  <c r="E298" i="37" s="1"/>
  <c r="F298" i="37" s="1"/>
  <c r="G298" i="37" s="1"/>
  <c r="H298" i="37" s="1"/>
  <c r="I298" i="37" s="1"/>
  <c r="J298" i="37" s="1"/>
  <c r="K298" i="37" s="1"/>
  <c r="L298" i="37" s="1"/>
  <c r="M298" i="37" s="1"/>
  <c r="N298" i="37" s="1"/>
  <c r="O298" i="37" s="1"/>
  <c r="P298" i="37" s="1"/>
  <c r="Q298" i="37" s="1"/>
  <c r="R298" i="37" s="1"/>
  <c r="S298" i="37" s="1"/>
  <c r="T298" i="37" s="1"/>
  <c r="U298" i="37" s="1"/>
  <c r="V298" i="37" s="1"/>
  <c r="W298" i="37" s="1"/>
  <c r="X298" i="37" s="1"/>
  <c r="Y298" i="37" s="1"/>
  <c r="Z298" i="37" s="1"/>
  <c r="AA298" i="37" s="1"/>
  <c r="AB298" i="37" s="1"/>
  <c r="AC298" i="37" s="1"/>
  <c r="AD298" i="37" s="1"/>
  <c r="AE298" i="37" s="1"/>
  <c r="AF298" i="37" s="1"/>
  <c r="AG298" i="37" s="1"/>
  <c r="AH298" i="37" s="1"/>
  <c r="AI298" i="37" s="1"/>
  <c r="AJ298" i="37" s="1"/>
  <c r="AK298" i="37" s="1"/>
  <c r="AL298" i="37" s="1"/>
  <c r="AM298" i="37" s="1"/>
  <c r="AN298" i="37" s="1"/>
  <c r="AO298" i="37" s="1"/>
  <c r="AP298" i="37" s="1"/>
  <c r="AQ298" i="37" s="1"/>
  <c r="AR298" i="37" s="1"/>
  <c r="AS298" i="37" s="1"/>
  <c r="AT298" i="37" s="1"/>
  <c r="AU298" i="37" s="1"/>
  <c r="AV298" i="37" s="1"/>
  <c r="AW298" i="37" s="1"/>
  <c r="AX298" i="37" s="1"/>
  <c r="AY298" i="37" s="1"/>
  <c r="AZ298" i="37" s="1"/>
  <c r="BA298" i="37" s="1"/>
  <c r="BB298" i="37" s="1"/>
  <c r="BC298" i="37" s="1"/>
  <c r="BD298" i="37" s="1"/>
  <c r="BE298" i="37" s="1"/>
  <c r="BF298" i="37" s="1"/>
  <c r="BG298" i="37" s="1"/>
  <c r="BH298" i="37" s="1"/>
  <c r="BI298" i="37" s="1"/>
  <c r="BJ298" i="37" s="1"/>
  <c r="BK298" i="37" s="1"/>
  <c r="BL298" i="37" s="1"/>
  <c r="BM298" i="37" s="1"/>
  <c r="BN298" i="37" s="1"/>
  <c r="BO298" i="37" s="1"/>
  <c r="BP298" i="37" s="1"/>
  <c r="BQ298" i="37" s="1"/>
  <c r="BR298" i="37" s="1"/>
  <c r="BS298" i="37" s="1"/>
  <c r="BT298" i="37" s="1"/>
  <c r="BU298" i="37" s="1"/>
  <c r="BV298" i="37" s="1"/>
  <c r="BW298" i="37" s="1"/>
  <c r="D306" i="37"/>
  <c r="E306" i="37" s="1"/>
  <c r="F306" i="37" s="1"/>
  <c r="G306" i="37" s="1"/>
  <c r="H306" i="37" s="1"/>
  <c r="I306" i="37" s="1"/>
  <c r="J306" i="37" s="1"/>
  <c r="K306" i="37" s="1"/>
  <c r="L306" i="37" s="1"/>
  <c r="M306" i="37" s="1"/>
  <c r="N306" i="37" s="1"/>
  <c r="O306" i="37" s="1"/>
  <c r="P306" i="37" s="1"/>
  <c r="Q306" i="37" s="1"/>
  <c r="R306" i="37" s="1"/>
  <c r="S306" i="37" s="1"/>
  <c r="T306" i="37" s="1"/>
  <c r="U306" i="37" s="1"/>
  <c r="V306" i="37" s="1"/>
  <c r="W306" i="37" s="1"/>
  <c r="X306" i="37" s="1"/>
  <c r="Y306" i="37" s="1"/>
  <c r="Z306" i="37" s="1"/>
  <c r="AA306" i="37" s="1"/>
  <c r="AB306" i="37" s="1"/>
  <c r="AC306" i="37" s="1"/>
  <c r="AD306" i="37" s="1"/>
  <c r="AE306" i="37" s="1"/>
  <c r="AF306" i="37" s="1"/>
  <c r="AG306" i="37" s="1"/>
  <c r="AH306" i="37" s="1"/>
  <c r="AI306" i="37" s="1"/>
  <c r="AJ306" i="37" s="1"/>
  <c r="AK306" i="37" s="1"/>
  <c r="AL306" i="37" s="1"/>
  <c r="AM306" i="37" s="1"/>
  <c r="AN306" i="37" s="1"/>
  <c r="AO306" i="37" s="1"/>
  <c r="AP306" i="37" s="1"/>
  <c r="AQ306" i="37" s="1"/>
  <c r="AR306" i="37" s="1"/>
  <c r="AS306" i="37" s="1"/>
  <c r="AT306" i="37" s="1"/>
  <c r="AU306" i="37" s="1"/>
  <c r="AV306" i="37" s="1"/>
  <c r="AW306" i="37" s="1"/>
  <c r="AX306" i="37" s="1"/>
  <c r="AY306" i="37" s="1"/>
  <c r="AZ306" i="37" s="1"/>
  <c r="BA306" i="37" s="1"/>
  <c r="BB306" i="37" s="1"/>
  <c r="BC306" i="37" s="1"/>
  <c r="BD306" i="37" s="1"/>
  <c r="BE306" i="37" s="1"/>
  <c r="BF306" i="37" s="1"/>
  <c r="BG306" i="37" s="1"/>
  <c r="BH306" i="37" s="1"/>
  <c r="BI306" i="37" s="1"/>
  <c r="BJ306" i="37" s="1"/>
  <c r="BK306" i="37" s="1"/>
  <c r="BL306" i="37" s="1"/>
  <c r="BM306" i="37" s="1"/>
  <c r="BN306" i="37" s="1"/>
  <c r="BO306" i="37" s="1"/>
  <c r="BP306" i="37" s="1"/>
  <c r="BQ306" i="37" s="1"/>
  <c r="BR306" i="37" s="1"/>
  <c r="BS306" i="37" s="1"/>
  <c r="BT306" i="37" s="1"/>
  <c r="BU306" i="37" s="1"/>
  <c r="BV306" i="37" s="1"/>
  <c r="BW306" i="37" s="1"/>
  <c r="D330" i="37"/>
  <c r="E330" i="37" s="1"/>
  <c r="F330" i="37" s="1"/>
  <c r="G330" i="37" s="1"/>
  <c r="H330" i="37" s="1"/>
  <c r="I330" i="37" s="1"/>
  <c r="J330" i="37" s="1"/>
  <c r="K330" i="37" s="1"/>
  <c r="L330" i="37" s="1"/>
  <c r="M330" i="37" s="1"/>
  <c r="N330" i="37" s="1"/>
  <c r="O330" i="37" s="1"/>
  <c r="P330" i="37" s="1"/>
  <c r="Q330" i="37" s="1"/>
  <c r="R330" i="37" s="1"/>
  <c r="S330" i="37" s="1"/>
  <c r="T330" i="37" s="1"/>
  <c r="U330" i="37" s="1"/>
  <c r="V330" i="37" s="1"/>
  <c r="W330" i="37" s="1"/>
  <c r="X330" i="37" s="1"/>
  <c r="Y330" i="37" s="1"/>
  <c r="Z330" i="37" s="1"/>
  <c r="AA330" i="37" s="1"/>
  <c r="AB330" i="37" s="1"/>
  <c r="AC330" i="37" s="1"/>
  <c r="AD330" i="37" s="1"/>
  <c r="AE330" i="37" s="1"/>
  <c r="AF330" i="37" s="1"/>
  <c r="AG330" i="37" s="1"/>
  <c r="AH330" i="37" s="1"/>
  <c r="AI330" i="37" s="1"/>
  <c r="AJ330" i="37" s="1"/>
  <c r="AK330" i="37" s="1"/>
  <c r="AL330" i="37" s="1"/>
  <c r="AM330" i="37" s="1"/>
  <c r="AN330" i="37" s="1"/>
  <c r="AO330" i="37" s="1"/>
  <c r="AP330" i="37" s="1"/>
  <c r="AQ330" i="37" s="1"/>
  <c r="AR330" i="37" s="1"/>
  <c r="AS330" i="37" s="1"/>
  <c r="AT330" i="37" s="1"/>
  <c r="AU330" i="37" s="1"/>
  <c r="AV330" i="37" s="1"/>
  <c r="AW330" i="37" s="1"/>
  <c r="AX330" i="37" s="1"/>
  <c r="AY330" i="37" s="1"/>
  <c r="AZ330" i="37" s="1"/>
  <c r="BA330" i="37" s="1"/>
  <c r="BB330" i="37" s="1"/>
  <c r="BC330" i="37" s="1"/>
  <c r="BD330" i="37" s="1"/>
  <c r="BE330" i="37" s="1"/>
  <c r="BF330" i="37" s="1"/>
  <c r="BG330" i="37" s="1"/>
  <c r="BH330" i="37" s="1"/>
  <c r="BI330" i="37" s="1"/>
  <c r="BJ330" i="37" s="1"/>
  <c r="BK330" i="37" s="1"/>
  <c r="BL330" i="37" s="1"/>
  <c r="BM330" i="37" s="1"/>
  <c r="BN330" i="37" s="1"/>
  <c r="BO330" i="37" s="1"/>
  <c r="BP330" i="37" s="1"/>
  <c r="BQ330" i="37" s="1"/>
  <c r="BR330" i="37" s="1"/>
  <c r="BS330" i="37" s="1"/>
  <c r="BT330" i="37" s="1"/>
  <c r="BU330" i="37" s="1"/>
  <c r="BV330" i="37" s="1"/>
  <c r="BW330" i="37" s="1"/>
  <c r="D343" i="37"/>
  <c r="E343" i="37" s="1"/>
  <c r="F343" i="37" s="1"/>
  <c r="G343" i="37" s="1"/>
  <c r="H343" i="37" s="1"/>
  <c r="I343" i="37" s="1"/>
  <c r="J343" i="37" s="1"/>
  <c r="K343" i="37" s="1"/>
  <c r="L343" i="37" s="1"/>
  <c r="M343" i="37" s="1"/>
  <c r="N343" i="37" s="1"/>
  <c r="O343" i="37" s="1"/>
  <c r="P343" i="37" s="1"/>
  <c r="Q343" i="37" s="1"/>
  <c r="R343" i="37" s="1"/>
  <c r="S343" i="37" s="1"/>
  <c r="T343" i="37" s="1"/>
  <c r="U343" i="37" s="1"/>
  <c r="V343" i="37" s="1"/>
  <c r="W343" i="37" s="1"/>
  <c r="X343" i="37" s="1"/>
  <c r="Y343" i="37" s="1"/>
  <c r="Z343" i="37" s="1"/>
  <c r="AA343" i="37" s="1"/>
  <c r="AB343" i="37" s="1"/>
  <c r="AC343" i="37" s="1"/>
  <c r="AD343" i="37" s="1"/>
  <c r="AE343" i="37" s="1"/>
  <c r="AF343" i="37" s="1"/>
  <c r="AG343" i="37" s="1"/>
  <c r="AH343" i="37" s="1"/>
  <c r="AI343" i="37" s="1"/>
  <c r="AJ343" i="37" s="1"/>
  <c r="AK343" i="37" s="1"/>
  <c r="AL343" i="37" s="1"/>
  <c r="AM343" i="37" s="1"/>
  <c r="AN343" i="37" s="1"/>
  <c r="AO343" i="37" s="1"/>
  <c r="AP343" i="37" s="1"/>
  <c r="AQ343" i="37" s="1"/>
  <c r="AR343" i="37" s="1"/>
  <c r="AS343" i="37" s="1"/>
  <c r="AT343" i="37" s="1"/>
  <c r="AU343" i="37" s="1"/>
  <c r="AV343" i="37" s="1"/>
  <c r="AW343" i="37" s="1"/>
  <c r="AX343" i="37" s="1"/>
  <c r="AY343" i="37" s="1"/>
  <c r="AZ343" i="37" s="1"/>
  <c r="BA343" i="37" s="1"/>
  <c r="BB343" i="37" s="1"/>
  <c r="BC343" i="37" s="1"/>
  <c r="BD343" i="37" s="1"/>
  <c r="BE343" i="37" s="1"/>
  <c r="BF343" i="37" s="1"/>
  <c r="BG343" i="37" s="1"/>
  <c r="BH343" i="37" s="1"/>
  <c r="BI343" i="37" s="1"/>
  <c r="BJ343" i="37" s="1"/>
  <c r="BK343" i="37" s="1"/>
  <c r="BL343" i="37" s="1"/>
  <c r="BM343" i="37" s="1"/>
  <c r="BN343" i="37" s="1"/>
  <c r="BO343" i="37" s="1"/>
  <c r="BP343" i="37" s="1"/>
  <c r="BQ343" i="37" s="1"/>
  <c r="BR343" i="37" s="1"/>
  <c r="BS343" i="37" s="1"/>
  <c r="BT343" i="37" s="1"/>
  <c r="BU343" i="37" s="1"/>
  <c r="BV343" i="37" s="1"/>
  <c r="BW343" i="37" s="1"/>
  <c r="D365" i="37"/>
  <c r="E365" i="37" s="1"/>
  <c r="F365" i="37" s="1"/>
  <c r="G365" i="37" s="1"/>
  <c r="H365" i="37" s="1"/>
  <c r="I365" i="37" s="1"/>
  <c r="J365" i="37" s="1"/>
  <c r="K365" i="37" s="1"/>
  <c r="L365" i="37" s="1"/>
  <c r="M365" i="37" s="1"/>
  <c r="N365" i="37" s="1"/>
  <c r="O365" i="37" s="1"/>
  <c r="P365" i="37" s="1"/>
  <c r="Q365" i="37" s="1"/>
  <c r="R365" i="37" s="1"/>
  <c r="S365" i="37" s="1"/>
  <c r="T365" i="37" s="1"/>
  <c r="U365" i="37" s="1"/>
  <c r="V365" i="37" s="1"/>
  <c r="W365" i="37" s="1"/>
  <c r="X365" i="37" s="1"/>
  <c r="Y365" i="37" s="1"/>
  <c r="Z365" i="37" s="1"/>
  <c r="AA365" i="37" s="1"/>
  <c r="AB365" i="37" s="1"/>
  <c r="AC365" i="37" s="1"/>
  <c r="AD365" i="37" s="1"/>
  <c r="AE365" i="37" s="1"/>
  <c r="AF365" i="37" s="1"/>
  <c r="AG365" i="37" s="1"/>
  <c r="AH365" i="37" s="1"/>
  <c r="AI365" i="37" s="1"/>
  <c r="AJ365" i="37" s="1"/>
  <c r="AK365" i="37" s="1"/>
  <c r="AL365" i="37" s="1"/>
  <c r="AM365" i="37" s="1"/>
  <c r="AN365" i="37" s="1"/>
  <c r="AO365" i="37" s="1"/>
  <c r="AP365" i="37" s="1"/>
  <c r="AQ365" i="37" s="1"/>
  <c r="AR365" i="37" s="1"/>
  <c r="AS365" i="37" s="1"/>
  <c r="AT365" i="37" s="1"/>
  <c r="AU365" i="37" s="1"/>
  <c r="AV365" i="37" s="1"/>
  <c r="AW365" i="37" s="1"/>
  <c r="AX365" i="37" s="1"/>
  <c r="AY365" i="37" s="1"/>
  <c r="AZ365" i="37" s="1"/>
  <c r="BA365" i="37" s="1"/>
  <c r="BB365" i="37" s="1"/>
  <c r="BC365" i="37" s="1"/>
  <c r="BD365" i="37" s="1"/>
  <c r="BE365" i="37" s="1"/>
  <c r="BF365" i="37" s="1"/>
  <c r="BG365" i="37" s="1"/>
  <c r="BH365" i="37" s="1"/>
  <c r="BI365" i="37" s="1"/>
  <c r="BJ365" i="37" s="1"/>
  <c r="BK365" i="37" s="1"/>
  <c r="BL365" i="37" s="1"/>
  <c r="BM365" i="37" s="1"/>
  <c r="BN365" i="37" s="1"/>
  <c r="BO365" i="37" s="1"/>
  <c r="BP365" i="37" s="1"/>
  <c r="BQ365" i="37" s="1"/>
  <c r="BR365" i="37" s="1"/>
  <c r="BS365" i="37" s="1"/>
  <c r="BT365" i="37" s="1"/>
  <c r="BU365" i="37" s="1"/>
  <c r="BV365" i="37" s="1"/>
  <c r="BW365" i="37" s="1"/>
  <c r="D379" i="37"/>
  <c r="E379" i="37" s="1"/>
  <c r="F379" i="37" s="1"/>
  <c r="G379" i="37" s="1"/>
  <c r="H379" i="37" s="1"/>
  <c r="I379" i="37" s="1"/>
  <c r="J379" i="37" s="1"/>
  <c r="K379" i="37" s="1"/>
  <c r="L379" i="37" s="1"/>
  <c r="M379" i="37" s="1"/>
  <c r="N379" i="37" s="1"/>
  <c r="O379" i="37" s="1"/>
  <c r="P379" i="37" s="1"/>
  <c r="Q379" i="37" s="1"/>
  <c r="R379" i="37" s="1"/>
  <c r="S379" i="37" s="1"/>
  <c r="T379" i="37" s="1"/>
  <c r="U379" i="37" s="1"/>
  <c r="V379" i="37" s="1"/>
  <c r="W379" i="37" s="1"/>
  <c r="X379" i="37" s="1"/>
  <c r="Y379" i="37" s="1"/>
  <c r="Z379" i="37" s="1"/>
  <c r="AA379" i="37" s="1"/>
  <c r="AB379" i="37" s="1"/>
  <c r="AC379" i="37" s="1"/>
  <c r="AD379" i="37" s="1"/>
  <c r="AE379" i="37" s="1"/>
  <c r="AF379" i="37" s="1"/>
  <c r="AG379" i="37" s="1"/>
  <c r="AH379" i="37" s="1"/>
  <c r="AI379" i="37" s="1"/>
  <c r="AJ379" i="37" s="1"/>
  <c r="AK379" i="37" s="1"/>
  <c r="AL379" i="37" s="1"/>
  <c r="AM379" i="37" s="1"/>
  <c r="AN379" i="37" s="1"/>
  <c r="AO379" i="37" s="1"/>
  <c r="AP379" i="37" s="1"/>
  <c r="AQ379" i="37" s="1"/>
  <c r="AR379" i="37" s="1"/>
  <c r="AS379" i="37" s="1"/>
  <c r="AT379" i="37" s="1"/>
  <c r="AU379" i="37" s="1"/>
  <c r="AV379" i="37" s="1"/>
  <c r="AW379" i="37" s="1"/>
  <c r="AX379" i="37" s="1"/>
  <c r="AY379" i="37" s="1"/>
  <c r="AZ379" i="37" s="1"/>
  <c r="BA379" i="37" s="1"/>
  <c r="BB379" i="37" s="1"/>
  <c r="BC379" i="37" s="1"/>
  <c r="BD379" i="37" s="1"/>
  <c r="BE379" i="37" s="1"/>
  <c r="BF379" i="37" s="1"/>
  <c r="BG379" i="37" s="1"/>
  <c r="BH379" i="37" s="1"/>
  <c r="BI379" i="37" s="1"/>
  <c r="BJ379" i="37" s="1"/>
  <c r="BK379" i="37" s="1"/>
  <c r="BL379" i="37" s="1"/>
  <c r="BM379" i="37" s="1"/>
  <c r="BN379" i="37" s="1"/>
  <c r="BO379" i="37" s="1"/>
  <c r="BP379" i="37" s="1"/>
  <c r="BQ379" i="37" s="1"/>
  <c r="BR379" i="37" s="1"/>
  <c r="BS379" i="37" s="1"/>
  <c r="BT379" i="37" s="1"/>
  <c r="BU379" i="37" s="1"/>
  <c r="BV379" i="37" s="1"/>
  <c r="BW379" i="37" s="1"/>
  <c r="D366" i="37"/>
  <c r="E366" i="37" s="1"/>
  <c r="F366" i="37" s="1"/>
  <c r="G366" i="37" s="1"/>
  <c r="H366" i="37" s="1"/>
  <c r="I366" i="37" s="1"/>
  <c r="J366" i="37" s="1"/>
  <c r="K366" i="37" s="1"/>
  <c r="L366" i="37" s="1"/>
  <c r="M366" i="37" s="1"/>
  <c r="N366" i="37" s="1"/>
  <c r="O366" i="37" s="1"/>
  <c r="P366" i="37" s="1"/>
  <c r="Q366" i="37" s="1"/>
  <c r="R366" i="37" s="1"/>
  <c r="S366" i="37" s="1"/>
  <c r="T366" i="37" s="1"/>
  <c r="U366" i="37" s="1"/>
  <c r="V366" i="37" s="1"/>
  <c r="W366" i="37" s="1"/>
  <c r="X366" i="37" s="1"/>
  <c r="Y366" i="37" s="1"/>
  <c r="Z366" i="37" s="1"/>
  <c r="AA366" i="37" s="1"/>
  <c r="AB366" i="37" s="1"/>
  <c r="AC366" i="37" s="1"/>
  <c r="AD366" i="37" s="1"/>
  <c r="AE366" i="37" s="1"/>
  <c r="AF366" i="37" s="1"/>
  <c r="AG366" i="37" s="1"/>
  <c r="AH366" i="37" s="1"/>
  <c r="AI366" i="37" s="1"/>
  <c r="AJ366" i="37" s="1"/>
  <c r="AK366" i="37" s="1"/>
  <c r="AL366" i="37" s="1"/>
  <c r="AM366" i="37" s="1"/>
  <c r="AN366" i="37" s="1"/>
  <c r="AO366" i="37" s="1"/>
  <c r="AP366" i="37" s="1"/>
  <c r="AQ366" i="37" s="1"/>
  <c r="AR366" i="37" s="1"/>
  <c r="AS366" i="37" s="1"/>
  <c r="AT366" i="37" s="1"/>
  <c r="AU366" i="37" s="1"/>
  <c r="AV366" i="37" s="1"/>
  <c r="AW366" i="37" s="1"/>
  <c r="AX366" i="37" s="1"/>
  <c r="AY366" i="37" s="1"/>
  <c r="AZ366" i="37" s="1"/>
  <c r="BA366" i="37" s="1"/>
  <c r="BB366" i="37" s="1"/>
  <c r="BC366" i="37" s="1"/>
  <c r="BD366" i="37" s="1"/>
  <c r="BE366" i="37" s="1"/>
  <c r="BF366" i="37" s="1"/>
  <c r="BG366" i="37" s="1"/>
  <c r="BH366" i="37" s="1"/>
  <c r="BI366" i="37" s="1"/>
  <c r="BJ366" i="37" s="1"/>
  <c r="BK366" i="37" s="1"/>
  <c r="BL366" i="37" s="1"/>
  <c r="BM366" i="37" s="1"/>
  <c r="BN366" i="37" s="1"/>
  <c r="BO366" i="37" s="1"/>
  <c r="BP366" i="37" s="1"/>
  <c r="BQ366" i="37" s="1"/>
  <c r="BR366" i="37" s="1"/>
  <c r="BS366" i="37" s="1"/>
  <c r="BT366" i="37" s="1"/>
  <c r="BU366" i="37" s="1"/>
  <c r="BV366" i="37" s="1"/>
  <c r="BW366" i="37" s="1"/>
  <c r="D277" i="37"/>
  <c r="D275" i="37"/>
  <c r="E275" i="37" s="1"/>
  <c r="F275" i="37" s="1"/>
  <c r="G275" i="37" s="1"/>
  <c r="H275" i="37" s="1"/>
  <c r="I275" i="37" s="1"/>
  <c r="J275" i="37" s="1"/>
  <c r="K275" i="37" s="1"/>
  <c r="L275" i="37" s="1"/>
  <c r="M275" i="37" s="1"/>
  <c r="N275" i="37" s="1"/>
  <c r="O275" i="37" s="1"/>
  <c r="P275" i="37" s="1"/>
  <c r="Q275" i="37" s="1"/>
  <c r="R275" i="37" s="1"/>
  <c r="S275" i="37" s="1"/>
  <c r="T275" i="37" s="1"/>
  <c r="U275" i="37" s="1"/>
  <c r="V275" i="37" s="1"/>
  <c r="W275" i="37" s="1"/>
  <c r="X275" i="37" s="1"/>
  <c r="Y275" i="37" s="1"/>
  <c r="Z275" i="37" s="1"/>
  <c r="AA275" i="37" s="1"/>
  <c r="AB275" i="37" s="1"/>
  <c r="AC275" i="37" s="1"/>
  <c r="AD275" i="37" s="1"/>
  <c r="AE275" i="37" s="1"/>
  <c r="AF275" i="37" s="1"/>
  <c r="AG275" i="37" s="1"/>
  <c r="AH275" i="37" s="1"/>
  <c r="AI275" i="37" s="1"/>
  <c r="AJ275" i="37" s="1"/>
  <c r="AK275" i="37" s="1"/>
  <c r="AL275" i="37" s="1"/>
  <c r="AM275" i="37" s="1"/>
  <c r="AN275" i="37" s="1"/>
  <c r="AO275" i="37" s="1"/>
  <c r="AP275" i="37" s="1"/>
  <c r="AQ275" i="37" s="1"/>
  <c r="AR275" i="37" s="1"/>
  <c r="AS275" i="37" s="1"/>
  <c r="AT275" i="37" s="1"/>
  <c r="AU275" i="37" s="1"/>
  <c r="AV275" i="37" s="1"/>
  <c r="AW275" i="37" s="1"/>
  <c r="AX275" i="37" s="1"/>
  <c r="AY275" i="37" s="1"/>
  <c r="AZ275" i="37" s="1"/>
  <c r="BA275" i="37" s="1"/>
  <c r="BB275" i="37" s="1"/>
  <c r="BC275" i="37" s="1"/>
  <c r="BD275" i="37" s="1"/>
  <c r="BE275" i="37" s="1"/>
  <c r="BF275" i="37" s="1"/>
  <c r="BG275" i="37" s="1"/>
  <c r="BH275" i="37" s="1"/>
  <c r="BI275" i="37" s="1"/>
  <c r="BJ275" i="37" s="1"/>
  <c r="BK275" i="37" s="1"/>
  <c r="BL275" i="37" s="1"/>
  <c r="BM275" i="37" s="1"/>
  <c r="BN275" i="37" s="1"/>
  <c r="BO275" i="37" s="1"/>
  <c r="BP275" i="37" s="1"/>
  <c r="BQ275" i="37" s="1"/>
  <c r="BR275" i="37" s="1"/>
  <c r="BS275" i="37" s="1"/>
  <c r="BT275" i="37" s="1"/>
  <c r="BU275" i="37" s="1"/>
  <c r="BV275" i="37" s="1"/>
  <c r="BW275" i="37" s="1"/>
  <c r="D279" i="37"/>
  <c r="E279" i="37" s="1"/>
  <c r="F279" i="37" s="1"/>
  <c r="G279" i="37" s="1"/>
  <c r="H279" i="37" s="1"/>
  <c r="I279" i="37" s="1"/>
  <c r="J279" i="37" s="1"/>
  <c r="K279" i="37" s="1"/>
  <c r="L279" i="37" s="1"/>
  <c r="M279" i="37" s="1"/>
  <c r="N279" i="37" s="1"/>
  <c r="O279" i="37" s="1"/>
  <c r="P279" i="37" s="1"/>
  <c r="Q279" i="37" s="1"/>
  <c r="R279" i="37" s="1"/>
  <c r="S279" i="37" s="1"/>
  <c r="T279" i="37" s="1"/>
  <c r="U279" i="37" s="1"/>
  <c r="V279" i="37" s="1"/>
  <c r="W279" i="37" s="1"/>
  <c r="X279" i="37" s="1"/>
  <c r="Y279" i="37" s="1"/>
  <c r="Z279" i="37" s="1"/>
  <c r="AA279" i="37" s="1"/>
  <c r="AB279" i="37" s="1"/>
  <c r="AC279" i="37" s="1"/>
  <c r="AD279" i="37" s="1"/>
  <c r="AE279" i="37" s="1"/>
  <c r="AF279" i="37" s="1"/>
  <c r="AG279" i="37" s="1"/>
  <c r="AH279" i="37" s="1"/>
  <c r="AI279" i="37" s="1"/>
  <c r="AJ279" i="37" s="1"/>
  <c r="AK279" i="37" s="1"/>
  <c r="AL279" i="37" s="1"/>
  <c r="AM279" i="37" s="1"/>
  <c r="AN279" i="37" s="1"/>
  <c r="AO279" i="37" s="1"/>
  <c r="AP279" i="37" s="1"/>
  <c r="AQ279" i="37" s="1"/>
  <c r="AR279" i="37" s="1"/>
  <c r="AS279" i="37" s="1"/>
  <c r="AT279" i="37" s="1"/>
  <c r="AU279" i="37" s="1"/>
  <c r="AV279" i="37" s="1"/>
  <c r="AW279" i="37" s="1"/>
  <c r="AX279" i="37" s="1"/>
  <c r="AY279" i="37" s="1"/>
  <c r="AZ279" i="37" s="1"/>
  <c r="BA279" i="37" s="1"/>
  <c r="BB279" i="37" s="1"/>
  <c r="BC279" i="37" s="1"/>
  <c r="BD279" i="37" s="1"/>
  <c r="BE279" i="37" s="1"/>
  <c r="BF279" i="37" s="1"/>
  <c r="BG279" i="37" s="1"/>
  <c r="BH279" i="37" s="1"/>
  <c r="BI279" i="37" s="1"/>
  <c r="BJ279" i="37" s="1"/>
  <c r="BK279" i="37" s="1"/>
  <c r="BL279" i="37" s="1"/>
  <c r="BM279" i="37" s="1"/>
  <c r="BN279" i="37" s="1"/>
  <c r="BO279" i="37" s="1"/>
  <c r="BP279" i="37" s="1"/>
  <c r="BQ279" i="37" s="1"/>
  <c r="BR279" i="37" s="1"/>
  <c r="BS279" i="37" s="1"/>
  <c r="BT279" i="37" s="1"/>
  <c r="BU279" i="37" s="1"/>
  <c r="BV279" i="37" s="1"/>
  <c r="BW279" i="37" s="1"/>
  <c r="D284" i="37"/>
  <c r="E284" i="37" s="1"/>
  <c r="F284" i="37" s="1"/>
  <c r="G284" i="37" s="1"/>
  <c r="H284" i="37" s="1"/>
  <c r="I284" i="37" s="1"/>
  <c r="J284" i="37" s="1"/>
  <c r="K284" i="37" s="1"/>
  <c r="L284" i="37" s="1"/>
  <c r="M284" i="37" s="1"/>
  <c r="N284" i="37" s="1"/>
  <c r="O284" i="37" s="1"/>
  <c r="P284" i="37" s="1"/>
  <c r="Q284" i="37" s="1"/>
  <c r="R284" i="37" s="1"/>
  <c r="S284" i="37" s="1"/>
  <c r="T284" i="37" s="1"/>
  <c r="U284" i="37" s="1"/>
  <c r="V284" i="37" s="1"/>
  <c r="W284" i="37" s="1"/>
  <c r="X284" i="37" s="1"/>
  <c r="Y284" i="37" s="1"/>
  <c r="Z284" i="37" s="1"/>
  <c r="AA284" i="37" s="1"/>
  <c r="AB284" i="37" s="1"/>
  <c r="AC284" i="37" s="1"/>
  <c r="AD284" i="37" s="1"/>
  <c r="AE284" i="37" s="1"/>
  <c r="AF284" i="37" s="1"/>
  <c r="AG284" i="37" s="1"/>
  <c r="AH284" i="37" s="1"/>
  <c r="AI284" i="37" s="1"/>
  <c r="AJ284" i="37" s="1"/>
  <c r="AK284" i="37" s="1"/>
  <c r="AL284" i="37" s="1"/>
  <c r="AM284" i="37" s="1"/>
  <c r="AN284" i="37" s="1"/>
  <c r="AO284" i="37" s="1"/>
  <c r="AP284" i="37" s="1"/>
  <c r="AQ284" i="37" s="1"/>
  <c r="AR284" i="37" s="1"/>
  <c r="AS284" i="37" s="1"/>
  <c r="AT284" i="37" s="1"/>
  <c r="AU284" i="37" s="1"/>
  <c r="AV284" i="37" s="1"/>
  <c r="AW284" i="37" s="1"/>
  <c r="AX284" i="37" s="1"/>
  <c r="AY284" i="37" s="1"/>
  <c r="AZ284" i="37" s="1"/>
  <c r="BA284" i="37" s="1"/>
  <c r="BB284" i="37" s="1"/>
  <c r="BC284" i="37" s="1"/>
  <c r="BD284" i="37" s="1"/>
  <c r="BE284" i="37" s="1"/>
  <c r="BF284" i="37" s="1"/>
  <c r="BG284" i="37" s="1"/>
  <c r="BH284" i="37" s="1"/>
  <c r="BI284" i="37" s="1"/>
  <c r="BJ284" i="37" s="1"/>
  <c r="BK284" i="37" s="1"/>
  <c r="BL284" i="37" s="1"/>
  <c r="BM284" i="37" s="1"/>
  <c r="BN284" i="37" s="1"/>
  <c r="BO284" i="37" s="1"/>
  <c r="BP284" i="37" s="1"/>
  <c r="BQ284" i="37" s="1"/>
  <c r="BR284" i="37" s="1"/>
  <c r="BS284" i="37" s="1"/>
  <c r="BT284" i="37" s="1"/>
  <c r="BU284" i="37" s="1"/>
  <c r="BV284" i="37" s="1"/>
  <c r="BW284" i="37" s="1"/>
  <c r="D289" i="37"/>
  <c r="E289" i="37" s="1"/>
  <c r="F289" i="37" s="1"/>
  <c r="G289" i="37" s="1"/>
  <c r="H289" i="37" s="1"/>
  <c r="I289" i="37" s="1"/>
  <c r="J289" i="37" s="1"/>
  <c r="K289" i="37" s="1"/>
  <c r="L289" i="37" s="1"/>
  <c r="M289" i="37" s="1"/>
  <c r="N289" i="37" s="1"/>
  <c r="O289" i="37" s="1"/>
  <c r="P289" i="37" s="1"/>
  <c r="Q289" i="37" s="1"/>
  <c r="R289" i="37" s="1"/>
  <c r="S289" i="37" s="1"/>
  <c r="T289" i="37" s="1"/>
  <c r="U289" i="37" s="1"/>
  <c r="V289" i="37" s="1"/>
  <c r="W289" i="37" s="1"/>
  <c r="X289" i="37" s="1"/>
  <c r="Y289" i="37" s="1"/>
  <c r="Z289" i="37" s="1"/>
  <c r="AA289" i="37" s="1"/>
  <c r="AB289" i="37" s="1"/>
  <c r="AC289" i="37" s="1"/>
  <c r="AD289" i="37" s="1"/>
  <c r="AE289" i="37" s="1"/>
  <c r="AF289" i="37" s="1"/>
  <c r="AG289" i="37" s="1"/>
  <c r="AH289" i="37" s="1"/>
  <c r="AI289" i="37" s="1"/>
  <c r="AJ289" i="37" s="1"/>
  <c r="AK289" i="37" s="1"/>
  <c r="AL289" i="37" s="1"/>
  <c r="AM289" i="37" s="1"/>
  <c r="AN289" i="37" s="1"/>
  <c r="AO289" i="37" s="1"/>
  <c r="AP289" i="37" s="1"/>
  <c r="AQ289" i="37" s="1"/>
  <c r="AR289" i="37" s="1"/>
  <c r="AS289" i="37" s="1"/>
  <c r="AT289" i="37" s="1"/>
  <c r="AU289" i="37" s="1"/>
  <c r="AV289" i="37" s="1"/>
  <c r="AW289" i="37" s="1"/>
  <c r="AX289" i="37" s="1"/>
  <c r="AY289" i="37" s="1"/>
  <c r="AZ289" i="37" s="1"/>
  <c r="BA289" i="37" s="1"/>
  <c r="BB289" i="37" s="1"/>
  <c r="BC289" i="37" s="1"/>
  <c r="BD289" i="37" s="1"/>
  <c r="BE289" i="37" s="1"/>
  <c r="BF289" i="37" s="1"/>
  <c r="BG289" i="37" s="1"/>
  <c r="BH289" i="37" s="1"/>
  <c r="BI289" i="37" s="1"/>
  <c r="BJ289" i="37" s="1"/>
  <c r="BK289" i="37" s="1"/>
  <c r="BL289" i="37" s="1"/>
  <c r="BM289" i="37" s="1"/>
  <c r="BN289" i="37" s="1"/>
  <c r="BO289" i="37" s="1"/>
  <c r="BP289" i="37" s="1"/>
  <c r="BQ289" i="37" s="1"/>
  <c r="BR289" i="37" s="1"/>
  <c r="BS289" i="37" s="1"/>
  <c r="BT289" i="37" s="1"/>
  <c r="BU289" i="37" s="1"/>
  <c r="BV289" i="37" s="1"/>
  <c r="BW289" i="37" s="1"/>
  <c r="D293" i="37"/>
  <c r="D297" i="37"/>
  <c r="E297" i="37" s="1"/>
  <c r="F297" i="37" s="1"/>
  <c r="G297" i="37" s="1"/>
  <c r="H297" i="37" s="1"/>
  <c r="I297" i="37" s="1"/>
  <c r="J297" i="37" s="1"/>
  <c r="K297" i="37" s="1"/>
  <c r="L297" i="37" s="1"/>
  <c r="M297" i="37" s="1"/>
  <c r="N297" i="37" s="1"/>
  <c r="O297" i="37" s="1"/>
  <c r="P297" i="37" s="1"/>
  <c r="Q297" i="37" s="1"/>
  <c r="R297" i="37" s="1"/>
  <c r="S297" i="37" s="1"/>
  <c r="T297" i="37" s="1"/>
  <c r="U297" i="37" s="1"/>
  <c r="V297" i="37" s="1"/>
  <c r="W297" i="37" s="1"/>
  <c r="X297" i="37" s="1"/>
  <c r="Y297" i="37" s="1"/>
  <c r="Z297" i="37" s="1"/>
  <c r="AA297" i="37" s="1"/>
  <c r="AB297" i="37" s="1"/>
  <c r="AC297" i="37" s="1"/>
  <c r="AD297" i="37" s="1"/>
  <c r="AE297" i="37" s="1"/>
  <c r="AF297" i="37" s="1"/>
  <c r="AG297" i="37" s="1"/>
  <c r="AH297" i="37" s="1"/>
  <c r="AI297" i="37" s="1"/>
  <c r="AJ297" i="37" s="1"/>
  <c r="AK297" i="37" s="1"/>
  <c r="AL297" i="37" s="1"/>
  <c r="AM297" i="37" s="1"/>
  <c r="AN297" i="37" s="1"/>
  <c r="AO297" i="37" s="1"/>
  <c r="AP297" i="37" s="1"/>
  <c r="AQ297" i="37" s="1"/>
  <c r="AR297" i="37" s="1"/>
  <c r="AS297" i="37" s="1"/>
  <c r="AT297" i="37" s="1"/>
  <c r="AU297" i="37" s="1"/>
  <c r="AV297" i="37" s="1"/>
  <c r="AW297" i="37" s="1"/>
  <c r="AX297" i="37" s="1"/>
  <c r="AY297" i="37" s="1"/>
  <c r="AZ297" i="37" s="1"/>
  <c r="BA297" i="37" s="1"/>
  <c r="BB297" i="37" s="1"/>
  <c r="BC297" i="37" s="1"/>
  <c r="BD297" i="37" s="1"/>
  <c r="BE297" i="37" s="1"/>
  <c r="BF297" i="37" s="1"/>
  <c r="BG297" i="37" s="1"/>
  <c r="BH297" i="37" s="1"/>
  <c r="BI297" i="37" s="1"/>
  <c r="BJ297" i="37" s="1"/>
  <c r="BK297" i="37" s="1"/>
  <c r="BL297" i="37" s="1"/>
  <c r="BM297" i="37" s="1"/>
  <c r="BN297" i="37" s="1"/>
  <c r="BO297" i="37" s="1"/>
  <c r="BP297" i="37" s="1"/>
  <c r="BQ297" i="37" s="1"/>
  <c r="BR297" i="37" s="1"/>
  <c r="BS297" i="37" s="1"/>
  <c r="BT297" i="37" s="1"/>
  <c r="BU297" i="37" s="1"/>
  <c r="BV297" i="37" s="1"/>
  <c r="BW297" i="37" s="1"/>
  <c r="D301" i="37"/>
  <c r="E301" i="37" s="1"/>
  <c r="F301" i="37" s="1"/>
  <c r="G301" i="37" s="1"/>
  <c r="H301" i="37" s="1"/>
  <c r="I301" i="37" s="1"/>
  <c r="J301" i="37" s="1"/>
  <c r="K301" i="37" s="1"/>
  <c r="L301" i="37" s="1"/>
  <c r="M301" i="37" s="1"/>
  <c r="N301" i="37" s="1"/>
  <c r="O301" i="37" s="1"/>
  <c r="P301" i="37" s="1"/>
  <c r="Q301" i="37" s="1"/>
  <c r="R301" i="37" s="1"/>
  <c r="S301" i="37" s="1"/>
  <c r="T301" i="37" s="1"/>
  <c r="U301" i="37" s="1"/>
  <c r="V301" i="37" s="1"/>
  <c r="W301" i="37" s="1"/>
  <c r="X301" i="37" s="1"/>
  <c r="Y301" i="37" s="1"/>
  <c r="Z301" i="37" s="1"/>
  <c r="AA301" i="37" s="1"/>
  <c r="AB301" i="37" s="1"/>
  <c r="AC301" i="37" s="1"/>
  <c r="AD301" i="37" s="1"/>
  <c r="AE301" i="37" s="1"/>
  <c r="AF301" i="37" s="1"/>
  <c r="AG301" i="37" s="1"/>
  <c r="AH301" i="37" s="1"/>
  <c r="AI301" i="37" s="1"/>
  <c r="AJ301" i="37" s="1"/>
  <c r="AK301" i="37" s="1"/>
  <c r="AL301" i="37" s="1"/>
  <c r="AM301" i="37" s="1"/>
  <c r="AN301" i="37" s="1"/>
  <c r="AO301" i="37" s="1"/>
  <c r="AP301" i="37" s="1"/>
  <c r="AQ301" i="37" s="1"/>
  <c r="AR301" i="37" s="1"/>
  <c r="AS301" i="37" s="1"/>
  <c r="AT301" i="37" s="1"/>
  <c r="AU301" i="37" s="1"/>
  <c r="AV301" i="37" s="1"/>
  <c r="AW301" i="37" s="1"/>
  <c r="AX301" i="37" s="1"/>
  <c r="AY301" i="37" s="1"/>
  <c r="AZ301" i="37" s="1"/>
  <c r="BA301" i="37" s="1"/>
  <c r="BB301" i="37" s="1"/>
  <c r="BC301" i="37" s="1"/>
  <c r="BD301" i="37" s="1"/>
  <c r="BE301" i="37" s="1"/>
  <c r="BF301" i="37" s="1"/>
  <c r="BG301" i="37" s="1"/>
  <c r="BH301" i="37" s="1"/>
  <c r="BI301" i="37" s="1"/>
  <c r="BJ301" i="37" s="1"/>
  <c r="BK301" i="37" s="1"/>
  <c r="BL301" i="37" s="1"/>
  <c r="BM301" i="37" s="1"/>
  <c r="BN301" i="37" s="1"/>
  <c r="BO301" i="37" s="1"/>
  <c r="BP301" i="37" s="1"/>
  <c r="BQ301" i="37" s="1"/>
  <c r="BR301" i="37" s="1"/>
  <c r="BS301" i="37" s="1"/>
  <c r="BT301" i="37" s="1"/>
  <c r="BU301" i="37" s="1"/>
  <c r="BV301" i="37" s="1"/>
  <c r="BW301" i="37" s="1"/>
  <c r="D305" i="37"/>
  <c r="D309" i="37"/>
  <c r="D316" i="37"/>
  <c r="E316" i="37" s="1"/>
  <c r="F316" i="37" s="1"/>
  <c r="G316" i="37" s="1"/>
  <c r="H316" i="37" s="1"/>
  <c r="I316" i="37" s="1"/>
  <c r="J316" i="37" s="1"/>
  <c r="K316" i="37" s="1"/>
  <c r="L316" i="37" s="1"/>
  <c r="M316" i="37" s="1"/>
  <c r="N316" i="37" s="1"/>
  <c r="O316" i="37" s="1"/>
  <c r="P316" i="37" s="1"/>
  <c r="Q316" i="37" s="1"/>
  <c r="R316" i="37" s="1"/>
  <c r="S316" i="37" s="1"/>
  <c r="T316" i="37" s="1"/>
  <c r="U316" i="37" s="1"/>
  <c r="V316" i="37" s="1"/>
  <c r="W316" i="37" s="1"/>
  <c r="X316" i="37" s="1"/>
  <c r="Y316" i="37" s="1"/>
  <c r="Z316" i="37" s="1"/>
  <c r="AA316" i="37" s="1"/>
  <c r="AB316" i="37" s="1"/>
  <c r="AC316" i="37" s="1"/>
  <c r="AD316" i="37" s="1"/>
  <c r="AE316" i="37" s="1"/>
  <c r="AF316" i="37" s="1"/>
  <c r="AG316" i="37" s="1"/>
  <c r="AH316" i="37" s="1"/>
  <c r="AI316" i="37" s="1"/>
  <c r="AJ316" i="37" s="1"/>
  <c r="AK316" i="37" s="1"/>
  <c r="AL316" i="37" s="1"/>
  <c r="AM316" i="37" s="1"/>
  <c r="AN316" i="37" s="1"/>
  <c r="AO316" i="37" s="1"/>
  <c r="AP316" i="37" s="1"/>
  <c r="AQ316" i="37" s="1"/>
  <c r="AR316" i="37" s="1"/>
  <c r="AS316" i="37" s="1"/>
  <c r="AT316" i="37" s="1"/>
  <c r="AU316" i="37" s="1"/>
  <c r="AV316" i="37" s="1"/>
  <c r="AW316" i="37" s="1"/>
  <c r="AX316" i="37" s="1"/>
  <c r="AY316" i="37" s="1"/>
  <c r="AZ316" i="37" s="1"/>
  <c r="BA316" i="37" s="1"/>
  <c r="BB316" i="37" s="1"/>
  <c r="BC316" i="37" s="1"/>
  <c r="BD316" i="37" s="1"/>
  <c r="BE316" i="37" s="1"/>
  <c r="BF316" i="37" s="1"/>
  <c r="BG316" i="37" s="1"/>
  <c r="BH316" i="37" s="1"/>
  <c r="BI316" i="37" s="1"/>
  <c r="BJ316" i="37" s="1"/>
  <c r="BK316" i="37" s="1"/>
  <c r="BL316" i="37" s="1"/>
  <c r="BM316" i="37" s="1"/>
  <c r="BN316" i="37" s="1"/>
  <c r="BO316" i="37" s="1"/>
  <c r="BP316" i="37" s="1"/>
  <c r="BQ316" i="37" s="1"/>
  <c r="BR316" i="37" s="1"/>
  <c r="BS316" i="37" s="1"/>
  <c r="BT316" i="37" s="1"/>
  <c r="BU316" i="37" s="1"/>
  <c r="BV316" i="37" s="1"/>
  <c r="BW316" i="37" s="1"/>
  <c r="D320" i="37"/>
  <c r="E320" i="37" s="1"/>
  <c r="F320" i="37" s="1"/>
  <c r="G320" i="37" s="1"/>
  <c r="H320" i="37" s="1"/>
  <c r="I320" i="37" s="1"/>
  <c r="J320" i="37" s="1"/>
  <c r="K320" i="37" s="1"/>
  <c r="L320" i="37" s="1"/>
  <c r="M320" i="37" s="1"/>
  <c r="N320" i="37" s="1"/>
  <c r="O320" i="37" s="1"/>
  <c r="P320" i="37" s="1"/>
  <c r="Q320" i="37" s="1"/>
  <c r="R320" i="37" s="1"/>
  <c r="S320" i="37" s="1"/>
  <c r="T320" i="37" s="1"/>
  <c r="U320" i="37" s="1"/>
  <c r="V320" i="37" s="1"/>
  <c r="W320" i="37" s="1"/>
  <c r="X320" i="37" s="1"/>
  <c r="Y320" i="37" s="1"/>
  <c r="Z320" i="37" s="1"/>
  <c r="AA320" i="37" s="1"/>
  <c r="AB320" i="37" s="1"/>
  <c r="AC320" i="37" s="1"/>
  <c r="AD320" i="37" s="1"/>
  <c r="AE320" i="37" s="1"/>
  <c r="AF320" i="37" s="1"/>
  <c r="AG320" i="37" s="1"/>
  <c r="AH320" i="37" s="1"/>
  <c r="AI320" i="37" s="1"/>
  <c r="AJ320" i="37" s="1"/>
  <c r="AK320" i="37" s="1"/>
  <c r="AL320" i="37" s="1"/>
  <c r="AM320" i="37" s="1"/>
  <c r="AN320" i="37" s="1"/>
  <c r="AO320" i="37" s="1"/>
  <c r="AP320" i="37" s="1"/>
  <c r="AQ320" i="37" s="1"/>
  <c r="AR320" i="37" s="1"/>
  <c r="AS320" i="37" s="1"/>
  <c r="AT320" i="37" s="1"/>
  <c r="AU320" i="37" s="1"/>
  <c r="AV320" i="37" s="1"/>
  <c r="AW320" i="37" s="1"/>
  <c r="AX320" i="37" s="1"/>
  <c r="AY320" i="37" s="1"/>
  <c r="AZ320" i="37" s="1"/>
  <c r="BA320" i="37" s="1"/>
  <c r="BB320" i="37" s="1"/>
  <c r="BC320" i="37" s="1"/>
  <c r="BD320" i="37" s="1"/>
  <c r="BE320" i="37" s="1"/>
  <c r="BF320" i="37" s="1"/>
  <c r="BG320" i="37" s="1"/>
  <c r="BH320" i="37" s="1"/>
  <c r="BI320" i="37" s="1"/>
  <c r="BJ320" i="37" s="1"/>
  <c r="BK320" i="37" s="1"/>
  <c r="BL320" i="37" s="1"/>
  <c r="BM320" i="37" s="1"/>
  <c r="BN320" i="37" s="1"/>
  <c r="BO320" i="37" s="1"/>
  <c r="BP320" i="37" s="1"/>
  <c r="BQ320" i="37" s="1"/>
  <c r="BR320" i="37" s="1"/>
  <c r="BS320" i="37" s="1"/>
  <c r="BT320" i="37" s="1"/>
  <c r="BU320" i="37" s="1"/>
  <c r="BV320" i="37" s="1"/>
  <c r="BW320" i="37" s="1"/>
  <c r="D325" i="37"/>
  <c r="D329" i="37"/>
  <c r="E329" i="37" s="1"/>
  <c r="F329" i="37" s="1"/>
  <c r="G329" i="37" s="1"/>
  <c r="H329" i="37" s="1"/>
  <c r="I329" i="37" s="1"/>
  <c r="J329" i="37" s="1"/>
  <c r="K329" i="37" s="1"/>
  <c r="L329" i="37" s="1"/>
  <c r="M329" i="37" s="1"/>
  <c r="N329" i="37" s="1"/>
  <c r="O329" i="37" s="1"/>
  <c r="P329" i="37" s="1"/>
  <c r="Q329" i="37" s="1"/>
  <c r="R329" i="37" s="1"/>
  <c r="S329" i="37" s="1"/>
  <c r="T329" i="37" s="1"/>
  <c r="U329" i="37" s="1"/>
  <c r="V329" i="37" s="1"/>
  <c r="W329" i="37" s="1"/>
  <c r="X329" i="37" s="1"/>
  <c r="Y329" i="37" s="1"/>
  <c r="Z329" i="37" s="1"/>
  <c r="AA329" i="37" s="1"/>
  <c r="AB329" i="37" s="1"/>
  <c r="AC329" i="37" s="1"/>
  <c r="AD329" i="37" s="1"/>
  <c r="AE329" i="37" s="1"/>
  <c r="AF329" i="37" s="1"/>
  <c r="AG329" i="37" s="1"/>
  <c r="AH329" i="37" s="1"/>
  <c r="AI329" i="37" s="1"/>
  <c r="AJ329" i="37" s="1"/>
  <c r="AK329" i="37" s="1"/>
  <c r="AL329" i="37" s="1"/>
  <c r="AM329" i="37" s="1"/>
  <c r="AN329" i="37" s="1"/>
  <c r="AO329" i="37" s="1"/>
  <c r="AP329" i="37" s="1"/>
  <c r="AQ329" i="37" s="1"/>
  <c r="AR329" i="37" s="1"/>
  <c r="AS329" i="37" s="1"/>
  <c r="AT329" i="37" s="1"/>
  <c r="AU329" i="37" s="1"/>
  <c r="AV329" i="37" s="1"/>
  <c r="AW329" i="37" s="1"/>
  <c r="AX329" i="37" s="1"/>
  <c r="AY329" i="37" s="1"/>
  <c r="AZ329" i="37" s="1"/>
  <c r="BA329" i="37" s="1"/>
  <c r="BB329" i="37" s="1"/>
  <c r="BC329" i="37" s="1"/>
  <c r="BD329" i="37" s="1"/>
  <c r="BE329" i="37" s="1"/>
  <c r="BF329" i="37" s="1"/>
  <c r="BG329" i="37" s="1"/>
  <c r="BH329" i="37" s="1"/>
  <c r="BI329" i="37" s="1"/>
  <c r="BJ329" i="37" s="1"/>
  <c r="BK329" i="37" s="1"/>
  <c r="BL329" i="37" s="1"/>
  <c r="BM329" i="37" s="1"/>
  <c r="BN329" i="37" s="1"/>
  <c r="BO329" i="37" s="1"/>
  <c r="BP329" i="37" s="1"/>
  <c r="BQ329" i="37" s="1"/>
  <c r="BR329" i="37" s="1"/>
  <c r="BS329" i="37" s="1"/>
  <c r="BT329" i="37" s="1"/>
  <c r="BU329" i="37" s="1"/>
  <c r="BV329" i="37" s="1"/>
  <c r="BW329" i="37" s="1"/>
  <c r="D334" i="37"/>
  <c r="E334" i="37" s="1"/>
  <c r="F334" i="37" s="1"/>
  <c r="G334" i="37" s="1"/>
  <c r="H334" i="37" s="1"/>
  <c r="I334" i="37" s="1"/>
  <c r="J334" i="37" s="1"/>
  <c r="K334" i="37" s="1"/>
  <c r="L334" i="37" s="1"/>
  <c r="M334" i="37" s="1"/>
  <c r="N334" i="37" s="1"/>
  <c r="O334" i="37" s="1"/>
  <c r="P334" i="37" s="1"/>
  <c r="Q334" i="37" s="1"/>
  <c r="R334" i="37" s="1"/>
  <c r="S334" i="37" s="1"/>
  <c r="T334" i="37" s="1"/>
  <c r="U334" i="37" s="1"/>
  <c r="V334" i="37" s="1"/>
  <c r="W334" i="37" s="1"/>
  <c r="X334" i="37" s="1"/>
  <c r="Y334" i="37" s="1"/>
  <c r="Z334" i="37" s="1"/>
  <c r="AA334" i="37" s="1"/>
  <c r="AB334" i="37" s="1"/>
  <c r="AC334" i="37" s="1"/>
  <c r="AD334" i="37" s="1"/>
  <c r="AE334" i="37" s="1"/>
  <c r="AF334" i="37" s="1"/>
  <c r="AG334" i="37" s="1"/>
  <c r="AH334" i="37" s="1"/>
  <c r="AI334" i="37" s="1"/>
  <c r="AJ334" i="37" s="1"/>
  <c r="AK334" i="37" s="1"/>
  <c r="AL334" i="37" s="1"/>
  <c r="AM334" i="37" s="1"/>
  <c r="AN334" i="37" s="1"/>
  <c r="AO334" i="37" s="1"/>
  <c r="AP334" i="37" s="1"/>
  <c r="AQ334" i="37" s="1"/>
  <c r="AR334" i="37" s="1"/>
  <c r="AS334" i="37" s="1"/>
  <c r="AT334" i="37" s="1"/>
  <c r="AU334" i="37" s="1"/>
  <c r="AV334" i="37" s="1"/>
  <c r="AW334" i="37" s="1"/>
  <c r="AX334" i="37" s="1"/>
  <c r="AY334" i="37" s="1"/>
  <c r="AZ334" i="37" s="1"/>
  <c r="BA334" i="37" s="1"/>
  <c r="BB334" i="37" s="1"/>
  <c r="BC334" i="37" s="1"/>
  <c r="BD334" i="37" s="1"/>
  <c r="BE334" i="37" s="1"/>
  <c r="BF334" i="37" s="1"/>
  <c r="BG334" i="37" s="1"/>
  <c r="BH334" i="37" s="1"/>
  <c r="BI334" i="37" s="1"/>
  <c r="BJ334" i="37" s="1"/>
  <c r="BK334" i="37" s="1"/>
  <c r="BL334" i="37" s="1"/>
  <c r="BM334" i="37" s="1"/>
  <c r="BN334" i="37" s="1"/>
  <c r="BO334" i="37" s="1"/>
  <c r="BP334" i="37" s="1"/>
  <c r="BQ334" i="37" s="1"/>
  <c r="BR334" i="37" s="1"/>
  <c r="BS334" i="37" s="1"/>
  <c r="BT334" i="37" s="1"/>
  <c r="BU334" i="37" s="1"/>
  <c r="BV334" i="37" s="1"/>
  <c r="BW334" i="37" s="1"/>
  <c r="D338" i="37"/>
  <c r="E338" i="37" s="1"/>
  <c r="F338" i="37" s="1"/>
  <c r="G338" i="37" s="1"/>
  <c r="H338" i="37" s="1"/>
  <c r="I338" i="37" s="1"/>
  <c r="J338" i="37" s="1"/>
  <c r="K338" i="37" s="1"/>
  <c r="L338" i="37" s="1"/>
  <c r="M338" i="37" s="1"/>
  <c r="N338" i="37" s="1"/>
  <c r="O338" i="37" s="1"/>
  <c r="P338" i="37" s="1"/>
  <c r="Q338" i="37" s="1"/>
  <c r="R338" i="37" s="1"/>
  <c r="S338" i="37" s="1"/>
  <c r="T338" i="37" s="1"/>
  <c r="U338" i="37" s="1"/>
  <c r="V338" i="37" s="1"/>
  <c r="W338" i="37" s="1"/>
  <c r="X338" i="37" s="1"/>
  <c r="Y338" i="37" s="1"/>
  <c r="Z338" i="37" s="1"/>
  <c r="AA338" i="37" s="1"/>
  <c r="AB338" i="37" s="1"/>
  <c r="AC338" i="37" s="1"/>
  <c r="AD338" i="37" s="1"/>
  <c r="AE338" i="37" s="1"/>
  <c r="AF338" i="37" s="1"/>
  <c r="AG338" i="37" s="1"/>
  <c r="AH338" i="37" s="1"/>
  <c r="AI338" i="37" s="1"/>
  <c r="AJ338" i="37" s="1"/>
  <c r="AK338" i="37" s="1"/>
  <c r="AL338" i="37" s="1"/>
  <c r="AM338" i="37" s="1"/>
  <c r="AN338" i="37" s="1"/>
  <c r="AO338" i="37" s="1"/>
  <c r="AP338" i="37" s="1"/>
  <c r="AQ338" i="37" s="1"/>
  <c r="AR338" i="37" s="1"/>
  <c r="AS338" i="37" s="1"/>
  <c r="AT338" i="37" s="1"/>
  <c r="AU338" i="37" s="1"/>
  <c r="AV338" i="37" s="1"/>
  <c r="AW338" i="37" s="1"/>
  <c r="AX338" i="37" s="1"/>
  <c r="AY338" i="37" s="1"/>
  <c r="AZ338" i="37" s="1"/>
  <c r="BA338" i="37" s="1"/>
  <c r="BB338" i="37" s="1"/>
  <c r="BC338" i="37" s="1"/>
  <c r="BD338" i="37" s="1"/>
  <c r="BE338" i="37" s="1"/>
  <c r="BF338" i="37" s="1"/>
  <c r="BG338" i="37" s="1"/>
  <c r="BH338" i="37" s="1"/>
  <c r="BI338" i="37" s="1"/>
  <c r="BJ338" i="37" s="1"/>
  <c r="BK338" i="37" s="1"/>
  <c r="BL338" i="37" s="1"/>
  <c r="BM338" i="37" s="1"/>
  <c r="BN338" i="37" s="1"/>
  <c r="BO338" i="37" s="1"/>
  <c r="BP338" i="37" s="1"/>
  <c r="BQ338" i="37" s="1"/>
  <c r="BR338" i="37" s="1"/>
  <c r="BS338" i="37" s="1"/>
  <c r="BT338" i="37" s="1"/>
  <c r="BU338" i="37" s="1"/>
  <c r="BV338" i="37" s="1"/>
  <c r="BW338" i="37" s="1"/>
  <c r="D342" i="37"/>
  <c r="E342" i="37" s="1"/>
  <c r="F342" i="37" s="1"/>
  <c r="G342" i="37" s="1"/>
  <c r="H342" i="37" s="1"/>
  <c r="I342" i="37" s="1"/>
  <c r="J342" i="37" s="1"/>
  <c r="K342" i="37" s="1"/>
  <c r="L342" i="37" s="1"/>
  <c r="M342" i="37" s="1"/>
  <c r="N342" i="37" s="1"/>
  <c r="O342" i="37" s="1"/>
  <c r="P342" i="37" s="1"/>
  <c r="Q342" i="37" s="1"/>
  <c r="R342" i="37" s="1"/>
  <c r="S342" i="37" s="1"/>
  <c r="T342" i="37" s="1"/>
  <c r="U342" i="37" s="1"/>
  <c r="V342" i="37" s="1"/>
  <c r="W342" i="37" s="1"/>
  <c r="X342" i="37" s="1"/>
  <c r="Y342" i="37" s="1"/>
  <c r="Z342" i="37" s="1"/>
  <c r="AA342" i="37" s="1"/>
  <c r="AB342" i="37" s="1"/>
  <c r="AC342" i="37" s="1"/>
  <c r="AD342" i="37" s="1"/>
  <c r="AE342" i="37" s="1"/>
  <c r="AF342" i="37" s="1"/>
  <c r="AG342" i="37" s="1"/>
  <c r="AH342" i="37" s="1"/>
  <c r="AI342" i="37" s="1"/>
  <c r="AJ342" i="37" s="1"/>
  <c r="AK342" i="37" s="1"/>
  <c r="AL342" i="37" s="1"/>
  <c r="AM342" i="37" s="1"/>
  <c r="AN342" i="37" s="1"/>
  <c r="AO342" i="37" s="1"/>
  <c r="AP342" i="37" s="1"/>
  <c r="AQ342" i="37" s="1"/>
  <c r="AR342" i="37" s="1"/>
  <c r="AS342" i="37" s="1"/>
  <c r="AT342" i="37" s="1"/>
  <c r="AU342" i="37" s="1"/>
  <c r="AV342" i="37" s="1"/>
  <c r="AW342" i="37" s="1"/>
  <c r="AX342" i="37" s="1"/>
  <c r="AY342" i="37" s="1"/>
  <c r="AZ342" i="37" s="1"/>
  <c r="BA342" i="37" s="1"/>
  <c r="BB342" i="37" s="1"/>
  <c r="BC342" i="37" s="1"/>
  <c r="BD342" i="37" s="1"/>
  <c r="BE342" i="37" s="1"/>
  <c r="BF342" i="37" s="1"/>
  <c r="BG342" i="37" s="1"/>
  <c r="BH342" i="37" s="1"/>
  <c r="BI342" i="37" s="1"/>
  <c r="BJ342" i="37" s="1"/>
  <c r="BK342" i="37" s="1"/>
  <c r="BL342" i="37" s="1"/>
  <c r="BM342" i="37" s="1"/>
  <c r="BN342" i="37" s="1"/>
  <c r="BO342" i="37" s="1"/>
  <c r="BP342" i="37" s="1"/>
  <c r="BQ342" i="37" s="1"/>
  <c r="BR342" i="37" s="1"/>
  <c r="BS342" i="37" s="1"/>
  <c r="BT342" i="37" s="1"/>
  <c r="BU342" i="37" s="1"/>
  <c r="BV342" i="37" s="1"/>
  <c r="BW342" i="37" s="1"/>
  <c r="D355" i="37"/>
  <c r="E355" i="37" s="1"/>
  <c r="F355" i="37" s="1"/>
  <c r="G355" i="37" s="1"/>
  <c r="H355" i="37" s="1"/>
  <c r="I355" i="37" s="1"/>
  <c r="J355" i="37" s="1"/>
  <c r="K355" i="37" s="1"/>
  <c r="L355" i="37" s="1"/>
  <c r="M355" i="37" s="1"/>
  <c r="N355" i="37" s="1"/>
  <c r="O355" i="37" s="1"/>
  <c r="P355" i="37" s="1"/>
  <c r="Q355" i="37" s="1"/>
  <c r="R355" i="37" s="1"/>
  <c r="S355" i="37" s="1"/>
  <c r="T355" i="37" s="1"/>
  <c r="U355" i="37" s="1"/>
  <c r="V355" i="37" s="1"/>
  <c r="W355" i="37" s="1"/>
  <c r="X355" i="37" s="1"/>
  <c r="Y355" i="37" s="1"/>
  <c r="Z355" i="37" s="1"/>
  <c r="AA355" i="37" s="1"/>
  <c r="AB355" i="37" s="1"/>
  <c r="AC355" i="37" s="1"/>
  <c r="AD355" i="37" s="1"/>
  <c r="AE355" i="37" s="1"/>
  <c r="AF355" i="37" s="1"/>
  <c r="AG355" i="37" s="1"/>
  <c r="AH355" i="37" s="1"/>
  <c r="AI355" i="37" s="1"/>
  <c r="AJ355" i="37" s="1"/>
  <c r="AK355" i="37" s="1"/>
  <c r="AL355" i="37" s="1"/>
  <c r="AM355" i="37" s="1"/>
  <c r="AN355" i="37" s="1"/>
  <c r="AO355" i="37" s="1"/>
  <c r="AP355" i="37" s="1"/>
  <c r="AQ355" i="37" s="1"/>
  <c r="AR355" i="37" s="1"/>
  <c r="AS355" i="37" s="1"/>
  <c r="AT355" i="37" s="1"/>
  <c r="AU355" i="37" s="1"/>
  <c r="AV355" i="37" s="1"/>
  <c r="AW355" i="37" s="1"/>
  <c r="AX355" i="37" s="1"/>
  <c r="AY355" i="37" s="1"/>
  <c r="AZ355" i="37" s="1"/>
  <c r="BA355" i="37" s="1"/>
  <c r="BB355" i="37" s="1"/>
  <c r="BC355" i="37" s="1"/>
  <c r="BD355" i="37" s="1"/>
  <c r="BE355" i="37" s="1"/>
  <c r="BF355" i="37" s="1"/>
  <c r="BG355" i="37" s="1"/>
  <c r="BH355" i="37" s="1"/>
  <c r="BI355" i="37" s="1"/>
  <c r="BJ355" i="37" s="1"/>
  <c r="BK355" i="37" s="1"/>
  <c r="BL355" i="37" s="1"/>
  <c r="BM355" i="37" s="1"/>
  <c r="BN355" i="37" s="1"/>
  <c r="BO355" i="37" s="1"/>
  <c r="BP355" i="37" s="1"/>
  <c r="BQ355" i="37" s="1"/>
  <c r="BR355" i="37" s="1"/>
  <c r="BS355" i="37" s="1"/>
  <c r="BT355" i="37" s="1"/>
  <c r="BU355" i="37" s="1"/>
  <c r="BV355" i="37" s="1"/>
  <c r="BW355" i="37" s="1"/>
  <c r="D359" i="37"/>
  <c r="D364" i="37"/>
  <c r="E364" i="37" s="1"/>
  <c r="F364" i="37" s="1"/>
  <c r="G364" i="37" s="1"/>
  <c r="H364" i="37" s="1"/>
  <c r="I364" i="37" s="1"/>
  <c r="J364" i="37" s="1"/>
  <c r="K364" i="37" s="1"/>
  <c r="L364" i="37" s="1"/>
  <c r="M364" i="37" s="1"/>
  <c r="N364" i="37" s="1"/>
  <c r="O364" i="37" s="1"/>
  <c r="P364" i="37" s="1"/>
  <c r="Q364" i="37" s="1"/>
  <c r="R364" i="37" s="1"/>
  <c r="S364" i="37" s="1"/>
  <c r="T364" i="37" s="1"/>
  <c r="U364" i="37" s="1"/>
  <c r="V364" i="37" s="1"/>
  <c r="W364" i="37" s="1"/>
  <c r="X364" i="37" s="1"/>
  <c r="Y364" i="37" s="1"/>
  <c r="Z364" i="37" s="1"/>
  <c r="AA364" i="37" s="1"/>
  <c r="AB364" i="37" s="1"/>
  <c r="AC364" i="37" s="1"/>
  <c r="AD364" i="37" s="1"/>
  <c r="AE364" i="37" s="1"/>
  <c r="AF364" i="37" s="1"/>
  <c r="AG364" i="37" s="1"/>
  <c r="AH364" i="37" s="1"/>
  <c r="AI364" i="37" s="1"/>
  <c r="AJ364" i="37" s="1"/>
  <c r="AK364" i="37" s="1"/>
  <c r="AL364" i="37" s="1"/>
  <c r="AM364" i="37" s="1"/>
  <c r="AN364" i="37" s="1"/>
  <c r="AO364" i="37" s="1"/>
  <c r="AP364" i="37" s="1"/>
  <c r="AQ364" i="37" s="1"/>
  <c r="AR364" i="37" s="1"/>
  <c r="AS364" i="37" s="1"/>
  <c r="AT364" i="37" s="1"/>
  <c r="AU364" i="37" s="1"/>
  <c r="AV364" i="37" s="1"/>
  <c r="AW364" i="37" s="1"/>
  <c r="AX364" i="37" s="1"/>
  <c r="AY364" i="37" s="1"/>
  <c r="AZ364" i="37" s="1"/>
  <c r="BA364" i="37" s="1"/>
  <c r="BB364" i="37" s="1"/>
  <c r="BC364" i="37" s="1"/>
  <c r="BD364" i="37" s="1"/>
  <c r="BE364" i="37" s="1"/>
  <c r="BF364" i="37" s="1"/>
  <c r="BG364" i="37" s="1"/>
  <c r="BH364" i="37" s="1"/>
  <c r="BI364" i="37" s="1"/>
  <c r="BJ364" i="37" s="1"/>
  <c r="BK364" i="37" s="1"/>
  <c r="BL364" i="37" s="1"/>
  <c r="BM364" i="37" s="1"/>
  <c r="BN364" i="37" s="1"/>
  <c r="BO364" i="37" s="1"/>
  <c r="BP364" i="37" s="1"/>
  <c r="BQ364" i="37" s="1"/>
  <c r="BR364" i="37" s="1"/>
  <c r="BS364" i="37" s="1"/>
  <c r="BT364" i="37" s="1"/>
  <c r="BU364" i="37" s="1"/>
  <c r="BV364" i="37" s="1"/>
  <c r="BW364" i="37" s="1"/>
  <c r="D370" i="37"/>
  <c r="E370" i="37" s="1"/>
  <c r="F370" i="37" s="1"/>
  <c r="G370" i="37" s="1"/>
  <c r="H370" i="37" s="1"/>
  <c r="I370" i="37" s="1"/>
  <c r="J370" i="37" s="1"/>
  <c r="K370" i="37" s="1"/>
  <c r="L370" i="37" s="1"/>
  <c r="M370" i="37" s="1"/>
  <c r="N370" i="37" s="1"/>
  <c r="O370" i="37" s="1"/>
  <c r="P370" i="37" s="1"/>
  <c r="Q370" i="37" s="1"/>
  <c r="R370" i="37" s="1"/>
  <c r="S370" i="37" s="1"/>
  <c r="T370" i="37" s="1"/>
  <c r="U370" i="37" s="1"/>
  <c r="V370" i="37" s="1"/>
  <c r="W370" i="37" s="1"/>
  <c r="X370" i="37" s="1"/>
  <c r="Y370" i="37" s="1"/>
  <c r="Z370" i="37" s="1"/>
  <c r="AA370" i="37" s="1"/>
  <c r="AB370" i="37" s="1"/>
  <c r="AC370" i="37" s="1"/>
  <c r="AD370" i="37" s="1"/>
  <c r="AE370" i="37" s="1"/>
  <c r="AF370" i="37" s="1"/>
  <c r="AG370" i="37" s="1"/>
  <c r="AH370" i="37" s="1"/>
  <c r="AI370" i="37" s="1"/>
  <c r="AJ370" i="37" s="1"/>
  <c r="AK370" i="37" s="1"/>
  <c r="AL370" i="37" s="1"/>
  <c r="AM370" i="37" s="1"/>
  <c r="AN370" i="37" s="1"/>
  <c r="AO370" i="37" s="1"/>
  <c r="AP370" i="37" s="1"/>
  <c r="AQ370" i="37" s="1"/>
  <c r="AR370" i="37" s="1"/>
  <c r="AS370" i="37" s="1"/>
  <c r="AT370" i="37" s="1"/>
  <c r="AU370" i="37" s="1"/>
  <c r="AV370" i="37" s="1"/>
  <c r="AW370" i="37" s="1"/>
  <c r="AX370" i="37" s="1"/>
  <c r="AY370" i="37" s="1"/>
  <c r="AZ370" i="37" s="1"/>
  <c r="BA370" i="37" s="1"/>
  <c r="BB370" i="37" s="1"/>
  <c r="BC370" i="37" s="1"/>
  <c r="BD370" i="37" s="1"/>
  <c r="BE370" i="37" s="1"/>
  <c r="BF370" i="37" s="1"/>
  <c r="BG370" i="37" s="1"/>
  <c r="BH370" i="37" s="1"/>
  <c r="BI370" i="37" s="1"/>
  <c r="BJ370" i="37" s="1"/>
  <c r="BK370" i="37" s="1"/>
  <c r="BL370" i="37" s="1"/>
  <c r="BM370" i="37" s="1"/>
  <c r="BN370" i="37" s="1"/>
  <c r="BO370" i="37" s="1"/>
  <c r="BP370" i="37" s="1"/>
  <c r="BQ370" i="37" s="1"/>
  <c r="BR370" i="37" s="1"/>
  <c r="BS370" i="37" s="1"/>
  <c r="BT370" i="37" s="1"/>
  <c r="BU370" i="37" s="1"/>
  <c r="BV370" i="37" s="1"/>
  <c r="BW370" i="37" s="1"/>
  <c r="D374" i="37"/>
  <c r="E374" i="37" s="1"/>
  <c r="F374" i="37" s="1"/>
  <c r="G374" i="37" s="1"/>
  <c r="H374" i="37" s="1"/>
  <c r="I374" i="37" s="1"/>
  <c r="J374" i="37" s="1"/>
  <c r="K374" i="37" s="1"/>
  <c r="L374" i="37" s="1"/>
  <c r="M374" i="37" s="1"/>
  <c r="N374" i="37" s="1"/>
  <c r="O374" i="37" s="1"/>
  <c r="P374" i="37" s="1"/>
  <c r="Q374" i="37" s="1"/>
  <c r="R374" i="37" s="1"/>
  <c r="S374" i="37" s="1"/>
  <c r="T374" i="37" s="1"/>
  <c r="U374" i="37" s="1"/>
  <c r="V374" i="37" s="1"/>
  <c r="W374" i="37" s="1"/>
  <c r="X374" i="37" s="1"/>
  <c r="Y374" i="37" s="1"/>
  <c r="Z374" i="37" s="1"/>
  <c r="AA374" i="37" s="1"/>
  <c r="AB374" i="37" s="1"/>
  <c r="AC374" i="37" s="1"/>
  <c r="AD374" i="37" s="1"/>
  <c r="AE374" i="37" s="1"/>
  <c r="AF374" i="37" s="1"/>
  <c r="AG374" i="37" s="1"/>
  <c r="AH374" i="37" s="1"/>
  <c r="AI374" i="37" s="1"/>
  <c r="AJ374" i="37" s="1"/>
  <c r="AK374" i="37" s="1"/>
  <c r="AL374" i="37" s="1"/>
  <c r="AM374" i="37" s="1"/>
  <c r="AN374" i="37" s="1"/>
  <c r="AO374" i="37" s="1"/>
  <c r="AP374" i="37" s="1"/>
  <c r="AQ374" i="37" s="1"/>
  <c r="AR374" i="37" s="1"/>
  <c r="AS374" i="37" s="1"/>
  <c r="AT374" i="37" s="1"/>
  <c r="AU374" i="37" s="1"/>
  <c r="AV374" i="37" s="1"/>
  <c r="AW374" i="37" s="1"/>
  <c r="AX374" i="37" s="1"/>
  <c r="AY374" i="37" s="1"/>
  <c r="AZ374" i="37" s="1"/>
  <c r="BA374" i="37" s="1"/>
  <c r="BB374" i="37" s="1"/>
  <c r="BC374" i="37" s="1"/>
  <c r="BD374" i="37" s="1"/>
  <c r="BE374" i="37" s="1"/>
  <c r="BF374" i="37" s="1"/>
  <c r="BG374" i="37" s="1"/>
  <c r="BH374" i="37" s="1"/>
  <c r="BI374" i="37" s="1"/>
  <c r="BJ374" i="37" s="1"/>
  <c r="BK374" i="37" s="1"/>
  <c r="BL374" i="37" s="1"/>
  <c r="BM374" i="37" s="1"/>
  <c r="BN374" i="37" s="1"/>
  <c r="BO374" i="37" s="1"/>
  <c r="BP374" i="37" s="1"/>
  <c r="BQ374" i="37" s="1"/>
  <c r="BR374" i="37" s="1"/>
  <c r="BS374" i="37" s="1"/>
  <c r="BT374" i="37" s="1"/>
  <c r="BU374" i="37" s="1"/>
  <c r="BV374" i="37" s="1"/>
  <c r="BW374" i="37" s="1"/>
  <c r="D378" i="37"/>
  <c r="E378" i="37" s="1"/>
  <c r="F378" i="37" s="1"/>
  <c r="G378" i="37" s="1"/>
  <c r="H378" i="37" s="1"/>
  <c r="I378" i="37" s="1"/>
  <c r="J378" i="37" s="1"/>
  <c r="K378" i="37" s="1"/>
  <c r="L378" i="37" s="1"/>
  <c r="M378" i="37" s="1"/>
  <c r="N378" i="37" s="1"/>
  <c r="O378" i="37" s="1"/>
  <c r="P378" i="37" s="1"/>
  <c r="Q378" i="37" s="1"/>
  <c r="R378" i="37" s="1"/>
  <c r="S378" i="37" s="1"/>
  <c r="T378" i="37" s="1"/>
  <c r="U378" i="37" s="1"/>
  <c r="V378" i="37" s="1"/>
  <c r="W378" i="37" s="1"/>
  <c r="X378" i="37" s="1"/>
  <c r="Y378" i="37" s="1"/>
  <c r="Z378" i="37" s="1"/>
  <c r="AA378" i="37" s="1"/>
  <c r="AB378" i="37" s="1"/>
  <c r="AC378" i="37" s="1"/>
  <c r="AD378" i="37" s="1"/>
  <c r="AE378" i="37" s="1"/>
  <c r="AF378" i="37" s="1"/>
  <c r="AG378" i="37" s="1"/>
  <c r="AH378" i="37" s="1"/>
  <c r="AI378" i="37" s="1"/>
  <c r="AJ378" i="37" s="1"/>
  <c r="AK378" i="37" s="1"/>
  <c r="AL378" i="37" s="1"/>
  <c r="AM378" i="37" s="1"/>
  <c r="AN378" i="37" s="1"/>
  <c r="AO378" i="37" s="1"/>
  <c r="AP378" i="37" s="1"/>
  <c r="AQ378" i="37" s="1"/>
  <c r="AR378" i="37" s="1"/>
  <c r="AS378" i="37" s="1"/>
  <c r="AT378" i="37" s="1"/>
  <c r="AU378" i="37" s="1"/>
  <c r="AV378" i="37" s="1"/>
  <c r="AW378" i="37" s="1"/>
  <c r="AX378" i="37" s="1"/>
  <c r="AY378" i="37" s="1"/>
  <c r="AZ378" i="37" s="1"/>
  <c r="BA378" i="37" s="1"/>
  <c r="BB378" i="37" s="1"/>
  <c r="BC378" i="37" s="1"/>
  <c r="BD378" i="37" s="1"/>
  <c r="BE378" i="37" s="1"/>
  <c r="BF378" i="37" s="1"/>
  <c r="BG378" i="37" s="1"/>
  <c r="BH378" i="37" s="1"/>
  <c r="BI378" i="37" s="1"/>
  <c r="BJ378" i="37" s="1"/>
  <c r="BK378" i="37" s="1"/>
  <c r="BL378" i="37" s="1"/>
  <c r="BM378" i="37" s="1"/>
  <c r="BN378" i="37" s="1"/>
  <c r="BO378" i="37" s="1"/>
  <c r="BP378" i="37" s="1"/>
  <c r="BQ378" i="37" s="1"/>
  <c r="BR378" i="37" s="1"/>
  <c r="BS378" i="37" s="1"/>
  <c r="BT378" i="37" s="1"/>
  <c r="BU378" i="37" s="1"/>
  <c r="BV378" i="37" s="1"/>
  <c r="BW378" i="37" s="1"/>
  <c r="D331" i="37"/>
  <c r="D367" i="37"/>
  <c r="E367" i="37" s="1"/>
  <c r="F367" i="37" s="1"/>
  <c r="G367" i="37" s="1"/>
  <c r="H367" i="37" s="1"/>
  <c r="I367" i="37" s="1"/>
  <c r="J367" i="37" s="1"/>
  <c r="K367" i="37" s="1"/>
  <c r="L367" i="37" s="1"/>
  <c r="M367" i="37" s="1"/>
  <c r="N367" i="37" s="1"/>
  <c r="O367" i="37" s="1"/>
  <c r="P367" i="37" s="1"/>
  <c r="Q367" i="37" s="1"/>
  <c r="R367" i="37" s="1"/>
  <c r="S367" i="37" s="1"/>
  <c r="T367" i="37" s="1"/>
  <c r="U367" i="37" s="1"/>
  <c r="V367" i="37" s="1"/>
  <c r="W367" i="37" s="1"/>
  <c r="X367" i="37" s="1"/>
  <c r="Y367" i="37" s="1"/>
  <c r="Z367" i="37" s="1"/>
  <c r="AA367" i="37" s="1"/>
  <c r="AB367" i="37" s="1"/>
  <c r="AC367" i="37" s="1"/>
  <c r="AD367" i="37" s="1"/>
  <c r="AE367" i="37" s="1"/>
  <c r="AF367" i="37" s="1"/>
  <c r="AG367" i="37" s="1"/>
  <c r="AH367" i="37" s="1"/>
  <c r="AI367" i="37" s="1"/>
  <c r="AJ367" i="37" s="1"/>
  <c r="AK367" i="37" s="1"/>
  <c r="AL367" i="37" s="1"/>
  <c r="AM367" i="37" s="1"/>
  <c r="AN367" i="37" s="1"/>
  <c r="AO367" i="37" s="1"/>
  <c r="AP367" i="37" s="1"/>
  <c r="AQ367" i="37" s="1"/>
  <c r="AR367" i="37" s="1"/>
  <c r="AS367" i="37" s="1"/>
  <c r="AT367" i="37" s="1"/>
  <c r="AU367" i="37" s="1"/>
  <c r="AV367" i="37" s="1"/>
  <c r="AW367" i="37" s="1"/>
  <c r="AX367" i="37" s="1"/>
  <c r="AY367" i="37" s="1"/>
  <c r="AZ367" i="37" s="1"/>
  <c r="BA367" i="37" s="1"/>
  <c r="BB367" i="37" s="1"/>
  <c r="BC367" i="37" s="1"/>
  <c r="BD367" i="37" s="1"/>
  <c r="BE367" i="37" s="1"/>
  <c r="BF367" i="37" s="1"/>
  <c r="BG367" i="37" s="1"/>
  <c r="BH367" i="37" s="1"/>
  <c r="BI367" i="37" s="1"/>
  <c r="BJ367" i="37" s="1"/>
  <c r="BK367" i="37" s="1"/>
  <c r="BL367" i="37" s="1"/>
  <c r="BM367" i="37" s="1"/>
  <c r="BN367" i="37" s="1"/>
  <c r="BO367" i="37" s="1"/>
  <c r="BP367" i="37" s="1"/>
  <c r="BQ367" i="37" s="1"/>
  <c r="BR367" i="37" s="1"/>
  <c r="BS367" i="37" s="1"/>
  <c r="BT367" i="37" s="1"/>
  <c r="BU367" i="37" s="1"/>
  <c r="BV367" i="37" s="1"/>
  <c r="BW367" i="37" s="1"/>
  <c r="D280" i="37"/>
  <c r="D294" i="37"/>
  <c r="E294" i="37" s="1"/>
  <c r="F294" i="37" s="1"/>
  <c r="G294" i="37" s="1"/>
  <c r="H294" i="37" s="1"/>
  <c r="I294" i="37" s="1"/>
  <c r="J294" i="37" s="1"/>
  <c r="K294" i="37" s="1"/>
  <c r="L294" i="37" s="1"/>
  <c r="M294" i="37" s="1"/>
  <c r="N294" i="37" s="1"/>
  <c r="O294" i="37" s="1"/>
  <c r="P294" i="37" s="1"/>
  <c r="Q294" i="37" s="1"/>
  <c r="R294" i="37" s="1"/>
  <c r="S294" i="37" s="1"/>
  <c r="T294" i="37" s="1"/>
  <c r="U294" i="37" s="1"/>
  <c r="V294" i="37" s="1"/>
  <c r="W294" i="37" s="1"/>
  <c r="X294" i="37" s="1"/>
  <c r="Y294" i="37" s="1"/>
  <c r="Z294" i="37" s="1"/>
  <c r="AA294" i="37" s="1"/>
  <c r="AB294" i="37" s="1"/>
  <c r="AC294" i="37" s="1"/>
  <c r="AD294" i="37" s="1"/>
  <c r="AE294" i="37" s="1"/>
  <c r="AF294" i="37" s="1"/>
  <c r="AG294" i="37" s="1"/>
  <c r="AH294" i="37" s="1"/>
  <c r="AI294" i="37" s="1"/>
  <c r="AJ294" i="37" s="1"/>
  <c r="AK294" i="37" s="1"/>
  <c r="AL294" i="37" s="1"/>
  <c r="AM294" i="37" s="1"/>
  <c r="AN294" i="37" s="1"/>
  <c r="AO294" i="37" s="1"/>
  <c r="AP294" i="37" s="1"/>
  <c r="AQ294" i="37" s="1"/>
  <c r="AR294" i="37" s="1"/>
  <c r="AS294" i="37" s="1"/>
  <c r="AT294" i="37" s="1"/>
  <c r="AU294" i="37" s="1"/>
  <c r="AV294" i="37" s="1"/>
  <c r="AW294" i="37" s="1"/>
  <c r="AX294" i="37" s="1"/>
  <c r="AY294" i="37" s="1"/>
  <c r="AZ294" i="37" s="1"/>
  <c r="BA294" i="37" s="1"/>
  <c r="BB294" i="37" s="1"/>
  <c r="BC294" i="37" s="1"/>
  <c r="BD294" i="37" s="1"/>
  <c r="BE294" i="37" s="1"/>
  <c r="BF294" i="37" s="1"/>
  <c r="BG294" i="37" s="1"/>
  <c r="BH294" i="37" s="1"/>
  <c r="BI294" i="37" s="1"/>
  <c r="BJ294" i="37" s="1"/>
  <c r="BK294" i="37" s="1"/>
  <c r="BL294" i="37" s="1"/>
  <c r="BM294" i="37" s="1"/>
  <c r="BN294" i="37" s="1"/>
  <c r="BO294" i="37" s="1"/>
  <c r="BP294" i="37" s="1"/>
  <c r="BQ294" i="37" s="1"/>
  <c r="BR294" i="37" s="1"/>
  <c r="BS294" i="37" s="1"/>
  <c r="BT294" i="37" s="1"/>
  <c r="BU294" i="37" s="1"/>
  <c r="BV294" i="37" s="1"/>
  <c r="BW294" i="37" s="1"/>
  <c r="D310" i="37"/>
  <c r="E310" i="37" s="1"/>
  <c r="F310" i="37" s="1"/>
  <c r="G310" i="37" s="1"/>
  <c r="H310" i="37" s="1"/>
  <c r="I310" i="37" s="1"/>
  <c r="J310" i="37" s="1"/>
  <c r="K310" i="37" s="1"/>
  <c r="L310" i="37" s="1"/>
  <c r="M310" i="37" s="1"/>
  <c r="N310" i="37" s="1"/>
  <c r="O310" i="37" s="1"/>
  <c r="P310" i="37" s="1"/>
  <c r="Q310" i="37" s="1"/>
  <c r="R310" i="37" s="1"/>
  <c r="S310" i="37" s="1"/>
  <c r="T310" i="37" s="1"/>
  <c r="U310" i="37" s="1"/>
  <c r="V310" i="37" s="1"/>
  <c r="W310" i="37" s="1"/>
  <c r="X310" i="37" s="1"/>
  <c r="Y310" i="37" s="1"/>
  <c r="Z310" i="37" s="1"/>
  <c r="AA310" i="37" s="1"/>
  <c r="AB310" i="37" s="1"/>
  <c r="AC310" i="37" s="1"/>
  <c r="AD310" i="37" s="1"/>
  <c r="AE310" i="37" s="1"/>
  <c r="AF310" i="37" s="1"/>
  <c r="AG310" i="37" s="1"/>
  <c r="AH310" i="37" s="1"/>
  <c r="AI310" i="37" s="1"/>
  <c r="AJ310" i="37" s="1"/>
  <c r="AK310" i="37" s="1"/>
  <c r="AL310" i="37" s="1"/>
  <c r="AM310" i="37" s="1"/>
  <c r="AN310" i="37" s="1"/>
  <c r="AO310" i="37" s="1"/>
  <c r="AP310" i="37" s="1"/>
  <c r="AQ310" i="37" s="1"/>
  <c r="AR310" i="37" s="1"/>
  <c r="AS310" i="37" s="1"/>
  <c r="AT310" i="37" s="1"/>
  <c r="AU310" i="37" s="1"/>
  <c r="AV310" i="37" s="1"/>
  <c r="AW310" i="37" s="1"/>
  <c r="AX310" i="37" s="1"/>
  <c r="AY310" i="37" s="1"/>
  <c r="AZ310" i="37" s="1"/>
  <c r="BA310" i="37" s="1"/>
  <c r="BB310" i="37" s="1"/>
  <c r="BC310" i="37" s="1"/>
  <c r="BD310" i="37" s="1"/>
  <c r="BE310" i="37" s="1"/>
  <c r="BF310" i="37" s="1"/>
  <c r="BG310" i="37" s="1"/>
  <c r="BH310" i="37" s="1"/>
  <c r="BI310" i="37" s="1"/>
  <c r="BJ310" i="37" s="1"/>
  <c r="BK310" i="37" s="1"/>
  <c r="BL310" i="37" s="1"/>
  <c r="BM310" i="37" s="1"/>
  <c r="BN310" i="37" s="1"/>
  <c r="BO310" i="37" s="1"/>
  <c r="BP310" i="37" s="1"/>
  <c r="BQ310" i="37" s="1"/>
  <c r="BR310" i="37" s="1"/>
  <c r="BS310" i="37" s="1"/>
  <c r="BT310" i="37" s="1"/>
  <c r="BU310" i="37" s="1"/>
  <c r="BV310" i="37" s="1"/>
  <c r="BW310" i="37" s="1"/>
  <c r="D321" i="37"/>
  <c r="E321" i="37" s="1"/>
  <c r="F321" i="37" s="1"/>
  <c r="G321" i="37" s="1"/>
  <c r="H321" i="37" s="1"/>
  <c r="I321" i="37" s="1"/>
  <c r="J321" i="37" s="1"/>
  <c r="K321" i="37" s="1"/>
  <c r="L321" i="37" s="1"/>
  <c r="M321" i="37" s="1"/>
  <c r="N321" i="37" s="1"/>
  <c r="O321" i="37" s="1"/>
  <c r="P321" i="37" s="1"/>
  <c r="Q321" i="37" s="1"/>
  <c r="R321" i="37" s="1"/>
  <c r="S321" i="37" s="1"/>
  <c r="T321" i="37" s="1"/>
  <c r="U321" i="37" s="1"/>
  <c r="V321" i="37" s="1"/>
  <c r="W321" i="37" s="1"/>
  <c r="X321" i="37" s="1"/>
  <c r="Y321" i="37" s="1"/>
  <c r="Z321" i="37" s="1"/>
  <c r="AA321" i="37" s="1"/>
  <c r="AB321" i="37" s="1"/>
  <c r="AC321" i="37" s="1"/>
  <c r="AD321" i="37" s="1"/>
  <c r="AE321" i="37" s="1"/>
  <c r="AF321" i="37" s="1"/>
  <c r="AG321" i="37" s="1"/>
  <c r="AH321" i="37" s="1"/>
  <c r="AI321" i="37" s="1"/>
  <c r="AJ321" i="37" s="1"/>
  <c r="AK321" i="37" s="1"/>
  <c r="AL321" i="37" s="1"/>
  <c r="AM321" i="37" s="1"/>
  <c r="AN321" i="37" s="1"/>
  <c r="AO321" i="37" s="1"/>
  <c r="AP321" i="37" s="1"/>
  <c r="AQ321" i="37" s="1"/>
  <c r="AR321" i="37" s="1"/>
  <c r="AS321" i="37" s="1"/>
  <c r="AT321" i="37" s="1"/>
  <c r="AU321" i="37" s="1"/>
  <c r="AV321" i="37" s="1"/>
  <c r="AW321" i="37" s="1"/>
  <c r="AX321" i="37" s="1"/>
  <c r="AY321" i="37" s="1"/>
  <c r="AZ321" i="37" s="1"/>
  <c r="BA321" i="37" s="1"/>
  <c r="BB321" i="37" s="1"/>
  <c r="BC321" i="37" s="1"/>
  <c r="BD321" i="37" s="1"/>
  <c r="BE321" i="37" s="1"/>
  <c r="BF321" i="37" s="1"/>
  <c r="BG321" i="37" s="1"/>
  <c r="BH321" i="37" s="1"/>
  <c r="BI321" i="37" s="1"/>
  <c r="BJ321" i="37" s="1"/>
  <c r="BK321" i="37" s="1"/>
  <c r="BL321" i="37" s="1"/>
  <c r="BM321" i="37" s="1"/>
  <c r="BN321" i="37" s="1"/>
  <c r="BO321" i="37" s="1"/>
  <c r="BP321" i="37" s="1"/>
  <c r="BQ321" i="37" s="1"/>
  <c r="BR321" i="37" s="1"/>
  <c r="BS321" i="37" s="1"/>
  <c r="BT321" i="37" s="1"/>
  <c r="BU321" i="37" s="1"/>
  <c r="BV321" i="37" s="1"/>
  <c r="BW321" i="37" s="1"/>
  <c r="D335" i="37"/>
  <c r="D356" i="37"/>
  <c r="E356" i="37" s="1"/>
  <c r="F356" i="37" s="1"/>
  <c r="G356" i="37" s="1"/>
  <c r="H356" i="37" s="1"/>
  <c r="I356" i="37" s="1"/>
  <c r="J356" i="37" s="1"/>
  <c r="K356" i="37" s="1"/>
  <c r="L356" i="37" s="1"/>
  <c r="M356" i="37" s="1"/>
  <c r="N356" i="37" s="1"/>
  <c r="O356" i="37" s="1"/>
  <c r="P356" i="37" s="1"/>
  <c r="Q356" i="37" s="1"/>
  <c r="R356" i="37" s="1"/>
  <c r="S356" i="37" s="1"/>
  <c r="T356" i="37" s="1"/>
  <c r="U356" i="37" s="1"/>
  <c r="V356" i="37" s="1"/>
  <c r="W356" i="37" s="1"/>
  <c r="X356" i="37" s="1"/>
  <c r="Y356" i="37" s="1"/>
  <c r="Z356" i="37" s="1"/>
  <c r="AA356" i="37" s="1"/>
  <c r="AB356" i="37" s="1"/>
  <c r="AC356" i="37" s="1"/>
  <c r="AD356" i="37" s="1"/>
  <c r="AE356" i="37" s="1"/>
  <c r="AF356" i="37" s="1"/>
  <c r="AG356" i="37" s="1"/>
  <c r="AH356" i="37" s="1"/>
  <c r="AI356" i="37" s="1"/>
  <c r="AJ356" i="37" s="1"/>
  <c r="AK356" i="37" s="1"/>
  <c r="AL356" i="37" s="1"/>
  <c r="AM356" i="37" s="1"/>
  <c r="AN356" i="37" s="1"/>
  <c r="AO356" i="37" s="1"/>
  <c r="AP356" i="37" s="1"/>
  <c r="AQ356" i="37" s="1"/>
  <c r="AR356" i="37" s="1"/>
  <c r="AS356" i="37" s="1"/>
  <c r="AT356" i="37" s="1"/>
  <c r="AU356" i="37" s="1"/>
  <c r="AV356" i="37" s="1"/>
  <c r="AW356" i="37" s="1"/>
  <c r="AX356" i="37" s="1"/>
  <c r="AY356" i="37" s="1"/>
  <c r="AZ356" i="37" s="1"/>
  <c r="BA356" i="37" s="1"/>
  <c r="BB356" i="37" s="1"/>
  <c r="BC356" i="37" s="1"/>
  <c r="BD356" i="37" s="1"/>
  <c r="BE356" i="37" s="1"/>
  <c r="BF356" i="37" s="1"/>
  <c r="BG356" i="37" s="1"/>
  <c r="BH356" i="37" s="1"/>
  <c r="BI356" i="37" s="1"/>
  <c r="BJ356" i="37" s="1"/>
  <c r="BK356" i="37" s="1"/>
  <c r="BL356" i="37" s="1"/>
  <c r="BM356" i="37" s="1"/>
  <c r="BN356" i="37" s="1"/>
  <c r="BO356" i="37" s="1"/>
  <c r="BP356" i="37" s="1"/>
  <c r="BQ356" i="37" s="1"/>
  <c r="BR356" i="37" s="1"/>
  <c r="BS356" i="37" s="1"/>
  <c r="BT356" i="37" s="1"/>
  <c r="BU356" i="37" s="1"/>
  <c r="BV356" i="37" s="1"/>
  <c r="BW356" i="37" s="1"/>
  <c r="D375" i="37"/>
  <c r="E375" i="37" s="1"/>
  <c r="F375" i="37" s="1"/>
  <c r="G375" i="37" s="1"/>
  <c r="H375" i="37" s="1"/>
  <c r="I375" i="37" s="1"/>
  <c r="J375" i="37" s="1"/>
  <c r="K375" i="37" s="1"/>
  <c r="L375" i="37" s="1"/>
  <c r="M375" i="37" s="1"/>
  <c r="N375" i="37" s="1"/>
  <c r="O375" i="37" s="1"/>
  <c r="P375" i="37" s="1"/>
  <c r="Q375" i="37" s="1"/>
  <c r="R375" i="37" s="1"/>
  <c r="S375" i="37" s="1"/>
  <c r="T375" i="37" s="1"/>
  <c r="U375" i="37" s="1"/>
  <c r="V375" i="37" s="1"/>
  <c r="W375" i="37" s="1"/>
  <c r="X375" i="37" s="1"/>
  <c r="Y375" i="37" s="1"/>
  <c r="Z375" i="37" s="1"/>
  <c r="AA375" i="37" s="1"/>
  <c r="AB375" i="37" s="1"/>
  <c r="AC375" i="37" s="1"/>
  <c r="AD375" i="37" s="1"/>
  <c r="AE375" i="37" s="1"/>
  <c r="AF375" i="37" s="1"/>
  <c r="AG375" i="37" s="1"/>
  <c r="AH375" i="37" s="1"/>
  <c r="AI375" i="37" s="1"/>
  <c r="AJ375" i="37" s="1"/>
  <c r="AK375" i="37" s="1"/>
  <c r="AL375" i="37" s="1"/>
  <c r="AM375" i="37" s="1"/>
  <c r="AN375" i="37" s="1"/>
  <c r="AO375" i="37" s="1"/>
  <c r="AP375" i="37" s="1"/>
  <c r="AQ375" i="37" s="1"/>
  <c r="AR375" i="37" s="1"/>
  <c r="AS375" i="37" s="1"/>
  <c r="AT375" i="37" s="1"/>
  <c r="AU375" i="37" s="1"/>
  <c r="AV375" i="37" s="1"/>
  <c r="AW375" i="37" s="1"/>
  <c r="AX375" i="37" s="1"/>
  <c r="AY375" i="37" s="1"/>
  <c r="AZ375" i="37" s="1"/>
  <c r="BA375" i="37" s="1"/>
  <c r="BB375" i="37" s="1"/>
  <c r="BC375" i="37" s="1"/>
  <c r="BD375" i="37" s="1"/>
  <c r="BE375" i="37" s="1"/>
  <c r="BF375" i="37" s="1"/>
  <c r="BG375" i="37" s="1"/>
  <c r="BH375" i="37" s="1"/>
  <c r="BI375" i="37" s="1"/>
  <c r="BJ375" i="37" s="1"/>
  <c r="BK375" i="37" s="1"/>
  <c r="BL375" i="37" s="1"/>
  <c r="BM375" i="37" s="1"/>
  <c r="BN375" i="37" s="1"/>
  <c r="BO375" i="37" s="1"/>
  <c r="BP375" i="37" s="1"/>
  <c r="BQ375" i="37" s="1"/>
  <c r="BR375" i="37" s="1"/>
  <c r="BS375" i="37" s="1"/>
  <c r="BT375" i="37" s="1"/>
  <c r="BU375" i="37" s="1"/>
  <c r="BV375" i="37" s="1"/>
  <c r="BW375" i="37" s="1"/>
  <c r="D360" i="37"/>
  <c r="E360" i="37" s="1"/>
  <c r="F360" i="37" s="1"/>
  <c r="G360" i="37" s="1"/>
  <c r="H360" i="37" s="1"/>
  <c r="I360" i="37" s="1"/>
  <c r="J360" i="37" s="1"/>
  <c r="K360" i="37" s="1"/>
  <c r="L360" i="37" s="1"/>
  <c r="M360" i="37" s="1"/>
  <c r="N360" i="37" s="1"/>
  <c r="O360" i="37" s="1"/>
  <c r="P360" i="37" s="1"/>
  <c r="Q360" i="37" s="1"/>
  <c r="R360" i="37" s="1"/>
  <c r="S360" i="37" s="1"/>
  <c r="T360" i="37" s="1"/>
  <c r="U360" i="37" s="1"/>
  <c r="V360" i="37" s="1"/>
  <c r="W360" i="37" s="1"/>
  <c r="X360" i="37" s="1"/>
  <c r="Y360" i="37" s="1"/>
  <c r="Z360" i="37" s="1"/>
  <c r="AA360" i="37" s="1"/>
  <c r="AB360" i="37" s="1"/>
  <c r="AC360" i="37" s="1"/>
  <c r="AD360" i="37" s="1"/>
  <c r="AE360" i="37" s="1"/>
  <c r="AF360" i="37" s="1"/>
  <c r="AG360" i="37" s="1"/>
  <c r="AH360" i="37" s="1"/>
  <c r="AI360" i="37" s="1"/>
  <c r="AJ360" i="37" s="1"/>
  <c r="AK360" i="37" s="1"/>
  <c r="AL360" i="37" s="1"/>
  <c r="AM360" i="37" s="1"/>
  <c r="AN360" i="37" s="1"/>
  <c r="AO360" i="37" s="1"/>
  <c r="AP360" i="37" s="1"/>
  <c r="AQ360" i="37" s="1"/>
  <c r="AR360" i="37" s="1"/>
  <c r="AS360" i="37" s="1"/>
  <c r="AT360" i="37" s="1"/>
  <c r="AU360" i="37" s="1"/>
  <c r="AV360" i="37" s="1"/>
  <c r="AW360" i="37" s="1"/>
  <c r="AX360" i="37" s="1"/>
  <c r="AY360" i="37" s="1"/>
  <c r="AZ360" i="37" s="1"/>
  <c r="BA360" i="37" s="1"/>
  <c r="BB360" i="37" s="1"/>
  <c r="BC360" i="37" s="1"/>
  <c r="BD360" i="37" s="1"/>
  <c r="BE360" i="37" s="1"/>
  <c r="BF360" i="37" s="1"/>
  <c r="BG360" i="37" s="1"/>
  <c r="BH360" i="37" s="1"/>
  <c r="BI360" i="37" s="1"/>
  <c r="BJ360" i="37" s="1"/>
  <c r="BK360" i="37" s="1"/>
  <c r="BL360" i="37" s="1"/>
  <c r="BM360" i="37" s="1"/>
  <c r="BN360" i="37" s="1"/>
  <c r="BO360" i="37" s="1"/>
  <c r="BP360" i="37" s="1"/>
  <c r="BQ360" i="37" s="1"/>
  <c r="BR360" i="37" s="1"/>
  <c r="BS360" i="37" s="1"/>
  <c r="BT360" i="37" s="1"/>
  <c r="BU360" i="37" s="1"/>
  <c r="BV360" i="37" s="1"/>
  <c r="BW360" i="37" s="1"/>
  <c r="D322" i="37"/>
  <c r="D327" i="37"/>
  <c r="E327" i="37" s="1"/>
  <c r="F327" i="37" s="1"/>
  <c r="G327" i="37" s="1"/>
  <c r="H327" i="37" s="1"/>
  <c r="I327" i="37" s="1"/>
  <c r="J327" i="37" s="1"/>
  <c r="K327" i="37" s="1"/>
  <c r="L327" i="37" s="1"/>
  <c r="M327" i="37" s="1"/>
  <c r="N327" i="37" s="1"/>
  <c r="O327" i="37" s="1"/>
  <c r="P327" i="37" s="1"/>
  <c r="Q327" i="37" s="1"/>
  <c r="R327" i="37" s="1"/>
  <c r="S327" i="37" s="1"/>
  <c r="T327" i="37" s="1"/>
  <c r="U327" i="37" s="1"/>
  <c r="V327" i="37" s="1"/>
  <c r="W327" i="37" s="1"/>
  <c r="X327" i="37" s="1"/>
  <c r="Y327" i="37" s="1"/>
  <c r="Z327" i="37" s="1"/>
  <c r="AA327" i="37" s="1"/>
  <c r="AB327" i="37" s="1"/>
  <c r="AC327" i="37" s="1"/>
  <c r="AD327" i="37" s="1"/>
  <c r="AE327" i="37" s="1"/>
  <c r="AF327" i="37" s="1"/>
  <c r="AG327" i="37" s="1"/>
  <c r="AH327" i="37" s="1"/>
  <c r="AI327" i="37" s="1"/>
  <c r="AJ327" i="37" s="1"/>
  <c r="AK327" i="37" s="1"/>
  <c r="AL327" i="37" s="1"/>
  <c r="AM327" i="37" s="1"/>
  <c r="AN327" i="37" s="1"/>
  <c r="AO327" i="37" s="1"/>
  <c r="AP327" i="37" s="1"/>
  <c r="AQ327" i="37" s="1"/>
  <c r="AR327" i="37" s="1"/>
  <c r="AS327" i="37" s="1"/>
  <c r="AT327" i="37" s="1"/>
  <c r="AU327" i="37" s="1"/>
  <c r="AV327" i="37" s="1"/>
  <c r="AW327" i="37" s="1"/>
  <c r="AX327" i="37" s="1"/>
  <c r="AY327" i="37" s="1"/>
  <c r="AZ327" i="37" s="1"/>
  <c r="BA327" i="37" s="1"/>
  <c r="BB327" i="37" s="1"/>
  <c r="BC327" i="37" s="1"/>
  <c r="BD327" i="37" s="1"/>
  <c r="BE327" i="37" s="1"/>
  <c r="BF327" i="37" s="1"/>
  <c r="BG327" i="37" s="1"/>
  <c r="BH327" i="37" s="1"/>
  <c r="BI327" i="37" s="1"/>
  <c r="BJ327" i="37" s="1"/>
  <c r="BK327" i="37" s="1"/>
  <c r="BL327" i="37" s="1"/>
  <c r="BM327" i="37" s="1"/>
  <c r="BN327" i="37" s="1"/>
  <c r="BO327" i="37" s="1"/>
  <c r="BP327" i="37" s="1"/>
  <c r="BQ327" i="37" s="1"/>
  <c r="BR327" i="37" s="1"/>
  <c r="BS327" i="37" s="1"/>
  <c r="BT327" i="37" s="1"/>
  <c r="BU327" i="37" s="1"/>
  <c r="BV327" i="37" s="1"/>
  <c r="BW327" i="37" s="1"/>
  <c r="D332" i="37"/>
  <c r="E332" i="37" s="1"/>
  <c r="F332" i="37" s="1"/>
  <c r="G332" i="37" s="1"/>
  <c r="H332" i="37" s="1"/>
  <c r="I332" i="37" s="1"/>
  <c r="J332" i="37" s="1"/>
  <c r="K332" i="37" s="1"/>
  <c r="L332" i="37" s="1"/>
  <c r="M332" i="37" s="1"/>
  <c r="N332" i="37" s="1"/>
  <c r="O332" i="37" s="1"/>
  <c r="P332" i="37" s="1"/>
  <c r="Q332" i="37" s="1"/>
  <c r="R332" i="37" s="1"/>
  <c r="S332" i="37" s="1"/>
  <c r="T332" i="37" s="1"/>
  <c r="U332" i="37" s="1"/>
  <c r="V332" i="37" s="1"/>
  <c r="W332" i="37" s="1"/>
  <c r="X332" i="37" s="1"/>
  <c r="Y332" i="37" s="1"/>
  <c r="Z332" i="37" s="1"/>
  <c r="AA332" i="37" s="1"/>
  <c r="AB332" i="37" s="1"/>
  <c r="AC332" i="37" s="1"/>
  <c r="AD332" i="37" s="1"/>
  <c r="AE332" i="37" s="1"/>
  <c r="AF332" i="37" s="1"/>
  <c r="AG332" i="37" s="1"/>
  <c r="AH332" i="37" s="1"/>
  <c r="AI332" i="37" s="1"/>
  <c r="AJ332" i="37" s="1"/>
  <c r="AK332" i="37" s="1"/>
  <c r="AL332" i="37" s="1"/>
  <c r="AM332" i="37" s="1"/>
  <c r="AN332" i="37" s="1"/>
  <c r="AO332" i="37" s="1"/>
  <c r="AP332" i="37" s="1"/>
  <c r="AQ332" i="37" s="1"/>
  <c r="AR332" i="37" s="1"/>
  <c r="AS332" i="37" s="1"/>
  <c r="AT332" i="37" s="1"/>
  <c r="AU332" i="37" s="1"/>
  <c r="AV332" i="37" s="1"/>
  <c r="AW332" i="37" s="1"/>
  <c r="AX332" i="37" s="1"/>
  <c r="AY332" i="37" s="1"/>
  <c r="AZ332" i="37" s="1"/>
  <c r="BA332" i="37" s="1"/>
  <c r="BB332" i="37" s="1"/>
  <c r="BC332" i="37" s="1"/>
  <c r="BD332" i="37" s="1"/>
  <c r="BE332" i="37" s="1"/>
  <c r="BF332" i="37" s="1"/>
  <c r="BG332" i="37" s="1"/>
  <c r="BH332" i="37" s="1"/>
  <c r="BI332" i="37" s="1"/>
  <c r="BJ332" i="37" s="1"/>
  <c r="BK332" i="37" s="1"/>
  <c r="BL332" i="37" s="1"/>
  <c r="BM332" i="37" s="1"/>
  <c r="BN332" i="37" s="1"/>
  <c r="BO332" i="37" s="1"/>
  <c r="BP332" i="37" s="1"/>
  <c r="BQ332" i="37" s="1"/>
  <c r="BR332" i="37" s="1"/>
  <c r="BS332" i="37" s="1"/>
  <c r="BT332" i="37" s="1"/>
  <c r="BU332" i="37" s="1"/>
  <c r="BV332" i="37" s="1"/>
  <c r="BW332" i="37" s="1"/>
  <c r="D336" i="37"/>
  <c r="D340" i="37"/>
  <c r="D344" i="37"/>
  <c r="E344" i="37" s="1"/>
  <c r="F344" i="37" s="1"/>
  <c r="G344" i="37" s="1"/>
  <c r="H344" i="37" s="1"/>
  <c r="I344" i="37" s="1"/>
  <c r="J344" i="37" s="1"/>
  <c r="K344" i="37" s="1"/>
  <c r="L344" i="37" s="1"/>
  <c r="M344" i="37" s="1"/>
  <c r="N344" i="37" s="1"/>
  <c r="O344" i="37" s="1"/>
  <c r="P344" i="37" s="1"/>
  <c r="Q344" i="37" s="1"/>
  <c r="R344" i="37" s="1"/>
  <c r="S344" i="37" s="1"/>
  <c r="T344" i="37" s="1"/>
  <c r="U344" i="37" s="1"/>
  <c r="V344" i="37" s="1"/>
  <c r="W344" i="37" s="1"/>
  <c r="X344" i="37" s="1"/>
  <c r="Y344" i="37" s="1"/>
  <c r="Z344" i="37" s="1"/>
  <c r="AA344" i="37" s="1"/>
  <c r="AB344" i="37" s="1"/>
  <c r="AC344" i="37" s="1"/>
  <c r="AD344" i="37" s="1"/>
  <c r="AE344" i="37" s="1"/>
  <c r="AF344" i="37" s="1"/>
  <c r="AG344" i="37" s="1"/>
  <c r="AH344" i="37" s="1"/>
  <c r="AI344" i="37" s="1"/>
  <c r="AJ344" i="37" s="1"/>
  <c r="AK344" i="37" s="1"/>
  <c r="AL344" i="37" s="1"/>
  <c r="AM344" i="37" s="1"/>
  <c r="AN344" i="37" s="1"/>
  <c r="AO344" i="37" s="1"/>
  <c r="AP344" i="37" s="1"/>
  <c r="AQ344" i="37" s="1"/>
  <c r="AR344" i="37" s="1"/>
  <c r="AS344" i="37" s="1"/>
  <c r="AT344" i="37" s="1"/>
  <c r="AU344" i="37" s="1"/>
  <c r="AV344" i="37" s="1"/>
  <c r="AW344" i="37" s="1"/>
  <c r="AX344" i="37" s="1"/>
  <c r="AY344" i="37" s="1"/>
  <c r="AZ344" i="37" s="1"/>
  <c r="BA344" i="37" s="1"/>
  <c r="BB344" i="37" s="1"/>
  <c r="BC344" i="37" s="1"/>
  <c r="BD344" i="37" s="1"/>
  <c r="BE344" i="37" s="1"/>
  <c r="BF344" i="37" s="1"/>
  <c r="BG344" i="37" s="1"/>
  <c r="BH344" i="37" s="1"/>
  <c r="BI344" i="37" s="1"/>
  <c r="BJ344" i="37" s="1"/>
  <c r="BK344" i="37" s="1"/>
  <c r="BL344" i="37" s="1"/>
  <c r="BM344" i="37" s="1"/>
  <c r="BN344" i="37" s="1"/>
  <c r="BO344" i="37" s="1"/>
  <c r="BP344" i="37" s="1"/>
  <c r="BQ344" i="37" s="1"/>
  <c r="BR344" i="37" s="1"/>
  <c r="BS344" i="37" s="1"/>
  <c r="BT344" i="37" s="1"/>
  <c r="BU344" i="37" s="1"/>
  <c r="BV344" i="37" s="1"/>
  <c r="BW344" i="37" s="1"/>
  <c r="D362" i="37"/>
  <c r="E362" i="37" s="1"/>
  <c r="F362" i="37" s="1"/>
  <c r="G362" i="37" s="1"/>
  <c r="H362" i="37" s="1"/>
  <c r="I362" i="37" s="1"/>
  <c r="J362" i="37" s="1"/>
  <c r="K362" i="37" s="1"/>
  <c r="L362" i="37" s="1"/>
  <c r="M362" i="37" s="1"/>
  <c r="N362" i="37" s="1"/>
  <c r="O362" i="37" s="1"/>
  <c r="P362" i="37" s="1"/>
  <c r="Q362" i="37" s="1"/>
  <c r="R362" i="37" s="1"/>
  <c r="S362" i="37" s="1"/>
  <c r="T362" i="37" s="1"/>
  <c r="U362" i="37" s="1"/>
  <c r="V362" i="37" s="1"/>
  <c r="W362" i="37" s="1"/>
  <c r="X362" i="37" s="1"/>
  <c r="Y362" i="37" s="1"/>
  <c r="Z362" i="37" s="1"/>
  <c r="AA362" i="37" s="1"/>
  <c r="AB362" i="37" s="1"/>
  <c r="AC362" i="37" s="1"/>
  <c r="AD362" i="37" s="1"/>
  <c r="AE362" i="37" s="1"/>
  <c r="AF362" i="37" s="1"/>
  <c r="AG362" i="37" s="1"/>
  <c r="AH362" i="37" s="1"/>
  <c r="AI362" i="37" s="1"/>
  <c r="AJ362" i="37" s="1"/>
  <c r="AK362" i="37" s="1"/>
  <c r="AL362" i="37" s="1"/>
  <c r="AM362" i="37" s="1"/>
  <c r="AN362" i="37" s="1"/>
  <c r="AO362" i="37" s="1"/>
  <c r="AP362" i="37" s="1"/>
  <c r="AQ362" i="37" s="1"/>
  <c r="AR362" i="37" s="1"/>
  <c r="AS362" i="37" s="1"/>
  <c r="AT362" i="37" s="1"/>
  <c r="AU362" i="37" s="1"/>
  <c r="AV362" i="37" s="1"/>
  <c r="AW362" i="37" s="1"/>
  <c r="AX362" i="37" s="1"/>
  <c r="AY362" i="37" s="1"/>
  <c r="AZ362" i="37" s="1"/>
  <c r="BA362" i="37" s="1"/>
  <c r="BB362" i="37" s="1"/>
  <c r="BC362" i="37" s="1"/>
  <c r="BD362" i="37" s="1"/>
  <c r="BE362" i="37" s="1"/>
  <c r="BF362" i="37" s="1"/>
  <c r="BG362" i="37" s="1"/>
  <c r="BH362" i="37" s="1"/>
  <c r="BI362" i="37" s="1"/>
  <c r="BJ362" i="37" s="1"/>
  <c r="BK362" i="37" s="1"/>
  <c r="BL362" i="37" s="1"/>
  <c r="BM362" i="37" s="1"/>
  <c r="BN362" i="37" s="1"/>
  <c r="BO362" i="37" s="1"/>
  <c r="BP362" i="37" s="1"/>
  <c r="BQ362" i="37" s="1"/>
  <c r="BR362" i="37" s="1"/>
  <c r="BS362" i="37" s="1"/>
  <c r="BT362" i="37" s="1"/>
  <c r="BU362" i="37" s="1"/>
  <c r="BV362" i="37" s="1"/>
  <c r="BW362" i="37" s="1"/>
  <c r="D368" i="37"/>
  <c r="D372" i="37"/>
  <c r="D376" i="37"/>
  <c r="E376" i="37" s="1"/>
  <c r="F376" i="37" s="1"/>
  <c r="G376" i="37" s="1"/>
  <c r="H376" i="37" s="1"/>
  <c r="I376" i="37" s="1"/>
  <c r="J376" i="37" s="1"/>
  <c r="K376" i="37" s="1"/>
  <c r="L376" i="37" s="1"/>
  <c r="M376" i="37" s="1"/>
  <c r="N376" i="37" s="1"/>
  <c r="O376" i="37" s="1"/>
  <c r="P376" i="37" s="1"/>
  <c r="Q376" i="37" s="1"/>
  <c r="R376" i="37" s="1"/>
  <c r="S376" i="37" s="1"/>
  <c r="T376" i="37" s="1"/>
  <c r="U376" i="37" s="1"/>
  <c r="V376" i="37" s="1"/>
  <c r="W376" i="37" s="1"/>
  <c r="X376" i="37" s="1"/>
  <c r="Y376" i="37" s="1"/>
  <c r="Z376" i="37" s="1"/>
  <c r="AA376" i="37" s="1"/>
  <c r="AB376" i="37" s="1"/>
  <c r="AC376" i="37" s="1"/>
  <c r="AD376" i="37" s="1"/>
  <c r="AE376" i="37" s="1"/>
  <c r="AF376" i="37" s="1"/>
  <c r="AG376" i="37" s="1"/>
  <c r="AH376" i="37" s="1"/>
  <c r="AI376" i="37" s="1"/>
  <c r="AJ376" i="37" s="1"/>
  <c r="AK376" i="37" s="1"/>
  <c r="AL376" i="37" s="1"/>
  <c r="AM376" i="37" s="1"/>
  <c r="AN376" i="37" s="1"/>
  <c r="AO376" i="37" s="1"/>
  <c r="AP376" i="37" s="1"/>
  <c r="AQ376" i="37" s="1"/>
  <c r="AR376" i="37" s="1"/>
  <c r="AS376" i="37" s="1"/>
  <c r="AT376" i="37" s="1"/>
  <c r="AU376" i="37" s="1"/>
  <c r="AV376" i="37" s="1"/>
  <c r="AW376" i="37" s="1"/>
  <c r="AX376" i="37" s="1"/>
  <c r="AY376" i="37" s="1"/>
  <c r="AZ376" i="37" s="1"/>
  <c r="BA376" i="37" s="1"/>
  <c r="BB376" i="37" s="1"/>
  <c r="BC376" i="37" s="1"/>
  <c r="BD376" i="37" s="1"/>
  <c r="BE376" i="37" s="1"/>
  <c r="BF376" i="37" s="1"/>
  <c r="BG376" i="37" s="1"/>
  <c r="BH376" i="37" s="1"/>
  <c r="BI376" i="37" s="1"/>
  <c r="BJ376" i="37" s="1"/>
  <c r="BK376" i="37" s="1"/>
  <c r="BL376" i="37" s="1"/>
  <c r="BM376" i="37" s="1"/>
  <c r="BN376" i="37" s="1"/>
  <c r="BO376" i="37" s="1"/>
  <c r="BP376" i="37" s="1"/>
  <c r="BQ376" i="37" s="1"/>
  <c r="BR376" i="37" s="1"/>
  <c r="BS376" i="37" s="1"/>
  <c r="BT376" i="37" s="1"/>
  <c r="BU376" i="37" s="1"/>
  <c r="BV376" i="37" s="1"/>
  <c r="BW376" i="37" s="1"/>
  <c r="D380" i="37"/>
  <c r="E380" i="37" s="1"/>
  <c r="F380" i="37" s="1"/>
  <c r="G380" i="37" s="1"/>
  <c r="H380" i="37" s="1"/>
  <c r="I380" i="37" s="1"/>
  <c r="J380" i="37" s="1"/>
  <c r="K380" i="37" s="1"/>
  <c r="L380" i="37" s="1"/>
  <c r="M380" i="37" s="1"/>
  <c r="N380" i="37" s="1"/>
  <c r="O380" i="37" s="1"/>
  <c r="P380" i="37" s="1"/>
  <c r="Q380" i="37" s="1"/>
  <c r="R380" i="37" s="1"/>
  <c r="S380" i="37" s="1"/>
  <c r="T380" i="37" s="1"/>
  <c r="U380" i="37" s="1"/>
  <c r="V380" i="37" s="1"/>
  <c r="W380" i="37" s="1"/>
  <c r="X380" i="37" s="1"/>
  <c r="Y380" i="37" s="1"/>
  <c r="Z380" i="37" s="1"/>
  <c r="AA380" i="37" s="1"/>
  <c r="AB380" i="37" s="1"/>
  <c r="AC380" i="37" s="1"/>
  <c r="AD380" i="37" s="1"/>
  <c r="AE380" i="37" s="1"/>
  <c r="AF380" i="37" s="1"/>
  <c r="AG380" i="37" s="1"/>
  <c r="AH380" i="37" s="1"/>
  <c r="AI380" i="37" s="1"/>
  <c r="AJ380" i="37" s="1"/>
  <c r="AK380" i="37" s="1"/>
  <c r="AL380" i="37" s="1"/>
  <c r="AM380" i="37" s="1"/>
  <c r="AN380" i="37" s="1"/>
  <c r="AO380" i="37" s="1"/>
  <c r="AP380" i="37" s="1"/>
  <c r="AQ380" i="37" s="1"/>
  <c r="AR380" i="37" s="1"/>
  <c r="AS380" i="37" s="1"/>
  <c r="AT380" i="37" s="1"/>
  <c r="AU380" i="37" s="1"/>
  <c r="AV380" i="37" s="1"/>
  <c r="AW380" i="37" s="1"/>
  <c r="AX380" i="37" s="1"/>
  <c r="AY380" i="37" s="1"/>
  <c r="AZ380" i="37" s="1"/>
  <c r="BA380" i="37" s="1"/>
  <c r="BB380" i="37" s="1"/>
  <c r="BC380" i="37" s="1"/>
  <c r="BD380" i="37" s="1"/>
  <c r="BE380" i="37" s="1"/>
  <c r="BF380" i="37" s="1"/>
  <c r="BG380" i="37" s="1"/>
  <c r="BH380" i="37" s="1"/>
  <c r="BI380" i="37" s="1"/>
  <c r="BJ380" i="37" s="1"/>
  <c r="BK380" i="37" s="1"/>
  <c r="BL380" i="37" s="1"/>
  <c r="BM380" i="37" s="1"/>
  <c r="BN380" i="37" s="1"/>
  <c r="BO380" i="37" s="1"/>
  <c r="BP380" i="37" s="1"/>
  <c r="BQ380" i="37" s="1"/>
  <c r="BR380" i="37" s="1"/>
  <c r="BS380" i="37" s="1"/>
  <c r="BT380" i="37" s="1"/>
  <c r="BU380" i="37" s="1"/>
  <c r="BV380" i="37" s="1"/>
  <c r="BW380" i="37" s="1"/>
  <c r="D274" i="37"/>
  <c r="D276" i="37"/>
  <c r="D290" i="37"/>
  <c r="D302" i="37"/>
  <c r="D317" i="37"/>
  <c r="E317" i="37" s="1"/>
  <c r="F317" i="37" s="1"/>
  <c r="G317" i="37" s="1"/>
  <c r="H317" i="37" s="1"/>
  <c r="I317" i="37" s="1"/>
  <c r="J317" i="37" s="1"/>
  <c r="K317" i="37" s="1"/>
  <c r="L317" i="37" s="1"/>
  <c r="M317" i="37" s="1"/>
  <c r="N317" i="37" s="1"/>
  <c r="O317" i="37" s="1"/>
  <c r="P317" i="37" s="1"/>
  <c r="Q317" i="37" s="1"/>
  <c r="R317" i="37" s="1"/>
  <c r="S317" i="37" s="1"/>
  <c r="T317" i="37" s="1"/>
  <c r="U317" i="37" s="1"/>
  <c r="V317" i="37" s="1"/>
  <c r="W317" i="37" s="1"/>
  <c r="X317" i="37" s="1"/>
  <c r="Y317" i="37" s="1"/>
  <c r="Z317" i="37" s="1"/>
  <c r="AA317" i="37" s="1"/>
  <c r="AB317" i="37" s="1"/>
  <c r="AC317" i="37" s="1"/>
  <c r="AD317" i="37" s="1"/>
  <c r="AE317" i="37" s="1"/>
  <c r="AF317" i="37" s="1"/>
  <c r="AG317" i="37" s="1"/>
  <c r="AH317" i="37" s="1"/>
  <c r="AI317" i="37" s="1"/>
  <c r="AJ317" i="37" s="1"/>
  <c r="AK317" i="37" s="1"/>
  <c r="AL317" i="37" s="1"/>
  <c r="AM317" i="37" s="1"/>
  <c r="AN317" i="37" s="1"/>
  <c r="AO317" i="37" s="1"/>
  <c r="AP317" i="37" s="1"/>
  <c r="AQ317" i="37" s="1"/>
  <c r="AR317" i="37" s="1"/>
  <c r="AS317" i="37" s="1"/>
  <c r="AT317" i="37" s="1"/>
  <c r="AU317" i="37" s="1"/>
  <c r="AV317" i="37" s="1"/>
  <c r="AW317" i="37" s="1"/>
  <c r="AX317" i="37" s="1"/>
  <c r="AY317" i="37" s="1"/>
  <c r="AZ317" i="37" s="1"/>
  <c r="BA317" i="37" s="1"/>
  <c r="BB317" i="37" s="1"/>
  <c r="BC317" i="37" s="1"/>
  <c r="BD317" i="37" s="1"/>
  <c r="BE317" i="37" s="1"/>
  <c r="BF317" i="37" s="1"/>
  <c r="BG317" i="37" s="1"/>
  <c r="BH317" i="37" s="1"/>
  <c r="BI317" i="37" s="1"/>
  <c r="BJ317" i="37" s="1"/>
  <c r="BK317" i="37" s="1"/>
  <c r="BL317" i="37" s="1"/>
  <c r="BM317" i="37" s="1"/>
  <c r="BN317" i="37" s="1"/>
  <c r="BO317" i="37" s="1"/>
  <c r="BP317" i="37" s="1"/>
  <c r="BQ317" i="37" s="1"/>
  <c r="BR317" i="37" s="1"/>
  <c r="BS317" i="37" s="1"/>
  <c r="BT317" i="37" s="1"/>
  <c r="BU317" i="37" s="1"/>
  <c r="BV317" i="37" s="1"/>
  <c r="BW317" i="37" s="1"/>
  <c r="D326" i="37"/>
  <c r="D339" i="37"/>
  <c r="D361" i="37"/>
  <c r="E361" i="37" s="1"/>
  <c r="F361" i="37" s="1"/>
  <c r="G361" i="37" s="1"/>
  <c r="H361" i="37" s="1"/>
  <c r="I361" i="37" s="1"/>
  <c r="J361" i="37" s="1"/>
  <c r="K361" i="37" s="1"/>
  <c r="L361" i="37" s="1"/>
  <c r="M361" i="37" s="1"/>
  <c r="N361" i="37" s="1"/>
  <c r="O361" i="37" s="1"/>
  <c r="P361" i="37" s="1"/>
  <c r="Q361" i="37" s="1"/>
  <c r="R361" i="37" s="1"/>
  <c r="S361" i="37" s="1"/>
  <c r="T361" i="37" s="1"/>
  <c r="U361" i="37" s="1"/>
  <c r="V361" i="37" s="1"/>
  <c r="W361" i="37" s="1"/>
  <c r="X361" i="37" s="1"/>
  <c r="Y361" i="37" s="1"/>
  <c r="Z361" i="37" s="1"/>
  <c r="AA361" i="37" s="1"/>
  <c r="AB361" i="37" s="1"/>
  <c r="AC361" i="37" s="1"/>
  <c r="AD361" i="37" s="1"/>
  <c r="AE361" i="37" s="1"/>
  <c r="AF361" i="37" s="1"/>
  <c r="AG361" i="37" s="1"/>
  <c r="AH361" i="37" s="1"/>
  <c r="AI361" i="37" s="1"/>
  <c r="AJ361" i="37" s="1"/>
  <c r="AK361" i="37" s="1"/>
  <c r="AL361" i="37" s="1"/>
  <c r="AM361" i="37" s="1"/>
  <c r="AN361" i="37" s="1"/>
  <c r="AO361" i="37" s="1"/>
  <c r="AP361" i="37" s="1"/>
  <c r="AQ361" i="37" s="1"/>
  <c r="AR361" i="37" s="1"/>
  <c r="AS361" i="37" s="1"/>
  <c r="AT361" i="37" s="1"/>
  <c r="AU361" i="37" s="1"/>
  <c r="AV361" i="37" s="1"/>
  <c r="AW361" i="37" s="1"/>
  <c r="AX361" i="37" s="1"/>
  <c r="AY361" i="37" s="1"/>
  <c r="AZ361" i="37" s="1"/>
  <c r="BA361" i="37" s="1"/>
  <c r="BB361" i="37" s="1"/>
  <c r="BC361" i="37" s="1"/>
  <c r="BD361" i="37" s="1"/>
  <c r="BE361" i="37" s="1"/>
  <c r="BF361" i="37" s="1"/>
  <c r="BG361" i="37" s="1"/>
  <c r="BH361" i="37" s="1"/>
  <c r="BI361" i="37" s="1"/>
  <c r="BJ361" i="37" s="1"/>
  <c r="BK361" i="37" s="1"/>
  <c r="BL361" i="37" s="1"/>
  <c r="BM361" i="37" s="1"/>
  <c r="BN361" i="37" s="1"/>
  <c r="BO361" i="37" s="1"/>
  <c r="BP361" i="37" s="1"/>
  <c r="BQ361" i="37" s="1"/>
  <c r="BR361" i="37" s="1"/>
  <c r="BS361" i="37" s="1"/>
  <c r="BT361" i="37" s="1"/>
  <c r="BU361" i="37" s="1"/>
  <c r="BV361" i="37" s="1"/>
  <c r="BW361" i="37" s="1"/>
  <c r="D371" i="37"/>
  <c r="E371" i="37" s="1"/>
  <c r="F371" i="37" s="1"/>
  <c r="G371" i="37" s="1"/>
  <c r="H371" i="37" s="1"/>
  <c r="I371" i="37" s="1"/>
  <c r="J371" i="37" s="1"/>
  <c r="K371" i="37" s="1"/>
  <c r="L371" i="37" s="1"/>
  <c r="M371" i="37" s="1"/>
  <c r="N371" i="37" s="1"/>
  <c r="O371" i="37" s="1"/>
  <c r="P371" i="37" s="1"/>
  <c r="Q371" i="37" s="1"/>
  <c r="R371" i="37" s="1"/>
  <c r="S371" i="37" s="1"/>
  <c r="T371" i="37" s="1"/>
  <c r="U371" i="37" s="1"/>
  <c r="V371" i="37" s="1"/>
  <c r="W371" i="37" s="1"/>
  <c r="X371" i="37" s="1"/>
  <c r="Y371" i="37" s="1"/>
  <c r="Z371" i="37" s="1"/>
  <c r="AA371" i="37" s="1"/>
  <c r="AB371" i="37" s="1"/>
  <c r="AC371" i="37" s="1"/>
  <c r="AD371" i="37" s="1"/>
  <c r="AE371" i="37" s="1"/>
  <c r="AF371" i="37" s="1"/>
  <c r="AG371" i="37" s="1"/>
  <c r="AH371" i="37" s="1"/>
  <c r="AI371" i="37" s="1"/>
  <c r="AJ371" i="37" s="1"/>
  <c r="AK371" i="37" s="1"/>
  <c r="AL371" i="37" s="1"/>
  <c r="AM371" i="37" s="1"/>
  <c r="AN371" i="37" s="1"/>
  <c r="AO371" i="37" s="1"/>
  <c r="AP371" i="37" s="1"/>
  <c r="AQ371" i="37" s="1"/>
  <c r="AR371" i="37" s="1"/>
  <c r="AS371" i="37" s="1"/>
  <c r="AT371" i="37" s="1"/>
  <c r="AU371" i="37" s="1"/>
  <c r="AV371" i="37" s="1"/>
  <c r="AW371" i="37" s="1"/>
  <c r="AX371" i="37" s="1"/>
  <c r="AY371" i="37" s="1"/>
  <c r="AZ371" i="37" s="1"/>
  <c r="BA371" i="37" s="1"/>
  <c r="BB371" i="37" s="1"/>
  <c r="BC371" i="37" s="1"/>
  <c r="BD371" i="37" s="1"/>
  <c r="BE371" i="37" s="1"/>
  <c r="BF371" i="37" s="1"/>
  <c r="BG371" i="37" s="1"/>
  <c r="BH371" i="37" s="1"/>
  <c r="BI371" i="37" s="1"/>
  <c r="BJ371" i="37" s="1"/>
  <c r="BK371" i="37" s="1"/>
  <c r="BL371" i="37" s="1"/>
  <c r="BM371" i="37" s="1"/>
  <c r="BN371" i="37" s="1"/>
  <c r="BO371" i="37" s="1"/>
  <c r="BP371" i="37" s="1"/>
  <c r="BQ371" i="37" s="1"/>
  <c r="BR371" i="37" s="1"/>
  <c r="BS371" i="37" s="1"/>
  <c r="BT371" i="37" s="1"/>
  <c r="BU371" i="37" s="1"/>
  <c r="BV371" i="37" s="1"/>
  <c r="BW371" i="37" s="1"/>
  <c r="D272" i="37"/>
  <c r="E272" i="37" s="1"/>
  <c r="F272" i="37" s="1"/>
  <c r="G272" i="37" s="1"/>
  <c r="H272" i="37" s="1"/>
  <c r="I272" i="37" s="1"/>
  <c r="J272" i="37" s="1"/>
  <c r="K272" i="37" s="1"/>
  <c r="L272" i="37" s="1"/>
  <c r="M272" i="37" s="1"/>
  <c r="N272" i="37" s="1"/>
  <c r="O272" i="37" s="1"/>
  <c r="P272" i="37" s="1"/>
  <c r="Q272" i="37" s="1"/>
  <c r="R272" i="37" s="1"/>
  <c r="S272" i="37" s="1"/>
  <c r="T272" i="37" s="1"/>
  <c r="U272" i="37" s="1"/>
  <c r="V272" i="37" s="1"/>
  <c r="W272" i="37" s="1"/>
  <c r="X272" i="37" s="1"/>
  <c r="Y272" i="37" s="1"/>
  <c r="Z272" i="37" s="1"/>
  <c r="AA272" i="37" s="1"/>
  <c r="AB272" i="37" s="1"/>
  <c r="AC272" i="37" s="1"/>
  <c r="AD272" i="37" s="1"/>
  <c r="AE272" i="37" s="1"/>
  <c r="AF272" i="37" s="1"/>
  <c r="AG272" i="37" s="1"/>
  <c r="AH272" i="37" s="1"/>
  <c r="AI272" i="37" s="1"/>
  <c r="AJ272" i="37" s="1"/>
  <c r="AK272" i="37" s="1"/>
  <c r="AL272" i="37" s="1"/>
  <c r="AM272" i="37" s="1"/>
  <c r="AN272" i="37" s="1"/>
  <c r="AO272" i="37" s="1"/>
  <c r="AP272" i="37" s="1"/>
  <c r="AQ272" i="37" s="1"/>
  <c r="AR272" i="37" s="1"/>
  <c r="AS272" i="37" s="1"/>
  <c r="AT272" i="37" s="1"/>
  <c r="AU272" i="37" s="1"/>
  <c r="AV272" i="37" s="1"/>
  <c r="AW272" i="37" s="1"/>
  <c r="AX272" i="37" s="1"/>
  <c r="AY272" i="37" s="1"/>
  <c r="AZ272" i="37" s="1"/>
  <c r="BA272" i="37" s="1"/>
  <c r="BB272" i="37" s="1"/>
  <c r="BC272" i="37" s="1"/>
  <c r="BD272" i="37" s="1"/>
  <c r="BE272" i="37" s="1"/>
  <c r="BF272" i="37" s="1"/>
  <c r="BG272" i="37" s="1"/>
  <c r="BH272" i="37" s="1"/>
  <c r="BI272" i="37" s="1"/>
  <c r="BJ272" i="37" s="1"/>
  <c r="BK272" i="37" s="1"/>
  <c r="BL272" i="37" s="1"/>
  <c r="BM272" i="37" s="1"/>
  <c r="BN272" i="37" s="1"/>
  <c r="BO272" i="37" s="1"/>
  <c r="BP272" i="37" s="1"/>
  <c r="BQ272" i="37" s="1"/>
  <c r="BR272" i="37" s="1"/>
  <c r="BS272" i="37" s="1"/>
  <c r="BT272" i="37" s="1"/>
  <c r="BU272" i="37" s="1"/>
  <c r="BV272" i="37" s="1"/>
  <c r="BW272" i="37" s="1"/>
  <c r="D282" i="37"/>
  <c r="E282" i="37" s="1"/>
  <c r="F282" i="37" s="1"/>
  <c r="G282" i="37" s="1"/>
  <c r="H282" i="37" s="1"/>
  <c r="I282" i="37" s="1"/>
  <c r="J282" i="37" s="1"/>
  <c r="K282" i="37" s="1"/>
  <c r="L282" i="37" s="1"/>
  <c r="M282" i="37" s="1"/>
  <c r="N282" i="37" s="1"/>
  <c r="O282" i="37" s="1"/>
  <c r="P282" i="37" s="1"/>
  <c r="Q282" i="37" s="1"/>
  <c r="R282" i="37" s="1"/>
  <c r="S282" i="37" s="1"/>
  <c r="T282" i="37" s="1"/>
  <c r="U282" i="37" s="1"/>
  <c r="V282" i="37" s="1"/>
  <c r="W282" i="37" s="1"/>
  <c r="X282" i="37" s="1"/>
  <c r="Y282" i="37" s="1"/>
  <c r="Z282" i="37" s="1"/>
  <c r="AA282" i="37" s="1"/>
  <c r="AB282" i="37" s="1"/>
  <c r="AC282" i="37" s="1"/>
  <c r="AD282" i="37" s="1"/>
  <c r="AE282" i="37" s="1"/>
  <c r="AF282" i="37" s="1"/>
  <c r="AG282" i="37" s="1"/>
  <c r="AH282" i="37" s="1"/>
  <c r="AI282" i="37" s="1"/>
  <c r="AJ282" i="37" s="1"/>
  <c r="AK282" i="37" s="1"/>
  <c r="AL282" i="37" s="1"/>
  <c r="AM282" i="37" s="1"/>
  <c r="AN282" i="37" s="1"/>
  <c r="AO282" i="37" s="1"/>
  <c r="AP282" i="37" s="1"/>
  <c r="AQ282" i="37" s="1"/>
  <c r="AR282" i="37" s="1"/>
  <c r="AS282" i="37" s="1"/>
  <c r="AT282" i="37" s="1"/>
  <c r="AU282" i="37" s="1"/>
  <c r="AV282" i="37" s="1"/>
  <c r="AW282" i="37" s="1"/>
  <c r="AX282" i="37" s="1"/>
  <c r="AY282" i="37" s="1"/>
  <c r="AZ282" i="37" s="1"/>
  <c r="BA282" i="37" s="1"/>
  <c r="BB282" i="37" s="1"/>
  <c r="BC282" i="37" s="1"/>
  <c r="BD282" i="37" s="1"/>
  <c r="BE282" i="37" s="1"/>
  <c r="BF282" i="37" s="1"/>
  <c r="BG282" i="37" s="1"/>
  <c r="BH282" i="37" s="1"/>
  <c r="BI282" i="37" s="1"/>
  <c r="BJ282" i="37" s="1"/>
  <c r="BK282" i="37" s="1"/>
  <c r="BL282" i="37" s="1"/>
  <c r="BM282" i="37" s="1"/>
  <c r="BN282" i="37" s="1"/>
  <c r="BO282" i="37" s="1"/>
  <c r="BP282" i="37" s="1"/>
  <c r="BQ282" i="37" s="1"/>
  <c r="BR282" i="37" s="1"/>
  <c r="BS282" i="37" s="1"/>
  <c r="BT282" i="37" s="1"/>
  <c r="BU282" i="37" s="1"/>
  <c r="BV282" i="37" s="1"/>
  <c r="BW282" i="37" s="1"/>
  <c r="D286" i="37"/>
  <c r="E286" i="37" s="1"/>
  <c r="F286" i="37" s="1"/>
  <c r="G286" i="37" s="1"/>
  <c r="H286" i="37" s="1"/>
  <c r="I286" i="37" s="1"/>
  <c r="J286" i="37" s="1"/>
  <c r="K286" i="37" s="1"/>
  <c r="L286" i="37" s="1"/>
  <c r="M286" i="37" s="1"/>
  <c r="N286" i="37" s="1"/>
  <c r="O286" i="37" s="1"/>
  <c r="P286" i="37" s="1"/>
  <c r="Q286" i="37" s="1"/>
  <c r="R286" i="37" s="1"/>
  <c r="S286" i="37" s="1"/>
  <c r="T286" i="37" s="1"/>
  <c r="U286" i="37" s="1"/>
  <c r="V286" i="37" s="1"/>
  <c r="W286" i="37" s="1"/>
  <c r="X286" i="37" s="1"/>
  <c r="Y286" i="37" s="1"/>
  <c r="Z286" i="37" s="1"/>
  <c r="AA286" i="37" s="1"/>
  <c r="AB286" i="37" s="1"/>
  <c r="AC286" i="37" s="1"/>
  <c r="AD286" i="37" s="1"/>
  <c r="AE286" i="37" s="1"/>
  <c r="AF286" i="37" s="1"/>
  <c r="AG286" i="37" s="1"/>
  <c r="AH286" i="37" s="1"/>
  <c r="AI286" i="37" s="1"/>
  <c r="AJ286" i="37" s="1"/>
  <c r="AK286" i="37" s="1"/>
  <c r="AL286" i="37" s="1"/>
  <c r="AM286" i="37" s="1"/>
  <c r="AN286" i="37" s="1"/>
  <c r="AO286" i="37" s="1"/>
  <c r="AP286" i="37" s="1"/>
  <c r="AQ286" i="37" s="1"/>
  <c r="AR286" i="37" s="1"/>
  <c r="AS286" i="37" s="1"/>
  <c r="AT286" i="37" s="1"/>
  <c r="AU286" i="37" s="1"/>
  <c r="AV286" i="37" s="1"/>
  <c r="AW286" i="37" s="1"/>
  <c r="AX286" i="37" s="1"/>
  <c r="AY286" i="37" s="1"/>
  <c r="AZ286" i="37" s="1"/>
  <c r="BA286" i="37" s="1"/>
  <c r="BB286" i="37" s="1"/>
  <c r="BC286" i="37" s="1"/>
  <c r="BD286" i="37" s="1"/>
  <c r="BE286" i="37" s="1"/>
  <c r="BF286" i="37" s="1"/>
  <c r="BG286" i="37" s="1"/>
  <c r="BH286" i="37" s="1"/>
  <c r="BI286" i="37" s="1"/>
  <c r="BJ286" i="37" s="1"/>
  <c r="BK286" i="37" s="1"/>
  <c r="BL286" i="37" s="1"/>
  <c r="BM286" i="37" s="1"/>
  <c r="BN286" i="37" s="1"/>
  <c r="BO286" i="37" s="1"/>
  <c r="BP286" i="37" s="1"/>
  <c r="BQ286" i="37" s="1"/>
  <c r="BR286" i="37" s="1"/>
  <c r="BS286" i="37" s="1"/>
  <c r="BT286" i="37" s="1"/>
  <c r="BU286" i="37" s="1"/>
  <c r="BV286" i="37" s="1"/>
  <c r="BW286" i="37" s="1"/>
  <c r="D291" i="37"/>
  <c r="E291" i="37" s="1"/>
  <c r="F291" i="37" s="1"/>
  <c r="G291" i="37" s="1"/>
  <c r="H291" i="37" s="1"/>
  <c r="I291" i="37" s="1"/>
  <c r="J291" i="37" s="1"/>
  <c r="K291" i="37" s="1"/>
  <c r="L291" i="37" s="1"/>
  <c r="M291" i="37" s="1"/>
  <c r="N291" i="37" s="1"/>
  <c r="O291" i="37" s="1"/>
  <c r="P291" i="37" s="1"/>
  <c r="Q291" i="37" s="1"/>
  <c r="R291" i="37" s="1"/>
  <c r="S291" i="37" s="1"/>
  <c r="T291" i="37" s="1"/>
  <c r="U291" i="37" s="1"/>
  <c r="V291" i="37" s="1"/>
  <c r="W291" i="37" s="1"/>
  <c r="X291" i="37" s="1"/>
  <c r="Y291" i="37" s="1"/>
  <c r="Z291" i="37" s="1"/>
  <c r="AA291" i="37" s="1"/>
  <c r="AB291" i="37" s="1"/>
  <c r="AC291" i="37" s="1"/>
  <c r="AD291" i="37" s="1"/>
  <c r="AE291" i="37" s="1"/>
  <c r="AF291" i="37" s="1"/>
  <c r="AG291" i="37" s="1"/>
  <c r="AH291" i="37" s="1"/>
  <c r="AI291" i="37" s="1"/>
  <c r="AJ291" i="37" s="1"/>
  <c r="AK291" i="37" s="1"/>
  <c r="AL291" i="37" s="1"/>
  <c r="AM291" i="37" s="1"/>
  <c r="AN291" i="37" s="1"/>
  <c r="AO291" i="37" s="1"/>
  <c r="AP291" i="37" s="1"/>
  <c r="AQ291" i="37" s="1"/>
  <c r="AR291" i="37" s="1"/>
  <c r="AS291" i="37" s="1"/>
  <c r="AT291" i="37" s="1"/>
  <c r="AU291" i="37" s="1"/>
  <c r="AV291" i="37" s="1"/>
  <c r="AW291" i="37" s="1"/>
  <c r="AX291" i="37" s="1"/>
  <c r="AY291" i="37" s="1"/>
  <c r="AZ291" i="37" s="1"/>
  <c r="BA291" i="37" s="1"/>
  <c r="BB291" i="37" s="1"/>
  <c r="BC291" i="37" s="1"/>
  <c r="BD291" i="37" s="1"/>
  <c r="BE291" i="37" s="1"/>
  <c r="BF291" i="37" s="1"/>
  <c r="BG291" i="37" s="1"/>
  <c r="BH291" i="37" s="1"/>
  <c r="BI291" i="37" s="1"/>
  <c r="BJ291" i="37" s="1"/>
  <c r="BK291" i="37" s="1"/>
  <c r="BL291" i="37" s="1"/>
  <c r="BM291" i="37" s="1"/>
  <c r="BN291" i="37" s="1"/>
  <c r="BO291" i="37" s="1"/>
  <c r="BP291" i="37" s="1"/>
  <c r="BQ291" i="37" s="1"/>
  <c r="BR291" i="37" s="1"/>
  <c r="BS291" i="37" s="1"/>
  <c r="BT291" i="37" s="1"/>
  <c r="BU291" i="37" s="1"/>
  <c r="BV291" i="37" s="1"/>
  <c r="BW291" i="37" s="1"/>
  <c r="D295" i="37"/>
  <c r="E295" i="37" s="1"/>
  <c r="F295" i="37" s="1"/>
  <c r="G295" i="37" s="1"/>
  <c r="H295" i="37" s="1"/>
  <c r="I295" i="37" s="1"/>
  <c r="J295" i="37" s="1"/>
  <c r="K295" i="37" s="1"/>
  <c r="L295" i="37" s="1"/>
  <c r="M295" i="37" s="1"/>
  <c r="N295" i="37" s="1"/>
  <c r="O295" i="37" s="1"/>
  <c r="P295" i="37" s="1"/>
  <c r="Q295" i="37" s="1"/>
  <c r="R295" i="37" s="1"/>
  <c r="S295" i="37" s="1"/>
  <c r="T295" i="37" s="1"/>
  <c r="U295" i="37" s="1"/>
  <c r="V295" i="37" s="1"/>
  <c r="W295" i="37" s="1"/>
  <c r="X295" i="37" s="1"/>
  <c r="Y295" i="37" s="1"/>
  <c r="Z295" i="37" s="1"/>
  <c r="AA295" i="37" s="1"/>
  <c r="AB295" i="37" s="1"/>
  <c r="AC295" i="37" s="1"/>
  <c r="AD295" i="37" s="1"/>
  <c r="AE295" i="37" s="1"/>
  <c r="AF295" i="37" s="1"/>
  <c r="AG295" i="37" s="1"/>
  <c r="AH295" i="37" s="1"/>
  <c r="AI295" i="37" s="1"/>
  <c r="AJ295" i="37" s="1"/>
  <c r="AK295" i="37" s="1"/>
  <c r="AL295" i="37" s="1"/>
  <c r="AM295" i="37" s="1"/>
  <c r="AN295" i="37" s="1"/>
  <c r="AO295" i="37" s="1"/>
  <c r="AP295" i="37" s="1"/>
  <c r="AQ295" i="37" s="1"/>
  <c r="AR295" i="37" s="1"/>
  <c r="AS295" i="37" s="1"/>
  <c r="AT295" i="37" s="1"/>
  <c r="AU295" i="37" s="1"/>
  <c r="AV295" i="37" s="1"/>
  <c r="AW295" i="37" s="1"/>
  <c r="AX295" i="37" s="1"/>
  <c r="AY295" i="37" s="1"/>
  <c r="AZ295" i="37" s="1"/>
  <c r="BA295" i="37" s="1"/>
  <c r="BB295" i="37" s="1"/>
  <c r="BC295" i="37" s="1"/>
  <c r="BD295" i="37" s="1"/>
  <c r="BE295" i="37" s="1"/>
  <c r="BF295" i="37" s="1"/>
  <c r="BG295" i="37" s="1"/>
  <c r="BH295" i="37" s="1"/>
  <c r="BI295" i="37" s="1"/>
  <c r="BJ295" i="37" s="1"/>
  <c r="BK295" i="37" s="1"/>
  <c r="BL295" i="37" s="1"/>
  <c r="BM295" i="37" s="1"/>
  <c r="BN295" i="37" s="1"/>
  <c r="BO295" i="37" s="1"/>
  <c r="BP295" i="37" s="1"/>
  <c r="BQ295" i="37" s="1"/>
  <c r="BR295" i="37" s="1"/>
  <c r="BS295" i="37" s="1"/>
  <c r="BT295" i="37" s="1"/>
  <c r="BU295" i="37" s="1"/>
  <c r="BV295" i="37" s="1"/>
  <c r="BW295" i="37" s="1"/>
  <c r="D299" i="37"/>
  <c r="E299" i="37" s="1"/>
  <c r="F299" i="37" s="1"/>
  <c r="G299" i="37" s="1"/>
  <c r="H299" i="37" s="1"/>
  <c r="I299" i="37" s="1"/>
  <c r="J299" i="37" s="1"/>
  <c r="K299" i="37" s="1"/>
  <c r="L299" i="37" s="1"/>
  <c r="M299" i="37" s="1"/>
  <c r="N299" i="37" s="1"/>
  <c r="O299" i="37" s="1"/>
  <c r="P299" i="37" s="1"/>
  <c r="Q299" i="37" s="1"/>
  <c r="R299" i="37" s="1"/>
  <c r="S299" i="37" s="1"/>
  <c r="T299" i="37" s="1"/>
  <c r="U299" i="37" s="1"/>
  <c r="V299" i="37" s="1"/>
  <c r="W299" i="37" s="1"/>
  <c r="X299" i="37" s="1"/>
  <c r="Y299" i="37" s="1"/>
  <c r="Z299" i="37" s="1"/>
  <c r="AA299" i="37" s="1"/>
  <c r="AB299" i="37" s="1"/>
  <c r="AC299" i="37" s="1"/>
  <c r="AD299" i="37" s="1"/>
  <c r="AE299" i="37" s="1"/>
  <c r="AF299" i="37" s="1"/>
  <c r="AG299" i="37" s="1"/>
  <c r="AH299" i="37" s="1"/>
  <c r="AI299" i="37" s="1"/>
  <c r="AJ299" i="37" s="1"/>
  <c r="AK299" i="37" s="1"/>
  <c r="AL299" i="37" s="1"/>
  <c r="AM299" i="37" s="1"/>
  <c r="AN299" i="37" s="1"/>
  <c r="AO299" i="37" s="1"/>
  <c r="AP299" i="37" s="1"/>
  <c r="AQ299" i="37" s="1"/>
  <c r="AR299" i="37" s="1"/>
  <c r="AS299" i="37" s="1"/>
  <c r="AT299" i="37" s="1"/>
  <c r="AU299" i="37" s="1"/>
  <c r="AV299" i="37" s="1"/>
  <c r="AW299" i="37" s="1"/>
  <c r="AX299" i="37" s="1"/>
  <c r="AY299" i="37" s="1"/>
  <c r="AZ299" i="37" s="1"/>
  <c r="BA299" i="37" s="1"/>
  <c r="BB299" i="37" s="1"/>
  <c r="BC299" i="37" s="1"/>
  <c r="BD299" i="37" s="1"/>
  <c r="BE299" i="37" s="1"/>
  <c r="BF299" i="37" s="1"/>
  <c r="BG299" i="37" s="1"/>
  <c r="BH299" i="37" s="1"/>
  <c r="BI299" i="37" s="1"/>
  <c r="BJ299" i="37" s="1"/>
  <c r="BK299" i="37" s="1"/>
  <c r="BL299" i="37" s="1"/>
  <c r="BM299" i="37" s="1"/>
  <c r="BN299" i="37" s="1"/>
  <c r="BO299" i="37" s="1"/>
  <c r="BP299" i="37" s="1"/>
  <c r="BQ299" i="37" s="1"/>
  <c r="BR299" i="37" s="1"/>
  <c r="BS299" i="37" s="1"/>
  <c r="BT299" i="37" s="1"/>
  <c r="BU299" i="37" s="1"/>
  <c r="BV299" i="37" s="1"/>
  <c r="BW299" i="37" s="1"/>
  <c r="D303" i="37"/>
  <c r="E303" i="37" s="1"/>
  <c r="F303" i="37" s="1"/>
  <c r="G303" i="37" s="1"/>
  <c r="H303" i="37" s="1"/>
  <c r="I303" i="37" s="1"/>
  <c r="J303" i="37" s="1"/>
  <c r="K303" i="37" s="1"/>
  <c r="L303" i="37" s="1"/>
  <c r="M303" i="37" s="1"/>
  <c r="N303" i="37" s="1"/>
  <c r="O303" i="37" s="1"/>
  <c r="P303" i="37" s="1"/>
  <c r="Q303" i="37" s="1"/>
  <c r="R303" i="37" s="1"/>
  <c r="S303" i="37" s="1"/>
  <c r="T303" i="37" s="1"/>
  <c r="U303" i="37" s="1"/>
  <c r="V303" i="37" s="1"/>
  <c r="W303" i="37" s="1"/>
  <c r="X303" i="37" s="1"/>
  <c r="Y303" i="37" s="1"/>
  <c r="Z303" i="37" s="1"/>
  <c r="AA303" i="37" s="1"/>
  <c r="AB303" i="37" s="1"/>
  <c r="AC303" i="37" s="1"/>
  <c r="AD303" i="37" s="1"/>
  <c r="AE303" i="37" s="1"/>
  <c r="AF303" i="37" s="1"/>
  <c r="AG303" i="37" s="1"/>
  <c r="AH303" i="37" s="1"/>
  <c r="AI303" i="37" s="1"/>
  <c r="AJ303" i="37" s="1"/>
  <c r="AK303" i="37" s="1"/>
  <c r="AL303" i="37" s="1"/>
  <c r="AM303" i="37" s="1"/>
  <c r="AN303" i="37" s="1"/>
  <c r="AO303" i="37" s="1"/>
  <c r="AP303" i="37" s="1"/>
  <c r="AQ303" i="37" s="1"/>
  <c r="AR303" i="37" s="1"/>
  <c r="AS303" i="37" s="1"/>
  <c r="AT303" i="37" s="1"/>
  <c r="AU303" i="37" s="1"/>
  <c r="AV303" i="37" s="1"/>
  <c r="AW303" i="37" s="1"/>
  <c r="AX303" i="37" s="1"/>
  <c r="AY303" i="37" s="1"/>
  <c r="AZ303" i="37" s="1"/>
  <c r="BA303" i="37" s="1"/>
  <c r="BB303" i="37" s="1"/>
  <c r="BC303" i="37" s="1"/>
  <c r="BD303" i="37" s="1"/>
  <c r="BE303" i="37" s="1"/>
  <c r="BF303" i="37" s="1"/>
  <c r="BG303" i="37" s="1"/>
  <c r="BH303" i="37" s="1"/>
  <c r="BI303" i="37" s="1"/>
  <c r="BJ303" i="37" s="1"/>
  <c r="BK303" i="37" s="1"/>
  <c r="BL303" i="37" s="1"/>
  <c r="BM303" i="37" s="1"/>
  <c r="BN303" i="37" s="1"/>
  <c r="BO303" i="37" s="1"/>
  <c r="BP303" i="37" s="1"/>
  <c r="BQ303" i="37" s="1"/>
  <c r="BR303" i="37" s="1"/>
  <c r="BS303" i="37" s="1"/>
  <c r="BT303" i="37" s="1"/>
  <c r="BU303" i="37" s="1"/>
  <c r="BV303" i="37" s="1"/>
  <c r="BW303" i="37" s="1"/>
  <c r="D307" i="37"/>
  <c r="E307" i="37" s="1"/>
  <c r="F307" i="37" s="1"/>
  <c r="G307" i="37" s="1"/>
  <c r="H307" i="37" s="1"/>
  <c r="I307" i="37" s="1"/>
  <c r="J307" i="37" s="1"/>
  <c r="K307" i="37" s="1"/>
  <c r="L307" i="37" s="1"/>
  <c r="M307" i="37" s="1"/>
  <c r="N307" i="37" s="1"/>
  <c r="O307" i="37" s="1"/>
  <c r="P307" i="37" s="1"/>
  <c r="Q307" i="37" s="1"/>
  <c r="R307" i="37" s="1"/>
  <c r="S307" i="37" s="1"/>
  <c r="T307" i="37" s="1"/>
  <c r="U307" i="37" s="1"/>
  <c r="V307" i="37" s="1"/>
  <c r="W307" i="37" s="1"/>
  <c r="X307" i="37" s="1"/>
  <c r="Y307" i="37" s="1"/>
  <c r="Z307" i="37" s="1"/>
  <c r="AA307" i="37" s="1"/>
  <c r="AB307" i="37" s="1"/>
  <c r="AC307" i="37" s="1"/>
  <c r="AD307" i="37" s="1"/>
  <c r="AE307" i="37" s="1"/>
  <c r="AF307" i="37" s="1"/>
  <c r="AG307" i="37" s="1"/>
  <c r="AH307" i="37" s="1"/>
  <c r="AI307" i="37" s="1"/>
  <c r="AJ307" i="37" s="1"/>
  <c r="AK307" i="37" s="1"/>
  <c r="AL307" i="37" s="1"/>
  <c r="AM307" i="37" s="1"/>
  <c r="AN307" i="37" s="1"/>
  <c r="AO307" i="37" s="1"/>
  <c r="AP307" i="37" s="1"/>
  <c r="AQ307" i="37" s="1"/>
  <c r="AR307" i="37" s="1"/>
  <c r="AS307" i="37" s="1"/>
  <c r="AT307" i="37" s="1"/>
  <c r="AU307" i="37" s="1"/>
  <c r="AV307" i="37" s="1"/>
  <c r="AW307" i="37" s="1"/>
  <c r="AX307" i="37" s="1"/>
  <c r="AY307" i="37" s="1"/>
  <c r="AZ307" i="37" s="1"/>
  <c r="BA307" i="37" s="1"/>
  <c r="BB307" i="37" s="1"/>
  <c r="BC307" i="37" s="1"/>
  <c r="BD307" i="37" s="1"/>
  <c r="BE307" i="37" s="1"/>
  <c r="BF307" i="37" s="1"/>
  <c r="BG307" i="37" s="1"/>
  <c r="BH307" i="37" s="1"/>
  <c r="BI307" i="37" s="1"/>
  <c r="BJ307" i="37" s="1"/>
  <c r="BK307" i="37" s="1"/>
  <c r="BL307" i="37" s="1"/>
  <c r="BM307" i="37" s="1"/>
  <c r="BN307" i="37" s="1"/>
  <c r="BO307" i="37" s="1"/>
  <c r="BP307" i="37" s="1"/>
  <c r="BQ307" i="37" s="1"/>
  <c r="BR307" i="37" s="1"/>
  <c r="BS307" i="37" s="1"/>
  <c r="BT307" i="37" s="1"/>
  <c r="BU307" i="37" s="1"/>
  <c r="BV307" i="37" s="1"/>
  <c r="BW307" i="37" s="1"/>
  <c r="D314" i="37"/>
  <c r="E314" i="37" s="1"/>
  <c r="F314" i="37" s="1"/>
  <c r="G314" i="37" s="1"/>
  <c r="H314" i="37" s="1"/>
  <c r="I314" i="37" s="1"/>
  <c r="J314" i="37" s="1"/>
  <c r="K314" i="37" s="1"/>
  <c r="L314" i="37" s="1"/>
  <c r="M314" i="37" s="1"/>
  <c r="N314" i="37" s="1"/>
  <c r="O314" i="37" s="1"/>
  <c r="P314" i="37" s="1"/>
  <c r="Q314" i="37" s="1"/>
  <c r="R314" i="37" s="1"/>
  <c r="S314" i="37" s="1"/>
  <c r="T314" i="37" s="1"/>
  <c r="U314" i="37" s="1"/>
  <c r="V314" i="37" s="1"/>
  <c r="W314" i="37" s="1"/>
  <c r="X314" i="37" s="1"/>
  <c r="Y314" i="37" s="1"/>
  <c r="Z314" i="37" s="1"/>
  <c r="AA314" i="37" s="1"/>
  <c r="AB314" i="37" s="1"/>
  <c r="AC314" i="37" s="1"/>
  <c r="AD314" i="37" s="1"/>
  <c r="AE314" i="37" s="1"/>
  <c r="AF314" i="37" s="1"/>
  <c r="AG314" i="37" s="1"/>
  <c r="AH314" i="37" s="1"/>
  <c r="AI314" i="37" s="1"/>
  <c r="AJ314" i="37" s="1"/>
  <c r="AK314" i="37" s="1"/>
  <c r="AL314" i="37" s="1"/>
  <c r="AM314" i="37" s="1"/>
  <c r="AN314" i="37" s="1"/>
  <c r="AO314" i="37" s="1"/>
  <c r="AP314" i="37" s="1"/>
  <c r="AQ314" i="37" s="1"/>
  <c r="AR314" i="37" s="1"/>
  <c r="AS314" i="37" s="1"/>
  <c r="AT314" i="37" s="1"/>
  <c r="AU314" i="37" s="1"/>
  <c r="AV314" i="37" s="1"/>
  <c r="AW314" i="37" s="1"/>
  <c r="AX314" i="37" s="1"/>
  <c r="AY314" i="37" s="1"/>
  <c r="AZ314" i="37" s="1"/>
  <c r="BA314" i="37" s="1"/>
  <c r="BB314" i="37" s="1"/>
  <c r="BC314" i="37" s="1"/>
  <c r="BD314" i="37" s="1"/>
  <c r="BE314" i="37" s="1"/>
  <c r="BF314" i="37" s="1"/>
  <c r="BG314" i="37" s="1"/>
  <c r="BH314" i="37" s="1"/>
  <c r="BI314" i="37" s="1"/>
  <c r="BJ314" i="37" s="1"/>
  <c r="BK314" i="37" s="1"/>
  <c r="BL314" i="37" s="1"/>
  <c r="BM314" i="37" s="1"/>
  <c r="BN314" i="37" s="1"/>
  <c r="BO314" i="37" s="1"/>
  <c r="BP314" i="37" s="1"/>
  <c r="BQ314" i="37" s="1"/>
  <c r="BR314" i="37" s="1"/>
  <c r="BS314" i="37" s="1"/>
  <c r="BT314" i="37" s="1"/>
  <c r="BU314" i="37" s="1"/>
  <c r="BV314" i="37" s="1"/>
  <c r="BW314" i="37" s="1"/>
  <c r="D318" i="37"/>
  <c r="E318" i="37" s="1"/>
  <c r="F318" i="37" s="1"/>
  <c r="G318" i="37" s="1"/>
  <c r="H318" i="37" s="1"/>
  <c r="I318" i="37" s="1"/>
  <c r="J318" i="37" s="1"/>
  <c r="K318" i="37" s="1"/>
  <c r="L318" i="37" s="1"/>
  <c r="M318" i="37" s="1"/>
  <c r="N318" i="37" s="1"/>
  <c r="O318" i="37" s="1"/>
  <c r="P318" i="37" s="1"/>
  <c r="Q318" i="37" s="1"/>
  <c r="R318" i="37" s="1"/>
  <c r="S318" i="37" s="1"/>
  <c r="T318" i="37" s="1"/>
  <c r="U318" i="37" s="1"/>
  <c r="V318" i="37" s="1"/>
  <c r="W318" i="37" s="1"/>
  <c r="X318" i="37" s="1"/>
  <c r="Y318" i="37" s="1"/>
  <c r="Z318" i="37" s="1"/>
  <c r="AA318" i="37" s="1"/>
  <c r="AB318" i="37" s="1"/>
  <c r="AC318" i="37" s="1"/>
  <c r="AD318" i="37" s="1"/>
  <c r="AE318" i="37" s="1"/>
  <c r="AF318" i="37" s="1"/>
  <c r="AG318" i="37" s="1"/>
  <c r="AH318" i="37" s="1"/>
  <c r="AI318" i="37" s="1"/>
  <c r="AJ318" i="37" s="1"/>
  <c r="AK318" i="37" s="1"/>
  <c r="AL318" i="37" s="1"/>
  <c r="AM318" i="37" s="1"/>
  <c r="AN318" i="37" s="1"/>
  <c r="AO318" i="37" s="1"/>
  <c r="AP318" i="37" s="1"/>
  <c r="AQ318" i="37" s="1"/>
  <c r="AR318" i="37" s="1"/>
  <c r="AS318" i="37" s="1"/>
  <c r="AT318" i="37" s="1"/>
  <c r="AU318" i="37" s="1"/>
  <c r="AV318" i="37" s="1"/>
  <c r="AW318" i="37" s="1"/>
  <c r="AX318" i="37" s="1"/>
  <c r="AY318" i="37" s="1"/>
  <c r="AZ318" i="37" s="1"/>
  <c r="BA318" i="37" s="1"/>
  <c r="BB318" i="37" s="1"/>
  <c r="BC318" i="37" s="1"/>
  <c r="BD318" i="37" s="1"/>
  <c r="BE318" i="37" s="1"/>
  <c r="BF318" i="37" s="1"/>
  <c r="BG318" i="37" s="1"/>
  <c r="BH318" i="37" s="1"/>
  <c r="BI318" i="37" s="1"/>
  <c r="BJ318" i="37" s="1"/>
  <c r="BK318" i="37" s="1"/>
  <c r="BL318" i="37" s="1"/>
  <c r="BM318" i="37" s="1"/>
  <c r="BN318" i="37" s="1"/>
  <c r="BO318" i="37" s="1"/>
  <c r="BP318" i="37" s="1"/>
  <c r="BQ318" i="37" s="1"/>
  <c r="BR318" i="37" s="1"/>
  <c r="BS318" i="37" s="1"/>
  <c r="BT318" i="37" s="1"/>
  <c r="BU318" i="37" s="1"/>
  <c r="BV318" i="37" s="1"/>
  <c r="BW318" i="37" s="1"/>
  <c r="D273" i="37"/>
  <c r="E273" i="37" s="1"/>
  <c r="F273" i="37" s="1"/>
  <c r="G273" i="37" s="1"/>
  <c r="H273" i="37" s="1"/>
  <c r="I273" i="37" s="1"/>
  <c r="J273" i="37" s="1"/>
  <c r="K273" i="37" s="1"/>
  <c r="L273" i="37" s="1"/>
  <c r="M273" i="37" s="1"/>
  <c r="N273" i="37" s="1"/>
  <c r="O273" i="37" s="1"/>
  <c r="P273" i="37" s="1"/>
  <c r="Q273" i="37" s="1"/>
  <c r="R273" i="37" s="1"/>
  <c r="S273" i="37" s="1"/>
  <c r="T273" i="37" s="1"/>
  <c r="U273" i="37" s="1"/>
  <c r="V273" i="37" s="1"/>
  <c r="W273" i="37" s="1"/>
  <c r="X273" i="37" s="1"/>
  <c r="Y273" i="37" s="1"/>
  <c r="Z273" i="37" s="1"/>
  <c r="AA273" i="37" s="1"/>
  <c r="AB273" i="37" s="1"/>
  <c r="AC273" i="37" s="1"/>
  <c r="AD273" i="37" s="1"/>
  <c r="AE273" i="37" s="1"/>
  <c r="AF273" i="37" s="1"/>
  <c r="AG273" i="37" s="1"/>
  <c r="AH273" i="37" s="1"/>
  <c r="AI273" i="37" s="1"/>
  <c r="AJ273" i="37" s="1"/>
  <c r="AK273" i="37" s="1"/>
  <c r="AL273" i="37" s="1"/>
  <c r="AM273" i="37" s="1"/>
  <c r="AN273" i="37" s="1"/>
  <c r="AO273" i="37" s="1"/>
  <c r="AP273" i="37" s="1"/>
  <c r="AQ273" i="37" s="1"/>
  <c r="AR273" i="37" s="1"/>
  <c r="AS273" i="37" s="1"/>
  <c r="AT273" i="37" s="1"/>
  <c r="AU273" i="37" s="1"/>
  <c r="AV273" i="37" s="1"/>
  <c r="AW273" i="37" s="1"/>
  <c r="AX273" i="37" s="1"/>
  <c r="AY273" i="37" s="1"/>
  <c r="AZ273" i="37" s="1"/>
  <c r="BA273" i="37" s="1"/>
  <c r="BB273" i="37" s="1"/>
  <c r="BC273" i="37" s="1"/>
  <c r="BD273" i="37" s="1"/>
  <c r="BE273" i="37" s="1"/>
  <c r="BF273" i="37" s="1"/>
  <c r="BG273" i="37" s="1"/>
  <c r="BH273" i="37" s="1"/>
  <c r="BI273" i="37" s="1"/>
  <c r="BJ273" i="37" s="1"/>
  <c r="BK273" i="37" s="1"/>
  <c r="BL273" i="37" s="1"/>
  <c r="BM273" i="37" s="1"/>
  <c r="BN273" i="37" s="1"/>
  <c r="BO273" i="37" s="1"/>
  <c r="BP273" i="37" s="1"/>
  <c r="BQ273" i="37" s="1"/>
  <c r="BR273" i="37" s="1"/>
  <c r="BS273" i="37" s="1"/>
  <c r="BT273" i="37" s="1"/>
  <c r="BU273" i="37" s="1"/>
  <c r="BV273" i="37" s="1"/>
  <c r="BW273" i="37" s="1"/>
  <c r="D278" i="37"/>
  <c r="E278" i="37" s="1"/>
  <c r="F278" i="37" s="1"/>
  <c r="G278" i="37" s="1"/>
  <c r="H278" i="37" s="1"/>
  <c r="I278" i="37" s="1"/>
  <c r="J278" i="37" s="1"/>
  <c r="K278" i="37" s="1"/>
  <c r="L278" i="37" s="1"/>
  <c r="M278" i="37" s="1"/>
  <c r="N278" i="37" s="1"/>
  <c r="O278" i="37" s="1"/>
  <c r="P278" i="37" s="1"/>
  <c r="Q278" i="37" s="1"/>
  <c r="R278" i="37" s="1"/>
  <c r="S278" i="37" s="1"/>
  <c r="T278" i="37" s="1"/>
  <c r="U278" i="37" s="1"/>
  <c r="V278" i="37" s="1"/>
  <c r="W278" i="37" s="1"/>
  <c r="X278" i="37" s="1"/>
  <c r="Y278" i="37" s="1"/>
  <c r="Z278" i="37" s="1"/>
  <c r="AA278" i="37" s="1"/>
  <c r="AB278" i="37" s="1"/>
  <c r="AC278" i="37" s="1"/>
  <c r="AD278" i="37" s="1"/>
  <c r="AE278" i="37" s="1"/>
  <c r="AF278" i="37" s="1"/>
  <c r="AG278" i="37" s="1"/>
  <c r="AH278" i="37" s="1"/>
  <c r="AI278" i="37" s="1"/>
  <c r="AJ278" i="37" s="1"/>
  <c r="AK278" i="37" s="1"/>
  <c r="AL278" i="37" s="1"/>
  <c r="AM278" i="37" s="1"/>
  <c r="AN278" i="37" s="1"/>
  <c r="AO278" i="37" s="1"/>
  <c r="AP278" i="37" s="1"/>
  <c r="AQ278" i="37" s="1"/>
  <c r="AR278" i="37" s="1"/>
  <c r="AS278" i="37" s="1"/>
  <c r="AT278" i="37" s="1"/>
  <c r="AU278" i="37" s="1"/>
  <c r="AV278" i="37" s="1"/>
  <c r="AW278" i="37" s="1"/>
  <c r="AX278" i="37" s="1"/>
  <c r="AY278" i="37" s="1"/>
  <c r="AZ278" i="37" s="1"/>
  <c r="BA278" i="37" s="1"/>
  <c r="BB278" i="37" s="1"/>
  <c r="BC278" i="37" s="1"/>
  <c r="BD278" i="37" s="1"/>
  <c r="BE278" i="37" s="1"/>
  <c r="BF278" i="37" s="1"/>
  <c r="BG278" i="37" s="1"/>
  <c r="BH278" i="37" s="1"/>
  <c r="BI278" i="37" s="1"/>
  <c r="BJ278" i="37" s="1"/>
  <c r="BK278" i="37" s="1"/>
  <c r="BL278" i="37" s="1"/>
  <c r="BM278" i="37" s="1"/>
  <c r="BN278" i="37" s="1"/>
  <c r="BO278" i="37" s="1"/>
  <c r="BP278" i="37" s="1"/>
  <c r="BQ278" i="37" s="1"/>
  <c r="BR278" i="37" s="1"/>
  <c r="BS278" i="37" s="1"/>
  <c r="BT278" i="37" s="1"/>
  <c r="BU278" i="37" s="1"/>
  <c r="BV278" i="37" s="1"/>
  <c r="BW278" i="37" s="1"/>
  <c r="D283" i="37"/>
  <c r="E283" i="37" s="1"/>
  <c r="F283" i="37" s="1"/>
  <c r="G283" i="37" s="1"/>
  <c r="H283" i="37" s="1"/>
  <c r="I283" i="37" s="1"/>
  <c r="J283" i="37" s="1"/>
  <c r="K283" i="37" s="1"/>
  <c r="L283" i="37" s="1"/>
  <c r="M283" i="37" s="1"/>
  <c r="N283" i="37" s="1"/>
  <c r="O283" i="37" s="1"/>
  <c r="P283" i="37" s="1"/>
  <c r="Q283" i="37" s="1"/>
  <c r="R283" i="37" s="1"/>
  <c r="S283" i="37" s="1"/>
  <c r="T283" i="37" s="1"/>
  <c r="U283" i="37" s="1"/>
  <c r="V283" i="37" s="1"/>
  <c r="W283" i="37" s="1"/>
  <c r="X283" i="37" s="1"/>
  <c r="Y283" i="37" s="1"/>
  <c r="Z283" i="37" s="1"/>
  <c r="AA283" i="37" s="1"/>
  <c r="AB283" i="37" s="1"/>
  <c r="AC283" i="37" s="1"/>
  <c r="AD283" i="37" s="1"/>
  <c r="AE283" i="37" s="1"/>
  <c r="AF283" i="37" s="1"/>
  <c r="AG283" i="37" s="1"/>
  <c r="AH283" i="37" s="1"/>
  <c r="AI283" i="37" s="1"/>
  <c r="AJ283" i="37" s="1"/>
  <c r="AK283" i="37" s="1"/>
  <c r="AL283" i="37" s="1"/>
  <c r="AM283" i="37" s="1"/>
  <c r="AN283" i="37" s="1"/>
  <c r="AO283" i="37" s="1"/>
  <c r="AP283" i="37" s="1"/>
  <c r="AQ283" i="37" s="1"/>
  <c r="AR283" i="37" s="1"/>
  <c r="AS283" i="37" s="1"/>
  <c r="AT283" i="37" s="1"/>
  <c r="AU283" i="37" s="1"/>
  <c r="AV283" i="37" s="1"/>
  <c r="AW283" i="37" s="1"/>
  <c r="AX283" i="37" s="1"/>
  <c r="AY283" i="37" s="1"/>
  <c r="AZ283" i="37" s="1"/>
  <c r="BA283" i="37" s="1"/>
  <c r="BB283" i="37" s="1"/>
  <c r="BC283" i="37" s="1"/>
  <c r="BD283" i="37" s="1"/>
  <c r="BE283" i="37" s="1"/>
  <c r="BF283" i="37" s="1"/>
  <c r="BG283" i="37" s="1"/>
  <c r="BH283" i="37" s="1"/>
  <c r="BI283" i="37" s="1"/>
  <c r="BJ283" i="37" s="1"/>
  <c r="BK283" i="37" s="1"/>
  <c r="BL283" i="37" s="1"/>
  <c r="BM283" i="37" s="1"/>
  <c r="BN283" i="37" s="1"/>
  <c r="BO283" i="37" s="1"/>
  <c r="BP283" i="37" s="1"/>
  <c r="BQ283" i="37" s="1"/>
  <c r="BR283" i="37" s="1"/>
  <c r="BS283" i="37" s="1"/>
  <c r="BT283" i="37" s="1"/>
  <c r="BU283" i="37" s="1"/>
  <c r="BV283" i="37" s="1"/>
  <c r="BW283" i="37" s="1"/>
  <c r="D288" i="37"/>
  <c r="E288" i="37" s="1"/>
  <c r="F288" i="37" s="1"/>
  <c r="G288" i="37" s="1"/>
  <c r="H288" i="37" s="1"/>
  <c r="I288" i="37" s="1"/>
  <c r="J288" i="37" s="1"/>
  <c r="K288" i="37" s="1"/>
  <c r="L288" i="37" s="1"/>
  <c r="M288" i="37" s="1"/>
  <c r="N288" i="37" s="1"/>
  <c r="O288" i="37" s="1"/>
  <c r="P288" i="37" s="1"/>
  <c r="Q288" i="37" s="1"/>
  <c r="R288" i="37" s="1"/>
  <c r="S288" i="37" s="1"/>
  <c r="T288" i="37" s="1"/>
  <c r="U288" i="37" s="1"/>
  <c r="V288" i="37" s="1"/>
  <c r="W288" i="37" s="1"/>
  <c r="X288" i="37" s="1"/>
  <c r="Y288" i="37" s="1"/>
  <c r="Z288" i="37" s="1"/>
  <c r="AA288" i="37" s="1"/>
  <c r="AB288" i="37" s="1"/>
  <c r="AC288" i="37" s="1"/>
  <c r="AD288" i="37" s="1"/>
  <c r="AE288" i="37" s="1"/>
  <c r="AF288" i="37" s="1"/>
  <c r="AG288" i="37" s="1"/>
  <c r="AH288" i="37" s="1"/>
  <c r="AI288" i="37" s="1"/>
  <c r="AJ288" i="37" s="1"/>
  <c r="AK288" i="37" s="1"/>
  <c r="AL288" i="37" s="1"/>
  <c r="AM288" i="37" s="1"/>
  <c r="AN288" i="37" s="1"/>
  <c r="AO288" i="37" s="1"/>
  <c r="AP288" i="37" s="1"/>
  <c r="AQ288" i="37" s="1"/>
  <c r="AR288" i="37" s="1"/>
  <c r="AS288" i="37" s="1"/>
  <c r="AT288" i="37" s="1"/>
  <c r="AU288" i="37" s="1"/>
  <c r="AV288" i="37" s="1"/>
  <c r="AW288" i="37" s="1"/>
  <c r="AX288" i="37" s="1"/>
  <c r="AY288" i="37" s="1"/>
  <c r="AZ288" i="37" s="1"/>
  <c r="BA288" i="37" s="1"/>
  <c r="BB288" i="37" s="1"/>
  <c r="BC288" i="37" s="1"/>
  <c r="BD288" i="37" s="1"/>
  <c r="BE288" i="37" s="1"/>
  <c r="BF288" i="37" s="1"/>
  <c r="BG288" i="37" s="1"/>
  <c r="BH288" i="37" s="1"/>
  <c r="BI288" i="37" s="1"/>
  <c r="BJ288" i="37" s="1"/>
  <c r="BK288" i="37" s="1"/>
  <c r="BL288" i="37" s="1"/>
  <c r="BM288" i="37" s="1"/>
  <c r="BN288" i="37" s="1"/>
  <c r="BO288" i="37" s="1"/>
  <c r="BP288" i="37" s="1"/>
  <c r="BQ288" i="37" s="1"/>
  <c r="BR288" i="37" s="1"/>
  <c r="BS288" i="37" s="1"/>
  <c r="BT288" i="37" s="1"/>
  <c r="BU288" i="37" s="1"/>
  <c r="BV288" i="37" s="1"/>
  <c r="BW288" i="37" s="1"/>
  <c r="D292" i="37"/>
  <c r="E292" i="37" s="1"/>
  <c r="F292" i="37" s="1"/>
  <c r="G292" i="37" s="1"/>
  <c r="H292" i="37" s="1"/>
  <c r="I292" i="37" s="1"/>
  <c r="J292" i="37" s="1"/>
  <c r="K292" i="37" s="1"/>
  <c r="L292" i="37" s="1"/>
  <c r="M292" i="37" s="1"/>
  <c r="N292" i="37" s="1"/>
  <c r="O292" i="37" s="1"/>
  <c r="P292" i="37" s="1"/>
  <c r="Q292" i="37" s="1"/>
  <c r="R292" i="37" s="1"/>
  <c r="S292" i="37" s="1"/>
  <c r="T292" i="37" s="1"/>
  <c r="U292" i="37" s="1"/>
  <c r="V292" i="37" s="1"/>
  <c r="W292" i="37" s="1"/>
  <c r="X292" i="37" s="1"/>
  <c r="Y292" i="37" s="1"/>
  <c r="Z292" i="37" s="1"/>
  <c r="AA292" i="37" s="1"/>
  <c r="AB292" i="37" s="1"/>
  <c r="AC292" i="37" s="1"/>
  <c r="AD292" i="37" s="1"/>
  <c r="AE292" i="37" s="1"/>
  <c r="AF292" i="37" s="1"/>
  <c r="AG292" i="37" s="1"/>
  <c r="AH292" i="37" s="1"/>
  <c r="AI292" i="37" s="1"/>
  <c r="AJ292" i="37" s="1"/>
  <c r="AK292" i="37" s="1"/>
  <c r="AL292" i="37" s="1"/>
  <c r="AM292" i="37" s="1"/>
  <c r="AN292" i="37" s="1"/>
  <c r="AO292" i="37" s="1"/>
  <c r="AP292" i="37" s="1"/>
  <c r="AQ292" i="37" s="1"/>
  <c r="AR292" i="37" s="1"/>
  <c r="AS292" i="37" s="1"/>
  <c r="AT292" i="37" s="1"/>
  <c r="AU292" i="37" s="1"/>
  <c r="AV292" i="37" s="1"/>
  <c r="AW292" i="37" s="1"/>
  <c r="AX292" i="37" s="1"/>
  <c r="AY292" i="37" s="1"/>
  <c r="AZ292" i="37" s="1"/>
  <c r="BA292" i="37" s="1"/>
  <c r="BB292" i="37" s="1"/>
  <c r="BC292" i="37" s="1"/>
  <c r="BD292" i="37" s="1"/>
  <c r="BE292" i="37" s="1"/>
  <c r="BF292" i="37" s="1"/>
  <c r="BG292" i="37" s="1"/>
  <c r="BH292" i="37" s="1"/>
  <c r="BI292" i="37" s="1"/>
  <c r="BJ292" i="37" s="1"/>
  <c r="BK292" i="37" s="1"/>
  <c r="BL292" i="37" s="1"/>
  <c r="BM292" i="37" s="1"/>
  <c r="BN292" i="37" s="1"/>
  <c r="BO292" i="37" s="1"/>
  <c r="BP292" i="37" s="1"/>
  <c r="BQ292" i="37" s="1"/>
  <c r="BR292" i="37" s="1"/>
  <c r="BS292" i="37" s="1"/>
  <c r="BT292" i="37" s="1"/>
  <c r="BU292" i="37" s="1"/>
  <c r="BV292" i="37" s="1"/>
  <c r="BW292" i="37" s="1"/>
  <c r="D296" i="37"/>
  <c r="E296" i="37" s="1"/>
  <c r="F296" i="37" s="1"/>
  <c r="G296" i="37" s="1"/>
  <c r="H296" i="37" s="1"/>
  <c r="I296" i="37" s="1"/>
  <c r="J296" i="37" s="1"/>
  <c r="K296" i="37" s="1"/>
  <c r="L296" i="37" s="1"/>
  <c r="M296" i="37" s="1"/>
  <c r="N296" i="37" s="1"/>
  <c r="O296" i="37" s="1"/>
  <c r="P296" i="37" s="1"/>
  <c r="Q296" i="37" s="1"/>
  <c r="R296" i="37" s="1"/>
  <c r="S296" i="37" s="1"/>
  <c r="T296" i="37" s="1"/>
  <c r="U296" i="37" s="1"/>
  <c r="V296" i="37" s="1"/>
  <c r="W296" i="37" s="1"/>
  <c r="X296" i="37" s="1"/>
  <c r="Y296" i="37" s="1"/>
  <c r="Z296" i="37" s="1"/>
  <c r="AA296" i="37" s="1"/>
  <c r="AB296" i="37" s="1"/>
  <c r="AC296" i="37" s="1"/>
  <c r="AD296" i="37" s="1"/>
  <c r="AE296" i="37" s="1"/>
  <c r="AF296" i="37" s="1"/>
  <c r="AG296" i="37" s="1"/>
  <c r="AH296" i="37" s="1"/>
  <c r="AI296" i="37" s="1"/>
  <c r="AJ296" i="37" s="1"/>
  <c r="AK296" i="37" s="1"/>
  <c r="AL296" i="37" s="1"/>
  <c r="AM296" i="37" s="1"/>
  <c r="AN296" i="37" s="1"/>
  <c r="AO296" i="37" s="1"/>
  <c r="AP296" i="37" s="1"/>
  <c r="AQ296" i="37" s="1"/>
  <c r="AR296" i="37" s="1"/>
  <c r="AS296" i="37" s="1"/>
  <c r="AT296" i="37" s="1"/>
  <c r="AU296" i="37" s="1"/>
  <c r="AV296" i="37" s="1"/>
  <c r="AW296" i="37" s="1"/>
  <c r="AX296" i="37" s="1"/>
  <c r="AY296" i="37" s="1"/>
  <c r="AZ296" i="37" s="1"/>
  <c r="BA296" i="37" s="1"/>
  <c r="BB296" i="37" s="1"/>
  <c r="BC296" i="37" s="1"/>
  <c r="BD296" i="37" s="1"/>
  <c r="BE296" i="37" s="1"/>
  <c r="BF296" i="37" s="1"/>
  <c r="BG296" i="37" s="1"/>
  <c r="BH296" i="37" s="1"/>
  <c r="BI296" i="37" s="1"/>
  <c r="BJ296" i="37" s="1"/>
  <c r="BK296" i="37" s="1"/>
  <c r="BL296" i="37" s="1"/>
  <c r="BM296" i="37" s="1"/>
  <c r="BN296" i="37" s="1"/>
  <c r="BO296" i="37" s="1"/>
  <c r="BP296" i="37" s="1"/>
  <c r="BQ296" i="37" s="1"/>
  <c r="BR296" i="37" s="1"/>
  <c r="BS296" i="37" s="1"/>
  <c r="BT296" i="37" s="1"/>
  <c r="BU296" i="37" s="1"/>
  <c r="BV296" i="37" s="1"/>
  <c r="BW296" i="37" s="1"/>
  <c r="D300" i="37"/>
  <c r="E300" i="37" s="1"/>
  <c r="F300" i="37" s="1"/>
  <c r="G300" i="37" s="1"/>
  <c r="H300" i="37" s="1"/>
  <c r="I300" i="37" s="1"/>
  <c r="J300" i="37" s="1"/>
  <c r="K300" i="37" s="1"/>
  <c r="L300" i="37" s="1"/>
  <c r="M300" i="37" s="1"/>
  <c r="N300" i="37" s="1"/>
  <c r="O300" i="37" s="1"/>
  <c r="P300" i="37" s="1"/>
  <c r="Q300" i="37" s="1"/>
  <c r="R300" i="37" s="1"/>
  <c r="S300" i="37" s="1"/>
  <c r="T300" i="37" s="1"/>
  <c r="U300" i="37" s="1"/>
  <c r="V300" i="37" s="1"/>
  <c r="W300" i="37" s="1"/>
  <c r="X300" i="37" s="1"/>
  <c r="Y300" i="37" s="1"/>
  <c r="Z300" i="37" s="1"/>
  <c r="AA300" i="37" s="1"/>
  <c r="AB300" i="37" s="1"/>
  <c r="AC300" i="37" s="1"/>
  <c r="AD300" i="37" s="1"/>
  <c r="AE300" i="37" s="1"/>
  <c r="AF300" i="37" s="1"/>
  <c r="AG300" i="37" s="1"/>
  <c r="AH300" i="37" s="1"/>
  <c r="AI300" i="37" s="1"/>
  <c r="AJ300" i="37" s="1"/>
  <c r="AK300" i="37" s="1"/>
  <c r="AL300" i="37" s="1"/>
  <c r="AM300" i="37" s="1"/>
  <c r="AN300" i="37" s="1"/>
  <c r="AO300" i="37" s="1"/>
  <c r="AP300" i="37" s="1"/>
  <c r="AQ300" i="37" s="1"/>
  <c r="AR300" i="37" s="1"/>
  <c r="AS300" i="37" s="1"/>
  <c r="AT300" i="37" s="1"/>
  <c r="AU300" i="37" s="1"/>
  <c r="AV300" i="37" s="1"/>
  <c r="AW300" i="37" s="1"/>
  <c r="AX300" i="37" s="1"/>
  <c r="AY300" i="37" s="1"/>
  <c r="AZ300" i="37" s="1"/>
  <c r="BA300" i="37" s="1"/>
  <c r="BB300" i="37" s="1"/>
  <c r="BC300" i="37" s="1"/>
  <c r="BD300" i="37" s="1"/>
  <c r="BE300" i="37" s="1"/>
  <c r="BF300" i="37" s="1"/>
  <c r="BG300" i="37" s="1"/>
  <c r="BH300" i="37" s="1"/>
  <c r="BI300" i="37" s="1"/>
  <c r="BJ300" i="37" s="1"/>
  <c r="BK300" i="37" s="1"/>
  <c r="BL300" i="37" s="1"/>
  <c r="BM300" i="37" s="1"/>
  <c r="BN300" i="37" s="1"/>
  <c r="BO300" i="37" s="1"/>
  <c r="BP300" i="37" s="1"/>
  <c r="BQ300" i="37" s="1"/>
  <c r="BR300" i="37" s="1"/>
  <c r="BS300" i="37" s="1"/>
  <c r="BT300" i="37" s="1"/>
  <c r="BU300" i="37" s="1"/>
  <c r="BV300" i="37" s="1"/>
  <c r="BW300" i="37" s="1"/>
  <c r="D304" i="37"/>
  <c r="E304" i="37" s="1"/>
  <c r="F304" i="37" s="1"/>
  <c r="G304" i="37" s="1"/>
  <c r="H304" i="37" s="1"/>
  <c r="I304" i="37" s="1"/>
  <c r="J304" i="37" s="1"/>
  <c r="K304" i="37" s="1"/>
  <c r="L304" i="37" s="1"/>
  <c r="M304" i="37" s="1"/>
  <c r="N304" i="37" s="1"/>
  <c r="O304" i="37" s="1"/>
  <c r="P304" i="37" s="1"/>
  <c r="Q304" i="37" s="1"/>
  <c r="R304" i="37" s="1"/>
  <c r="S304" i="37" s="1"/>
  <c r="T304" i="37" s="1"/>
  <c r="U304" i="37" s="1"/>
  <c r="V304" i="37" s="1"/>
  <c r="W304" i="37" s="1"/>
  <c r="X304" i="37" s="1"/>
  <c r="Y304" i="37" s="1"/>
  <c r="Z304" i="37" s="1"/>
  <c r="AA304" i="37" s="1"/>
  <c r="AB304" i="37" s="1"/>
  <c r="AC304" i="37" s="1"/>
  <c r="AD304" i="37" s="1"/>
  <c r="AE304" i="37" s="1"/>
  <c r="AF304" i="37" s="1"/>
  <c r="AG304" i="37" s="1"/>
  <c r="AH304" i="37" s="1"/>
  <c r="AI304" i="37" s="1"/>
  <c r="AJ304" i="37" s="1"/>
  <c r="AK304" i="37" s="1"/>
  <c r="AL304" i="37" s="1"/>
  <c r="AM304" i="37" s="1"/>
  <c r="AN304" i="37" s="1"/>
  <c r="AO304" i="37" s="1"/>
  <c r="AP304" i="37" s="1"/>
  <c r="AQ304" i="37" s="1"/>
  <c r="AR304" i="37" s="1"/>
  <c r="AS304" i="37" s="1"/>
  <c r="AT304" i="37" s="1"/>
  <c r="AU304" i="37" s="1"/>
  <c r="AV304" i="37" s="1"/>
  <c r="AW304" i="37" s="1"/>
  <c r="AX304" i="37" s="1"/>
  <c r="AY304" i="37" s="1"/>
  <c r="AZ304" i="37" s="1"/>
  <c r="BA304" i="37" s="1"/>
  <c r="BB304" i="37" s="1"/>
  <c r="BC304" i="37" s="1"/>
  <c r="BD304" i="37" s="1"/>
  <c r="BE304" i="37" s="1"/>
  <c r="BF304" i="37" s="1"/>
  <c r="BG304" i="37" s="1"/>
  <c r="BH304" i="37" s="1"/>
  <c r="BI304" i="37" s="1"/>
  <c r="BJ304" i="37" s="1"/>
  <c r="BK304" i="37" s="1"/>
  <c r="BL304" i="37" s="1"/>
  <c r="BM304" i="37" s="1"/>
  <c r="BN304" i="37" s="1"/>
  <c r="BO304" i="37" s="1"/>
  <c r="BP304" i="37" s="1"/>
  <c r="BQ304" i="37" s="1"/>
  <c r="BR304" i="37" s="1"/>
  <c r="BS304" i="37" s="1"/>
  <c r="BT304" i="37" s="1"/>
  <c r="BU304" i="37" s="1"/>
  <c r="BV304" i="37" s="1"/>
  <c r="BW304" i="37" s="1"/>
  <c r="D308" i="37"/>
  <c r="E308" i="37" s="1"/>
  <c r="F308" i="37" s="1"/>
  <c r="G308" i="37" s="1"/>
  <c r="H308" i="37" s="1"/>
  <c r="I308" i="37" s="1"/>
  <c r="J308" i="37" s="1"/>
  <c r="K308" i="37" s="1"/>
  <c r="L308" i="37" s="1"/>
  <c r="M308" i="37" s="1"/>
  <c r="N308" i="37" s="1"/>
  <c r="O308" i="37" s="1"/>
  <c r="P308" i="37" s="1"/>
  <c r="Q308" i="37" s="1"/>
  <c r="R308" i="37" s="1"/>
  <c r="S308" i="37" s="1"/>
  <c r="T308" i="37" s="1"/>
  <c r="U308" i="37" s="1"/>
  <c r="V308" i="37" s="1"/>
  <c r="W308" i="37" s="1"/>
  <c r="X308" i="37" s="1"/>
  <c r="Y308" i="37" s="1"/>
  <c r="Z308" i="37" s="1"/>
  <c r="AA308" i="37" s="1"/>
  <c r="AB308" i="37" s="1"/>
  <c r="AC308" i="37" s="1"/>
  <c r="AD308" i="37" s="1"/>
  <c r="AE308" i="37" s="1"/>
  <c r="AF308" i="37" s="1"/>
  <c r="AG308" i="37" s="1"/>
  <c r="AH308" i="37" s="1"/>
  <c r="AI308" i="37" s="1"/>
  <c r="AJ308" i="37" s="1"/>
  <c r="AK308" i="37" s="1"/>
  <c r="AL308" i="37" s="1"/>
  <c r="AM308" i="37" s="1"/>
  <c r="AN308" i="37" s="1"/>
  <c r="AO308" i="37" s="1"/>
  <c r="AP308" i="37" s="1"/>
  <c r="AQ308" i="37" s="1"/>
  <c r="AR308" i="37" s="1"/>
  <c r="AS308" i="37" s="1"/>
  <c r="AT308" i="37" s="1"/>
  <c r="AU308" i="37" s="1"/>
  <c r="AV308" i="37" s="1"/>
  <c r="AW308" i="37" s="1"/>
  <c r="AX308" i="37" s="1"/>
  <c r="AY308" i="37" s="1"/>
  <c r="AZ308" i="37" s="1"/>
  <c r="BA308" i="37" s="1"/>
  <c r="BB308" i="37" s="1"/>
  <c r="BC308" i="37" s="1"/>
  <c r="BD308" i="37" s="1"/>
  <c r="BE308" i="37" s="1"/>
  <c r="BF308" i="37" s="1"/>
  <c r="BG308" i="37" s="1"/>
  <c r="BH308" i="37" s="1"/>
  <c r="BI308" i="37" s="1"/>
  <c r="BJ308" i="37" s="1"/>
  <c r="BK308" i="37" s="1"/>
  <c r="BL308" i="37" s="1"/>
  <c r="BM308" i="37" s="1"/>
  <c r="BN308" i="37" s="1"/>
  <c r="BO308" i="37" s="1"/>
  <c r="BP308" i="37" s="1"/>
  <c r="BQ308" i="37" s="1"/>
  <c r="BR308" i="37" s="1"/>
  <c r="BS308" i="37" s="1"/>
  <c r="BT308" i="37" s="1"/>
  <c r="BU308" i="37" s="1"/>
  <c r="BV308" i="37" s="1"/>
  <c r="BW308" i="37" s="1"/>
  <c r="D319" i="37"/>
  <c r="E319" i="37" s="1"/>
  <c r="F319" i="37" s="1"/>
  <c r="G319" i="37" s="1"/>
  <c r="H319" i="37" s="1"/>
  <c r="I319" i="37" s="1"/>
  <c r="J319" i="37" s="1"/>
  <c r="K319" i="37" s="1"/>
  <c r="L319" i="37" s="1"/>
  <c r="M319" i="37" s="1"/>
  <c r="N319" i="37" s="1"/>
  <c r="O319" i="37" s="1"/>
  <c r="P319" i="37" s="1"/>
  <c r="Q319" i="37" s="1"/>
  <c r="R319" i="37" s="1"/>
  <c r="S319" i="37" s="1"/>
  <c r="T319" i="37" s="1"/>
  <c r="U319" i="37" s="1"/>
  <c r="V319" i="37" s="1"/>
  <c r="W319" i="37" s="1"/>
  <c r="X319" i="37" s="1"/>
  <c r="Y319" i="37" s="1"/>
  <c r="Z319" i="37" s="1"/>
  <c r="AA319" i="37" s="1"/>
  <c r="AB319" i="37" s="1"/>
  <c r="AC319" i="37" s="1"/>
  <c r="AD319" i="37" s="1"/>
  <c r="AE319" i="37" s="1"/>
  <c r="AF319" i="37" s="1"/>
  <c r="AG319" i="37" s="1"/>
  <c r="AH319" i="37" s="1"/>
  <c r="AI319" i="37" s="1"/>
  <c r="AJ319" i="37" s="1"/>
  <c r="AK319" i="37" s="1"/>
  <c r="AL319" i="37" s="1"/>
  <c r="AM319" i="37" s="1"/>
  <c r="AN319" i="37" s="1"/>
  <c r="AO319" i="37" s="1"/>
  <c r="AP319" i="37" s="1"/>
  <c r="AQ319" i="37" s="1"/>
  <c r="AR319" i="37" s="1"/>
  <c r="AS319" i="37" s="1"/>
  <c r="AT319" i="37" s="1"/>
  <c r="AU319" i="37" s="1"/>
  <c r="AV319" i="37" s="1"/>
  <c r="AW319" i="37" s="1"/>
  <c r="AX319" i="37" s="1"/>
  <c r="AY319" i="37" s="1"/>
  <c r="AZ319" i="37" s="1"/>
  <c r="BA319" i="37" s="1"/>
  <c r="BB319" i="37" s="1"/>
  <c r="BC319" i="37" s="1"/>
  <c r="BD319" i="37" s="1"/>
  <c r="BE319" i="37" s="1"/>
  <c r="BF319" i="37" s="1"/>
  <c r="BG319" i="37" s="1"/>
  <c r="BH319" i="37" s="1"/>
  <c r="BI319" i="37" s="1"/>
  <c r="BJ319" i="37" s="1"/>
  <c r="BK319" i="37" s="1"/>
  <c r="BL319" i="37" s="1"/>
  <c r="BM319" i="37" s="1"/>
  <c r="BN319" i="37" s="1"/>
  <c r="BO319" i="37" s="1"/>
  <c r="BP319" i="37" s="1"/>
  <c r="BQ319" i="37" s="1"/>
  <c r="BR319" i="37" s="1"/>
  <c r="BS319" i="37" s="1"/>
  <c r="BT319" i="37" s="1"/>
  <c r="BU319" i="37" s="1"/>
  <c r="BV319" i="37" s="1"/>
  <c r="BW319" i="37" s="1"/>
  <c r="D323" i="37"/>
  <c r="E323" i="37" s="1"/>
  <c r="F323" i="37" s="1"/>
  <c r="G323" i="37" s="1"/>
  <c r="H323" i="37" s="1"/>
  <c r="I323" i="37" s="1"/>
  <c r="J323" i="37" s="1"/>
  <c r="K323" i="37" s="1"/>
  <c r="L323" i="37" s="1"/>
  <c r="M323" i="37" s="1"/>
  <c r="N323" i="37" s="1"/>
  <c r="O323" i="37" s="1"/>
  <c r="P323" i="37" s="1"/>
  <c r="Q323" i="37" s="1"/>
  <c r="R323" i="37" s="1"/>
  <c r="S323" i="37" s="1"/>
  <c r="T323" i="37" s="1"/>
  <c r="U323" i="37" s="1"/>
  <c r="V323" i="37" s="1"/>
  <c r="W323" i="37" s="1"/>
  <c r="X323" i="37" s="1"/>
  <c r="Y323" i="37" s="1"/>
  <c r="Z323" i="37" s="1"/>
  <c r="AA323" i="37" s="1"/>
  <c r="AB323" i="37" s="1"/>
  <c r="AC323" i="37" s="1"/>
  <c r="AD323" i="37" s="1"/>
  <c r="AE323" i="37" s="1"/>
  <c r="AF323" i="37" s="1"/>
  <c r="AG323" i="37" s="1"/>
  <c r="AH323" i="37" s="1"/>
  <c r="AI323" i="37" s="1"/>
  <c r="AJ323" i="37" s="1"/>
  <c r="AK323" i="37" s="1"/>
  <c r="AL323" i="37" s="1"/>
  <c r="AM323" i="37" s="1"/>
  <c r="AN323" i="37" s="1"/>
  <c r="AO323" i="37" s="1"/>
  <c r="AP323" i="37" s="1"/>
  <c r="AQ323" i="37" s="1"/>
  <c r="AR323" i="37" s="1"/>
  <c r="AS323" i="37" s="1"/>
  <c r="AT323" i="37" s="1"/>
  <c r="AU323" i="37" s="1"/>
  <c r="AV323" i="37" s="1"/>
  <c r="AW323" i="37" s="1"/>
  <c r="AX323" i="37" s="1"/>
  <c r="AY323" i="37" s="1"/>
  <c r="AZ323" i="37" s="1"/>
  <c r="BA323" i="37" s="1"/>
  <c r="BB323" i="37" s="1"/>
  <c r="BC323" i="37" s="1"/>
  <c r="BD323" i="37" s="1"/>
  <c r="BE323" i="37" s="1"/>
  <c r="BF323" i="37" s="1"/>
  <c r="BG323" i="37" s="1"/>
  <c r="BH323" i="37" s="1"/>
  <c r="BI323" i="37" s="1"/>
  <c r="BJ323" i="37" s="1"/>
  <c r="BK323" i="37" s="1"/>
  <c r="BL323" i="37" s="1"/>
  <c r="BM323" i="37" s="1"/>
  <c r="BN323" i="37" s="1"/>
  <c r="BO323" i="37" s="1"/>
  <c r="BP323" i="37" s="1"/>
  <c r="BQ323" i="37" s="1"/>
  <c r="BR323" i="37" s="1"/>
  <c r="BS323" i="37" s="1"/>
  <c r="BT323" i="37" s="1"/>
  <c r="BU323" i="37" s="1"/>
  <c r="BV323" i="37" s="1"/>
  <c r="BW323" i="37" s="1"/>
  <c r="D333" i="37"/>
  <c r="E333" i="37" s="1"/>
  <c r="F333" i="37" s="1"/>
  <c r="G333" i="37" s="1"/>
  <c r="H333" i="37" s="1"/>
  <c r="I333" i="37" s="1"/>
  <c r="J333" i="37" s="1"/>
  <c r="K333" i="37" s="1"/>
  <c r="L333" i="37" s="1"/>
  <c r="M333" i="37" s="1"/>
  <c r="N333" i="37" s="1"/>
  <c r="O333" i="37" s="1"/>
  <c r="P333" i="37" s="1"/>
  <c r="Q333" i="37" s="1"/>
  <c r="R333" i="37" s="1"/>
  <c r="S333" i="37" s="1"/>
  <c r="T333" i="37" s="1"/>
  <c r="U333" i="37" s="1"/>
  <c r="V333" i="37" s="1"/>
  <c r="W333" i="37" s="1"/>
  <c r="X333" i="37" s="1"/>
  <c r="Y333" i="37" s="1"/>
  <c r="Z333" i="37" s="1"/>
  <c r="AA333" i="37" s="1"/>
  <c r="AB333" i="37" s="1"/>
  <c r="AC333" i="37" s="1"/>
  <c r="AD333" i="37" s="1"/>
  <c r="AE333" i="37" s="1"/>
  <c r="AF333" i="37" s="1"/>
  <c r="AG333" i="37" s="1"/>
  <c r="AH333" i="37" s="1"/>
  <c r="AI333" i="37" s="1"/>
  <c r="AJ333" i="37" s="1"/>
  <c r="AK333" i="37" s="1"/>
  <c r="AL333" i="37" s="1"/>
  <c r="AM333" i="37" s="1"/>
  <c r="AN333" i="37" s="1"/>
  <c r="AO333" i="37" s="1"/>
  <c r="AP333" i="37" s="1"/>
  <c r="AQ333" i="37" s="1"/>
  <c r="AR333" i="37" s="1"/>
  <c r="AS333" i="37" s="1"/>
  <c r="AT333" i="37" s="1"/>
  <c r="AU333" i="37" s="1"/>
  <c r="AV333" i="37" s="1"/>
  <c r="AW333" i="37" s="1"/>
  <c r="AX333" i="37" s="1"/>
  <c r="AY333" i="37" s="1"/>
  <c r="AZ333" i="37" s="1"/>
  <c r="BA333" i="37" s="1"/>
  <c r="BB333" i="37" s="1"/>
  <c r="BC333" i="37" s="1"/>
  <c r="BD333" i="37" s="1"/>
  <c r="BE333" i="37" s="1"/>
  <c r="BF333" i="37" s="1"/>
  <c r="BG333" i="37" s="1"/>
  <c r="BH333" i="37" s="1"/>
  <c r="BI333" i="37" s="1"/>
  <c r="BJ333" i="37" s="1"/>
  <c r="BK333" i="37" s="1"/>
  <c r="BL333" i="37" s="1"/>
  <c r="BM333" i="37" s="1"/>
  <c r="BN333" i="37" s="1"/>
  <c r="BO333" i="37" s="1"/>
  <c r="BP333" i="37" s="1"/>
  <c r="BQ333" i="37" s="1"/>
  <c r="BR333" i="37" s="1"/>
  <c r="BS333" i="37" s="1"/>
  <c r="BT333" i="37" s="1"/>
  <c r="BU333" i="37" s="1"/>
  <c r="BV333" i="37" s="1"/>
  <c r="BW333" i="37" s="1"/>
  <c r="D337" i="37"/>
  <c r="E337" i="37" s="1"/>
  <c r="F337" i="37" s="1"/>
  <c r="G337" i="37" s="1"/>
  <c r="H337" i="37" s="1"/>
  <c r="I337" i="37" s="1"/>
  <c r="J337" i="37" s="1"/>
  <c r="K337" i="37" s="1"/>
  <c r="L337" i="37" s="1"/>
  <c r="M337" i="37" s="1"/>
  <c r="N337" i="37" s="1"/>
  <c r="O337" i="37" s="1"/>
  <c r="P337" i="37" s="1"/>
  <c r="Q337" i="37" s="1"/>
  <c r="R337" i="37" s="1"/>
  <c r="S337" i="37" s="1"/>
  <c r="T337" i="37" s="1"/>
  <c r="U337" i="37" s="1"/>
  <c r="V337" i="37" s="1"/>
  <c r="W337" i="37" s="1"/>
  <c r="X337" i="37" s="1"/>
  <c r="Y337" i="37" s="1"/>
  <c r="Z337" i="37" s="1"/>
  <c r="AA337" i="37" s="1"/>
  <c r="AB337" i="37" s="1"/>
  <c r="AC337" i="37" s="1"/>
  <c r="AD337" i="37" s="1"/>
  <c r="AE337" i="37" s="1"/>
  <c r="AF337" i="37" s="1"/>
  <c r="AG337" i="37" s="1"/>
  <c r="AH337" i="37" s="1"/>
  <c r="AI337" i="37" s="1"/>
  <c r="AJ337" i="37" s="1"/>
  <c r="AK337" i="37" s="1"/>
  <c r="AL337" i="37" s="1"/>
  <c r="AM337" i="37" s="1"/>
  <c r="AN337" i="37" s="1"/>
  <c r="AO337" i="37" s="1"/>
  <c r="AP337" i="37" s="1"/>
  <c r="AQ337" i="37" s="1"/>
  <c r="AR337" i="37" s="1"/>
  <c r="AS337" i="37" s="1"/>
  <c r="AT337" i="37" s="1"/>
  <c r="AU337" i="37" s="1"/>
  <c r="AV337" i="37" s="1"/>
  <c r="AW337" i="37" s="1"/>
  <c r="AX337" i="37" s="1"/>
  <c r="AY337" i="37" s="1"/>
  <c r="AZ337" i="37" s="1"/>
  <c r="BA337" i="37" s="1"/>
  <c r="BB337" i="37" s="1"/>
  <c r="BC337" i="37" s="1"/>
  <c r="BD337" i="37" s="1"/>
  <c r="BE337" i="37" s="1"/>
  <c r="BF337" i="37" s="1"/>
  <c r="BG337" i="37" s="1"/>
  <c r="BH337" i="37" s="1"/>
  <c r="BI337" i="37" s="1"/>
  <c r="BJ337" i="37" s="1"/>
  <c r="BK337" i="37" s="1"/>
  <c r="BL337" i="37" s="1"/>
  <c r="BM337" i="37" s="1"/>
  <c r="BN337" i="37" s="1"/>
  <c r="BO337" i="37" s="1"/>
  <c r="BP337" i="37" s="1"/>
  <c r="BQ337" i="37" s="1"/>
  <c r="BR337" i="37" s="1"/>
  <c r="BS337" i="37" s="1"/>
  <c r="BT337" i="37" s="1"/>
  <c r="BU337" i="37" s="1"/>
  <c r="BV337" i="37" s="1"/>
  <c r="BW337" i="37" s="1"/>
  <c r="D341" i="37"/>
  <c r="E341" i="37" s="1"/>
  <c r="F341" i="37" s="1"/>
  <c r="G341" i="37" s="1"/>
  <c r="H341" i="37" s="1"/>
  <c r="I341" i="37" s="1"/>
  <c r="J341" i="37" s="1"/>
  <c r="K341" i="37" s="1"/>
  <c r="L341" i="37" s="1"/>
  <c r="M341" i="37" s="1"/>
  <c r="N341" i="37" s="1"/>
  <c r="O341" i="37" s="1"/>
  <c r="P341" i="37" s="1"/>
  <c r="Q341" i="37" s="1"/>
  <c r="R341" i="37" s="1"/>
  <c r="S341" i="37" s="1"/>
  <c r="T341" i="37" s="1"/>
  <c r="U341" i="37" s="1"/>
  <c r="V341" i="37" s="1"/>
  <c r="W341" i="37" s="1"/>
  <c r="X341" i="37" s="1"/>
  <c r="Y341" i="37" s="1"/>
  <c r="Z341" i="37" s="1"/>
  <c r="AA341" i="37" s="1"/>
  <c r="AB341" i="37" s="1"/>
  <c r="AC341" i="37" s="1"/>
  <c r="AD341" i="37" s="1"/>
  <c r="AE341" i="37" s="1"/>
  <c r="AF341" i="37" s="1"/>
  <c r="AG341" i="37" s="1"/>
  <c r="AH341" i="37" s="1"/>
  <c r="AI341" i="37" s="1"/>
  <c r="AJ341" i="37" s="1"/>
  <c r="AK341" i="37" s="1"/>
  <c r="AL341" i="37" s="1"/>
  <c r="AM341" i="37" s="1"/>
  <c r="AN341" i="37" s="1"/>
  <c r="AO341" i="37" s="1"/>
  <c r="AP341" i="37" s="1"/>
  <c r="AQ341" i="37" s="1"/>
  <c r="AR341" i="37" s="1"/>
  <c r="AS341" i="37" s="1"/>
  <c r="AT341" i="37" s="1"/>
  <c r="AU341" i="37" s="1"/>
  <c r="AV341" i="37" s="1"/>
  <c r="AW341" i="37" s="1"/>
  <c r="AX341" i="37" s="1"/>
  <c r="AY341" i="37" s="1"/>
  <c r="AZ341" i="37" s="1"/>
  <c r="BA341" i="37" s="1"/>
  <c r="BB341" i="37" s="1"/>
  <c r="BC341" i="37" s="1"/>
  <c r="BD341" i="37" s="1"/>
  <c r="BE341" i="37" s="1"/>
  <c r="BF341" i="37" s="1"/>
  <c r="BG341" i="37" s="1"/>
  <c r="BH341" i="37" s="1"/>
  <c r="BI341" i="37" s="1"/>
  <c r="BJ341" i="37" s="1"/>
  <c r="BK341" i="37" s="1"/>
  <c r="BL341" i="37" s="1"/>
  <c r="BM341" i="37" s="1"/>
  <c r="BN341" i="37" s="1"/>
  <c r="BO341" i="37" s="1"/>
  <c r="BP341" i="37" s="1"/>
  <c r="BQ341" i="37" s="1"/>
  <c r="BR341" i="37" s="1"/>
  <c r="BS341" i="37" s="1"/>
  <c r="BT341" i="37" s="1"/>
  <c r="BU341" i="37" s="1"/>
  <c r="BV341" i="37" s="1"/>
  <c r="BW341" i="37" s="1"/>
  <c r="D358" i="37"/>
  <c r="E358" i="37" s="1"/>
  <c r="F358" i="37" s="1"/>
  <c r="G358" i="37" s="1"/>
  <c r="H358" i="37" s="1"/>
  <c r="I358" i="37" s="1"/>
  <c r="J358" i="37" s="1"/>
  <c r="K358" i="37" s="1"/>
  <c r="L358" i="37" s="1"/>
  <c r="M358" i="37" s="1"/>
  <c r="N358" i="37" s="1"/>
  <c r="O358" i="37" s="1"/>
  <c r="P358" i="37" s="1"/>
  <c r="Q358" i="37" s="1"/>
  <c r="R358" i="37" s="1"/>
  <c r="S358" i="37" s="1"/>
  <c r="T358" i="37" s="1"/>
  <c r="U358" i="37" s="1"/>
  <c r="V358" i="37" s="1"/>
  <c r="W358" i="37" s="1"/>
  <c r="X358" i="37" s="1"/>
  <c r="Y358" i="37" s="1"/>
  <c r="Z358" i="37" s="1"/>
  <c r="AA358" i="37" s="1"/>
  <c r="AB358" i="37" s="1"/>
  <c r="AC358" i="37" s="1"/>
  <c r="AD358" i="37" s="1"/>
  <c r="AE358" i="37" s="1"/>
  <c r="AF358" i="37" s="1"/>
  <c r="AG358" i="37" s="1"/>
  <c r="AH358" i="37" s="1"/>
  <c r="AI358" i="37" s="1"/>
  <c r="AJ358" i="37" s="1"/>
  <c r="AK358" i="37" s="1"/>
  <c r="AL358" i="37" s="1"/>
  <c r="AM358" i="37" s="1"/>
  <c r="AN358" i="37" s="1"/>
  <c r="AO358" i="37" s="1"/>
  <c r="AP358" i="37" s="1"/>
  <c r="AQ358" i="37" s="1"/>
  <c r="AR358" i="37" s="1"/>
  <c r="AS358" i="37" s="1"/>
  <c r="AT358" i="37" s="1"/>
  <c r="AU358" i="37" s="1"/>
  <c r="AV358" i="37" s="1"/>
  <c r="AW358" i="37" s="1"/>
  <c r="AX358" i="37" s="1"/>
  <c r="AY358" i="37" s="1"/>
  <c r="AZ358" i="37" s="1"/>
  <c r="BA358" i="37" s="1"/>
  <c r="BB358" i="37" s="1"/>
  <c r="BC358" i="37" s="1"/>
  <c r="BD358" i="37" s="1"/>
  <c r="BE358" i="37" s="1"/>
  <c r="BF358" i="37" s="1"/>
  <c r="BG358" i="37" s="1"/>
  <c r="BH358" i="37" s="1"/>
  <c r="BI358" i="37" s="1"/>
  <c r="BJ358" i="37" s="1"/>
  <c r="BK358" i="37" s="1"/>
  <c r="BL358" i="37" s="1"/>
  <c r="BM358" i="37" s="1"/>
  <c r="BN358" i="37" s="1"/>
  <c r="BO358" i="37" s="1"/>
  <c r="BP358" i="37" s="1"/>
  <c r="BQ358" i="37" s="1"/>
  <c r="BR358" i="37" s="1"/>
  <c r="BS358" i="37" s="1"/>
  <c r="BT358" i="37" s="1"/>
  <c r="BU358" i="37" s="1"/>
  <c r="BV358" i="37" s="1"/>
  <c r="BW358" i="37" s="1"/>
  <c r="D363" i="37"/>
  <c r="E363" i="37" s="1"/>
  <c r="F363" i="37" s="1"/>
  <c r="G363" i="37" s="1"/>
  <c r="H363" i="37" s="1"/>
  <c r="I363" i="37" s="1"/>
  <c r="J363" i="37" s="1"/>
  <c r="K363" i="37" s="1"/>
  <c r="L363" i="37" s="1"/>
  <c r="M363" i="37" s="1"/>
  <c r="N363" i="37" s="1"/>
  <c r="O363" i="37" s="1"/>
  <c r="P363" i="37" s="1"/>
  <c r="Q363" i="37" s="1"/>
  <c r="R363" i="37" s="1"/>
  <c r="S363" i="37" s="1"/>
  <c r="T363" i="37" s="1"/>
  <c r="U363" i="37" s="1"/>
  <c r="V363" i="37" s="1"/>
  <c r="W363" i="37" s="1"/>
  <c r="X363" i="37" s="1"/>
  <c r="Y363" i="37" s="1"/>
  <c r="Z363" i="37" s="1"/>
  <c r="AA363" i="37" s="1"/>
  <c r="AB363" i="37" s="1"/>
  <c r="AC363" i="37" s="1"/>
  <c r="AD363" i="37" s="1"/>
  <c r="AE363" i="37" s="1"/>
  <c r="AF363" i="37" s="1"/>
  <c r="AG363" i="37" s="1"/>
  <c r="AH363" i="37" s="1"/>
  <c r="AI363" i="37" s="1"/>
  <c r="AJ363" i="37" s="1"/>
  <c r="AK363" i="37" s="1"/>
  <c r="AL363" i="37" s="1"/>
  <c r="AM363" i="37" s="1"/>
  <c r="AN363" i="37" s="1"/>
  <c r="AO363" i="37" s="1"/>
  <c r="AP363" i="37" s="1"/>
  <c r="AQ363" i="37" s="1"/>
  <c r="AR363" i="37" s="1"/>
  <c r="AS363" i="37" s="1"/>
  <c r="AT363" i="37" s="1"/>
  <c r="AU363" i="37" s="1"/>
  <c r="AV363" i="37" s="1"/>
  <c r="AW363" i="37" s="1"/>
  <c r="AX363" i="37" s="1"/>
  <c r="AY363" i="37" s="1"/>
  <c r="AZ363" i="37" s="1"/>
  <c r="BA363" i="37" s="1"/>
  <c r="BB363" i="37" s="1"/>
  <c r="BC363" i="37" s="1"/>
  <c r="BD363" i="37" s="1"/>
  <c r="BE363" i="37" s="1"/>
  <c r="BF363" i="37" s="1"/>
  <c r="BG363" i="37" s="1"/>
  <c r="BH363" i="37" s="1"/>
  <c r="BI363" i="37" s="1"/>
  <c r="BJ363" i="37" s="1"/>
  <c r="BK363" i="37" s="1"/>
  <c r="BL363" i="37" s="1"/>
  <c r="BM363" i="37" s="1"/>
  <c r="BN363" i="37" s="1"/>
  <c r="BO363" i="37" s="1"/>
  <c r="BP363" i="37" s="1"/>
  <c r="BQ363" i="37" s="1"/>
  <c r="BR363" i="37" s="1"/>
  <c r="BS363" i="37" s="1"/>
  <c r="BT363" i="37" s="1"/>
  <c r="BU363" i="37" s="1"/>
  <c r="BV363" i="37" s="1"/>
  <c r="BW363" i="37" s="1"/>
  <c r="D369" i="37"/>
  <c r="E369" i="37" s="1"/>
  <c r="F369" i="37" s="1"/>
  <c r="G369" i="37" s="1"/>
  <c r="H369" i="37" s="1"/>
  <c r="I369" i="37" s="1"/>
  <c r="J369" i="37" s="1"/>
  <c r="K369" i="37" s="1"/>
  <c r="L369" i="37" s="1"/>
  <c r="M369" i="37" s="1"/>
  <c r="N369" i="37" s="1"/>
  <c r="O369" i="37" s="1"/>
  <c r="P369" i="37" s="1"/>
  <c r="Q369" i="37" s="1"/>
  <c r="R369" i="37" s="1"/>
  <c r="S369" i="37" s="1"/>
  <c r="T369" i="37" s="1"/>
  <c r="U369" i="37" s="1"/>
  <c r="V369" i="37" s="1"/>
  <c r="W369" i="37" s="1"/>
  <c r="X369" i="37" s="1"/>
  <c r="Y369" i="37" s="1"/>
  <c r="Z369" i="37" s="1"/>
  <c r="AA369" i="37" s="1"/>
  <c r="AB369" i="37" s="1"/>
  <c r="AC369" i="37" s="1"/>
  <c r="AD369" i="37" s="1"/>
  <c r="AE369" i="37" s="1"/>
  <c r="AF369" i="37" s="1"/>
  <c r="AG369" i="37" s="1"/>
  <c r="AH369" i="37" s="1"/>
  <c r="AI369" i="37" s="1"/>
  <c r="AJ369" i="37" s="1"/>
  <c r="AK369" i="37" s="1"/>
  <c r="AL369" i="37" s="1"/>
  <c r="AM369" i="37" s="1"/>
  <c r="AN369" i="37" s="1"/>
  <c r="AO369" i="37" s="1"/>
  <c r="AP369" i="37" s="1"/>
  <c r="AQ369" i="37" s="1"/>
  <c r="AR369" i="37" s="1"/>
  <c r="AS369" i="37" s="1"/>
  <c r="AT369" i="37" s="1"/>
  <c r="AU369" i="37" s="1"/>
  <c r="AV369" i="37" s="1"/>
  <c r="AW369" i="37" s="1"/>
  <c r="AX369" i="37" s="1"/>
  <c r="AY369" i="37" s="1"/>
  <c r="AZ369" i="37" s="1"/>
  <c r="BA369" i="37" s="1"/>
  <c r="BB369" i="37" s="1"/>
  <c r="BC369" i="37" s="1"/>
  <c r="BD369" i="37" s="1"/>
  <c r="BE369" i="37" s="1"/>
  <c r="BF369" i="37" s="1"/>
  <c r="BG369" i="37" s="1"/>
  <c r="BH369" i="37" s="1"/>
  <c r="BI369" i="37" s="1"/>
  <c r="BJ369" i="37" s="1"/>
  <c r="BK369" i="37" s="1"/>
  <c r="BL369" i="37" s="1"/>
  <c r="BM369" i="37" s="1"/>
  <c r="BN369" i="37" s="1"/>
  <c r="BO369" i="37" s="1"/>
  <c r="BP369" i="37" s="1"/>
  <c r="BQ369" i="37" s="1"/>
  <c r="BR369" i="37" s="1"/>
  <c r="BS369" i="37" s="1"/>
  <c r="BT369" i="37" s="1"/>
  <c r="BU369" i="37" s="1"/>
  <c r="BV369" i="37" s="1"/>
  <c r="BW369" i="37" s="1"/>
  <c r="D373" i="37"/>
  <c r="E373" i="37" s="1"/>
  <c r="F373" i="37" s="1"/>
  <c r="G373" i="37" s="1"/>
  <c r="H373" i="37" s="1"/>
  <c r="I373" i="37" s="1"/>
  <c r="J373" i="37" s="1"/>
  <c r="K373" i="37" s="1"/>
  <c r="L373" i="37" s="1"/>
  <c r="M373" i="37" s="1"/>
  <c r="N373" i="37" s="1"/>
  <c r="O373" i="37" s="1"/>
  <c r="P373" i="37" s="1"/>
  <c r="Q373" i="37" s="1"/>
  <c r="R373" i="37" s="1"/>
  <c r="S373" i="37" s="1"/>
  <c r="T373" i="37" s="1"/>
  <c r="U373" i="37" s="1"/>
  <c r="V373" i="37" s="1"/>
  <c r="W373" i="37" s="1"/>
  <c r="X373" i="37" s="1"/>
  <c r="Y373" i="37" s="1"/>
  <c r="Z373" i="37" s="1"/>
  <c r="AA373" i="37" s="1"/>
  <c r="AB373" i="37" s="1"/>
  <c r="AC373" i="37" s="1"/>
  <c r="AD373" i="37" s="1"/>
  <c r="AE373" i="37" s="1"/>
  <c r="AF373" i="37" s="1"/>
  <c r="AG373" i="37" s="1"/>
  <c r="AH373" i="37" s="1"/>
  <c r="AI373" i="37" s="1"/>
  <c r="AJ373" i="37" s="1"/>
  <c r="AK373" i="37" s="1"/>
  <c r="AL373" i="37" s="1"/>
  <c r="AM373" i="37" s="1"/>
  <c r="AN373" i="37" s="1"/>
  <c r="AO373" i="37" s="1"/>
  <c r="AP373" i="37" s="1"/>
  <c r="AQ373" i="37" s="1"/>
  <c r="AR373" i="37" s="1"/>
  <c r="AS373" i="37" s="1"/>
  <c r="AT373" i="37" s="1"/>
  <c r="AU373" i="37" s="1"/>
  <c r="AV373" i="37" s="1"/>
  <c r="AW373" i="37" s="1"/>
  <c r="AX373" i="37" s="1"/>
  <c r="AY373" i="37" s="1"/>
  <c r="AZ373" i="37" s="1"/>
  <c r="BA373" i="37" s="1"/>
  <c r="BB373" i="37" s="1"/>
  <c r="BC373" i="37" s="1"/>
  <c r="BD373" i="37" s="1"/>
  <c r="BE373" i="37" s="1"/>
  <c r="BF373" i="37" s="1"/>
  <c r="BG373" i="37" s="1"/>
  <c r="BH373" i="37" s="1"/>
  <c r="BI373" i="37" s="1"/>
  <c r="BJ373" i="37" s="1"/>
  <c r="BK373" i="37" s="1"/>
  <c r="BL373" i="37" s="1"/>
  <c r="BM373" i="37" s="1"/>
  <c r="BN373" i="37" s="1"/>
  <c r="BO373" i="37" s="1"/>
  <c r="BP373" i="37" s="1"/>
  <c r="BQ373" i="37" s="1"/>
  <c r="BR373" i="37" s="1"/>
  <c r="BS373" i="37" s="1"/>
  <c r="BT373" i="37" s="1"/>
  <c r="BU373" i="37" s="1"/>
  <c r="BV373" i="37" s="1"/>
  <c r="BW373" i="37" s="1"/>
  <c r="D377" i="37"/>
  <c r="E377" i="37" s="1"/>
  <c r="F377" i="37" s="1"/>
  <c r="G377" i="37" s="1"/>
  <c r="H377" i="37" s="1"/>
  <c r="I377" i="37" s="1"/>
  <c r="J377" i="37" s="1"/>
  <c r="K377" i="37" s="1"/>
  <c r="L377" i="37" s="1"/>
  <c r="M377" i="37" s="1"/>
  <c r="N377" i="37" s="1"/>
  <c r="O377" i="37" s="1"/>
  <c r="P377" i="37" s="1"/>
  <c r="Q377" i="37" s="1"/>
  <c r="R377" i="37" s="1"/>
  <c r="S377" i="37" s="1"/>
  <c r="T377" i="37" s="1"/>
  <c r="U377" i="37" s="1"/>
  <c r="V377" i="37" s="1"/>
  <c r="W377" i="37" s="1"/>
  <c r="X377" i="37" s="1"/>
  <c r="Y377" i="37" s="1"/>
  <c r="Z377" i="37" s="1"/>
  <c r="AA377" i="37" s="1"/>
  <c r="AB377" i="37" s="1"/>
  <c r="AC377" i="37" s="1"/>
  <c r="AD377" i="37" s="1"/>
  <c r="AE377" i="37" s="1"/>
  <c r="AF377" i="37" s="1"/>
  <c r="AG377" i="37" s="1"/>
  <c r="AH377" i="37" s="1"/>
  <c r="AI377" i="37" s="1"/>
  <c r="AJ377" i="37" s="1"/>
  <c r="AK377" i="37" s="1"/>
  <c r="AL377" i="37" s="1"/>
  <c r="AM377" i="37" s="1"/>
  <c r="AN377" i="37" s="1"/>
  <c r="AO377" i="37" s="1"/>
  <c r="AP377" i="37" s="1"/>
  <c r="AQ377" i="37" s="1"/>
  <c r="AR377" i="37" s="1"/>
  <c r="AS377" i="37" s="1"/>
  <c r="AT377" i="37" s="1"/>
  <c r="AU377" i="37" s="1"/>
  <c r="AV377" i="37" s="1"/>
  <c r="AW377" i="37" s="1"/>
  <c r="AX377" i="37" s="1"/>
  <c r="AY377" i="37" s="1"/>
  <c r="AZ377" i="37" s="1"/>
  <c r="BA377" i="37" s="1"/>
  <c r="BB377" i="37" s="1"/>
  <c r="BC377" i="37" s="1"/>
  <c r="BD377" i="37" s="1"/>
  <c r="BE377" i="37" s="1"/>
  <c r="BF377" i="37" s="1"/>
  <c r="BG377" i="37" s="1"/>
  <c r="BH377" i="37" s="1"/>
  <c r="BI377" i="37" s="1"/>
  <c r="BJ377" i="37" s="1"/>
  <c r="BK377" i="37" s="1"/>
  <c r="BL377" i="37" s="1"/>
  <c r="BM377" i="37" s="1"/>
  <c r="BN377" i="37" s="1"/>
  <c r="BO377" i="37" s="1"/>
  <c r="BP377" i="37" s="1"/>
  <c r="BQ377" i="37" s="1"/>
  <c r="BR377" i="37" s="1"/>
  <c r="BS377" i="37" s="1"/>
  <c r="BT377" i="37" s="1"/>
  <c r="BU377" i="37" s="1"/>
  <c r="BV377" i="37" s="1"/>
  <c r="BW377" i="37" s="1"/>
  <c r="D381" i="37"/>
  <c r="E381" i="37" s="1"/>
  <c r="F381" i="37" s="1"/>
  <c r="G381" i="37" s="1"/>
  <c r="H381" i="37" s="1"/>
  <c r="I381" i="37" s="1"/>
  <c r="J381" i="37" s="1"/>
  <c r="K381" i="37" s="1"/>
  <c r="L381" i="37" s="1"/>
  <c r="M381" i="37" s="1"/>
  <c r="N381" i="37" s="1"/>
  <c r="O381" i="37" s="1"/>
  <c r="P381" i="37" s="1"/>
  <c r="Q381" i="37" s="1"/>
  <c r="R381" i="37" s="1"/>
  <c r="S381" i="37" s="1"/>
  <c r="T381" i="37" s="1"/>
  <c r="U381" i="37" s="1"/>
  <c r="V381" i="37" s="1"/>
  <c r="W381" i="37" s="1"/>
  <c r="X381" i="37" s="1"/>
  <c r="Y381" i="37" s="1"/>
  <c r="Z381" i="37" s="1"/>
  <c r="AA381" i="37" s="1"/>
  <c r="AB381" i="37" s="1"/>
  <c r="AC381" i="37" s="1"/>
  <c r="AD381" i="37" s="1"/>
  <c r="AE381" i="37" s="1"/>
  <c r="AF381" i="37" s="1"/>
  <c r="AG381" i="37" s="1"/>
  <c r="AH381" i="37" s="1"/>
  <c r="AI381" i="37" s="1"/>
  <c r="AJ381" i="37" s="1"/>
  <c r="AK381" i="37" s="1"/>
  <c r="AL381" i="37" s="1"/>
  <c r="AM381" i="37" s="1"/>
  <c r="AN381" i="37" s="1"/>
  <c r="AO381" i="37" s="1"/>
  <c r="AP381" i="37" s="1"/>
  <c r="AQ381" i="37" s="1"/>
  <c r="AR381" i="37" s="1"/>
  <c r="AS381" i="37" s="1"/>
  <c r="AT381" i="37" s="1"/>
  <c r="AU381" i="37" s="1"/>
  <c r="AV381" i="37" s="1"/>
  <c r="AW381" i="37" s="1"/>
  <c r="AX381" i="37" s="1"/>
  <c r="AY381" i="37" s="1"/>
  <c r="AZ381" i="37" s="1"/>
  <c r="BA381" i="37" s="1"/>
  <c r="BB381" i="37" s="1"/>
  <c r="BC381" i="37" s="1"/>
  <c r="BD381" i="37" s="1"/>
  <c r="BE381" i="37" s="1"/>
  <c r="BF381" i="37" s="1"/>
  <c r="BG381" i="37" s="1"/>
  <c r="BH381" i="37" s="1"/>
  <c r="BI381" i="37" s="1"/>
  <c r="BJ381" i="37" s="1"/>
  <c r="BK381" i="37" s="1"/>
  <c r="BL381" i="37" s="1"/>
  <c r="BM381" i="37" s="1"/>
  <c r="BN381" i="37" s="1"/>
  <c r="BO381" i="37" s="1"/>
  <c r="BP381" i="37" s="1"/>
  <c r="BQ381" i="37" s="1"/>
  <c r="BR381" i="37" s="1"/>
  <c r="BS381" i="37" s="1"/>
  <c r="BT381" i="37" s="1"/>
  <c r="BU381" i="37" s="1"/>
  <c r="BV381" i="37" s="1"/>
  <c r="BW381" i="37" s="1"/>
  <c r="D287" i="37"/>
  <c r="E287" i="37" s="1"/>
  <c r="F287" i="37" s="1"/>
  <c r="G287" i="37" s="1"/>
  <c r="H287" i="37" s="1"/>
  <c r="I287" i="37" s="1"/>
  <c r="J287" i="37" s="1"/>
  <c r="K287" i="37" s="1"/>
  <c r="L287" i="37" s="1"/>
  <c r="M287" i="37" s="1"/>
  <c r="N287" i="37" s="1"/>
  <c r="O287" i="37" s="1"/>
  <c r="P287" i="37" s="1"/>
  <c r="Q287" i="37" s="1"/>
  <c r="R287" i="37" s="1"/>
  <c r="S287" i="37" s="1"/>
  <c r="T287" i="37" s="1"/>
  <c r="U287" i="37" s="1"/>
  <c r="V287" i="37" s="1"/>
  <c r="W287" i="37" s="1"/>
  <c r="X287" i="37" s="1"/>
  <c r="Y287" i="37" s="1"/>
  <c r="Z287" i="37" s="1"/>
  <c r="AA287" i="37" s="1"/>
  <c r="AB287" i="37" s="1"/>
  <c r="AC287" i="37" s="1"/>
  <c r="AD287" i="37" s="1"/>
  <c r="AE287" i="37" s="1"/>
  <c r="AF287" i="37" s="1"/>
  <c r="AG287" i="37" s="1"/>
  <c r="AH287" i="37" s="1"/>
  <c r="AI287" i="37" s="1"/>
  <c r="AJ287" i="37" s="1"/>
  <c r="AK287" i="37" s="1"/>
  <c r="AL287" i="37" s="1"/>
  <c r="AM287" i="37" s="1"/>
  <c r="AN287" i="37" s="1"/>
  <c r="AO287" i="37" s="1"/>
  <c r="AP287" i="37" s="1"/>
  <c r="AQ287" i="37" s="1"/>
  <c r="AR287" i="37" s="1"/>
  <c r="AS287" i="37" s="1"/>
  <c r="AT287" i="37" s="1"/>
  <c r="AU287" i="37" s="1"/>
  <c r="AV287" i="37" s="1"/>
  <c r="AW287" i="37" s="1"/>
  <c r="AX287" i="37" s="1"/>
  <c r="AY287" i="37" s="1"/>
  <c r="AZ287" i="37" s="1"/>
  <c r="BA287" i="37" s="1"/>
  <c r="BB287" i="37" s="1"/>
  <c r="BC287" i="37" s="1"/>
  <c r="BD287" i="37" s="1"/>
  <c r="BE287" i="37" s="1"/>
  <c r="BF287" i="37" s="1"/>
  <c r="BG287" i="37" s="1"/>
  <c r="BH287" i="37" s="1"/>
  <c r="BI287" i="37" s="1"/>
  <c r="BJ287" i="37" s="1"/>
  <c r="BK287" i="37" s="1"/>
  <c r="BL287" i="37" s="1"/>
  <c r="BM287" i="37" s="1"/>
  <c r="BN287" i="37" s="1"/>
  <c r="BO287" i="37" s="1"/>
  <c r="BP287" i="37" s="1"/>
  <c r="BQ287" i="37" s="1"/>
  <c r="BR287" i="37" s="1"/>
  <c r="BS287" i="37" s="1"/>
  <c r="BT287" i="37" s="1"/>
  <c r="BU287" i="37" s="1"/>
  <c r="BV287" i="37" s="1"/>
  <c r="BW287" i="37" s="1"/>
  <c r="D347" i="37"/>
  <c r="D346" i="37"/>
  <c r="E346" i="37" s="1"/>
  <c r="F346" i="37" s="1"/>
  <c r="G346" i="37" s="1"/>
  <c r="H346" i="37" s="1"/>
  <c r="I346" i="37" s="1"/>
  <c r="J346" i="37" s="1"/>
  <c r="K346" i="37" s="1"/>
  <c r="L346" i="37" s="1"/>
  <c r="M346" i="37" s="1"/>
  <c r="N346" i="37" s="1"/>
  <c r="O346" i="37" s="1"/>
  <c r="P346" i="37" s="1"/>
  <c r="Q346" i="37" s="1"/>
  <c r="R346" i="37" s="1"/>
  <c r="S346" i="37" s="1"/>
  <c r="T346" i="37" s="1"/>
  <c r="U346" i="37" s="1"/>
  <c r="V346" i="37" s="1"/>
  <c r="W346" i="37" s="1"/>
  <c r="X346" i="37" s="1"/>
  <c r="Y346" i="37" s="1"/>
  <c r="Z346" i="37" s="1"/>
  <c r="AA346" i="37" s="1"/>
  <c r="AB346" i="37" s="1"/>
  <c r="AC346" i="37" s="1"/>
  <c r="AD346" i="37" s="1"/>
  <c r="AE346" i="37" s="1"/>
  <c r="AF346" i="37" s="1"/>
  <c r="AG346" i="37" s="1"/>
  <c r="AH346" i="37" s="1"/>
  <c r="AI346" i="37" s="1"/>
  <c r="AJ346" i="37" s="1"/>
  <c r="AK346" i="37" s="1"/>
  <c r="AL346" i="37" s="1"/>
  <c r="AM346" i="37" s="1"/>
  <c r="AN346" i="37" s="1"/>
  <c r="AO346" i="37" s="1"/>
  <c r="AP346" i="37" s="1"/>
  <c r="AQ346" i="37" s="1"/>
  <c r="AR346" i="37" s="1"/>
  <c r="AS346" i="37" s="1"/>
  <c r="AT346" i="37" s="1"/>
  <c r="AU346" i="37" s="1"/>
  <c r="AV346" i="37" s="1"/>
  <c r="AW346" i="37" s="1"/>
  <c r="AX346" i="37" s="1"/>
  <c r="AY346" i="37" s="1"/>
  <c r="AZ346" i="37" s="1"/>
  <c r="BA346" i="37" s="1"/>
  <c r="BB346" i="37" s="1"/>
  <c r="BC346" i="37" s="1"/>
  <c r="BD346" i="37" s="1"/>
  <c r="BE346" i="37" s="1"/>
  <c r="BF346" i="37" s="1"/>
  <c r="BG346" i="37" s="1"/>
  <c r="BH346" i="37" s="1"/>
  <c r="BI346" i="37" s="1"/>
  <c r="BJ346" i="37" s="1"/>
  <c r="BK346" i="37" s="1"/>
  <c r="BL346" i="37" s="1"/>
  <c r="BM346" i="37" s="1"/>
  <c r="BN346" i="37" s="1"/>
  <c r="BO346" i="37" s="1"/>
  <c r="BP346" i="37" s="1"/>
  <c r="BQ346" i="37" s="1"/>
  <c r="BR346" i="37" s="1"/>
  <c r="BS346" i="37" s="1"/>
  <c r="BT346" i="37" s="1"/>
  <c r="BU346" i="37" s="1"/>
  <c r="BV346" i="37" s="1"/>
  <c r="BW346" i="37" s="1"/>
  <c r="D345" i="37"/>
  <c r="E345" i="37" s="1"/>
  <c r="F345" i="37" s="1"/>
  <c r="G345" i="37" s="1"/>
  <c r="H345" i="37" s="1"/>
  <c r="I345" i="37" s="1"/>
  <c r="J345" i="37" s="1"/>
  <c r="K345" i="37" s="1"/>
  <c r="L345" i="37" s="1"/>
  <c r="M345" i="37" s="1"/>
  <c r="N345" i="37" s="1"/>
  <c r="O345" i="37" s="1"/>
  <c r="P345" i="37" s="1"/>
  <c r="Q345" i="37" s="1"/>
  <c r="R345" i="37" s="1"/>
  <c r="S345" i="37" s="1"/>
  <c r="T345" i="37" s="1"/>
  <c r="U345" i="37" s="1"/>
  <c r="V345" i="37" s="1"/>
  <c r="W345" i="37" s="1"/>
  <c r="X345" i="37" s="1"/>
  <c r="Y345" i="37" s="1"/>
  <c r="Z345" i="37" s="1"/>
  <c r="AA345" i="37" s="1"/>
  <c r="AB345" i="37" s="1"/>
  <c r="AC345" i="37" s="1"/>
  <c r="AD345" i="37" s="1"/>
  <c r="AE345" i="37" s="1"/>
  <c r="AF345" i="37" s="1"/>
  <c r="AG345" i="37" s="1"/>
  <c r="AH345" i="37" s="1"/>
  <c r="AI345" i="37" s="1"/>
  <c r="AJ345" i="37" s="1"/>
  <c r="AK345" i="37" s="1"/>
  <c r="AL345" i="37" s="1"/>
  <c r="AM345" i="37" s="1"/>
  <c r="AN345" i="37" s="1"/>
  <c r="AO345" i="37" s="1"/>
  <c r="AP345" i="37" s="1"/>
  <c r="AQ345" i="37" s="1"/>
  <c r="AR345" i="37" s="1"/>
  <c r="AS345" i="37" s="1"/>
  <c r="AT345" i="37" s="1"/>
  <c r="AU345" i="37" s="1"/>
  <c r="AV345" i="37" s="1"/>
  <c r="AW345" i="37" s="1"/>
  <c r="AX345" i="37" s="1"/>
  <c r="AY345" i="37" s="1"/>
  <c r="AZ345" i="37" s="1"/>
  <c r="BA345" i="37" s="1"/>
  <c r="BB345" i="37" s="1"/>
  <c r="BC345" i="37" s="1"/>
  <c r="BD345" i="37" s="1"/>
  <c r="BE345" i="37" s="1"/>
  <c r="BF345" i="37" s="1"/>
  <c r="BG345" i="37" s="1"/>
  <c r="BH345" i="37" s="1"/>
  <c r="BI345" i="37" s="1"/>
  <c r="BJ345" i="37" s="1"/>
  <c r="BK345" i="37" s="1"/>
  <c r="BL345" i="37" s="1"/>
  <c r="BM345" i="37" s="1"/>
  <c r="BN345" i="37" s="1"/>
  <c r="BO345" i="37" s="1"/>
  <c r="BP345" i="37" s="1"/>
  <c r="BQ345" i="37" s="1"/>
  <c r="BR345" i="37" s="1"/>
  <c r="BS345" i="37" s="1"/>
  <c r="BT345" i="37" s="1"/>
  <c r="BU345" i="37" s="1"/>
  <c r="BV345" i="37" s="1"/>
  <c r="BW345" i="37" s="1"/>
  <c r="D281" i="37"/>
  <c r="E281" i="37" s="1"/>
  <c r="F281" i="37" s="1"/>
  <c r="G281" i="37" s="1"/>
  <c r="H281" i="37" s="1"/>
  <c r="I281" i="37" s="1"/>
  <c r="J281" i="37" s="1"/>
  <c r="K281" i="37" s="1"/>
  <c r="L281" i="37" s="1"/>
  <c r="M281" i="37" s="1"/>
  <c r="N281" i="37" s="1"/>
  <c r="O281" i="37" s="1"/>
  <c r="P281" i="37" s="1"/>
  <c r="Q281" i="37" s="1"/>
  <c r="R281" i="37" s="1"/>
  <c r="S281" i="37" s="1"/>
  <c r="T281" i="37" s="1"/>
  <c r="U281" i="37" s="1"/>
  <c r="V281" i="37" s="1"/>
  <c r="W281" i="37" s="1"/>
  <c r="X281" i="37" s="1"/>
  <c r="Y281" i="37" s="1"/>
  <c r="Z281" i="37" s="1"/>
  <c r="AA281" i="37" s="1"/>
  <c r="AB281" i="37" s="1"/>
  <c r="AC281" i="37" s="1"/>
  <c r="AD281" i="37" s="1"/>
  <c r="AE281" i="37" s="1"/>
  <c r="AF281" i="37" s="1"/>
  <c r="AG281" i="37" s="1"/>
  <c r="AH281" i="37" s="1"/>
  <c r="AI281" i="37" s="1"/>
  <c r="AJ281" i="37" s="1"/>
  <c r="AK281" i="37" s="1"/>
  <c r="AL281" i="37" s="1"/>
  <c r="AM281" i="37" s="1"/>
  <c r="AN281" i="37" s="1"/>
  <c r="AO281" i="37" s="1"/>
  <c r="AP281" i="37" s="1"/>
  <c r="AQ281" i="37" s="1"/>
  <c r="AR281" i="37" s="1"/>
  <c r="AS281" i="37" s="1"/>
  <c r="AT281" i="37" s="1"/>
  <c r="AU281" i="37" s="1"/>
  <c r="AV281" i="37" s="1"/>
  <c r="AW281" i="37" s="1"/>
  <c r="AX281" i="37" s="1"/>
  <c r="AY281" i="37" s="1"/>
  <c r="AZ281" i="37" s="1"/>
  <c r="BA281" i="37" s="1"/>
  <c r="BB281" i="37" s="1"/>
  <c r="BC281" i="37" s="1"/>
  <c r="BD281" i="37" s="1"/>
  <c r="BE281" i="37" s="1"/>
  <c r="BF281" i="37" s="1"/>
  <c r="BG281" i="37" s="1"/>
  <c r="BH281" i="37" s="1"/>
  <c r="BI281" i="37" s="1"/>
  <c r="BJ281" i="37" s="1"/>
  <c r="BK281" i="37" s="1"/>
  <c r="BL281" i="37" s="1"/>
  <c r="BM281" i="37" s="1"/>
  <c r="BN281" i="37" s="1"/>
  <c r="BO281" i="37" s="1"/>
  <c r="BP281" i="37" s="1"/>
  <c r="BQ281" i="37" s="1"/>
  <c r="BR281" i="37" s="1"/>
  <c r="BS281" i="37" s="1"/>
  <c r="BT281" i="37" s="1"/>
  <c r="BU281" i="37" s="1"/>
  <c r="BV281" i="37" s="1"/>
  <c r="BW281" i="37" s="1"/>
  <c r="E134" i="36"/>
  <c r="E122" i="36"/>
  <c r="G16" i="29"/>
  <c r="E132" i="36"/>
  <c r="D127" i="33"/>
  <c r="D77" i="33"/>
  <c r="D72" i="33"/>
  <c r="D6" i="37"/>
  <c r="C6" i="37"/>
  <c r="F6" i="37"/>
  <c r="G6" i="37"/>
  <c r="H6" i="37"/>
  <c r="E6" i="37"/>
  <c r="I6" i="37"/>
  <c r="B6" i="37"/>
  <c r="D357" i="37"/>
  <c r="E357" i="37" s="1"/>
  <c r="F357" i="37" s="1"/>
  <c r="G357" i="37" s="1"/>
  <c r="H357" i="37" s="1"/>
  <c r="I357" i="37" s="1"/>
  <c r="J357" i="37" s="1"/>
  <c r="K357" i="37" s="1"/>
  <c r="L357" i="37" s="1"/>
  <c r="M357" i="37" s="1"/>
  <c r="N357" i="37" s="1"/>
  <c r="O357" i="37" s="1"/>
  <c r="P357" i="37" s="1"/>
  <c r="Q357" i="37" s="1"/>
  <c r="R357" i="37" s="1"/>
  <c r="S357" i="37" s="1"/>
  <c r="T357" i="37" s="1"/>
  <c r="U357" i="37" s="1"/>
  <c r="V357" i="37" s="1"/>
  <c r="W357" i="37" s="1"/>
  <c r="X357" i="37" s="1"/>
  <c r="Y357" i="37" s="1"/>
  <c r="Z357" i="37" s="1"/>
  <c r="AA357" i="37" s="1"/>
  <c r="AB357" i="37" s="1"/>
  <c r="AC357" i="37" s="1"/>
  <c r="AD357" i="37" s="1"/>
  <c r="AE357" i="37" s="1"/>
  <c r="AF357" i="37" s="1"/>
  <c r="AG357" i="37" s="1"/>
  <c r="AH357" i="37" s="1"/>
  <c r="AI357" i="37" s="1"/>
  <c r="AJ357" i="37" s="1"/>
  <c r="AK357" i="37" s="1"/>
  <c r="AL357" i="37" s="1"/>
  <c r="AM357" i="37" s="1"/>
  <c r="AN357" i="37" s="1"/>
  <c r="AO357" i="37" s="1"/>
  <c r="AP357" i="37" s="1"/>
  <c r="AQ357" i="37" s="1"/>
  <c r="AR357" i="37" s="1"/>
  <c r="AS357" i="37" s="1"/>
  <c r="AT357" i="37" s="1"/>
  <c r="AU357" i="37" s="1"/>
  <c r="AV357" i="37" s="1"/>
  <c r="AW357" i="37" s="1"/>
  <c r="AX357" i="37" s="1"/>
  <c r="AY357" i="37" s="1"/>
  <c r="AZ357" i="37" s="1"/>
  <c r="BA357" i="37" s="1"/>
  <c r="BB357" i="37" s="1"/>
  <c r="BC357" i="37" s="1"/>
  <c r="BD357" i="37" s="1"/>
  <c r="BE357" i="37" s="1"/>
  <c r="BF357" i="37" s="1"/>
  <c r="BG357" i="37" s="1"/>
  <c r="BH357" i="37" s="1"/>
  <c r="BI357" i="37" s="1"/>
  <c r="BJ357" i="37" s="1"/>
  <c r="BK357" i="37" s="1"/>
  <c r="BL357" i="37" s="1"/>
  <c r="BM357" i="37" s="1"/>
  <c r="BN357" i="37" s="1"/>
  <c r="BO357" i="37" s="1"/>
  <c r="BP357" i="37" s="1"/>
  <c r="BQ357" i="37" s="1"/>
  <c r="BR357" i="37" s="1"/>
  <c r="BS357" i="37" s="1"/>
  <c r="BT357" i="37" s="1"/>
  <c r="BU357" i="37" s="1"/>
  <c r="BV357" i="37" s="1"/>
  <c r="BW357" i="37" s="1"/>
  <c r="C7" i="37"/>
  <c r="E7" i="37"/>
  <c r="F7" i="37"/>
  <c r="D126" i="33"/>
  <c r="D110" i="33"/>
  <c r="D124" i="33"/>
  <c r="D113" i="33"/>
  <c r="D122" i="33"/>
  <c r="D63" i="33"/>
  <c r="D380" i="44" s="1"/>
  <c r="D92" i="33"/>
  <c r="D35" i="33"/>
  <c r="C70" i="31" s="1"/>
  <c r="D99" i="33"/>
  <c r="D84" i="33"/>
  <c r="K5" i="44" s="1"/>
  <c r="D64" i="33"/>
  <c r="D94" i="33"/>
  <c r="D89" i="33"/>
  <c r="E321" i="44" s="1"/>
  <c r="D52" i="33"/>
  <c r="D37" i="33"/>
  <c r="D59" i="33"/>
  <c r="D50" i="33"/>
  <c r="B39" i="29" s="1"/>
  <c r="D41" i="33"/>
  <c r="D14" i="44" s="1"/>
  <c r="D40" i="33"/>
  <c r="D54" i="33"/>
  <c r="D45" i="49" s="1"/>
  <c r="D44" i="33"/>
  <c r="I5" i="37" s="1"/>
  <c r="D43" i="33"/>
  <c r="D16" i="44" s="1"/>
  <c r="D118" i="33"/>
  <c r="D112" i="33"/>
  <c r="D121" i="33"/>
  <c r="D123" i="33"/>
  <c r="D74" i="33"/>
  <c r="D106" i="33"/>
  <c r="G37" i="49" s="1"/>
  <c r="D103" i="33"/>
  <c r="D100" i="33"/>
  <c r="D33" i="33"/>
  <c r="C28" i="31" s="1"/>
  <c r="D34" i="33"/>
  <c r="C41" i="31" s="1"/>
  <c r="D95" i="33"/>
  <c r="D88" i="33"/>
  <c r="E10" i="44" s="1"/>
  <c r="D38" i="33"/>
  <c r="D56" i="33"/>
  <c r="D48" i="33"/>
  <c r="C366" i="44" s="1"/>
  <c r="D68" i="33"/>
  <c r="D53" i="33"/>
  <c r="D28" i="33"/>
  <c r="C7" i="31" s="1"/>
  <c r="D58" i="33"/>
  <c r="D117" i="33"/>
  <c r="D111" i="33"/>
  <c r="D120" i="33"/>
  <c r="D116" i="33"/>
  <c r="D107" i="33"/>
  <c r="A70" i="49" s="1"/>
  <c r="D73" i="33"/>
  <c r="D104" i="33"/>
  <c r="D102" i="33"/>
  <c r="A56" i="49" s="1"/>
  <c r="D81" i="33"/>
  <c r="H5" i="44" s="1"/>
  <c r="D91" i="33"/>
  <c r="D85" i="33"/>
  <c r="L5" i="44" s="1"/>
  <c r="D42" i="33"/>
  <c r="D62" i="33"/>
  <c r="D32" i="33"/>
  <c r="C26" i="31" s="1"/>
  <c r="D39" i="33"/>
  <c r="D57" i="33"/>
  <c r="D47" i="33"/>
  <c r="B80" i="29" s="1"/>
  <c r="D67" i="33"/>
  <c r="D115" i="33"/>
  <c r="D105" i="33"/>
  <c r="D60" i="33"/>
  <c r="D69" i="33"/>
  <c r="D29" i="33"/>
  <c r="C9" i="31" s="1"/>
  <c r="D25" i="33"/>
  <c r="C1" i="31" s="1"/>
  <c r="D114" i="33"/>
  <c r="D97" i="33"/>
  <c r="D90" i="33"/>
  <c r="D55" i="33"/>
  <c r="D31" i="33"/>
  <c r="C11" i="31" s="1"/>
  <c r="D125" i="33"/>
  <c r="D109" i="33"/>
  <c r="D82" i="33"/>
  <c r="I5" i="44" s="1"/>
  <c r="D46" i="33"/>
  <c r="D26" i="33"/>
  <c r="D65" i="33"/>
  <c r="D286" i="44" s="1"/>
  <c r="D119" i="33"/>
  <c r="D49" i="33"/>
  <c r="B56" i="29" s="1"/>
  <c r="D61" i="33"/>
  <c r="H137" i="49" s="1"/>
  <c r="E322" i="44"/>
  <c r="E210" i="44"/>
  <c r="E378" i="44"/>
  <c r="E5" i="44"/>
  <c r="E266" i="44"/>
  <c r="E98" i="44"/>
  <c r="E42" i="44"/>
  <c r="E26" i="36"/>
  <c r="E20" i="36"/>
  <c r="B48" i="29"/>
  <c r="E23" i="36"/>
  <c r="E120" i="36"/>
  <c r="E118" i="36"/>
  <c r="E119" i="36"/>
  <c r="E121" i="36"/>
  <c r="E135" i="36"/>
  <c r="E133" i="36"/>
  <c r="E116" i="36"/>
  <c r="E131" i="36"/>
  <c r="E136" i="36"/>
  <c r="E137" i="36"/>
  <c r="E123" i="36"/>
  <c r="B7" i="37"/>
  <c r="D83" i="33"/>
  <c r="C53" i="37" s="1"/>
  <c r="D80" i="33"/>
  <c r="G5" i="44" s="1"/>
  <c r="D76" i="33"/>
  <c r="L87" i="37" l="1"/>
  <c r="B44" i="37"/>
  <c r="I2" i="48"/>
  <c r="I2" i="42"/>
  <c r="I2" i="40"/>
  <c r="F2" i="43"/>
  <c r="F2" i="41"/>
  <c r="F2" i="42"/>
  <c r="F2" i="40"/>
  <c r="I2" i="43"/>
  <c r="I2" i="41"/>
  <c r="F2" i="48"/>
  <c r="G2" i="43"/>
  <c r="G2" i="41"/>
  <c r="D2" i="48"/>
  <c r="D2" i="42"/>
  <c r="D2" i="40"/>
  <c r="G2" i="48"/>
  <c r="G2" i="42"/>
  <c r="G2" i="40"/>
  <c r="D2" i="43"/>
  <c r="D2" i="41"/>
  <c r="E2" i="48"/>
  <c r="E2" i="42"/>
  <c r="E2" i="40"/>
  <c r="H2" i="43"/>
  <c r="H2" i="41"/>
  <c r="H2" i="48"/>
  <c r="H2" i="42"/>
  <c r="H2" i="40"/>
  <c r="E2" i="43"/>
  <c r="E2" i="41"/>
  <c r="F2" i="39"/>
  <c r="I2" i="39"/>
  <c r="G2" i="39"/>
  <c r="D2" i="39"/>
  <c r="D282" i="44"/>
  <c r="H2" i="39"/>
  <c r="E2" i="39"/>
  <c r="J69" i="29"/>
  <c r="J33" i="29"/>
  <c r="J60" i="29"/>
  <c r="J24" i="29"/>
  <c r="J87" i="29"/>
  <c r="J51" i="29"/>
  <c r="J78" i="29"/>
  <c r="J42" i="29"/>
  <c r="L117" i="37"/>
  <c r="L234" i="37" s="1"/>
  <c r="F117" i="37"/>
  <c r="N91" i="37"/>
  <c r="G78" i="37"/>
  <c r="G195" i="37" s="1"/>
  <c r="C58" i="37"/>
  <c r="C106" i="37"/>
  <c r="C223" i="37" s="1"/>
  <c r="C61" i="37"/>
  <c r="C178" i="37" s="1"/>
  <c r="H78" i="37"/>
  <c r="H195" i="37" s="1"/>
  <c r="C82" i="37"/>
  <c r="C80" i="37"/>
  <c r="C197" i="37" s="1"/>
  <c r="K91" i="37"/>
  <c r="C35" i="37"/>
  <c r="C152" i="37" s="1"/>
  <c r="D87" i="37"/>
  <c r="C87" i="37"/>
  <c r="C204" i="37" s="1"/>
  <c r="G117" i="37"/>
  <c r="E91" i="37"/>
  <c r="E208" i="37" s="1"/>
  <c r="J78" i="37"/>
  <c r="J195" i="37" s="1"/>
  <c r="C49" i="37"/>
  <c r="C166" i="37" s="1"/>
  <c r="C120" i="37"/>
  <c r="C237" i="37" s="1"/>
  <c r="F87" i="37"/>
  <c r="F204" i="37" s="1"/>
  <c r="C129" i="37"/>
  <c r="C246" i="37" s="1"/>
  <c r="C50" i="37"/>
  <c r="C167" i="37" s="1"/>
  <c r="C121" i="37"/>
  <c r="C238" i="37" s="1"/>
  <c r="K117" i="37"/>
  <c r="K234" i="37" s="1"/>
  <c r="E117" i="37"/>
  <c r="E234" i="37" s="1"/>
  <c r="J117" i="37"/>
  <c r="J234" i="37" s="1"/>
  <c r="F91" i="37"/>
  <c r="F208" i="37" s="1"/>
  <c r="D91" i="37"/>
  <c r="D208" i="37" s="1"/>
  <c r="I91" i="37"/>
  <c r="I208" i="37" s="1"/>
  <c r="N78" i="37"/>
  <c r="N195" i="37" s="1"/>
  <c r="K78" i="37"/>
  <c r="K195" i="37" s="1"/>
  <c r="L78" i="37"/>
  <c r="L195" i="37" s="1"/>
  <c r="C63" i="37"/>
  <c r="C180" i="37" s="1"/>
  <c r="C55" i="37"/>
  <c r="C172" i="37" s="1"/>
  <c r="C46" i="37"/>
  <c r="C81" i="37"/>
  <c r="C198" i="37" s="1"/>
  <c r="C102" i="37"/>
  <c r="C219" i="37" s="1"/>
  <c r="C138" i="37"/>
  <c r="C255" i="37" s="1"/>
  <c r="C57" i="37"/>
  <c r="C174" i="37" s="1"/>
  <c r="G87" i="37"/>
  <c r="G204" i="37" s="1"/>
  <c r="C105" i="37"/>
  <c r="C222" i="37" s="1"/>
  <c r="C72" i="37"/>
  <c r="C189" i="37" s="1"/>
  <c r="C38" i="37"/>
  <c r="C155" i="37" s="1"/>
  <c r="I87" i="37"/>
  <c r="I204" i="37" s="1"/>
  <c r="B75" i="37"/>
  <c r="B192" i="37" s="1"/>
  <c r="B116" i="37"/>
  <c r="B233" i="37" s="1"/>
  <c r="B114" i="37"/>
  <c r="B231" i="37" s="1"/>
  <c r="B112" i="37"/>
  <c r="B229" i="37" s="1"/>
  <c r="B110" i="37"/>
  <c r="B227" i="37" s="1"/>
  <c r="B108" i="37"/>
  <c r="B225" i="37" s="1"/>
  <c r="B352" i="37"/>
  <c r="B348" i="37"/>
  <c r="B74" i="37"/>
  <c r="B191" i="37" s="1"/>
  <c r="B113" i="37"/>
  <c r="B230" i="37" s="1"/>
  <c r="B351" i="37"/>
  <c r="A75" i="37"/>
  <c r="A192" i="37" s="1"/>
  <c r="A116" i="37"/>
  <c r="A233" i="37" s="1"/>
  <c r="A114" i="37"/>
  <c r="A231" i="37" s="1"/>
  <c r="A112" i="37"/>
  <c r="A229" i="37" s="1"/>
  <c r="A110" i="37"/>
  <c r="A227" i="37" s="1"/>
  <c r="A108" i="37"/>
  <c r="A225" i="37" s="1"/>
  <c r="B313" i="37"/>
  <c r="B311" i="37"/>
  <c r="B350" i="37"/>
  <c r="B76" i="37"/>
  <c r="B193" i="37" s="1"/>
  <c r="B115" i="37"/>
  <c r="B232" i="37" s="1"/>
  <c r="B111" i="37"/>
  <c r="B228" i="37" s="1"/>
  <c r="B109" i="37"/>
  <c r="B226" i="37" s="1"/>
  <c r="B161" i="37"/>
  <c r="A76" i="37"/>
  <c r="A193" i="37" s="1"/>
  <c r="A74" i="37"/>
  <c r="A191" i="37" s="1"/>
  <c r="A115" i="37"/>
  <c r="A232" i="37" s="1"/>
  <c r="A113" i="37"/>
  <c r="A230" i="37" s="1"/>
  <c r="A111" i="37"/>
  <c r="A228" i="37" s="1"/>
  <c r="A109" i="37"/>
  <c r="A226" i="37" s="1"/>
  <c r="A44" i="37"/>
  <c r="A161" i="37" s="1"/>
  <c r="B312" i="37"/>
  <c r="B353" i="37"/>
  <c r="B349" i="37"/>
  <c r="E111" i="37"/>
  <c r="E228" i="37" s="1"/>
  <c r="C114" i="37"/>
  <c r="C231" i="37" s="1"/>
  <c r="M112" i="37"/>
  <c r="M229" i="37" s="1"/>
  <c r="L114" i="37"/>
  <c r="L231" i="37" s="1"/>
  <c r="H113" i="37"/>
  <c r="H230" i="37" s="1"/>
  <c r="J74" i="37"/>
  <c r="J191" i="37" s="1"/>
  <c r="J113" i="37"/>
  <c r="J230" i="37" s="1"/>
  <c r="J111" i="37"/>
  <c r="J228" i="37" s="1"/>
  <c r="J114" i="37"/>
  <c r="J231" i="37" s="1"/>
  <c r="G115" i="37"/>
  <c r="G232" i="37" s="1"/>
  <c r="M111" i="37"/>
  <c r="M228" i="37" s="1"/>
  <c r="M114" i="37"/>
  <c r="M231" i="37" s="1"/>
  <c r="N112" i="37"/>
  <c r="N229" i="37" s="1"/>
  <c r="L115" i="37"/>
  <c r="L232" i="37" s="1"/>
  <c r="K75" i="37"/>
  <c r="K192" i="37" s="1"/>
  <c r="K115" i="37"/>
  <c r="K232" i="37" s="1"/>
  <c r="I74" i="37"/>
  <c r="I191" i="37" s="1"/>
  <c r="N115" i="37"/>
  <c r="N232" i="37" s="1"/>
  <c r="L111" i="37"/>
  <c r="L228" i="37" s="1"/>
  <c r="I116" i="37"/>
  <c r="I233" i="37" s="1"/>
  <c r="G112" i="37"/>
  <c r="G229" i="37" s="1"/>
  <c r="K76" i="37"/>
  <c r="K193" i="37" s="1"/>
  <c r="D75" i="37"/>
  <c r="D192" i="37" s="1"/>
  <c r="M115" i="37"/>
  <c r="M232" i="37" s="1"/>
  <c r="M74" i="37"/>
  <c r="M191" i="37" s="1"/>
  <c r="C115" i="37"/>
  <c r="C232" i="37" s="1"/>
  <c r="L75" i="37"/>
  <c r="L192" i="37" s="1"/>
  <c r="L113" i="37"/>
  <c r="L230" i="37" s="1"/>
  <c r="K74" i="37"/>
  <c r="K191" i="37" s="1"/>
  <c r="E112" i="37"/>
  <c r="E229" i="37" s="1"/>
  <c r="H76" i="37"/>
  <c r="H193" i="37" s="1"/>
  <c r="H75" i="37"/>
  <c r="H192" i="37" s="1"/>
  <c r="K116" i="37"/>
  <c r="K233" i="37" s="1"/>
  <c r="G75" i="37"/>
  <c r="G192" i="37" s="1"/>
  <c r="I111" i="37"/>
  <c r="I228" i="37" s="1"/>
  <c r="I112" i="37"/>
  <c r="I229" i="37" s="1"/>
  <c r="H114" i="37"/>
  <c r="H231" i="37" s="1"/>
  <c r="C112" i="37"/>
  <c r="C229" i="37" s="1"/>
  <c r="K112" i="37"/>
  <c r="K229" i="37" s="1"/>
  <c r="G74" i="37"/>
  <c r="G191" i="37" s="1"/>
  <c r="K113" i="37"/>
  <c r="K230" i="37" s="1"/>
  <c r="D111" i="37"/>
  <c r="D228" i="37" s="1"/>
  <c r="K114" i="37"/>
  <c r="K231" i="37" s="1"/>
  <c r="I113" i="37"/>
  <c r="I230" i="37" s="1"/>
  <c r="N111" i="37"/>
  <c r="N228" i="37" s="1"/>
  <c r="N114" i="37"/>
  <c r="N231" i="37" s="1"/>
  <c r="H112" i="37"/>
  <c r="H229" i="37" s="1"/>
  <c r="L116" i="37"/>
  <c r="L233" i="37" s="1"/>
  <c r="E76" i="37"/>
  <c r="E193" i="37" s="1"/>
  <c r="I76" i="37"/>
  <c r="I193" i="37" s="1"/>
  <c r="N74" i="37"/>
  <c r="N191" i="37" s="1"/>
  <c r="D115" i="37"/>
  <c r="D232" i="37" s="1"/>
  <c r="E75" i="37"/>
  <c r="E192" i="37" s="1"/>
  <c r="N116" i="37"/>
  <c r="N233" i="37" s="1"/>
  <c r="L112" i="37"/>
  <c r="L229" i="37" s="1"/>
  <c r="N76" i="37"/>
  <c r="N193" i="37" s="1"/>
  <c r="E116" i="37"/>
  <c r="E233" i="37" s="1"/>
  <c r="F76" i="37"/>
  <c r="F193" i="37" s="1"/>
  <c r="C74" i="37"/>
  <c r="C191" i="37" s="1"/>
  <c r="H115" i="37"/>
  <c r="H232" i="37" s="1"/>
  <c r="M116" i="37"/>
  <c r="M233" i="37" s="1"/>
  <c r="K111" i="37"/>
  <c r="K228" i="37" s="1"/>
  <c r="F114" i="37"/>
  <c r="F231" i="37" s="1"/>
  <c r="D112" i="37"/>
  <c r="D229" i="37" s="1"/>
  <c r="D113" i="37"/>
  <c r="D230" i="37" s="1"/>
  <c r="L74" i="37"/>
  <c r="L191" i="37" s="1"/>
  <c r="J115" i="37"/>
  <c r="J232" i="37" s="1"/>
  <c r="G111" i="37"/>
  <c r="G228" i="37" s="1"/>
  <c r="J76" i="37"/>
  <c r="J193" i="37" s="1"/>
  <c r="L76" i="37"/>
  <c r="L193" i="37" s="1"/>
  <c r="H116" i="37"/>
  <c r="H233" i="37" s="1"/>
  <c r="C111" i="37"/>
  <c r="C228" i="37" s="1"/>
  <c r="E114" i="37"/>
  <c r="E231" i="37" s="1"/>
  <c r="G113" i="37"/>
  <c r="G230" i="37" s="1"/>
  <c r="C113" i="37"/>
  <c r="C230" i="37" s="1"/>
  <c r="F113" i="37"/>
  <c r="F230" i="37" s="1"/>
  <c r="F115" i="37"/>
  <c r="F232" i="37" s="1"/>
  <c r="J112" i="37"/>
  <c r="J229" i="37" s="1"/>
  <c r="F116" i="37"/>
  <c r="F233" i="37" s="1"/>
  <c r="E74" i="37"/>
  <c r="E191" i="37" s="1"/>
  <c r="N113" i="37"/>
  <c r="N230" i="37" s="1"/>
  <c r="H111" i="37"/>
  <c r="H228" i="37" s="1"/>
  <c r="D114" i="37"/>
  <c r="D231" i="37" s="1"/>
  <c r="F74" i="37"/>
  <c r="F191" i="37" s="1"/>
  <c r="I75" i="37"/>
  <c r="I192" i="37" s="1"/>
  <c r="D76" i="37"/>
  <c r="D193" i="37" s="1"/>
  <c r="C76" i="37"/>
  <c r="C193" i="37" s="1"/>
  <c r="D74" i="37"/>
  <c r="D191" i="37" s="1"/>
  <c r="F111" i="37"/>
  <c r="F228" i="37" s="1"/>
  <c r="C75" i="37"/>
  <c r="C192" i="37" s="1"/>
  <c r="D116" i="37"/>
  <c r="D233" i="37" s="1"/>
  <c r="M76" i="37"/>
  <c r="M193" i="37" s="1"/>
  <c r="M75" i="37"/>
  <c r="M192" i="37" s="1"/>
  <c r="J116" i="37"/>
  <c r="J233" i="37" s="1"/>
  <c r="G76" i="37"/>
  <c r="G193" i="37" s="1"/>
  <c r="H74" i="37"/>
  <c r="H191" i="37" s="1"/>
  <c r="F75" i="37"/>
  <c r="F192" i="37" s="1"/>
  <c r="C116" i="37"/>
  <c r="C233" i="37" s="1"/>
  <c r="G114" i="37"/>
  <c r="G231" i="37" s="1"/>
  <c r="M113" i="37"/>
  <c r="M230" i="37" s="1"/>
  <c r="E113" i="37"/>
  <c r="E230" i="37" s="1"/>
  <c r="I114" i="37"/>
  <c r="I231" i="37" s="1"/>
  <c r="G116" i="37"/>
  <c r="G233" i="37" s="1"/>
  <c r="J75" i="37"/>
  <c r="J192" i="37" s="1"/>
  <c r="E115" i="37"/>
  <c r="E232" i="37" s="1"/>
  <c r="F112" i="37"/>
  <c r="F229" i="37" s="1"/>
  <c r="N75" i="37"/>
  <c r="N192" i="37" s="1"/>
  <c r="I115" i="37"/>
  <c r="I232" i="37" s="1"/>
  <c r="B347" i="37"/>
  <c r="B346" i="37"/>
  <c r="B281" i="37"/>
  <c r="B345" i="37"/>
  <c r="M87" i="37"/>
  <c r="M204" i="37" s="1"/>
  <c r="D117" i="37"/>
  <c r="D234" i="37" s="1"/>
  <c r="I117" i="37"/>
  <c r="I234" i="37" s="1"/>
  <c r="N117" i="37"/>
  <c r="N234" i="37" s="1"/>
  <c r="C91" i="37"/>
  <c r="C208" i="37" s="1"/>
  <c r="H91" i="37"/>
  <c r="H208" i="37" s="1"/>
  <c r="M91" i="37"/>
  <c r="M208" i="37" s="1"/>
  <c r="I78" i="37"/>
  <c r="M78" i="37"/>
  <c r="M195" i="37" s="1"/>
  <c r="E78" i="37"/>
  <c r="E195" i="37" s="1"/>
  <c r="C71" i="37"/>
  <c r="C188" i="37" s="1"/>
  <c r="C62" i="37"/>
  <c r="C179" i="37" s="1"/>
  <c r="C54" i="37"/>
  <c r="C171" i="37" s="1"/>
  <c r="C45" i="37"/>
  <c r="C162" i="37" s="1"/>
  <c r="D102" i="37"/>
  <c r="D219" i="37" s="1"/>
  <c r="C125" i="37"/>
  <c r="C242" i="37" s="1"/>
  <c r="C103" i="37"/>
  <c r="C220" i="37" s="1"/>
  <c r="J87" i="37"/>
  <c r="J204" i="37" s="1"/>
  <c r="C47" i="37"/>
  <c r="C164" i="37" s="1"/>
  <c r="C48" i="37"/>
  <c r="C165" i="37" s="1"/>
  <c r="N87" i="37"/>
  <c r="N204" i="37" s="1"/>
  <c r="K87" i="37"/>
  <c r="K204" i="37" s="1"/>
  <c r="H87" i="37"/>
  <c r="H204" i="37" s="1"/>
  <c r="C126" i="37"/>
  <c r="C243" i="37" s="1"/>
  <c r="C117" i="37"/>
  <c r="C234" i="37" s="1"/>
  <c r="H117" i="37"/>
  <c r="H234" i="37" s="1"/>
  <c r="M117" i="37"/>
  <c r="M234" i="37" s="1"/>
  <c r="C104" i="37"/>
  <c r="C221" i="37" s="1"/>
  <c r="J91" i="37"/>
  <c r="J208" i="37" s="1"/>
  <c r="G91" i="37"/>
  <c r="G208" i="37" s="1"/>
  <c r="L91" i="37"/>
  <c r="L208" i="37" s="1"/>
  <c r="F78" i="37"/>
  <c r="F195" i="37" s="1"/>
  <c r="C78" i="37"/>
  <c r="C195" i="37" s="1"/>
  <c r="D78" i="37"/>
  <c r="D195" i="37" s="1"/>
  <c r="C59" i="37"/>
  <c r="C176" i="37" s="1"/>
  <c r="C51" i="37"/>
  <c r="C168" i="37" s="1"/>
  <c r="C124" i="37"/>
  <c r="C241" i="37" s="1"/>
  <c r="C119" i="37"/>
  <c r="C236" i="37" s="1"/>
  <c r="C73" i="37"/>
  <c r="C190" i="37" s="1"/>
  <c r="C118" i="37"/>
  <c r="C68" i="37"/>
  <c r="C185" i="37" s="1"/>
  <c r="C56" i="37"/>
  <c r="C173" i="37" s="1"/>
  <c r="L48" i="37"/>
  <c r="L165" i="37" s="1"/>
  <c r="E87" i="37"/>
  <c r="E204" i="37" s="1"/>
  <c r="C128" i="37"/>
  <c r="C245" i="37" s="1"/>
  <c r="C69" i="37"/>
  <c r="C186" i="37" s="1"/>
  <c r="F48" i="37"/>
  <c r="D48" i="37"/>
  <c r="D165" i="37" s="1"/>
  <c r="N71" i="37"/>
  <c r="N188" i="37" s="1"/>
  <c r="I133" i="37"/>
  <c r="I250" i="37" s="1"/>
  <c r="C133" i="37"/>
  <c r="C250" i="37" s="1"/>
  <c r="N38" i="37"/>
  <c r="N155" i="37" s="1"/>
  <c r="M133" i="37"/>
  <c r="M250" i="37" s="1"/>
  <c r="J58" i="37"/>
  <c r="J175" i="37" s="1"/>
  <c r="D133" i="37"/>
  <c r="D250" i="37" s="1"/>
  <c r="I71" i="37"/>
  <c r="I188" i="37" s="1"/>
  <c r="K71" i="37"/>
  <c r="K188" i="37" s="1"/>
  <c r="I139" i="37"/>
  <c r="I256" i="37" s="1"/>
  <c r="J139" i="37"/>
  <c r="J256" i="37" s="1"/>
  <c r="E107" i="37"/>
  <c r="E224" i="37" s="1"/>
  <c r="E141" i="37"/>
  <c r="E258" i="37" s="1"/>
  <c r="I137" i="37"/>
  <c r="I254" i="37" s="1"/>
  <c r="J118" i="37"/>
  <c r="J235" i="37" s="1"/>
  <c r="H107" i="37"/>
  <c r="H224" i="37" s="1"/>
  <c r="G132" i="37"/>
  <c r="G249" i="37" s="1"/>
  <c r="J126" i="37"/>
  <c r="J243" i="37" s="1"/>
  <c r="F71" i="37"/>
  <c r="F188" i="37" s="1"/>
  <c r="H71" i="37"/>
  <c r="D58" i="37"/>
  <c r="D175" i="37" s="1"/>
  <c r="C139" i="37"/>
  <c r="C256" i="37" s="1"/>
  <c r="N139" i="37"/>
  <c r="N256" i="37" s="1"/>
  <c r="K107" i="37"/>
  <c r="K224" i="37" s="1"/>
  <c r="M107" i="37"/>
  <c r="M224" i="37" s="1"/>
  <c r="M141" i="37"/>
  <c r="M258" i="37" s="1"/>
  <c r="C137" i="37"/>
  <c r="C254" i="37" s="1"/>
  <c r="I38" i="37"/>
  <c r="G139" i="37"/>
  <c r="G256" i="37" s="1"/>
  <c r="H132" i="37"/>
  <c r="H249" i="37" s="1"/>
  <c r="E139" i="37"/>
  <c r="E256" i="37" s="1"/>
  <c r="L139" i="37"/>
  <c r="L256" i="37" s="1"/>
  <c r="G107" i="37"/>
  <c r="G224" i="37" s="1"/>
  <c r="J107" i="37"/>
  <c r="J224" i="37" s="1"/>
  <c r="J141" i="37"/>
  <c r="J258" i="37" s="1"/>
  <c r="H137" i="37"/>
  <c r="H254" i="37" s="1"/>
  <c r="H52" i="37"/>
  <c r="H169" i="37" s="1"/>
  <c r="J63" i="37"/>
  <c r="J180" i="37" s="1"/>
  <c r="M79" i="37"/>
  <c r="M196" i="37" s="1"/>
  <c r="N42" i="37"/>
  <c r="N159" i="37" s="1"/>
  <c r="C132" i="37"/>
  <c r="C249" i="37" s="1"/>
  <c r="N63" i="37"/>
  <c r="N180" i="37" s="1"/>
  <c r="D124" i="37"/>
  <c r="D241" i="37" s="1"/>
  <c r="G79" i="37"/>
  <c r="G196" i="37" s="1"/>
  <c r="G42" i="37"/>
  <c r="G159" i="37" s="1"/>
  <c r="F132" i="37"/>
  <c r="F249" i="37" s="1"/>
  <c r="H124" i="37"/>
  <c r="H241" i="37" s="1"/>
  <c r="L141" i="37"/>
  <c r="L258" i="37" s="1"/>
  <c r="G137" i="37"/>
  <c r="G254" i="37" s="1"/>
  <c r="H118" i="37"/>
  <c r="H235" i="37" s="1"/>
  <c r="J92" i="37"/>
  <c r="J209" i="37" s="1"/>
  <c r="K79" i="37"/>
  <c r="I60" i="37"/>
  <c r="I177" i="37" s="1"/>
  <c r="H42" i="37"/>
  <c r="H159" i="37" s="1"/>
  <c r="I61" i="37"/>
  <c r="I178" i="37" s="1"/>
  <c r="E132" i="37"/>
  <c r="E249" i="37" s="1"/>
  <c r="N132" i="37"/>
  <c r="N249" i="37" s="1"/>
  <c r="G126" i="37"/>
  <c r="G243" i="37" s="1"/>
  <c r="D96" i="37"/>
  <c r="D213" i="37" s="1"/>
  <c r="D63" i="37"/>
  <c r="D180" i="37" s="1"/>
  <c r="N58" i="37"/>
  <c r="N175" i="37" s="1"/>
  <c r="N124" i="37"/>
  <c r="N241" i="37" s="1"/>
  <c r="F137" i="37"/>
  <c r="F254" i="37" s="1"/>
  <c r="L118" i="37"/>
  <c r="L235" i="37" s="1"/>
  <c r="D92" i="37"/>
  <c r="D209" i="37" s="1"/>
  <c r="I79" i="37"/>
  <c r="I196" i="37" s="1"/>
  <c r="L79" i="37"/>
  <c r="L196" i="37" s="1"/>
  <c r="G60" i="37"/>
  <c r="G177" i="37" s="1"/>
  <c r="J52" i="37"/>
  <c r="J169" i="37" s="1"/>
  <c r="I42" i="37"/>
  <c r="I159" i="37" s="1"/>
  <c r="D38" i="37"/>
  <c r="D155" i="37" s="1"/>
  <c r="I69" i="37"/>
  <c r="I186" i="37" s="1"/>
  <c r="I132" i="37"/>
  <c r="I249" i="37" s="1"/>
  <c r="J132" i="37"/>
  <c r="J249" i="37" s="1"/>
  <c r="L132" i="37"/>
  <c r="L249" i="37" s="1"/>
  <c r="L126" i="37"/>
  <c r="L243" i="37" s="1"/>
  <c r="N96" i="37"/>
  <c r="N213" i="37" s="1"/>
  <c r="D51" i="37"/>
  <c r="D168" i="37" s="1"/>
  <c r="M77" i="37"/>
  <c r="M194" i="37" s="1"/>
  <c r="K124" i="37"/>
  <c r="K241" i="37" s="1"/>
  <c r="I124" i="37"/>
  <c r="I241" i="37" s="1"/>
  <c r="M139" i="37"/>
  <c r="M256" i="37" s="1"/>
  <c r="D139" i="37"/>
  <c r="D256" i="37" s="1"/>
  <c r="C130" i="37"/>
  <c r="C247" i="37" s="1"/>
  <c r="J79" i="37"/>
  <c r="J196" i="37" s="1"/>
  <c r="H79" i="37"/>
  <c r="H196" i="37" s="1"/>
  <c r="M60" i="37"/>
  <c r="M177" i="37" s="1"/>
  <c r="L60" i="37"/>
  <c r="L177" i="37" s="1"/>
  <c r="F52" i="37"/>
  <c r="F169" i="37" s="1"/>
  <c r="M52" i="37"/>
  <c r="M169" i="37" s="1"/>
  <c r="F42" i="37"/>
  <c r="F159" i="37" s="1"/>
  <c r="D42" i="37"/>
  <c r="D159" i="37" s="1"/>
  <c r="M42" i="37"/>
  <c r="M159" i="37" s="1"/>
  <c r="G142" i="37"/>
  <c r="G259" i="37" s="1"/>
  <c r="N142" i="37"/>
  <c r="N259" i="37" s="1"/>
  <c r="K69" i="37"/>
  <c r="K186" i="37" s="1"/>
  <c r="N61" i="37"/>
  <c r="N178" i="37" s="1"/>
  <c r="F142" i="37"/>
  <c r="F259" i="37" s="1"/>
  <c r="G81" i="37"/>
  <c r="G198" i="37" s="1"/>
  <c r="G130" i="37"/>
  <c r="G247" i="37" s="1"/>
  <c r="C142" i="37"/>
  <c r="C259" i="37" s="1"/>
  <c r="D142" i="37"/>
  <c r="D259" i="37" s="1"/>
  <c r="M81" i="37"/>
  <c r="M198" i="37" s="1"/>
  <c r="M142" i="37"/>
  <c r="M259" i="37" s="1"/>
  <c r="D140" i="37"/>
  <c r="D257" i="37" s="1"/>
  <c r="M132" i="37"/>
  <c r="M249" i="37" s="1"/>
  <c r="K132" i="37"/>
  <c r="K249" i="37" s="1"/>
  <c r="D132" i="37"/>
  <c r="D249" i="37" s="1"/>
  <c r="F81" i="37"/>
  <c r="F198" i="37" s="1"/>
  <c r="D81" i="37"/>
  <c r="D198" i="37" s="1"/>
  <c r="E130" i="37"/>
  <c r="E247" i="37" s="1"/>
  <c r="I141" i="37"/>
  <c r="I258" i="37" s="1"/>
  <c r="N141" i="37"/>
  <c r="N258" i="37" s="1"/>
  <c r="N133" i="37"/>
  <c r="N250" i="37" s="1"/>
  <c r="E118" i="37"/>
  <c r="E235" i="37" s="1"/>
  <c r="H105" i="37"/>
  <c r="H222" i="37" s="1"/>
  <c r="C60" i="37"/>
  <c r="C177" i="37" s="1"/>
  <c r="C52" i="37"/>
  <c r="C169" i="37" s="1"/>
  <c r="C42" i="37"/>
  <c r="C159" i="37" s="1"/>
  <c r="L42" i="37"/>
  <c r="L159" i="37" s="1"/>
  <c r="E142" i="37"/>
  <c r="E259" i="37" s="1"/>
  <c r="K142" i="37"/>
  <c r="K259" i="37" s="1"/>
  <c r="H142" i="37"/>
  <c r="H259" i="37" s="1"/>
  <c r="M69" i="37"/>
  <c r="M186" i="37" s="1"/>
  <c r="E61" i="37"/>
  <c r="E178" i="37" s="1"/>
  <c r="D61" i="37"/>
  <c r="D178" i="37" s="1"/>
  <c r="F144" i="37"/>
  <c r="F261" i="37" s="1"/>
  <c r="M67" i="37"/>
  <c r="M184" i="37" s="1"/>
  <c r="G36" i="37"/>
  <c r="G153" i="37" s="1"/>
  <c r="G49" i="37"/>
  <c r="G166" i="37" s="1"/>
  <c r="H123" i="37"/>
  <c r="H240" i="37" s="1"/>
  <c r="I119" i="37"/>
  <c r="I236" i="37" s="1"/>
  <c r="F97" i="37"/>
  <c r="F214" i="37" s="1"/>
  <c r="G97" i="37"/>
  <c r="G214" i="37" s="1"/>
  <c r="L97" i="37"/>
  <c r="L214" i="37" s="1"/>
  <c r="J144" i="37"/>
  <c r="J261" i="37" s="1"/>
  <c r="M140" i="37"/>
  <c r="M257" i="37" s="1"/>
  <c r="E126" i="37"/>
  <c r="E243" i="37" s="1"/>
  <c r="J100" i="37"/>
  <c r="J217" i="37" s="1"/>
  <c r="K100" i="37"/>
  <c r="K217" i="37" s="1"/>
  <c r="E100" i="37"/>
  <c r="E217" i="37" s="1"/>
  <c r="J96" i="37"/>
  <c r="J213" i="37" s="1"/>
  <c r="I96" i="37"/>
  <c r="I213" i="37" s="1"/>
  <c r="J71" i="37"/>
  <c r="J188" i="37" s="1"/>
  <c r="G71" i="37"/>
  <c r="G188" i="37" s="1"/>
  <c r="L71" i="37"/>
  <c r="L188" i="37" s="1"/>
  <c r="N67" i="37"/>
  <c r="N184" i="37" s="1"/>
  <c r="L51" i="37"/>
  <c r="L168" i="37" s="1"/>
  <c r="N46" i="37"/>
  <c r="N163" i="37" s="1"/>
  <c r="K46" i="37"/>
  <c r="K163" i="37" s="1"/>
  <c r="H36" i="37"/>
  <c r="H153" i="37" s="1"/>
  <c r="I81" i="37"/>
  <c r="I198" i="37" s="1"/>
  <c r="H81" i="37"/>
  <c r="H198" i="37" s="1"/>
  <c r="E77" i="37"/>
  <c r="E194" i="37" s="1"/>
  <c r="E62" i="37"/>
  <c r="E179" i="37" s="1"/>
  <c r="I58" i="37"/>
  <c r="I175" i="37" s="1"/>
  <c r="K58" i="37"/>
  <c r="K175" i="37" s="1"/>
  <c r="H49" i="37"/>
  <c r="H166" i="37" s="1"/>
  <c r="F45" i="37"/>
  <c r="F162" i="37" s="1"/>
  <c r="M124" i="37"/>
  <c r="M241" i="37" s="1"/>
  <c r="K139" i="37"/>
  <c r="K256" i="37" s="1"/>
  <c r="F139" i="37"/>
  <c r="F256" i="37" s="1"/>
  <c r="H139" i="37"/>
  <c r="H256" i="37" s="1"/>
  <c r="D120" i="37"/>
  <c r="D107" i="37"/>
  <c r="D224" i="37" s="1"/>
  <c r="I107" i="37"/>
  <c r="I224" i="37" s="1"/>
  <c r="N107" i="37"/>
  <c r="N224" i="37" s="1"/>
  <c r="C90" i="37"/>
  <c r="C207" i="37" s="1"/>
  <c r="L90" i="37"/>
  <c r="L207" i="37" s="1"/>
  <c r="L123" i="37"/>
  <c r="L240" i="37" s="1"/>
  <c r="D119" i="37"/>
  <c r="D236" i="37" s="1"/>
  <c r="M119" i="37"/>
  <c r="M236" i="37" s="1"/>
  <c r="K84" i="37"/>
  <c r="K201" i="37" s="1"/>
  <c r="F57" i="37"/>
  <c r="F174" i="37" s="1"/>
  <c r="K57" i="37"/>
  <c r="K174" i="37" s="1"/>
  <c r="J130" i="37"/>
  <c r="J247" i="37" s="1"/>
  <c r="F105" i="37"/>
  <c r="F222" i="37" s="1"/>
  <c r="N97" i="37"/>
  <c r="N214" i="37" s="1"/>
  <c r="K97" i="37"/>
  <c r="K214" i="37" s="1"/>
  <c r="E97" i="37"/>
  <c r="E214" i="37" s="1"/>
  <c r="N92" i="37"/>
  <c r="N209" i="37" s="1"/>
  <c r="I92" i="37"/>
  <c r="I209" i="37" s="1"/>
  <c r="L128" i="37"/>
  <c r="L245" i="37" s="1"/>
  <c r="J69" i="37"/>
  <c r="J186" i="37" s="1"/>
  <c r="D69" i="37"/>
  <c r="D186" i="37" s="1"/>
  <c r="N51" i="37"/>
  <c r="N168" i="37" s="1"/>
  <c r="N62" i="37"/>
  <c r="N179" i="37" s="1"/>
  <c r="M57" i="37"/>
  <c r="M174" i="37" s="1"/>
  <c r="G57" i="37"/>
  <c r="G174" i="37" s="1"/>
  <c r="D144" i="37"/>
  <c r="D261" i="37" s="1"/>
  <c r="F100" i="37"/>
  <c r="F217" i="37" s="1"/>
  <c r="D100" i="37"/>
  <c r="D217" i="37" s="1"/>
  <c r="I100" i="37"/>
  <c r="I217" i="37" s="1"/>
  <c r="C67" i="37"/>
  <c r="C184" i="37" s="1"/>
  <c r="F51" i="37"/>
  <c r="F168" i="37" s="1"/>
  <c r="G51" i="37"/>
  <c r="G168" i="37" s="1"/>
  <c r="E51" i="37"/>
  <c r="E168" i="37" s="1"/>
  <c r="F46" i="37"/>
  <c r="F163" i="37" s="1"/>
  <c r="L46" i="37"/>
  <c r="L163" i="37" s="1"/>
  <c r="J36" i="37"/>
  <c r="J153" i="37" s="1"/>
  <c r="L36" i="37"/>
  <c r="L153" i="37" s="1"/>
  <c r="I62" i="37"/>
  <c r="I179" i="37" s="1"/>
  <c r="D62" i="37"/>
  <c r="D179" i="37" s="1"/>
  <c r="J49" i="37"/>
  <c r="J166" i="37" s="1"/>
  <c r="L49" i="37"/>
  <c r="L166" i="37" s="1"/>
  <c r="G90" i="37"/>
  <c r="G207" i="37" s="1"/>
  <c r="I90" i="37"/>
  <c r="I207" i="37" s="1"/>
  <c r="G123" i="37"/>
  <c r="G240" i="37" s="1"/>
  <c r="M123" i="37"/>
  <c r="M240" i="37" s="1"/>
  <c r="H119" i="37"/>
  <c r="H236" i="37" s="1"/>
  <c r="J119" i="37"/>
  <c r="J236" i="37" s="1"/>
  <c r="N84" i="37"/>
  <c r="N201" i="37" s="1"/>
  <c r="L84" i="37"/>
  <c r="L201" i="37" s="1"/>
  <c r="J57" i="37"/>
  <c r="J174" i="37" s="1"/>
  <c r="H57" i="37"/>
  <c r="H174" i="37" s="1"/>
  <c r="K137" i="37"/>
  <c r="K254" i="37" s="1"/>
  <c r="N137" i="37"/>
  <c r="N254" i="37" s="1"/>
  <c r="J97" i="37"/>
  <c r="J214" i="37" s="1"/>
  <c r="D97" i="37"/>
  <c r="D214" i="37" s="1"/>
  <c r="I97" i="37"/>
  <c r="I214" i="37" s="1"/>
  <c r="F60" i="37"/>
  <c r="F177" i="37" s="1"/>
  <c r="K60" i="37"/>
  <c r="K177" i="37" s="1"/>
  <c r="K38" i="37"/>
  <c r="K155" i="37" s="1"/>
  <c r="E128" i="37"/>
  <c r="E245" i="37" s="1"/>
  <c r="H106" i="37"/>
  <c r="H223" i="37" s="1"/>
  <c r="E69" i="37"/>
  <c r="E186" i="37" s="1"/>
  <c r="N69" i="37"/>
  <c r="N186" i="37" s="1"/>
  <c r="H69" i="37"/>
  <c r="H186" i="37" s="1"/>
  <c r="M61" i="37"/>
  <c r="M178" i="37" s="1"/>
  <c r="H61" i="37"/>
  <c r="H178" i="37" s="1"/>
  <c r="K48" i="37"/>
  <c r="K165" i="37" s="1"/>
  <c r="N100" i="37"/>
  <c r="N217" i="37" s="1"/>
  <c r="G100" i="37"/>
  <c r="G217" i="37" s="1"/>
  <c r="L100" i="37"/>
  <c r="L217" i="37" s="1"/>
  <c r="G46" i="37"/>
  <c r="G163" i="37" s="1"/>
  <c r="N90" i="37"/>
  <c r="N207" i="37" s="1"/>
  <c r="H90" i="37"/>
  <c r="H207" i="37" s="1"/>
  <c r="G84" i="37"/>
  <c r="G201" i="37" s="1"/>
  <c r="E144" i="37"/>
  <c r="E261" i="37" s="1"/>
  <c r="H144" i="37"/>
  <c r="H261" i="37" s="1"/>
  <c r="C100" i="37"/>
  <c r="C217" i="37" s="1"/>
  <c r="H100" i="37"/>
  <c r="H217" i="37" s="1"/>
  <c r="M100" i="37"/>
  <c r="M217" i="37" s="1"/>
  <c r="K96" i="37"/>
  <c r="K213" i="37" s="1"/>
  <c r="E71" i="37"/>
  <c r="E188" i="37" s="1"/>
  <c r="M71" i="37"/>
  <c r="M188" i="37" s="1"/>
  <c r="D71" i="37"/>
  <c r="D188" i="37" s="1"/>
  <c r="I67" i="37"/>
  <c r="I184" i="37" s="1"/>
  <c r="H67" i="37"/>
  <c r="H184" i="37" s="1"/>
  <c r="J51" i="37"/>
  <c r="J168" i="37" s="1"/>
  <c r="K51" i="37"/>
  <c r="K168" i="37" s="1"/>
  <c r="I51" i="37"/>
  <c r="I168" i="37" s="1"/>
  <c r="E46" i="37"/>
  <c r="E163" i="37" s="1"/>
  <c r="C36" i="37"/>
  <c r="C153" i="37" s="1"/>
  <c r="M36" i="37"/>
  <c r="M153" i="37" s="1"/>
  <c r="J81" i="37"/>
  <c r="J198" i="37" s="1"/>
  <c r="E81" i="37"/>
  <c r="E198" i="37" s="1"/>
  <c r="I77" i="37"/>
  <c r="I194" i="37" s="1"/>
  <c r="J62" i="37"/>
  <c r="J179" i="37" s="1"/>
  <c r="H62" i="37"/>
  <c r="H179" i="37" s="1"/>
  <c r="M49" i="37"/>
  <c r="M166" i="37" s="1"/>
  <c r="D45" i="37"/>
  <c r="D162" i="37" s="1"/>
  <c r="C107" i="37"/>
  <c r="C224" i="37" s="1"/>
  <c r="L107" i="37"/>
  <c r="L224" i="37" s="1"/>
  <c r="F107" i="37"/>
  <c r="F224" i="37" s="1"/>
  <c r="F90" i="37"/>
  <c r="F207" i="37" s="1"/>
  <c r="D90" i="37"/>
  <c r="D207" i="37" s="1"/>
  <c r="M90" i="37"/>
  <c r="M207" i="37" s="1"/>
  <c r="K123" i="37"/>
  <c r="K240" i="37" s="1"/>
  <c r="F123" i="37"/>
  <c r="F240" i="37" s="1"/>
  <c r="G119" i="37"/>
  <c r="G236" i="37" s="1"/>
  <c r="E119" i="37"/>
  <c r="E236" i="37" s="1"/>
  <c r="N119" i="37"/>
  <c r="N236" i="37" s="1"/>
  <c r="J84" i="37"/>
  <c r="J201" i="37" s="1"/>
  <c r="E84" i="37"/>
  <c r="E201" i="37" s="1"/>
  <c r="E57" i="37"/>
  <c r="E174" i="37" s="1"/>
  <c r="L57" i="37"/>
  <c r="L174" i="37" s="1"/>
  <c r="L130" i="37"/>
  <c r="L247" i="37" s="1"/>
  <c r="M137" i="37"/>
  <c r="M254" i="37" s="1"/>
  <c r="D137" i="37"/>
  <c r="D254" i="37" s="1"/>
  <c r="G118" i="37"/>
  <c r="G235" i="37" s="1"/>
  <c r="F118" i="37"/>
  <c r="F235" i="37" s="1"/>
  <c r="G105" i="37"/>
  <c r="G222" i="37" s="1"/>
  <c r="C97" i="37"/>
  <c r="C214" i="37" s="1"/>
  <c r="H97" i="37"/>
  <c r="H214" i="37" s="1"/>
  <c r="M97" i="37"/>
  <c r="M214" i="37" s="1"/>
  <c r="K92" i="37"/>
  <c r="K209" i="37" s="1"/>
  <c r="N79" i="37"/>
  <c r="N196" i="37" s="1"/>
  <c r="E79" i="37"/>
  <c r="E196" i="37" s="1"/>
  <c r="J60" i="37"/>
  <c r="J177" i="37" s="1"/>
  <c r="H60" i="37"/>
  <c r="H177" i="37" s="1"/>
  <c r="G52" i="37"/>
  <c r="G169" i="37" s="1"/>
  <c r="J38" i="37"/>
  <c r="J155" i="37" s="1"/>
  <c r="K128" i="37"/>
  <c r="K245" i="37" s="1"/>
  <c r="J128" i="37"/>
  <c r="J245" i="37" s="1"/>
  <c r="F106" i="37"/>
  <c r="F223" i="37" s="1"/>
  <c r="E347" i="37"/>
  <c r="F347" i="37" s="1"/>
  <c r="G347" i="37" s="1"/>
  <c r="H347" i="37" s="1"/>
  <c r="I347" i="37" s="1"/>
  <c r="J347" i="37" s="1"/>
  <c r="K347" i="37" s="1"/>
  <c r="L347" i="37" s="1"/>
  <c r="M347" i="37" s="1"/>
  <c r="N347" i="37" s="1"/>
  <c r="O347" i="37" s="1"/>
  <c r="P347" i="37" s="1"/>
  <c r="Q347" i="37" s="1"/>
  <c r="R347" i="37" s="1"/>
  <c r="S347" i="37" s="1"/>
  <c r="T347" i="37" s="1"/>
  <c r="U347" i="37" s="1"/>
  <c r="V347" i="37" s="1"/>
  <c r="W347" i="37" s="1"/>
  <c r="X347" i="37" s="1"/>
  <c r="Y347" i="37" s="1"/>
  <c r="Z347" i="37" s="1"/>
  <c r="AA347" i="37" s="1"/>
  <c r="AB347" i="37" s="1"/>
  <c r="AC347" i="37" s="1"/>
  <c r="AD347" i="37" s="1"/>
  <c r="AE347" i="37" s="1"/>
  <c r="AF347" i="37" s="1"/>
  <c r="AG347" i="37" s="1"/>
  <c r="AH347" i="37" s="1"/>
  <c r="AI347" i="37" s="1"/>
  <c r="AJ347" i="37" s="1"/>
  <c r="AK347" i="37" s="1"/>
  <c r="AL347" i="37" s="1"/>
  <c r="AM347" i="37" s="1"/>
  <c r="AN347" i="37" s="1"/>
  <c r="AO347" i="37" s="1"/>
  <c r="AP347" i="37" s="1"/>
  <c r="AQ347" i="37" s="1"/>
  <c r="AR347" i="37" s="1"/>
  <c r="AS347" i="37" s="1"/>
  <c r="AT347" i="37" s="1"/>
  <c r="AU347" i="37" s="1"/>
  <c r="AV347" i="37" s="1"/>
  <c r="AW347" i="37" s="1"/>
  <c r="AX347" i="37" s="1"/>
  <c r="AY347" i="37" s="1"/>
  <c r="AZ347" i="37" s="1"/>
  <c r="BA347" i="37" s="1"/>
  <c r="BB347" i="37" s="1"/>
  <c r="BC347" i="37" s="1"/>
  <c r="BD347" i="37" s="1"/>
  <c r="BE347" i="37" s="1"/>
  <c r="BF347" i="37" s="1"/>
  <c r="BG347" i="37" s="1"/>
  <c r="BH347" i="37" s="1"/>
  <c r="BI347" i="37" s="1"/>
  <c r="BJ347" i="37" s="1"/>
  <c r="BK347" i="37" s="1"/>
  <c r="BL347" i="37" s="1"/>
  <c r="BM347" i="37" s="1"/>
  <c r="BN347" i="37" s="1"/>
  <c r="BO347" i="37" s="1"/>
  <c r="BP347" i="37" s="1"/>
  <c r="BQ347" i="37" s="1"/>
  <c r="BR347" i="37" s="1"/>
  <c r="BS347" i="37" s="1"/>
  <c r="BT347" i="37" s="1"/>
  <c r="BU347" i="37" s="1"/>
  <c r="BV347" i="37" s="1"/>
  <c r="BW347" i="37" s="1"/>
  <c r="N50" i="37"/>
  <c r="N167" i="37" s="1"/>
  <c r="G50" i="37"/>
  <c r="G167" i="37" s="1"/>
  <c r="L50" i="37"/>
  <c r="L167" i="37" s="1"/>
  <c r="G35" i="37"/>
  <c r="G152" i="37" s="1"/>
  <c r="E290" i="37"/>
  <c r="E336" i="37"/>
  <c r="E359" i="37"/>
  <c r="F359" i="37" s="1"/>
  <c r="G359" i="37" s="1"/>
  <c r="H359" i="37" s="1"/>
  <c r="I359" i="37" s="1"/>
  <c r="J359" i="37" s="1"/>
  <c r="K359" i="37" s="1"/>
  <c r="L359" i="37" s="1"/>
  <c r="M359" i="37" s="1"/>
  <c r="N359" i="37" s="1"/>
  <c r="O359" i="37" s="1"/>
  <c r="P359" i="37" s="1"/>
  <c r="Q359" i="37" s="1"/>
  <c r="R359" i="37" s="1"/>
  <c r="S359" i="37" s="1"/>
  <c r="T359" i="37" s="1"/>
  <c r="U359" i="37" s="1"/>
  <c r="V359" i="37" s="1"/>
  <c r="W359" i="37" s="1"/>
  <c r="X359" i="37" s="1"/>
  <c r="Y359" i="37" s="1"/>
  <c r="Z359" i="37" s="1"/>
  <c r="AA359" i="37" s="1"/>
  <c r="AB359" i="37" s="1"/>
  <c r="AC359" i="37" s="1"/>
  <c r="AD359" i="37" s="1"/>
  <c r="AE359" i="37" s="1"/>
  <c r="AF359" i="37" s="1"/>
  <c r="AG359" i="37" s="1"/>
  <c r="AH359" i="37" s="1"/>
  <c r="AI359" i="37" s="1"/>
  <c r="AJ359" i="37" s="1"/>
  <c r="AK359" i="37" s="1"/>
  <c r="AL359" i="37" s="1"/>
  <c r="AM359" i="37" s="1"/>
  <c r="AN359" i="37" s="1"/>
  <c r="AO359" i="37" s="1"/>
  <c r="AP359" i="37" s="1"/>
  <c r="AQ359" i="37" s="1"/>
  <c r="AR359" i="37" s="1"/>
  <c r="AS359" i="37" s="1"/>
  <c r="AT359" i="37" s="1"/>
  <c r="AU359" i="37" s="1"/>
  <c r="AV359" i="37" s="1"/>
  <c r="AW359" i="37" s="1"/>
  <c r="AX359" i="37" s="1"/>
  <c r="AY359" i="37" s="1"/>
  <c r="AZ359" i="37" s="1"/>
  <c r="BA359" i="37" s="1"/>
  <c r="BB359" i="37" s="1"/>
  <c r="BC359" i="37" s="1"/>
  <c r="BD359" i="37" s="1"/>
  <c r="BE359" i="37" s="1"/>
  <c r="BF359" i="37" s="1"/>
  <c r="BG359" i="37" s="1"/>
  <c r="BH359" i="37" s="1"/>
  <c r="BI359" i="37" s="1"/>
  <c r="BJ359" i="37" s="1"/>
  <c r="BK359" i="37" s="1"/>
  <c r="BL359" i="37" s="1"/>
  <c r="BM359" i="37" s="1"/>
  <c r="BN359" i="37" s="1"/>
  <c r="BO359" i="37" s="1"/>
  <c r="BP359" i="37" s="1"/>
  <c r="BQ359" i="37" s="1"/>
  <c r="BR359" i="37" s="1"/>
  <c r="BS359" i="37" s="1"/>
  <c r="BT359" i="37" s="1"/>
  <c r="BU359" i="37" s="1"/>
  <c r="BV359" i="37" s="1"/>
  <c r="BW359" i="37" s="1"/>
  <c r="L121" i="37"/>
  <c r="L238" i="37" s="1"/>
  <c r="K86" i="37"/>
  <c r="K203" i="37" s="1"/>
  <c r="F55" i="37"/>
  <c r="F172" i="37" s="1"/>
  <c r="G55" i="37"/>
  <c r="G172" i="37" s="1"/>
  <c r="I55" i="37"/>
  <c r="I172" i="37" s="1"/>
  <c r="F77" i="37"/>
  <c r="F194" i="37" s="1"/>
  <c r="D77" i="37"/>
  <c r="D194" i="37" s="1"/>
  <c r="I66" i="37"/>
  <c r="I183" i="37" s="1"/>
  <c r="N66" i="37"/>
  <c r="N183" i="37" s="1"/>
  <c r="D66" i="37"/>
  <c r="D183" i="37" s="1"/>
  <c r="L45" i="37"/>
  <c r="L162" i="37" s="1"/>
  <c r="F35" i="37"/>
  <c r="F152" i="37" s="1"/>
  <c r="K35" i="37"/>
  <c r="K152" i="37" s="1"/>
  <c r="M44" i="37"/>
  <c r="M161" i="37" s="1"/>
  <c r="E274" i="37"/>
  <c r="C37" i="37" s="1"/>
  <c r="C154" i="37" s="1"/>
  <c r="I120" i="37"/>
  <c r="I237" i="37" s="1"/>
  <c r="E305" i="37"/>
  <c r="G86" i="37"/>
  <c r="G203" i="37" s="1"/>
  <c r="E66" i="37"/>
  <c r="E183" i="37" s="1"/>
  <c r="J66" i="37"/>
  <c r="J183" i="37" s="1"/>
  <c r="K66" i="37"/>
  <c r="K183" i="37" s="1"/>
  <c r="E276" i="37"/>
  <c r="E322" i="37"/>
  <c r="E280" i="37"/>
  <c r="F50" i="37"/>
  <c r="F167" i="37" s="1"/>
  <c r="K50" i="37"/>
  <c r="K167" i="37" s="1"/>
  <c r="E50" i="37"/>
  <c r="E167" i="37" s="1"/>
  <c r="C140" i="37"/>
  <c r="C257" i="37" s="1"/>
  <c r="K140" i="37"/>
  <c r="K257" i="37" s="1"/>
  <c r="K126" i="37"/>
  <c r="K243" i="37" s="1"/>
  <c r="M126" i="37"/>
  <c r="M243" i="37" s="1"/>
  <c r="M121" i="37"/>
  <c r="M238" i="37" s="1"/>
  <c r="F96" i="37"/>
  <c r="F213" i="37" s="1"/>
  <c r="L96" i="37"/>
  <c r="L213" i="37" s="1"/>
  <c r="F86" i="37"/>
  <c r="F203" i="37" s="1"/>
  <c r="L86" i="37"/>
  <c r="L203" i="37" s="1"/>
  <c r="E67" i="37"/>
  <c r="E184" i="37" s="1"/>
  <c r="K67" i="37"/>
  <c r="K184" i="37" s="1"/>
  <c r="I63" i="37"/>
  <c r="I180" i="37" s="1"/>
  <c r="N55" i="37"/>
  <c r="N172" i="37" s="1"/>
  <c r="L55" i="37"/>
  <c r="L172" i="37" s="1"/>
  <c r="M55" i="37"/>
  <c r="M172" i="37" s="1"/>
  <c r="N36" i="37"/>
  <c r="N153" i="37" s="1"/>
  <c r="K36" i="37"/>
  <c r="K153" i="37" s="1"/>
  <c r="E36" i="37"/>
  <c r="E153" i="37" s="1"/>
  <c r="M66" i="37"/>
  <c r="M183" i="37" s="1"/>
  <c r="C66" i="37"/>
  <c r="C183" i="37" s="1"/>
  <c r="H66" i="37"/>
  <c r="H183" i="37" s="1"/>
  <c r="N49" i="37"/>
  <c r="N166" i="37" s="1"/>
  <c r="K49" i="37"/>
  <c r="K166" i="37" s="1"/>
  <c r="E49" i="37"/>
  <c r="E166" i="37" s="1"/>
  <c r="J45" i="37"/>
  <c r="J162" i="37" s="1"/>
  <c r="G45" i="37"/>
  <c r="G162" i="37" s="1"/>
  <c r="E45" i="37"/>
  <c r="E162" i="37" s="1"/>
  <c r="J35" i="37"/>
  <c r="J152" i="37" s="1"/>
  <c r="L35" i="37"/>
  <c r="L152" i="37" s="1"/>
  <c r="J44" i="37"/>
  <c r="J161" i="37" s="1"/>
  <c r="L124" i="37"/>
  <c r="L241" i="37" s="1"/>
  <c r="F124" i="37"/>
  <c r="F241" i="37" s="1"/>
  <c r="E339" i="37"/>
  <c r="N120" i="37"/>
  <c r="N237" i="37" s="1"/>
  <c r="E309" i="37"/>
  <c r="F309" i="37" s="1"/>
  <c r="G309" i="37" s="1"/>
  <c r="H309" i="37" s="1"/>
  <c r="I309" i="37" s="1"/>
  <c r="J309" i="37" s="1"/>
  <c r="K309" i="37" s="1"/>
  <c r="L309" i="37" s="1"/>
  <c r="M309" i="37" s="1"/>
  <c r="N309" i="37" s="1"/>
  <c r="O309" i="37" s="1"/>
  <c r="P309" i="37" s="1"/>
  <c r="Q309" i="37" s="1"/>
  <c r="R309" i="37" s="1"/>
  <c r="S309" i="37" s="1"/>
  <c r="T309" i="37" s="1"/>
  <c r="U309" i="37" s="1"/>
  <c r="V309" i="37" s="1"/>
  <c r="W309" i="37" s="1"/>
  <c r="X309" i="37" s="1"/>
  <c r="Y309" i="37" s="1"/>
  <c r="Z309" i="37" s="1"/>
  <c r="AA309" i="37" s="1"/>
  <c r="AB309" i="37" s="1"/>
  <c r="AC309" i="37" s="1"/>
  <c r="AD309" i="37" s="1"/>
  <c r="AE309" i="37" s="1"/>
  <c r="AF309" i="37" s="1"/>
  <c r="AG309" i="37" s="1"/>
  <c r="AH309" i="37" s="1"/>
  <c r="AI309" i="37" s="1"/>
  <c r="AJ309" i="37" s="1"/>
  <c r="AK309" i="37" s="1"/>
  <c r="AL309" i="37" s="1"/>
  <c r="AM309" i="37" s="1"/>
  <c r="AN309" i="37" s="1"/>
  <c r="AO309" i="37" s="1"/>
  <c r="AP309" i="37" s="1"/>
  <c r="AQ309" i="37" s="1"/>
  <c r="AR309" i="37" s="1"/>
  <c r="AS309" i="37" s="1"/>
  <c r="AT309" i="37" s="1"/>
  <c r="AU309" i="37" s="1"/>
  <c r="AV309" i="37" s="1"/>
  <c r="AW309" i="37" s="1"/>
  <c r="AX309" i="37" s="1"/>
  <c r="AY309" i="37" s="1"/>
  <c r="AZ309" i="37" s="1"/>
  <c r="BA309" i="37" s="1"/>
  <c r="BB309" i="37" s="1"/>
  <c r="BC309" i="37" s="1"/>
  <c r="BD309" i="37" s="1"/>
  <c r="BE309" i="37" s="1"/>
  <c r="BF309" i="37" s="1"/>
  <c r="BG309" i="37" s="1"/>
  <c r="BH309" i="37" s="1"/>
  <c r="D72" i="37"/>
  <c r="D189" i="37" s="1"/>
  <c r="H121" i="37"/>
  <c r="H238" i="37" s="1"/>
  <c r="J55" i="37"/>
  <c r="J172" i="37" s="1"/>
  <c r="H55" i="37"/>
  <c r="H172" i="37" s="1"/>
  <c r="E368" i="37"/>
  <c r="E335" i="37"/>
  <c r="C98" i="37" s="1"/>
  <c r="C215" i="37" s="1"/>
  <c r="J50" i="37"/>
  <c r="J167" i="37" s="1"/>
  <c r="D50" i="37"/>
  <c r="D167" i="37" s="1"/>
  <c r="I50" i="37"/>
  <c r="I167" i="37" s="1"/>
  <c r="I144" i="37"/>
  <c r="I261" i="37" s="1"/>
  <c r="N144" i="37"/>
  <c r="N261" i="37" s="1"/>
  <c r="H50" i="37"/>
  <c r="H167" i="37" s="1"/>
  <c r="M50" i="37"/>
  <c r="M167" i="37" s="1"/>
  <c r="M144" i="37"/>
  <c r="M261" i="37" s="1"/>
  <c r="K144" i="37"/>
  <c r="K261" i="37" s="1"/>
  <c r="E140" i="37"/>
  <c r="E257" i="37" s="1"/>
  <c r="N140" i="37"/>
  <c r="N257" i="37" s="1"/>
  <c r="H126" i="37"/>
  <c r="H243" i="37" s="1"/>
  <c r="F126" i="37"/>
  <c r="F243" i="37" s="1"/>
  <c r="G121" i="37"/>
  <c r="G238" i="37" s="1"/>
  <c r="F121" i="37"/>
  <c r="F238" i="37" s="1"/>
  <c r="G96" i="37"/>
  <c r="G213" i="37" s="1"/>
  <c r="E96" i="37"/>
  <c r="E213" i="37" s="1"/>
  <c r="J86" i="37"/>
  <c r="J203" i="37" s="1"/>
  <c r="E86" i="37"/>
  <c r="E203" i="37" s="1"/>
  <c r="J67" i="37"/>
  <c r="J184" i="37" s="1"/>
  <c r="D67" i="37"/>
  <c r="D184" i="37" s="1"/>
  <c r="M63" i="37"/>
  <c r="M180" i="37" s="1"/>
  <c r="K63" i="37"/>
  <c r="K180" i="37" s="1"/>
  <c r="K55" i="37"/>
  <c r="K172" i="37" s="1"/>
  <c r="D55" i="37"/>
  <c r="D172" i="37" s="1"/>
  <c r="E55" i="37"/>
  <c r="E172" i="37" s="1"/>
  <c r="F36" i="37"/>
  <c r="F153" i="37" s="1"/>
  <c r="D36" i="37"/>
  <c r="D153" i="37" s="1"/>
  <c r="I36" i="37"/>
  <c r="I153" i="37" s="1"/>
  <c r="C77" i="37"/>
  <c r="C194" i="37" s="1"/>
  <c r="F66" i="37"/>
  <c r="F183" i="37" s="1"/>
  <c r="G66" i="37"/>
  <c r="G183" i="37" s="1"/>
  <c r="L66" i="37"/>
  <c r="L183" i="37" s="1"/>
  <c r="M62" i="37"/>
  <c r="M179" i="37" s="1"/>
  <c r="K62" i="37"/>
  <c r="K179" i="37" s="1"/>
  <c r="E58" i="37"/>
  <c r="E175" i="37" s="1"/>
  <c r="F49" i="37"/>
  <c r="F166" i="37" s="1"/>
  <c r="D49" i="37"/>
  <c r="D166" i="37" s="1"/>
  <c r="I49" i="37"/>
  <c r="I166" i="37" s="1"/>
  <c r="N45" i="37"/>
  <c r="N162" i="37" s="1"/>
  <c r="K45" i="37"/>
  <c r="K162" i="37" s="1"/>
  <c r="I45" i="37"/>
  <c r="I162" i="37" s="1"/>
  <c r="E35" i="37"/>
  <c r="E152" i="37" s="1"/>
  <c r="K44" i="37"/>
  <c r="K161" i="37" s="1"/>
  <c r="G124" i="37"/>
  <c r="G241" i="37" s="1"/>
  <c r="E124" i="37"/>
  <c r="E241" i="37" s="1"/>
  <c r="J124" i="37"/>
  <c r="J241" i="37" s="1"/>
  <c r="E326" i="37"/>
  <c r="C89" i="37" s="1"/>
  <c r="C206" i="37" s="1"/>
  <c r="E302" i="37"/>
  <c r="E372" i="37"/>
  <c r="E340" i="37"/>
  <c r="E331" i="37"/>
  <c r="E325" i="37"/>
  <c r="C88" i="37" s="1"/>
  <c r="C205" i="37" s="1"/>
  <c r="E293" i="37"/>
  <c r="F293" i="37" s="1"/>
  <c r="G293" i="37" s="1"/>
  <c r="H293" i="37" s="1"/>
  <c r="I293" i="37" s="1"/>
  <c r="J293" i="37" s="1"/>
  <c r="K293" i="37" s="1"/>
  <c r="L293" i="37" s="1"/>
  <c r="M293" i="37" s="1"/>
  <c r="N293" i="37" s="1"/>
  <c r="O293" i="37" s="1"/>
  <c r="P293" i="37" s="1"/>
  <c r="Q293" i="37" s="1"/>
  <c r="R293" i="37" s="1"/>
  <c r="S293" i="37" s="1"/>
  <c r="T293" i="37" s="1"/>
  <c r="U293" i="37" s="1"/>
  <c r="V293" i="37" s="1"/>
  <c r="W293" i="37" s="1"/>
  <c r="X293" i="37" s="1"/>
  <c r="Y293" i="37" s="1"/>
  <c r="Z293" i="37" s="1"/>
  <c r="AA293" i="37" s="1"/>
  <c r="AB293" i="37" s="1"/>
  <c r="AC293" i="37" s="1"/>
  <c r="AD293" i="37" s="1"/>
  <c r="AE293" i="37" s="1"/>
  <c r="AF293" i="37" s="1"/>
  <c r="AG293" i="37" s="1"/>
  <c r="AH293" i="37" s="1"/>
  <c r="AI293" i="37" s="1"/>
  <c r="AJ293" i="37" s="1"/>
  <c r="AK293" i="37" s="1"/>
  <c r="AL293" i="37" s="1"/>
  <c r="AM293" i="37" s="1"/>
  <c r="AN293" i="37" s="1"/>
  <c r="AO293" i="37" s="1"/>
  <c r="AP293" i="37" s="1"/>
  <c r="AQ293" i="37" s="1"/>
  <c r="AR293" i="37" s="1"/>
  <c r="AS293" i="37" s="1"/>
  <c r="AT293" i="37" s="1"/>
  <c r="AU293" i="37" s="1"/>
  <c r="AV293" i="37" s="1"/>
  <c r="AW293" i="37" s="1"/>
  <c r="AX293" i="37" s="1"/>
  <c r="AY293" i="37" s="1"/>
  <c r="AZ293" i="37" s="1"/>
  <c r="BA293" i="37" s="1"/>
  <c r="BB293" i="37" s="1"/>
  <c r="BC293" i="37" s="1"/>
  <c r="BD293" i="37" s="1"/>
  <c r="BE293" i="37" s="1"/>
  <c r="BF293" i="37" s="1"/>
  <c r="BG293" i="37" s="1"/>
  <c r="BH293" i="37" s="1"/>
  <c r="BI293" i="37" s="1"/>
  <c r="BJ293" i="37" s="1"/>
  <c r="BK293" i="37" s="1"/>
  <c r="BL293" i="37" s="1"/>
  <c r="BM293" i="37" s="1"/>
  <c r="BN293" i="37" s="1"/>
  <c r="BO293" i="37" s="1"/>
  <c r="BP293" i="37" s="1"/>
  <c r="BQ293" i="37" s="1"/>
  <c r="BR293" i="37" s="1"/>
  <c r="BS293" i="37" s="1"/>
  <c r="BT293" i="37" s="1"/>
  <c r="BU293" i="37" s="1"/>
  <c r="BV293" i="37" s="1"/>
  <c r="BW293" i="37" s="1"/>
  <c r="D56" i="37"/>
  <c r="D173" i="37" s="1"/>
  <c r="E277" i="37"/>
  <c r="G48" i="37"/>
  <c r="G165" i="37" s="1"/>
  <c r="E48" i="37"/>
  <c r="E165" i="37" s="1"/>
  <c r="K130" i="37"/>
  <c r="K247" i="37" s="1"/>
  <c r="M130" i="37"/>
  <c r="M247" i="37" s="1"/>
  <c r="C141" i="37"/>
  <c r="C258" i="37" s="1"/>
  <c r="G141" i="37"/>
  <c r="G258" i="37" s="1"/>
  <c r="D141" i="37"/>
  <c r="D258" i="37" s="1"/>
  <c r="L105" i="37"/>
  <c r="L222" i="37" s="1"/>
  <c r="F92" i="37"/>
  <c r="F209" i="37" s="1"/>
  <c r="L92" i="37"/>
  <c r="L209" i="37" s="1"/>
  <c r="L38" i="37"/>
  <c r="L155" i="37" s="1"/>
  <c r="I142" i="37"/>
  <c r="I259" i="37" s="1"/>
  <c r="J142" i="37"/>
  <c r="J259" i="37" s="1"/>
  <c r="L142" i="37"/>
  <c r="L259" i="37" s="1"/>
  <c r="G128" i="37"/>
  <c r="G245" i="37" s="1"/>
  <c r="M128" i="37"/>
  <c r="M245" i="37" s="1"/>
  <c r="G106" i="37"/>
  <c r="G223" i="37" s="1"/>
  <c r="L106" i="37"/>
  <c r="L223" i="37" s="1"/>
  <c r="F69" i="37"/>
  <c r="F186" i="37" s="1"/>
  <c r="G69" i="37"/>
  <c r="G186" i="37" s="1"/>
  <c r="L69" i="37"/>
  <c r="L186" i="37" s="1"/>
  <c r="K61" i="37"/>
  <c r="K178" i="37" s="1"/>
  <c r="J90" i="37"/>
  <c r="J207" i="37" s="1"/>
  <c r="K90" i="37"/>
  <c r="K207" i="37" s="1"/>
  <c r="E90" i="37"/>
  <c r="E207" i="37" s="1"/>
  <c r="K119" i="37"/>
  <c r="K236" i="37" s="1"/>
  <c r="L119" i="37"/>
  <c r="L236" i="37" s="1"/>
  <c r="F119" i="37"/>
  <c r="F236" i="37" s="1"/>
  <c r="I57" i="37"/>
  <c r="I174" i="37" s="1"/>
  <c r="N57" i="37"/>
  <c r="N174" i="37" s="1"/>
  <c r="D57" i="37"/>
  <c r="D174" i="37" s="1"/>
  <c r="H130" i="37"/>
  <c r="H247" i="37" s="1"/>
  <c r="F130" i="37"/>
  <c r="F247" i="37" s="1"/>
  <c r="K141" i="37"/>
  <c r="K258" i="37" s="1"/>
  <c r="F141" i="37"/>
  <c r="F258" i="37" s="1"/>
  <c r="H141" i="37"/>
  <c r="H258" i="37" s="1"/>
  <c r="G133" i="37"/>
  <c r="G250" i="37" s="1"/>
  <c r="K118" i="37"/>
  <c r="K235" i="37" s="1"/>
  <c r="M118" i="37"/>
  <c r="M235" i="37" s="1"/>
  <c r="M105" i="37"/>
  <c r="M222" i="37" s="1"/>
  <c r="G92" i="37"/>
  <c r="G209" i="37" s="1"/>
  <c r="E92" i="37"/>
  <c r="E209" i="37" s="1"/>
  <c r="F79" i="37"/>
  <c r="F196" i="37" s="1"/>
  <c r="C79" i="37"/>
  <c r="C196" i="37" s="1"/>
  <c r="D79" i="37"/>
  <c r="D196" i="37" s="1"/>
  <c r="E60" i="37"/>
  <c r="E177" i="37" s="1"/>
  <c r="N60" i="37"/>
  <c r="N177" i="37" s="1"/>
  <c r="D60" i="37"/>
  <c r="D177" i="37" s="1"/>
  <c r="J42" i="37"/>
  <c r="J159" i="37" s="1"/>
  <c r="K42" i="37"/>
  <c r="K159" i="37" s="1"/>
  <c r="E42" i="37"/>
  <c r="E159" i="37" s="1"/>
  <c r="F38" i="37"/>
  <c r="F155" i="37" s="1"/>
  <c r="G38" i="37"/>
  <c r="G155" i="37" s="1"/>
  <c r="E38" i="37"/>
  <c r="E155" i="37" s="1"/>
  <c r="H128" i="37"/>
  <c r="H245" i="37" s="1"/>
  <c r="F128" i="37"/>
  <c r="F245" i="37" s="1"/>
  <c r="K106" i="37"/>
  <c r="K223" i="37" s="1"/>
  <c r="M106" i="37"/>
  <c r="M223" i="37" s="1"/>
  <c r="J61" i="37"/>
  <c r="J178" i="37" s="1"/>
  <c r="J48" i="37"/>
  <c r="J165" i="37" s="1"/>
  <c r="M109" i="37"/>
  <c r="M226" i="37" s="1"/>
  <c r="C136" i="37"/>
  <c r="C253" i="37" s="1"/>
  <c r="N136" i="37"/>
  <c r="N253" i="37" s="1"/>
  <c r="E104" i="37"/>
  <c r="E221" i="37" s="1"/>
  <c r="L41" i="37"/>
  <c r="L158" i="37" s="1"/>
  <c r="C134" i="37"/>
  <c r="C251" i="37" s="1"/>
  <c r="N134" i="37"/>
  <c r="N251" i="37" s="1"/>
  <c r="E80" i="37"/>
  <c r="E197" i="37" s="1"/>
  <c r="H125" i="37"/>
  <c r="H242" i="37" s="1"/>
  <c r="M125" i="37"/>
  <c r="M242" i="37" s="1"/>
  <c r="J95" i="37"/>
  <c r="J212" i="37" s="1"/>
  <c r="G95" i="37"/>
  <c r="G212" i="37" s="1"/>
  <c r="L95" i="37"/>
  <c r="L212" i="37" s="1"/>
  <c r="M138" i="37"/>
  <c r="M255" i="37" s="1"/>
  <c r="N138" i="37"/>
  <c r="N255" i="37" s="1"/>
  <c r="M73" i="37"/>
  <c r="M190" i="37" s="1"/>
  <c r="N101" i="37"/>
  <c r="N218" i="37" s="1"/>
  <c r="G101" i="37"/>
  <c r="G218" i="37" s="1"/>
  <c r="L101" i="37"/>
  <c r="F47" i="37"/>
  <c r="F164" i="37" s="1"/>
  <c r="G47" i="37"/>
  <c r="G164" i="37" s="1"/>
  <c r="L47" i="37"/>
  <c r="L164" i="37" s="1"/>
  <c r="N93" i="37"/>
  <c r="N210" i="37" s="1"/>
  <c r="G93" i="37"/>
  <c r="G210" i="37" s="1"/>
  <c r="L93" i="37"/>
  <c r="L210" i="37" s="1"/>
  <c r="L104" i="37"/>
  <c r="L221" i="37" s="1"/>
  <c r="I59" i="37"/>
  <c r="I176" i="37" s="1"/>
  <c r="N41" i="37"/>
  <c r="N158" i="37" s="1"/>
  <c r="G41" i="37"/>
  <c r="G158" i="37" s="1"/>
  <c r="J70" i="37"/>
  <c r="J187" i="37" s="1"/>
  <c r="K70" i="37"/>
  <c r="K187" i="37" s="1"/>
  <c r="I80" i="37"/>
  <c r="I197" i="37" s="1"/>
  <c r="M80" i="37"/>
  <c r="M197" i="37" s="1"/>
  <c r="I73" i="37"/>
  <c r="I190" i="37" s="1"/>
  <c r="E73" i="37"/>
  <c r="E190" i="37" s="1"/>
  <c r="G127" i="37"/>
  <c r="G244" i="37" s="1"/>
  <c r="H127" i="37"/>
  <c r="H244" i="37" s="1"/>
  <c r="M127" i="37"/>
  <c r="M244" i="37" s="1"/>
  <c r="M64" i="37"/>
  <c r="M181" i="37" s="1"/>
  <c r="J64" i="37"/>
  <c r="J181" i="37" s="1"/>
  <c r="K64" i="37"/>
  <c r="K181" i="37" s="1"/>
  <c r="H129" i="37"/>
  <c r="H246" i="37" s="1"/>
  <c r="M129" i="37"/>
  <c r="M246" i="37" s="1"/>
  <c r="F109" i="37"/>
  <c r="F226" i="37" s="1"/>
  <c r="G109" i="37"/>
  <c r="G226" i="37" s="1"/>
  <c r="L109" i="37"/>
  <c r="L226" i="37" s="1"/>
  <c r="C144" i="37"/>
  <c r="C261" i="37" s="1"/>
  <c r="G144" i="37"/>
  <c r="G261" i="37" s="1"/>
  <c r="L144" i="37"/>
  <c r="L261" i="37" s="1"/>
  <c r="G140" i="37"/>
  <c r="G257" i="37" s="1"/>
  <c r="F140" i="37"/>
  <c r="F257" i="37" s="1"/>
  <c r="H140" i="37"/>
  <c r="H257" i="37" s="1"/>
  <c r="M136" i="37"/>
  <c r="M253" i="37" s="1"/>
  <c r="K136" i="37"/>
  <c r="K253" i="37" s="1"/>
  <c r="D136" i="37"/>
  <c r="D253" i="37" s="1"/>
  <c r="D126" i="37"/>
  <c r="D243" i="37" s="1"/>
  <c r="I126" i="37"/>
  <c r="I243" i="37" s="1"/>
  <c r="N126" i="37"/>
  <c r="N243" i="37" s="1"/>
  <c r="K121" i="37"/>
  <c r="K238" i="37" s="1"/>
  <c r="E121" i="37"/>
  <c r="E238" i="37" s="1"/>
  <c r="J121" i="37"/>
  <c r="J238" i="37" s="1"/>
  <c r="H104" i="37"/>
  <c r="H221" i="37" s="1"/>
  <c r="K104" i="37"/>
  <c r="K221" i="37" s="1"/>
  <c r="F104" i="37"/>
  <c r="F221" i="37" s="1"/>
  <c r="C96" i="37"/>
  <c r="C213" i="37" s="1"/>
  <c r="H96" i="37"/>
  <c r="H213" i="37" s="1"/>
  <c r="M96" i="37"/>
  <c r="M213" i="37" s="1"/>
  <c r="N86" i="37"/>
  <c r="N203" i="37" s="1"/>
  <c r="D86" i="37"/>
  <c r="D203" i="37" s="1"/>
  <c r="I86" i="37"/>
  <c r="I203" i="37" s="1"/>
  <c r="F82" i="37"/>
  <c r="F199" i="37" s="1"/>
  <c r="L82" i="37"/>
  <c r="L199" i="37" s="1"/>
  <c r="N82" i="37"/>
  <c r="N199" i="37" s="1"/>
  <c r="F67" i="37"/>
  <c r="F184" i="37" s="1"/>
  <c r="G67" i="37"/>
  <c r="G184" i="37" s="1"/>
  <c r="L67" i="37"/>
  <c r="L184" i="37" s="1"/>
  <c r="E63" i="37"/>
  <c r="E180" i="37" s="1"/>
  <c r="H63" i="37"/>
  <c r="H180" i="37" s="1"/>
  <c r="M59" i="37"/>
  <c r="M176" i="37" s="1"/>
  <c r="N59" i="37"/>
  <c r="N176" i="37" s="1"/>
  <c r="D59" i="37"/>
  <c r="D176" i="37" s="1"/>
  <c r="H51" i="37"/>
  <c r="H168" i="37" s="1"/>
  <c r="M51" i="37"/>
  <c r="M168" i="37" s="1"/>
  <c r="J46" i="37"/>
  <c r="J163" i="37" s="1"/>
  <c r="D46" i="37"/>
  <c r="D163" i="37" s="1"/>
  <c r="I46" i="37"/>
  <c r="I163" i="37" s="1"/>
  <c r="F41" i="37"/>
  <c r="F158" i="37" s="1"/>
  <c r="K41" i="37"/>
  <c r="K158" i="37" s="1"/>
  <c r="E41" i="37"/>
  <c r="E158" i="37" s="1"/>
  <c r="N81" i="37"/>
  <c r="N198" i="37" s="1"/>
  <c r="K81" i="37"/>
  <c r="K198" i="37" s="1"/>
  <c r="L81" i="37"/>
  <c r="L198" i="37" s="1"/>
  <c r="J77" i="37"/>
  <c r="J194" i="37" s="1"/>
  <c r="G77" i="37"/>
  <c r="G194" i="37" s="1"/>
  <c r="H77" i="37"/>
  <c r="H194" i="37" s="1"/>
  <c r="I70" i="37"/>
  <c r="I187" i="37" s="1"/>
  <c r="N70" i="37"/>
  <c r="N187" i="37" s="1"/>
  <c r="D70" i="37"/>
  <c r="D187" i="37" s="1"/>
  <c r="F62" i="37"/>
  <c r="F179" i="37" s="1"/>
  <c r="G62" i="37"/>
  <c r="G179" i="37" s="1"/>
  <c r="L62" i="37"/>
  <c r="L179" i="37" s="1"/>
  <c r="M58" i="37"/>
  <c r="M175" i="37" s="1"/>
  <c r="H58" i="37"/>
  <c r="H175" i="37" s="1"/>
  <c r="F54" i="37"/>
  <c r="F171" i="37" s="1"/>
  <c r="K54" i="37"/>
  <c r="K171" i="37" s="1"/>
  <c r="E54" i="37"/>
  <c r="E171" i="37" s="1"/>
  <c r="H45" i="37"/>
  <c r="H162" i="37" s="1"/>
  <c r="M45" i="37"/>
  <c r="M162" i="37" s="1"/>
  <c r="N35" i="37"/>
  <c r="N152" i="37" s="1"/>
  <c r="D35" i="37"/>
  <c r="D152" i="37" s="1"/>
  <c r="I35" i="37"/>
  <c r="I152" i="37" s="1"/>
  <c r="E44" i="37"/>
  <c r="E161" i="37" s="1"/>
  <c r="N44" i="37"/>
  <c r="N161" i="37" s="1"/>
  <c r="D44" i="37"/>
  <c r="D161" i="37" s="1"/>
  <c r="M134" i="37"/>
  <c r="M251" i="37" s="1"/>
  <c r="K134" i="37"/>
  <c r="K251" i="37" s="1"/>
  <c r="D134" i="37"/>
  <c r="D251" i="37" s="1"/>
  <c r="F80" i="37"/>
  <c r="F197" i="37" s="1"/>
  <c r="D80" i="37"/>
  <c r="D197" i="37" s="1"/>
  <c r="I108" i="37"/>
  <c r="I225" i="37" s="1"/>
  <c r="N108" i="37"/>
  <c r="N225" i="37" s="1"/>
  <c r="D108" i="37"/>
  <c r="D225" i="37" s="1"/>
  <c r="C143" i="37"/>
  <c r="C260" i="37" s="1"/>
  <c r="G143" i="37"/>
  <c r="G260" i="37" s="1"/>
  <c r="D143" i="37"/>
  <c r="D260" i="37" s="1"/>
  <c r="G125" i="37"/>
  <c r="G242" i="37" s="1"/>
  <c r="L125" i="37"/>
  <c r="L242" i="37" s="1"/>
  <c r="F125" i="37"/>
  <c r="F242" i="37" s="1"/>
  <c r="K120" i="37"/>
  <c r="K237" i="37" s="1"/>
  <c r="H120" i="37"/>
  <c r="H237" i="37" s="1"/>
  <c r="M120" i="37"/>
  <c r="M237" i="37" s="1"/>
  <c r="N95" i="37"/>
  <c r="N212" i="37" s="1"/>
  <c r="K95" i="37"/>
  <c r="K212" i="37" s="1"/>
  <c r="E95" i="37"/>
  <c r="E212" i="37" s="1"/>
  <c r="C123" i="37"/>
  <c r="C240" i="37" s="1"/>
  <c r="E123" i="37"/>
  <c r="E240" i="37" s="1"/>
  <c r="J123" i="37"/>
  <c r="J240" i="37" s="1"/>
  <c r="E138" i="37"/>
  <c r="E255" i="37" s="1"/>
  <c r="K138" i="37"/>
  <c r="K255" i="37" s="1"/>
  <c r="D138" i="37"/>
  <c r="D255" i="37" s="1"/>
  <c r="F84" i="37"/>
  <c r="F201" i="37" s="1"/>
  <c r="D84" i="37"/>
  <c r="I84" i="37"/>
  <c r="I201" i="37" s="1"/>
  <c r="F73" i="37"/>
  <c r="F190" i="37" s="1"/>
  <c r="D73" i="37"/>
  <c r="D190" i="37" s="1"/>
  <c r="D130" i="37"/>
  <c r="D247" i="37" s="1"/>
  <c r="I130" i="37"/>
  <c r="I247" i="37" s="1"/>
  <c r="N130" i="37"/>
  <c r="N247" i="37" s="1"/>
  <c r="E137" i="37"/>
  <c r="E254" i="37" s="1"/>
  <c r="J137" i="37"/>
  <c r="J254" i="37" s="1"/>
  <c r="L137" i="37"/>
  <c r="L254" i="37" s="1"/>
  <c r="K133" i="37"/>
  <c r="K250" i="37" s="1"/>
  <c r="F133" i="37"/>
  <c r="F250" i="37" s="1"/>
  <c r="H133" i="37"/>
  <c r="H250" i="37" s="1"/>
  <c r="K127" i="37"/>
  <c r="K244" i="37" s="1"/>
  <c r="L127" i="37"/>
  <c r="L244" i="37" s="1"/>
  <c r="F127" i="37"/>
  <c r="F244" i="37" s="1"/>
  <c r="D118" i="37"/>
  <c r="D235" i="37" s="1"/>
  <c r="I118" i="37"/>
  <c r="I235" i="37" s="1"/>
  <c r="N118" i="37"/>
  <c r="N235" i="37" s="1"/>
  <c r="K105" i="37"/>
  <c r="K222" i="37" s="1"/>
  <c r="E105" i="37"/>
  <c r="E222" i="37" s="1"/>
  <c r="J105" i="37"/>
  <c r="J222" i="37" s="1"/>
  <c r="F101" i="37"/>
  <c r="F218" i="37" s="1"/>
  <c r="K101" i="37"/>
  <c r="K218" i="37" s="1"/>
  <c r="E101" i="37"/>
  <c r="E218" i="37" s="1"/>
  <c r="C92" i="37"/>
  <c r="C209" i="37" s="1"/>
  <c r="H92" i="37"/>
  <c r="H209" i="37" s="1"/>
  <c r="M92" i="37"/>
  <c r="M209" i="37" s="1"/>
  <c r="F83" i="37"/>
  <c r="F200" i="37" s="1"/>
  <c r="K83" i="37"/>
  <c r="K200" i="37" s="1"/>
  <c r="E83" i="37"/>
  <c r="E200" i="37" s="1"/>
  <c r="E64" i="37"/>
  <c r="E181" i="37" s="1"/>
  <c r="N64" i="37"/>
  <c r="N181" i="37" s="1"/>
  <c r="D64" i="37"/>
  <c r="D181" i="37" s="1"/>
  <c r="N52" i="37"/>
  <c r="N169" i="37" s="1"/>
  <c r="L52" i="37"/>
  <c r="L169" i="37" s="1"/>
  <c r="E52" i="37"/>
  <c r="E169" i="37" s="1"/>
  <c r="J47" i="37"/>
  <c r="J164" i="37" s="1"/>
  <c r="K47" i="37"/>
  <c r="K164" i="37" s="1"/>
  <c r="E47" i="37"/>
  <c r="E164" i="37" s="1"/>
  <c r="H38" i="37"/>
  <c r="H155" i="37" s="1"/>
  <c r="M38" i="37"/>
  <c r="M155" i="37" s="1"/>
  <c r="G129" i="37"/>
  <c r="G246" i="37" s="1"/>
  <c r="L129" i="37"/>
  <c r="L246" i="37" s="1"/>
  <c r="F129" i="37"/>
  <c r="F246" i="37" s="1"/>
  <c r="D128" i="37"/>
  <c r="D245" i="37" s="1"/>
  <c r="I128" i="37"/>
  <c r="I245" i="37" s="1"/>
  <c r="N128" i="37"/>
  <c r="N245" i="37" s="1"/>
  <c r="E106" i="37"/>
  <c r="E223" i="37" s="1"/>
  <c r="J106" i="37"/>
  <c r="J223" i="37" s="1"/>
  <c r="F93" i="37"/>
  <c r="F210" i="37" s="1"/>
  <c r="K93" i="37"/>
  <c r="K210" i="37" s="1"/>
  <c r="E93" i="37"/>
  <c r="E210" i="37" s="1"/>
  <c r="F61" i="37"/>
  <c r="F178" i="37" s="1"/>
  <c r="G61" i="37"/>
  <c r="G178" i="37" s="1"/>
  <c r="L61" i="37"/>
  <c r="L178" i="37" s="1"/>
  <c r="N48" i="37"/>
  <c r="N165" i="37" s="1"/>
  <c r="I48" i="37"/>
  <c r="I165" i="37" s="1"/>
  <c r="C109" i="37"/>
  <c r="C226" i="37" s="1"/>
  <c r="H109" i="37"/>
  <c r="H226" i="37" s="1"/>
  <c r="I82" i="37"/>
  <c r="I199" i="37" s="1"/>
  <c r="G82" i="37"/>
  <c r="G199" i="37" s="1"/>
  <c r="H82" i="37"/>
  <c r="H199" i="37" s="1"/>
  <c r="E70" i="37"/>
  <c r="E187" i="37" s="1"/>
  <c r="G54" i="37"/>
  <c r="G171" i="37" s="1"/>
  <c r="E108" i="37"/>
  <c r="E225" i="37" s="1"/>
  <c r="J108" i="37"/>
  <c r="J225" i="37" s="1"/>
  <c r="K108" i="37"/>
  <c r="K225" i="37" s="1"/>
  <c r="I143" i="37"/>
  <c r="I260" i="37" s="1"/>
  <c r="M143" i="37"/>
  <c r="M260" i="37" s="1"/>
  <c r="N143" i="37"/>
  <c r="N260" i="37" s="1"/>
  <c r="J83" i="37"/>
  <c r="J200" i="37" s="1"/>
  <c r="G83" i="37"/>
  <c r="G200" i="37" s="1"/>
  <c r="L83" i="37"/>
  <c r="L200" i="37" s="1"/>
  <c r="E109" i="37"/>
  <c r="E226" i="37" s="1"/>
  <c r="J109" i="37"/>
  <c r="J226" i="37" s="1"/>
  <c r="K109" i="37"/>
  <c r="K226" i="37" s="1"/>
  <c r="I140" i="37"/>
  <c r="I257" i="37" s="1"/>
  <c r="J140" i="37"/>
  <c r="J257" i="37" s="1"/>
  <c r="L140" i="37"/>
  <c r="L257" i="37" s="1"/>
  <c r="G136" i="37"/>
  <c r="G253" i="37" s="1"/>
  <c r="F136" i="37"/>
  <c r="F253" i="37" s="1"/>
  <c r="H136" i="37"/>
  <c r="H253" i="37" s="1"/>
  <c r="D121" i="37"/>
  <c r="D238" i="37" s="1"/>
  <c r="I121" i="37"/>
  <c r="I238" i="37" s="1"/>
  <c r="N121" i="37"/>
  <c r="N238" i="37" s="1"/>
  <c r="D104" i="37"/>
  <c r="D221" i="37" s="1"/>
  <c r="G104" i="37"/>
  <c r="G221" i="37" s="1"/>
  <c r="J104" i="37"/>
  <c r="J221" i="37" s="1"/>
  <c r="C86" i="37"/>
  <c r="C203" i="37" s="1"/>
  <c r="H86" i="37"/>
  <c r="H203" i="37" s="1"/>
  <c r="M86" i="37"/>
  <c r="M203" i="37" s="1"/>
  <c r="J82" i="37"/>
  <c r="J199" i="37" s="1"/>
  <c r="E82" i="37"/>
  <c r="E199" i="37" s="1"/>
  <c r="K82" i="37"/>
  <c r="K199" i="37" s="1"/>
  <c r="F63" i="37"/>
  <c r="F180" i="37" s="1"/>
  <c r="G63" i="37"/>
  <c r="G180" i="37" s="1"/>
  <c r="L63" i="37"/>
  <c r="L180" i="37" s="1"/>
  <c r="E59" i="37"/>
  <c r="E176" i="37" s="1"/>
  <c r="H59" i="37"/>
  <c r="H176" i="37" s="1"/>
  <c r="H46" i="37"/>
  <c r="H163" i="37" s="1"/>
  <c r="M46" i="37"/>
  <c r="M163" i="37" s="1"/>
  <c r="J41" i="37"/>
  <c r="J158" i="37" s="1"/>
  <c r="D41" i="37"/>
  <c r="D158" i="37" s="1"/>
  <c r="I41" i="37"/>
  <c r="I158" i="37" s="1"/>
  <c r="N77" i="37"/>
  <c r="N194" i="37" s="1"/>
  <c r="K77" i="37"/>
  <c r="K194" i="37" s="1"/>
  <c r="L77" i="37"/>
  <c r="L194" i="37" s="1"/>
  <c r="M70" i="37"/>
  <c r="M187" i="37" s="1"/>
  <c r="C70" i="37"/>
  <c r="C187" i="37" s="1"/>
  <c r="H70" i="37"/>
  <c r="H187" i="37" s="1"/>
  <c r="F58" i="37"/>
  <c r="F175" i="37" s="1"/>
  <c r="G58" i="37"/>
  <c r="G175" i="37" s="1"/>
  <c r="L58" i="37"/>
  <c r="L175" i="37" s="1"/>
  <c r="J54" i="37"/>
  <c r="J171" i="37" s="1"/>
  <c r="D54" i="37"/>
  <c r="D171" i="37" s="1"/>
  <c r="I54" i="37"/>
  <c r="I171" i="37" s="1"/>
  <c r="H35" i="37"/>
  <c r="H152" i="37" s="1"/>
  <c r="M35" i="37"/>
  <c r="M152" i="37" s="1"/>
  <c r="I44" i="37"/>
  <c r="I161" i="37" s="1"/>
  <c r="C44" i="37"/>
  <c r="C161" i="37" s="1"/>
  <c r="H44" i="37"/>
  <c r="H161" i="37" s="1"/>
  <c r="G134" i="37"/>
  <c r="G251" i="37" s="1"/>
  <c r="F134" i="37"/>
  <c r="F251" i="37" s="1"/>
  <c r="H134" i="37"/>
  <c r="H251" i="37" s="1"/>
  <c r="J80" i="37"/>
  <c r="J197" i="37" s="1"/>
  <c r="G80" i="37"/>
  <c r="G197" i="37" s="1"/>
  <c r="H80" i="37"/>
  <c r="H197" i="37" s="1"/>
  <c r="M108" i="37"/>
  <c r="M225" i="37" s="1"/>
  <c r="C108" i="37"/>
  <c r="C225" i="37" s="1"/>
  <c r="H108" i="37"/>
  <c r="H225" i="37" s="1"/>
  <c r="K143" i="37"/>
  <c r="K260" i="37" s="1"/>
  <c r="F143" i="37"/>
  <c r="F260" i="37" s="1"/>
  <c r="H143" i="37"/>
  <c r="H260" i="37" s="1"/>
  <c r="K125" i="37"/>
  <c r="K242" i="37" s="1"/>
  <c r="E125" i="37"/>
  <c r="E242" i="37" s="1"/>
  <c r="J125" i="37"/>
  <c r="J242" i="37" s="1"/>
  <c r="L120" i="37"/>
  <c r="L237" i="37" s="1"/>
  <c r="F120" i="37"/>
  <c r="F237" i="37" s="1"/>
  <c r="F95" i="37"/>
  <c r="F212" i="37" s="1"/>
  <c r="D95" i="37"/>
  <c r="D212" i="37" s="1"/>
  <c r="I95" i="37"/>
  <c r="I212" i="37" s="1"/>
  <c r="D123" i="37"/>
  <c r="D240" i="37" s="1"/>
  <c r="I123" i="37"/>
  <c r="I240" i="37" s="1"/>
  <c r="N123" i="37"/>
  <c r="N240" i="37" s="1"/>
  <c r="G138" i="37"/>
  <c r="G255" i="37" s="1"/>
  <c r="F138" i="37"/>
  <c r="F255" i="37" s="1"/>
  <c r="H138" i="37"/>
  <c r="H255" i="37" s="1"/>
  <c r="C84" i="37"/>
  <c r="C201" i="37" s="1"/>
  <c r="H84" i="37"/>
  <c r="H201" i="37" s="1"/>
  <c r="M84" i="37"/>
  <c r="M201" i="37" s="1"/>
  <c r="J73" i="37"/>
  <c r="J190" i="37" s="1"/>
  <c r="G73" i="37"/>
  <c r="G190" i="37" s="1"/>
  <c r="H73" i="37"/>
  <c r="H190" i="37" s="1"/>
  <c r="E133" i="37"/>
  <c r="E250" i="37" s="1"/>
  <c r="J133" i="37"/>
  <c r="J250" i="37" s="1"/>
  <c r="L133" i="37"/>
  <c r="L250" i="37" s="1"/>
  <c r="C127" i="37"/>
  <c r="C244" i="37" s="1"/>
  <c r="E127" i="37"/>
  <c r="E244" i="37" s="1"/>
  <c r="J127" i="37"/>
  <c r="J244" i="37" s="1"/>
  <c r="D105" i="37"/>
  <c r="D222" i="37" s="1"/>
  <c r="I105" i="37"/>
  <c r="I222" i="37" s="1"/>
  <c r="N105" i="37"/>
  <c r="N222" i="37" s="1"/>
  <c r="J101" i="37"/>
  <c r="J218" i="37" s="1"/>
  <c r="D101" i="37"/>
  <c r="D218" i="37" s="1"/>
  <c r="I101" i="37"/>
  <c r="I218" i="37" s="1"/>
  <c r="N83" i="37"/>
  <c r="N200" i="37" s="1"/>
  <c r="D83" i="37"/>
  <c r="D200" i="37" s="1"/>
  <c r="I83" i="37"/>
  <c r="I200" i="37" s="1"/>
  <c r="I64" i="37"/>
  <c r="I181" i="37" s="1"/>
  <c r="C64" i="37"/>
  <c r="C181" i="37" s="1"/>
  <c r="H64" i="37"/>
  <c r="H181" i="37" s="1"/>
  <c r="K52" i="37"/>
  <c r="K169" i="37" s="1"/>
  <c r="D52" i="37"/>
  <c r="D169" i="37" s="1"/>
  <c r="I52" i="37"/>
  <c r="I169" i="37" s="1"/>
  <c r="N47" i="37"/>
  <c r="N164" i="37" s="1"/>
  <c r="D47" i="37"/>
  <c r="I47" i="37"/>
  <c r="I164" i="37" s="1"/>
  <c r="K129" i="37"/>
  <c r="K246" i="37" s="1"/>
  <c r="E129" i="37"/>
  <c r="E246" i="37" s="1"/>
  <c r="J129" i="37"/>
  <c r="J246" i="37" s="1"/>
  <c r="D106" i="37"/>
  <c r="D223" i="37" s="1"/>
  <c r="I106" i="37"/>
  <c r="I223" i="37" s="1"/>
  <c r="N106" i="37"/>
  <c r="N223" i="37" s="1"/>
  <c r="J93" i="37"/>
  <c r="J210" i="37" s="1"/>
  <c r="D93" i="37"/>
  <c r="D210" i="37" s="1"/>
  <c r="I93" i="37"/>
  <c r="I210" i="37" s="1"/>
  <c r="H48" i="37"/>
  <c r="H165" i="37" s="1"/>
  <c r="M48" i="37"/>
  <c r="M165" i="37" s="1"/>
  <c r="E136" i="37"/>
  <c r="E253" i="37" s="1"/>
  <c r="J59" i="37"/>
  <c r="J176" i="37" s="1"/>
  <c r="K59" i="37"/>
  <c r="K176" i="37" s="1"/>
  <c r="N54" i="37"/>
  <c r="N171" i="37" s="1"/>
  <c r="L54" i="37"/>
  <c r="L171" i="37" s="1"/>
  <c r="E134" i="37"/>
  <c r="E251" i="37" s="1"/>
  <c r="I109" i="37"/>
  <c r="I226" i="37" s="1"/>
  <c r="N109" i="37"/>
  <c r="N226" i="37" s="1"/>
  <c r="D109" i="37"/>
  <c r="D226" i="37" s="1"/>
  <c r="I136" i="37"/>
  <c r="I253" i="37" s="1"/>
  <c r="J136" i="37"/>
  <c r="J253" i="37" s="1"/>
  <c r="L136" i="37"/>
  <c r="L253" i="37" s="1"/>
  <c r="I104" i="37"/>
  <c r="I221" i="37" s="1"/>
  <c r="M104" i="37"/>
  <c r="M221" i="37" s="1"/>
  <c r="N104" i="37"/>
  <c r="N221" i="37" s="1"/>
  <c r="D82" i="37"/>
  <c r="D199" i="37" s="1"/>
  <c r="M82" i="37"/>
  <c r="M199" i="37" s="1"/>
  <c r="F59" i="37"/>
  <c r="F176" i="37" s="1"/>
  <c r="G59" i="37"/>
  <c r="G176" i="37" s="1"/>
  <c r="L59" i="37"/>
  <c r="L176" i="37" s="1"/>
  <c r="C41" i="37"/>
  <c r="C158" i="37" s="1"/>
  <c r="H41" i="37"/>
  <c r="H158" i="37" s="1"/>
  <c r="M41" i="37"/>
  <c r="M158" i="37" s="1"/>
  <c r="F70" i="37"/>
  <c r="F187" i="37" s="1"/>
  <c r="G70" i="37"/>
  <c r="G187" i="37" s="1"/>
  <c r="L70" i="37"/>
  <c r="L187" i="37" s="1"/>
  <c r="H54" i="37"/>
  <c r="H171" i="37" s="1"/>
  <c r="M54" i="37"/>
  <c r="M171" i="37" s="1"/>
  <c r="F44" i="37"/>
  <c r="F161" i="37" s="1"/>
  <c r="G44" i="37"/>
  <c r="G161" i="37" s="1"/>
  <c r="L44" i="37"/>
  <c r="L161" i="37" s="1"/>
  <c r="I134" i="37"/>
  <c r="I251" i="37" s="1"/>
  <c r="J134" i="37"/>
  <c r="J251" i="37" s="1"/>
  <c r="L134" i="37"/>
  <c r="L251" i="37" s="1"/>
  <c r="N80" i="37"/>
  <c r="N197" i="37" s="1"/>
  <c r="K80" i="37"/>
  <c r="K197" i="37" s="1"/>
  <c r="L80" i="37"/>
  <c r="L197" i="37" s="1"/>
  <c r="F108" i="37"/>
  <c r="F225" i="37" s="1"/>
  <c r="G108" i="37"/>
  <c r="G225" i="37" s="1"/>
  <c r="L108" i="37"/>
  <c r="L225" i="37" s="1"/>
  <c r="E143" i="37"/>
  <c r="E260" i="37" s="1"/>
  <c r="J143" i="37"/>
  <c r="J260" i="37" s="1"/>
  <c r="L143" i="37"/>
  <c r="L260" i="37" s="1"/>
  <c r="D125" i="37"/>
  <c r="D242" i="37" s="1"/>
  <c r="I125" i="37"/>
  <c r="I242" i="37" s="1"/>
  <c r="N125" i="37"/>
  <c r="N242" i="37" s="1"/>
  <c r="G120" i="37"/>
  <c r="G237" i="37" s="1"/>
  <c r="E120" i="37"/>
  <c r="E237" i="37" s="1"/>
  <c r="J120" i="37"/>
  <c r="J237" i="37" s="1"/>
  <c r="C95" i="37"/>
  <c r="C212" i="37" s="1"/>
  <c r="H95" i="37"/>
  <c r="H212" i="37" s="1"/>
  <c r="M95" i="37"/>
  <c r="M212" i="37" s="1"/>
  <c r="I138" i="37"/>
  <c r="I255" i="37" s="1"/>
  <c r="J138" i="37"/>
  <c r="J255" i="37" s="1"/>
  <c r="L138" i="37"/>
  <c r="L255" i="37" s="1"/>
  <c r="N73" i="37"/>
  <c r="N190" i="37" s="1"/>
  <c r="K73" i="37"/>
  <c r="K190" i="37" s="1"/>
  <c r="L73" i="37"/>
  <c r="L190" i="37" s="1"/>
  <c r="D127" i="37"/>
  <c r="D244" i="37" s="1"/>
  <c r="I127" i="37"/>
  <c r="I244" i="37" s="1"/>
  <c r="N127" i="37"/>
  <c r="N244" i="37" s="1"/>
  <c r="C101" i="37"/>
  <c r="C218" i="37" s="1"/>
  <c r="H101" i="37"/>
  <c r="H218" i="37" s="1"/>
  <c r="M101" i="37"/>
  <c r="M218" i="37" s="1"/>
  <c r="C83" i="37"/>
  <c r="C200" i="37" s="1"/>
  <c r="H83" i="37"/>
  <c r="H200" i="37" s="1"/>
  <c r="M83" i="37"/>
  <c r="M200" i="37" s="1"/>
  <c r="F64" i="37"/>
  <c r="F181" i="37" s="1"/>
  <c r="G64" i="37"/>
  <c r="G181" i="37" s="1"/>
  <c r="L64" i="37"/>
  <c r="L181" i="37" s="1"/>
  <c r="H47" i="37"/>
  <c r="H164" i="37" s="1"/>
  <c r="M47" i="37"/>
  <c r="M164" i="37" s="1"/>
  <c r="D129" i="37"/>
  <c r="D246" i="37" s="1"/>
  <c r="I129" i="37"/>
  <c r="I246" i="37" s="1"/>
  <c r="N129" i="37"/>
  <c r="N246" i="37" s="1"/>
  <c r="C93" i="37"/>
  <c r="C210" i="37" s="1"/>
  <c r="H93" i="37"/>
  <c r="H210" i="37" s="1"/>
  <c r="M93" i="37"/>
  <c r="M210" i="37" s="1"/>
  <c r="D17" i="44"/>
  <c r="B14" i="48"/>
  <c r="B14" i="40"/>
  <c r="B14" i="41"/>
  <c r="B14" i="43"/>
  <c r="B14" i="39"/>
  <c r="B14" i="42"/>
  <c r="C87" i="44"/>
  <c r="D170" i="44"/>
  <c r="B78" i="29"/>
  <c r="D385" i="44"/>
  <c r="S26" i="31"/>
  <c r="D226" i="44"/>
  <c r="D441" i="44"/>
  <c r="C31" i="44"/>
  <c r="F101" i="49"/>
  <c r="F119" i="49"/>
  <c r="B53" i="29"/>
  <c r="B51" i="29"/>
  <c r="C61" i="31"/>
  <c r="F110" i="49"/>
  <c r="B34" i="29"/>
  <c r="D480" i="44"/>
  <c r="B48" i="37"/>
  <c r="B165" i="37" s="1"/>
  <c r="A48" i="37"/>
  <c r="A165" i="37" s="1"/>
  <c r="B29" i="29"/>
  <c r="B47" i="29"/>
  <c r="A35" i="49"/>
  <c r="C17" i="31"/>
  <c r="A135" i="49"/>
  <c r="D268" i="44"/>
  <c r="B92" i="29"/>
  <c r="B60" i="29"/>
  <c r="C311" i="44"/>
  <c r="D347" i="44"/>
  <c r="D161" i="44"/>
  <c r="D217" i="44"/>
  <c r="B89" i="29"/>
  <c r="S11" i="31"/>
  <c r="D212" i="44"/>
  <c r="C143" i="44"/>
  <c r="C310" i="44"/>
  <c r="B87" i="29"/>
  <c r="D203" i="44"/>
  <c r="F83" i="49"/>
  <c r="F92" i="49"/>
  <c r="C198" i="44"/>
  <c r="C199" i="44"/>
  <c r="B33" i="29"/>
  <c r="C422" i="44"/>
  <c r="D35" i="44"/>
  <c r="F146" i="49"/>
  <c r="C32" i="31"/>
  <c r="D235" i="44"/>
  <c r="D394" i="44"/>
  <c r="D147" i="44"/>
  <c r="D273" i="44"/>
  <c r="F137" i="49"/>
  <c r="B57" i="29"/>
  <c r="C423" i="44"/>
  <c r="C30" i="44"/>
  <c r="C254" i="44"/>
  <c r="C142" i="44"/>
  <c r="C255" i="44"/>
  <c r="D474" i="44"/>
  <c r="D58" i="44"/>
  <c r="D459" i="44"/>
  <c r="D123" i="44"/>
  <c r="D371" i="44"/>
  <c r="D49" i="44"/>
  <c r="D403" i="44"/>
  <c r="C23" i="31"/>
  <c r="B93" i="29"/>
  <c r="E31" i="44"/>
  <c r="B52" i="29"/>
  <c r="B70" i="29"/>
  <c r="B83" i="29"/>
  <c r="E423" i="44"/>
  <c r="E426" i="44" s="1"/>
  <c r="B30" i="29"/>
  <c r="E143" i="44"/>
  <c r="E146" i="44" s="1"/>
  <c r="C86" i="44"/>
  <c r="D485" i="44"/>
  <c r="D338" i="44"/>
  <c r="D179" i="44"/>
  <c r="D450" i="44"/>
  <c r="D114" i="44"/>
  <c r="D427" i="44"/>
  <c r="D105" i="44"/>
  <c r="C45" i="31"/>
  <c r="B66" i="29"/>
  <c r="B75" i="29"/>
  <c r="B84" i="29"/>
  <c r="E41" i="44"/>
  <c r="E255" i="44"/>
  <c r="C53" i="31"/>
  <c r="A49" i="49"/>
  <c r="A108" i="49"/>
  <c r="E311" i="44"/>
  <c r="E367" i="44"/>
  <c r="E370" i="44" s="1"/>
  <c r="Q11" i="31"/>
  <c r="D463" i="44"/>
  <c r="D489" i="44"/>
  <c r="E199" i="44"/>
  <c r="D498" i="44"/>
  <c r="E87" i="44"/>
  <c r="B150" i="37"/>
  <c r="A150" i="37"/>
  <c r="E6" i="44"/>
  <c r="I26" i="31"/>
  <c r="D12" i="44"/>
  <c r="D5" i="37"/>
  <c r="I11" i="31"/>
  <c r="E51" i="49"/>
  <c r="E37" i="49"/>
  <c r="E58" i="49"/>
  <c r="E16" i="49"/>
  <c r="E65" i="49"/>
  <c r="E30" i="49"/>
  <c r="E44" i="49"/>
  <c r="E23" i="49"/>
  <c r="E9" i="49"/>
  <c r="G119" i="49"/>
  <c r="G128" i="49"/>
  <c r="D404" i="44"/>
  <c r="D283" i="44"/>
  <c r="D442" i="44"/>
  <c r="D274" i="44"/>
  <c r="D386" i="44"/>
  <c r="D428" i="44"/>
  <c r="D395" i="44"/>
  <c r="D372" i="44"/>
  <c r="G101" i="49"/>
  <c r="G110" i="49"/>
  <c r="D348" i="44"/>
  <c r="D260" i="44"/>
  <c r="D339" i="44"/>
  <c r="D316" i="44"/>
  <c r="G83" i="49"/>
  <c r="D451" i="44"/>
  <c r="G74" i="49"/>
  <c r="C54" i="31"/>
  <c r="D171" i="44"/>
  <c r="D504" i="44"/>
  <c r="D204" i="44"/>
  <c r="D106" i="44"/>
  <c r="G137" i="49"/>
  <c r="D330" i="44"/>
  <c r="G146" i="49"/>
  <c r="D180" i="44"/>
  <c r="D92" i="44"/>
  <c r="D218" i="44"/>
  <c r="D68" i="44"/>
  <c r="D236" i="44"/>
  <c r="D148" i="44"/>
  <c r="D460" i="44"/>
  <c r="C46" i="31"/>
  <c r="C33" i="31"/>
  <c r="D475" i="44"/>
  <c r="D115" i="44"/>
  <c r="D495" i="44"/>
  <c r="D292" i="44"/>
  <c r="G92" i="49"/>
  <c r="D124" i="44"/>
  <c r="D59" i="44"/>
  <c r="D36" i="44"/>
  <c r="D50" i="44"/>
  <c r="C62" i="31"/>
  <c r="D227" i="44"/>
  <c r="D486" i="44"/>
  <c r="D162" i="44"/>
  <c r="D165" i="44"/>
  <c r="D71" i="44"/>
  <c r="H110" i="49"/>
  <c r="H83" i="49"/>
  <c r="H74" i="49"/>
  <c r="H146" i="49"/>
  <c r="H119" i="49"/>
  <c r="H92" i="49"/>
  <c r="H101" i="49"/>
  <c r="H128" i="49"/>
  <c r="U26" i="31"/>
  <c r="D142" i="49"/>
  <c r="C320" i="44"/>
  <c r="D133" i="49"/>
  <c r="C432" i="44"/>
  <c r="D124" i="49"/>
  <c r="C264" i="44"/>
  <c r="D151" i="49"/>
  <c r="D97" i="49"/>
  <c r="C38" i="36"/>
  <c r="C152" i="44"/>
  <c r="D88" i="49"/>
  <c r="C36" i="31"/>
  <c r="C376" i="44"/>
  <c r="D106" i="49"/>
  <c r="C208" i="44"/>
  <c r="C40" i="44"/>
  <c r="D79" i="49"/>
  <c r="C96" i="44"/>
  <c r="D115" i="49"/>
  <c r="C479" i="44"/>
  <c r="G26" i="31"/>
  <c r="D11" i="44"/>
  <c r="G11" i="31"/>
  <c r="C5" i="37"/>
  <c r="K26" i="31"/>
  <c r="K11" i="31"/>
  <c r="D13" i="44"/>
  <c r="E5" i="37"/>
  <c r="D10" i="44"/>
  <c r="E26" i="31"/>
  <c r="B5" i="37"/>
  <c r="E11" i="31"/>
  <c r="D269" i="44"/>
  <c r="D381" i="44"/>
  <c r="D325" i="44"/>
  <c r="D437" i="44"/>
  <c r="D101" i="44"/>
  <c r="C38" i="31"/>
  <c r="D481" i="44"/>
  <c r="D157" i="44"/>
  <c r="D213" i="44"/>
  <c r="D45" i="44"/>
  <c r="D454" i="44"/>
  <c r="D445" i="44"/>
  <c r="D351" i="44"/>
  <c r="D398" i="44"/>
  <c r="D333" i="44"/>
  <c r="D109" i="44"/>
  <c r="D507" i="44"/>
  <c r="D53" i="44"/>
  <c r="D230" i="44"/>
  <c r="D277" i="44"/>
  <c r="D62" i="44"/>
  <c r="D127" i="44"/>
  <c r="D239" i="44"/>
  <c r="B82" i="29"/>
  <c r="B91" i="29"/>
  <c r="B73" i="29"/>
  <c r="B64" i="29"/>
  <c r="B46" i="29"/>
  <c r="B55" i="29"/>
  <c r="B37" i="29"/>
  <c r="B28" i="29"/>
  <c r="D221" i="44"/>
  <c r="D389" i="44"/>
  <c r="D183" i="44"/>
  <c r="D407" i="44"/>
  <c r="B74" i="29"/>
  <c r="C21" i="31"/>
  <c r="B65" i="29"/>
  <c r="B38" i="29"/>
  <c r="B33" i="37"/>
  <c r="B81" i="29"/>
  <c r="B63" i="29"/>
  <c r="B90" i="29"/>
  <c r="B36" i="29"/>
  <c r="B72" i="29"/>
  <c r="C13" i="31"/>
  <c r="B45" i="29"/>
  <c r="B54" i="29"/>
  <c r="B271" i="37"/>
  <c r="B27" i="29"/>
  <c r="A33" i="37"/>
  <c r="C466" i="44"/>
  <c r="C298" i="44"/>
  <c r="C410" i="44"/>
  <c r="C354" i="44"/>
  <c r="C510" i="44"/>
  <c r="C67" i="31"/>
  <c r="C130" i="44"/>
  <c r="C242" i="44"/>
  <c r="C74" i="44"/>
  <c r="C186" i="44"/>
  <c r="B61" i="29"/>
  <c r="B79" i="29"/>
  <c r="B62" i="29"/>
  <c r="B44" i="29"/>
  <c r="B25" i="29"/>
  <c r="B26" i="29"/>
  <c r="B43" i="29"/>
  <c r="B71" i="29"/>
  <c r="B88" i="29"/>
  <c r="B35" i="29"/>
  <c r="C34" i="31"/>
  <c r="C47" i="31"/>
  <c r="C55" i="31"/>
  <c r="C63" i="31"/>
  <c r="E14" i="44"/>
  <c r="E15" i="44"/>
  <c r="I8" i="37"/>
  <c r="J72" i="29"/>
  <c r="J65" i="29"/>
  <c r="E12" i="44"/>
  <c r="E16" i="44"/>
  <c r="H8" i="37"/>
  <c r="J74" i="29"/>
  <c r="E11" i="44"/>
  <c r="E17" i="44"/>
  <c r="G8" i="37"/>
  <c r="J90" i="29"/>
  <c r="J83" i="29"/>
  <c r="J92" i="29"/>
  <c r="E13" i="44"/>
  <c r="J47" i="29"/>
  <c r="J56" i="29"/>
  <c r="C8" i="37"/>
  <c r="B8" i="37"/>
  <c r="B34" i="37"/>
  <c r="B151" i="37" s="1"/>
  <c r="J54" i="29"/>
  <c r="J29" i="29"/>
  <c r="J81" i="29"/>
  <c r="J36" i="29"/>
  <c r="D8" i="37"/>
  <c r="J38" i="29"/>
  <c r="J45" i="29"/>
  <c r="F8" i="37"/>
  <c r="J63" i="29"/>
  <c r="J27" i="29"/>
  <c r="E8" i="37"/>
  <c r="A126" i="49"/>
  <c r="Q26" i="31"/>
  <c r="H5" i="37"/>
  <c r="F5" i="37"/>
  <c r="M11" i="31"/>
  <c r="M26" i="31"/>
  <c r="D132" i="49"/>
  <c r="C257" i="44"/>
  <c r="D114" i="49"/>
  <c r="C369" i="44"/>
  <c r="D78" i="49"/>
  <c r="D123" i="49"/>
  <c r="C313" i="44"/>
  <c r="D150" i="49"/>
  <c r="C425" i="44"/>
  <c r="D96" i="49"/>
  <c r="C30" i="31"/>
  <c r="C37" i="36"/>
  <c r="C145" i="44"/>
  <c r="C472" i="44"/>
  <c r="D141" i="49"/>
  <c r="D87" i="49"/>
  <c r="C201" i="44"/>
  <c r="C89" i="44"/>
  <c r="C33" i="44"/>
  <c r="D105" i="49"/>
  <c r="D436" i="44"/>
  <c r="D44" i="44"/>
  <c r="D156" i="44"/>
  <c r="C37" i="31"/>
  <c r="D324" i="44"/>
  <c r="D100" i="44"/>
  <c r="D122" i="49"/>
  <c r="D54" i="49"/>
  <c r="C401" i="44"/>
  <c r="D131" i="49"/>
  <c r="C345" i="44"/>
  <c r="D61" i="49"/>
  <c r="D47" i="49"/>
  <c r="C457" i="44"/>
  <c r="D140" i="49"/>
  <c r="D104" i="49"/>
  <c r="D77" i="49"/>
  <c r="C501" i="44"/>
  <c r="C233" i="44"/>
  <c r="D95" i="49"/>
  <c r="D33" i="49"/>
  <c r="C53" i="36"/>
  <c r="D86" i="49"/>
  <c r="D19" i="49"/>
  <c r="D68" i="49"/>
  <c r="C65" i="44"/>
  <c r="C121" i="44"/>
  <c r="D149" i="49"/>
  <c r="D26" i="49"/>
  <c r="C59" i="31"/>
  <c r="C177" i="44"/>
  <c r="D113" i="49"/>
  <c r="D12" i="49"/>
  <c r="C289" i="44"/>
  <c r="G51" i="49"/>
  <c r="G58" i="49"/>
  <c r="D399" i="44"/>
  <c r="D455" i="44"/>
  <c r="D334" i="44"/>
  <c r="G44" i="49"/>
  <c r="D343" i="44"/>
  <c r="D408" i="44"/>
  <c r="D287" i="44"/>
  <c r="D464" i="44"/>
  <c r="D296" i="44"/>
  <c r="D390" i="44"/>
  <c r="D499" i="44"/>
  <c r="D490" i="44"/>
  <c r="D231" i="44"/>
  <c r="D175" i="44"/>
  <c r="D63" i="44"/>
  <c r="D446" i="44"/>
  <c r="D222" i="44"/>
  <c r="D184" i="44"/>
  <c r="D166" i="44"/>
  <c r="D110" i="44"/>
  <c r="D54" i="44"/>
  <c r="D278" i="44"/>
  <c r="D128" i="44"/>
  <c r="D119" i="44"/>
  <c r="G65" i="49"/>
  <c r="G16" i="49"/>
  <c r="G9" i="49"/>
  <c r="G30" i="49"/>
  <c r="D508" i="44"/>
  <c r="G23" i="49"/>
  <c r="D352" i="44"/>
  <c r="D72" i="44"/>
  <c r="D240" i="44"/>
  <c r="D138" i="49"/>
  <c r="D120" i="49"/>
  <c r="C327" i="44"/>
  <c r="D102" i="49"/>
  <c r="D111" i="49"/>
  <c r="D52" i="49"/>
  <c r="C439" i="44"/>
  <c r="D93" i="49"/>
  <c r="D129" i="49"/>
  <c r="D38" i="49"/>
  <c r="C271" i="44"/>
  <c r="D84" i="49"/>
  <c r="C383" i="44"/>
  <c r="D31" i="49"/>
  <c r="D17" i="49"/>
  <c r="C103" i="44"/>
  <c r="C483" i="44"/>
  <c r="C47" i="44"/>
  <c r="D147" i="49"/>
  <c r="D66" i="49"/>
  <c r="D24" i="49"/>
  <c r="C51" i="36"/>
  <c r="C215" i="44"/>
  <c r="D10" i="49"/>
  <c r="D59" i="49"/>
  <c r="C159" i="44"/>
  <c r="C43" i="31"/>
  <c r="D75" i="49"/>
  <c r="D40" i="49"/>
  <c r="D118" i="44"/>
  <c r="D295" i="44"/>
  <c r="D174" i="44"/>
  <c r="D342" i="44"/>
  <c r="D121" i="49"/>
  <c r="D139" i="49"/>
  <c r="C280" i="44"/>
  <c r="D130" i="49"/>
  <c r="D112" i="49"/>
  <c r="C392" i="44"/>
  <c r="D103" i="49"/>
  <c r="D60" i="49"/>
  <c r="D53" i="49"/>
  <c r="C336" i="44"/>
  <c r="D94" i="49"/>
  <c r="D46" i="49"/>
  <c r="D18" i="49"/>
  <c r="C51" i="31"/>
  <c r="D39" i="49"/>
  <c r="D148" i="49"/>
  <c r="D76" i="49"/>
  <c r="C448" i="44"/>
  <c r="D85" i="49"/>
  <c r="D67" i="49"/>
  <c r="D25" i="49"/>
  <c r="C112" i="44"/>
  <c r="C168" i="44"/>
  <c r="C56" i="44"/>
  <c r="D11" i="49"/>
  <c r="C492" i="44"/>
  <c r="D32" i="49"/>
  <c r="C52" i="36"/>
  <c r="C224" i="44"/>
  <c r="F44" i="49"/>
  <c r="C48" i="31"/>
  <c r="C65" i="31"/>
  <c r="F51" i="49"/>
  <c r="F37" i="49"/>
  <c r="C49" i="31"/>
  <c r="C64" i="31"/>
  <c r="F16" i="49"/>
  <c r="F9" i="49"/>
  <c r="F58" i="49"/>
  <c r="C57" i="31"/>
  <c r="F30" i="49"/>
  <c r="F65" i="49"/>
  <c r="F23" i="49"/>
  <c r="C56" i="31"/>
  <c r="E137" i="49"/>
  <c r="E110" i="49"/>
  <c r="D440" i="44"/>
  <c r="D272" i="44"/>
  <c r="D402" i="44"/>
  <c r="D281" i="44"/>
  <c r="E83" i="49"/>
  <c r="E119" i="49"/>
  <c r="D393" i="44"/>
  <c r="D370" i="44"/>
  <c r="D384" i="44"/>
  <c r="D426" i="44"/>
  <c r="E74" i="49"/>
  <c r="D337" i="44"/>
  <c r="D314" i="44"/>
  <c r="D346" i="44"/>
  <c r="D258" i="44"/>
  <c r="E101" i="49"/>
  <c r="E128" i="49"/>
  <c r="D290" i="44"/>
  <c r="C60" i="31"/>
  <c r="D178" i="44"/>
  <c r="D502" i="44"/>
  <c r="D493" i="44"/>
  <c r="D169" i="44"/>
  <c r="D449" i="44"/>
  <c r="C31" i="31"/>
  <c r="D122" i="44"/>
  <c r="D216" i="44"/>
  <c r="D146" i="44"/>
  <c r="D90" i="44"/>
  <c r="D328" i="44"/>
  <c r="E146" i="49"/>
  <c r="C52" i="31"/>
  <c r="D113" i="44"/>
  <c r="D484" i="44"/>
  <c r="D160" i="44"/>
  <c r="D48" i="44"/>
  <c r="D234" i="44"/>
  <c r="D66" i="44"/>
  <c r="D473" i="44"/>
  <c r="D225" i="44"/>
  <c r="C44" i="31"/>
  <c r="D34" i="44"/>
  <c r="D104" i="44"/>
  <c r="E92" i="49"/>
  <c r="D458" i="44"/>
  <c r="D57" i="44"/>
  <c r="D202" i="44"/>
  <c r="G5" i="37"/>
  <c r="O26" i="31"/>
  <c r="O11" i="31"/>
  <c r="D15" i="44"/>
  <c r="A42" i="49"/>
  <c r="A117" i="49"/>
  <c r="A144" i="49"/>
  <c r="A81" i="49"/>
  <c r="A72" i="49"/>
  <c r="A28" i="49"/>
  <c r="A21" i="49"/>
  <c r="A99" i="49"/>
  <c r="A63" i="49"/>
  <c r="A90" i="49"/>
  <c r="A14" i="49"/>
  <c r="A7" i="49"/>
  <c r="F128" i="49"/>
  <c r="D291" i="44"/>
  <c r="D315" i="44"/>
  <c r="D329" i="44"/>
  <c r="F74" i="49"/>
  <c r="D91" i="44"/>
  <c r="D259" i="44"/>
  <c r="D503" i="44"/>
  <c r="D494" i="44"/>
  <c r="D67" i="44"/>
  <c r="B69" i="29"/>
  <c r="C367" i="44"/>
  <c r="B42" i="29"/>
  <c r="C19" i="31"/>
  <c r="B24" i="29"/>
  <c r="E265" i="44"/>
  <c r="E377" i="44"/>
  <c r="E433" i="44"/>
  <c r="E209" i="44"/>
  <c r="E97" i="44"/>
  <c r="E153" i="44"/>
  <c r="B129" i="37"/>
  <c r="B246" i="37" s="1"/>
  <c r="B56" i="37"/>
  <c r="B173" i="37" s="1"/>
  <c r="C170" i="37"/>
  <c r="B53" i="37"/>
  <c r="B170" i="37" s="1"/>
  <c r="B119" i="37"/>
  <c r="B236" i="37" s="1"/>
  <c r="B69" i="37"/>
  <c r="B186" i="37" s="1"/>
  <c r="B70" i="37"/>
  <c r="B187" i="37" s="1"/>
  <c r="J5" i="44"/>
  <c r="B68" i="37"/>
  <c r="B185" i="37" s="1"/>
  <c r="A35" i="37"/>
  <c r="A152" i="37" s="1"/>
  <c r="A39" i="37"/>
  <c r="A156" i="37" s="1"/>
  <c r="A43" i="37"/>
  <c r="A160" i="37" s="1"/>
  <c r="A51" i="37"/>
  <c r="A168" i="37" s="1"/>
  <c r="A55" i="37"/>
  <c r="A172" i="37" s="1"/>
  <c r="A59" i="37"/>
  <c r="A176" i="37" s="1"/>
  <c r="A63" i="37"/>
  <c r="A180" i="37" s="1"/>
  <c r="A66" i="37"/>
  <c r="A183" i="37" s="1"/>
  <c r="A70" i="37"/>
  <c r="A187" i="37" s="1"/>
  <c r="A77" i="37"/>
  <c r="A194" i="37" s="1"/>
  <c r="A81" i="37"/>
  <c r="A198" i="37" s="1"/>
  <c r="A85" i="37"/>
  <c r="A202" i="37" s="1"/>
  <c r="A89" i="37"/>
  <c r="A206" i="37" s="1"/>
  <c r="A93" i="37"/>
  <c r="A210" i="37" s="1"/>
  <c r="A97" i="37"/>
  <c r="A214" i="37" s="1"/>
  <c r="A101" i="37"/>
  <c r="A218" i="37" s="1"/>
  <c r="A105" i="37"/>
  <c r="A222" i="37" s="1"/>
  <c r="A118" i="37"/>
  <c r="A235" i="37" s="1"/>
  <c r="A122" i="37"/>
  <c r="A239" i="37" s="1"/>
  <c r="A126" i="37"/>
  <c r="A243" i="37" s="1"/>
  <c r="A130" i="37"/>
  <c r="A247" i="37" s="1"/>
  <c r="A134" i="37"/>
  <c r="A251" i="37" s="1"/>
  <c r="A138" i="37"/>
  <c r="A255" i="37" s="1"/>
  <c r="A142" i="37"/>
  <c r="A259" i="37" s="1"/>
  <c r="B4" i="40"/>
  <c r="A36" i="37"/>
  <c r="A153" i="37" s="1"/>
  <c r="A40" i="37"/>
  <c r="A157" i="37" s="1"/>
  <c r="A45" i="37"/>
  <c r="A162" i="37" s="1"/>
  <c r="A52" i="37"/>
  <c r="A169" i="37" s="1"/>
  <c r="A56" i="37"/>
  <c r="A173" i="37" s="1"/>
  <c r="A60" i="37"/>
  <c r="A177" i="37" s="1"/>
  <c r="A64" i="37"/>
  <c r="A181" i="37" s="1"/>
  <c r="A67" i="37"/>
  <c r="A184" i="37" s="1"/>
  <c r="A71" i="37"/>
  <c r="A188" i="37" s="1"/>
  <c r="A78" i="37"/>
  <c r="A195" i="37" s="1"/>
  <c r="A82" i="37"/>
  <c r="A199" i="37" s="1"/>
  <c r="A86" i="37"/>
  <c r="A203" i="37" s="1"/>
  <c r="A90" i="37"/>
  <c r="A207" i="37" s="1"/>
  <c r="A94" i="37"/>
  <c r="A211" i="37" s="1"/>
  <c r="A98" i="37"/>
  <c r="A215" i="37" s="1"/>
  <c r="A102" i="37"/>
  <c r="A219" i="37" s="1"/>
  <c r="A106" i="37"/>
  <c r="A223" i="37" s="1"/>
  <c r="A119" i="37"/>
  <c r="A236" i="37" s="1"/>
  <c r="A123" i="37"/>
  <c r="A240" i="37" s="1"/>
  <c r="A127" i="37"/>
  <c r="A244" i="37" s="1"/>
  <c r="A131" i="37"/>
  <c r="A248" i="37" s="1"/>
  <c r="A135" i="37"/>
  <c r="A252" i="37" s="1"/>
  <c r="A139" i="37"/>
  <c r="A256" i="37" s="1"/>
  <c r="A143" i="37"/>
  <c r="A260" i="37" s="1"/>
  <c r="A37" i="37"/>
  <c r="A154" i="37" s="1"/>
  <c r="A41" i="37"/>
  <c r="A46" i="37"/>
  <c r="A163" i="37" s="1"/>
  <c r="A49" i="37"/>
  <c r="A166" i="37" s="1"/>
  <c r="A53" i="37"/>
  <c r="A170" i="37" s="1"/>
  <c r="A57" i="37"/>
  <c r="A174" i="37" s="1"/>
  <c r="A61" i="37"/>
  <c r="A178" i="37" s="1"/>
  <c r="A65" i="37"/>
  <c r="A182" i="37" s="1"/>
  <c r="A68" i="37"/>
  <c r="A185" i="37" s="1"/>
  <c r="A72" i="37"/>
  <c r="A189" i="37" s="1"/>
  <c r="A79" i="37"/>
  <c r="A196" i="37" s="1"/>
  <c r="A83" i="37"/>
  <c r="A200" i="37" s="1"/>
  <c r="A87" i="37"/>
  <c r="A91" i="37"/>
  <c r="A208" i="37" s="1"/>
  <c r="A95" i="37"/>
  <c r="A212" i="37" s="1"/>
  <c r="A99" i="37"/>
  <c r="A216" i="37" s="1"/>
  <c r="A103" i="37"/>
  <c r="A220" i="37" s="1"/>
  <c r="A107" i="37"/>
  <c r="A224" i="37" s="1"/>
  <c r="A120" i="37"/>
  <c r="A237" i="37" s="1"/>
  <c r="A124" i="37"/>
  <c r="A241" i="37" s="1"/>
  <c r="A128" i="37"/>
  <c r="A245" i="37" s="1"/>
  <c r="A132" i="37"/>
  <c r="A249" i="37" s="1"/>
  <c r="A136" i="37"/>
  <c r="A253" i="37" s="1"/>
  <c r="A140" i="37"/>
  <c r="A257" i="37" s="1"/>
  <c r="A144" i="37"/>
  <c r="A261" i="37" s="1"/>
  <c r="B366" i="37"/>
  <c r="B53" i="39"/>
  <c r="A38" i="37"/>
  <c r="A42" i="37"/>
  <c r="A159" i="37" s="1"/>
  <c r="A58" i="37"/>
  <c r="A175" i="37" s="1"/>
  <c r="A73" i="37"/>
  <c r="A190" i="37" s="1"/>
  <c r="A92" i="37"/>
  <c r="A209" i="37" s="1"/>
  <c r="A117" i="37"/>
  <c r="A234" i="37" s="1"/>
  <c r="A133" i="37"/>
  <c r="A250" i="37" s="1"/>
  <c r="A47" i="37"/>
  <c r="A164" i="37" s="1"/>
  <c r="A62" i="37"/>
  <c r="A179" i="37" s="1"/>
  <c r="A80" i="37"/>
  <c r="A197" i="37" s="1"/>
  <c r="A96" i="37"/>
  <c r="A213" i="37" s="1"/>
  <c r="A121" i="37"/>
  <c r="A238" i="37" s="1"/>
  <c r="A137" i="37"/>
  <c r="A254" i="37" s="1"/>
  <c r="A50" i="37"/>
  <c r="A167" i="37" s="1"/>
  <c r="A84" i="37"/>
  <c r="A201" i="37" s="1"/>
  <c r="A100" i="37"/>
  <c r="A217" i="37" s="1"/>
  <c r="A125" i="37"/>
  <c r="A242" i="37" s="1"/>
  <c r="A141" i="37"/>
  <c r="A258" i="37" s="1"/>
  <c r="A54" i="37"/>
  <c r="A171" i="37" s="1"/>
  <c r="A129" i="37"/>
  <c r="A246" i="37" s="1"/>
  <c r="A69" i="37"/>
  <c r="A186" i="37" s="1"/>
  <c r="A88" i="37"/>
  <c r="A205" i="37" s="1"/>
  <c r="A104" i="37"/>
  <c r="A221" i="37" s="1"/>
  <c r="B123" i="37"/>
  <c r="B240" i="37" s="1"/>
  <c r="B37" i="37"/>
  <c r="B154" i="37" s="1"/>
  <c r="B94" i="37"/>
  <c r="B211" i="37" s="1"/>
  <c r="B53" i="40"/>
  <c r="B135" i="37"/>
  <c r="B252" i="37" s="1"/>
  <c r="B106" i="37"/>
  <c r="B223" i="37" s="1"/>
  <c r="B89" i="37"/>
  <c r="B206" i="37" s="1"/>
  <c r="B126" i="37"/>
  <c r="B243" i="37" s="1"/>
  <c r="B83" i="37"/>
  <c r="B200" i="37" s="1"/>
  <c r="B103" i="37"/>
  <c r="B220" i="37" s="1"/>
  <c r="B363" i="37"/>
  <c r="B337" i="37"/>
  <c r="B142" i="37"/>
  <c r="B259" i="37" s="1"/>
  <c r="B122" i="37"/>
  <c r="B239" i="37" s="1"/>
  <c r="B97" i="37"/>
  <c r="B214" i="37" s="1"/>
  <c r="B80" i="37"/>
  <c r="B197" i="37" s="1"/>
  <c r="B379" i="37"/>
  <c r="B371" i="37"/>
  <c r="B362" i="37"/>
  <c r="B344" i="37"/>
  <c r="B336" i="37"/>
  <c r="B327" i="37"/>
  <c r="B104" i="37"/>
  <c r="B221" i="37" s="1"/>
  <c r="B136" i="37"/>
  <c r="B253" i="37" s="1"/>
  <c r="B99" i="37"/>
  <c r="B216" i="37" s="1"/>
  <c r="B380" i="37"/>
  <c r="B365" i="37"/>
  <c r="B339" i="37"/>
  <c r="B322" i="37"/>
  <c r="F234" i="37"/>
  <c r="L204" i="37"/>
  <c r="C175" i="37"/>
  <c r="C163" i="37"/>
  <c r="B331" i="37"/>
  <c r="B274" i="37"/>
  <c r="B53" i="43"/>
  <c r="B132" i="37"/>
  <c r="B249" i="37" s="1"/>
  <c r="B102" i="37"/>
  <c r="B219" i="37" s="1"/>
  <c r="B85" i="37"/>
  <c r="B202" i="37" s="1"/>
  <c r="B117" i="37"/>
  <c r="B234" i="37" s="1"/>
  <c r="B140" i="37"/>
  <c r="B257" i="37" s="1"/>
  <c r="B95" i="37"/>
  <c r="B212" i="37" s="1"/>
  <c r="B378" i="37"/>
  <c r="B358" i="37"/>
  <c r="B333" i="37"/>
  <c r="B138" i="37"/>
  <c r="B255" i="37" s="1"/>
  <c r="B118" i="37"/>
  <c r="B235" i="37" s="1"/>
  <c r="B92" i="37"/>
  <c r="B209" i="37" s="1"/>
  <c r="B377" i="37"/>
  <c r="B370" i="37"/>
  <c r="B359" i="37"/>
  <c r="B342" i="37"/>
  <c r="B334" i="37"/>
  <c r="B325" i="37"/>
  <c r="B137" i="37"/>
  <c r="B254" i="37" s="1"/>
  <c r="B96" i="37"/>
  <c r="B213" i="37" s="1"/>
  <c r="B130" i="37"/>
  <c r="B247" i="37" s="1"/>
  <c r="B90" i="37"/>
  <c r="B207" i="37" s="1"/>
  <c r="B376" i="37"/>
  <c r="B361" i="37"/>
  <c r="B335" i="37"/>
  <c r="C235" i="37"/>
  <c r="B40" i="37"/>
  <c r="B157" i="37" s="1"/>
  <c r="B61" i="37"/>
  <c r="B178" i="37" s="1"/>
  <c r="B304" i="37"/>
  <c r="B292" i="37"/>
  <c r="B291" i="37"/>
  <c r="B278" i="37"/>
  <c r="B282" i="37"/>
  <c r="B72" i="37"/>
  <c r="B189" i="37" s="1"/>
  <c r="B38" i="37"/>
  <c r="B155" i="37" s="1"/>
  <c r="B303" i="37"/>
  <c r="B41" i="37"/>
  <c r="B158" i="37" s="1"/>
  <c r="B289" i="37"/>
  <c r="B295" i="37"/>
  <c r="B316" i="37"/>
  <c r="B60" i="37"/>
  <c r="B177" i="37" s="1"/>
  <c r="B272" i="37"/>
  <c r="B36" i="37"/>
  <c r="B153" i="37" s="1"/>
  <c r="B308" i="37"/>
  <c r="B360" i="37"/>
  <c r="B53" i="41"/>
  <c r="B53" i="42"/>
  <c r="B143" i="37"/>
  <c r="B260" i="37" s="1"/>
  <c r="B128" i="37"/>
  <c r="B245" i="37" s="1"/>
  <c r="B98" i="37"/>
  <c r="B215" i="37" s="1"/>
  <c r="B81" i="37"/>
  <c r="B198" i="37" s="1"/>
  <c r="B100" i="37"/>
  <c r="B217" i="37" s="1"/>
  <c r="B133" i="37"/>
  <c r="B250" i="37" s="1"/>
  <c r="B86" i="37"/>
  <c r="B203" i="37" s="1"/>
  <c r="B374" i="37"/>
  <c r="B354" i="37"/>
  <c r="B328" i="37"/>
  <c r="B134" i="37"/>
  <c r="B251" i="37" s="1"/>
  <c r="B105" i="37"/>
  <c r="B222" i="37" s="1"/>
  <c r="B88" i="37"/>
  <c r="B205" i="37" s="1"/>
  <c r="B375" i="37"/>
  <c r="B367" i="37"/>
  <c r="B357" i="37"/>
  <c r="B340" i="37"/>
  <c r="B332" i="37"/>
  <c r="B323" i="37"/>
  <c r="B131" i="37"/>
  <c r="B248" i="37" s="1"/>
  <c r="B87" i="37"/>
  <c r="B204" i="37" s="1"/>
  <c r="B125" i="37"/>
  <c r="B242" i="37" s="1"/>
  <c r="B82" i="37"/>
  <c r="B199" i="37" s="1"/>
  <c r="B372" i="37"/>
  <c r="B356" i="37"/>
  <c r="B330" i="37"/>
  <c r="G234" i="37"/>
  <c r="N208" i="37"/>
  <c r="C199" i="37"/>
  <c r="I195" i="37"/>
  <c r="F165" i="37"/>
  <c r="I155" i="37"/>
  <c r="B286" i="37"/>
  <c r="B305" i="37"/>
  <c r="B43" i="37"/>
  <c r="B160" i="37" s="1"/>
  <c r="B284" i="37"/>
  <c r="B273" i="37"/>
  <c r="B45" i="37"/>
  <c r="B162" i="37" s="1"/>
  <c r="B35" i="37"/>
  <c r="B54" i="37"/>
  <c r="B171" i="37" s="1"/>
  <c r="B57" i="37"/>
  <c r="B174" i="37" s="1"/>
  <c r="B301" i="37"/>
  <c r="B288" i="37"/>
  <c r="B309" i="37"/>
  <c r="B296" i="37"/>
  <c r="B277" i="37"/>
  <c r="B298" i="37"/>
  <c r="B315" i="37"/>
  <c r="B300" i="37"/>
  <c r="B306" i="37"/>
  <c r="B314" i="37"/>
  <c r="B50" i="37"/>
  <c r="B167" i="37" s="1"/>
  <c r="B141" i="37"/>
  <c r="B258" i="37" s="1"/>
  <c r="B368" i="37"/>
  <c r="B101" i="37"/>
  <c r="B218" i="37" s="1"/>
  <c r="B381" i="37"/>
  <c r="B338" i="37"/>
  <c r="B144" i="37"/>
  <c r="B261" i="37" s="1"/>
  <c r="B343" i="37"/>
  <c r="H188" i="37"/>
  <c r="B290" i="37"/>
  <c r="B52" i="37"/>
  <c r="B169" i="37" s="1"/>
  <c r="B65" i="37"/>
  <c r="B182" i="37" s="1"/>
  <c r="B302" i="37"/>
  <c r="B275" i="37"/>
  <c r="B276" i="37"/>
  <c r="B297" i="37"/>
  <c r="B62" i="37"/>
  <c r="B179" i="37" s="1"/>
  <c r="B287" i="37"/>
  <c r="B139" i="37"/>
  <c r="B256" i="37" s="1"/>
  <c r="B91" i="37"/>
  <c r="B208" i="37" s="1"/>
  <c r="B341" i="37"/>
  <c r="B84" i="37"/>
  <c r="B201" i="37" s="1"/>
  <c r="B373" i="37"/>
  <c r="B329" i="37"/>
  <c r="B107" i="37"/>
  <c r="B224" i="37" s="1"/>
  <c r="B326" i="37"/>
  <c r="K208" i="37"/>
  <c r="B320" i="37"/>
  <c r="B79" i="37"/>
  <c r="B196" i="37" s="1"/>
  <c r="B307" i="37"/>
  <c r="B64" i="37"/>
  <c r="B181" i="37" s="1"/>
  <c r="B285" i="37"/>
  <c r="B42" i="37"/>
  <c r="B159" i="37" s="1"/>
  <c r="B279" i="37"/>
  <c r="B49" i="37"/>
  <c r="B166" i="37" s="1"/>
  <c r="B71" i="37"/>
  <c r="B188" i="37" s="1"/>
  <c r="B294" i="37"/>
  <c r="B93" i="37"/>
  <c r="B210" i="37" s="1"/>
  <c r="B127" i="37"/>
  <c r="B244" i="37" s="1"/>
  <c r="B355" i="37"/>
  <c r="B369" i="37"/>
  <c r="B73" i="37"/>
  <c r="B190" i="37" s="1"/>
  <c r="B63" i="37"/>
  <c r="B180" i="37" s="1"/>
  <c r="B39" i="37"/>
  <c r="B156" i="37" s="1"/>
  <c r="B51" i="37"/>
  <c r="B168" i="37" s="1"/>
  <c r="B283" i="37"/>
  <c r="B53" i="48"/>
  <c r="B319" i="37"/>
  <c r="B317" i="37"/>
  <c r="B280" i="37"/>
  <c r="B124" i="37"/>
  <c r="B241" i="37" s="1"/>
  <c r="B318" i="37"/>
  <c r="B47" i="37"/>
  <c r="B164" i="37" s="1"/>
  <c r="B293" i="37"/>
  <c r="B120" i="37"/>
  <c r="B237" i="37" s="1"/>
  <c r="B321" i="37"/>
  <c r="B58" i="37"/>
  <c r="B175" i="37" s="1"/>
  <c r="B46" i="37"/>
  <c r="B163" i="37" s="1"/>
  <c r="B67" i="37"/>
  <c r="B184" i="37" s="1"/>
  <c r="B310" i="37"/>
  <c r="B55" i="37"/>
  <c r="B172" i="37" s="1"/>
  <c r="B121" i="37"/>
  <c r="B238" i="37" s="1"/>
  <c r="B78" i="37"/>
  <c r="B195" i="37" s="1"/>
  <c r="B77" i="37"/>
  <c r="B194" i="37" s="1"/>
  <c r="B66" i="37"/>
  <c r="B183" i="37" s="1"/>
  <c r="B324" i="37"/>
  <c r="B364" i="37"/>
  <c r="L218" i="37"/>
  <c r="K196" i="37"/>
  <c r="B299" i="37"/>
  <c r="B59" i="37"/>
  <c r="B176" i="37" s="1"/>
  <c r="C104" i="45" l="1"/>
  <c r="G104" i="45"/>
  <c r="K104" i="45"/>
  <c r="D104" i="45"/>
  <c r="H104" i="45"/>
  <c r="J104" i="45"/>
  <c r="E104" i="45"/>
  <c r="I104" i="45"/>
  <c r="F104" i="45"/>
  <c r="BI309" i="37"/>
  <c r="BJ309" i="37" s="1"/>
  <c r="BK309" i="37" s="1"/>
  <c r="BL309" i="37" s="1"/>
  <c r="BM309" i="37" s="1"/>
  <c r="BN309" i="37" s="1"/>
  <c r="BO309" i="37" s="1"/>
  <c r="BP309" i="37" s="1"/>
  <c r="BQ309" i="37" s="1"/>
  <c r="BR309" i="37" s="1"/>
  <c r="BS309" i="37" s="1"/>
  <c r="BT309" i="37" s="1"/>
  <c r="BU309" i="37" s="1"/>
  <c r="BV309" i="37" s="1"/>
  <c r="BW309" i="37" s="1"/>
  <c r="E56" i="37"/>
  <c r="K118" i="45"/>
  <c r="G118" i="45"/>
  <c r="C118" i="45"/>
  <c r="I117" i="45"/>
  <c r="E117" i="45"/>
  <c r="K116" i="45"/>
  <c r="G116" i="45"/>
  <c r="C116" i="45"/>
  <c r="I115" i="45"/>
  <c r="E115" i="45"/>
  <c r="K114" i="45"/>
  <c r="G114" i="45"/>
  <c r="C114" i="45"/>
  <c r="I113" i="45"/>
  <c r="E113" i="45"/>
  <c r="K112" i="45"/>
  <c r="G112" i="45"/>
  <c r="C112" i="45"/>
  <c r="I111" i="45"/>
  <c r="E111" i="45"/>
  <c r="K110" i="45"/>
  <c r="G110" i="45"/>
  <c r="C110" i="45"/>
  <c r="I109" i="45"/>
  <c r="E109" i="45"/>
  <c r="J118" i="45"/>
  <c r="F118" i="45"/>
  <c r="B118" i="45"/>
  <c r="H117" i="45"/>
  <c r="D117" i="45"/>
  <c r="J116" i="45"/>
  <c r="F116" i="45"/>
  <c r="H115" i="45"/>
  <c r="D115" i="45"/>
  <c r="J114" i="45"/>
  <c r="F114" i="45"/>
  <c r="H113" i="45"/>
  <c r="D113" i="45"/>
  <c r="J112" i="45"/>
  <c r="F112" i="45"/>
  <c r="H111" i="45"/>
  <c r="D111" i="45"/>
  <c r="J110" i="45"/>
  <c r="F110" i="45"/>
  <c r="H109" i="45"/>
  <c r="D109" i="45"/>
  <c r="I118" i="45"/>
  <c r="K117" i="45"/>
  <c r="C117" i="45"/>
  <c r="E116" i="45"/>
  <c r="G115" i="45"/>
  <c r="I114" i="45"/>
  <c r="K113" i="45"/>
  <c r="C113" i="45"/>
  <c r="E112" i="45"/>
  <c r="G111" i="45"/>
  <c r="I110" i="45"/>
  <c r="K109" i="45"/>
  <c r="C109" i="45"/>
  <c r="H118" i="45"/>
  <c r="J117" i="45"/>
  <c r="D116" i="45"/>
  <c r="F115" i="45"/>
  <c r="H114" i="45"/>
  <c r="J113" i="45"/>
  <c r="D112" i="45"/>
  <c r="F111" i="45"/>
  <c r="H110" i="45"/>
  <c r="J109" i="45"/>
  <c r="E118" i="45"/>
  <c r="G117" i="45"/>
  <c r="I116" i="45"/>
  <c r="K115" i="45"/>
  <c r="C115" i="45"/>
  <c r="E114" i="45"/>
  <c r="G113" i="45"/>
  <c r="I112" i="45"/>
  <c r="K111" i="45"/>
  <c r="C111" i="45"/>
  <c r="E110" i="45"/>
  <c r="G109" i="45"/>
  <c r="D118" i="45"/>
  <c r="F117" i="45"/>
  <c r="H116" i="45"/>
  <c r="J115" i="45"/>
  <c r="D114" i="45"/>
  <c r="F113" i="45"/>
  <c r="H112" i="45"/>
  <c r="J111" i="45"/>
  <c r="D110" i="45"/>
  <c r="F109" i="45"/>
  <c r="B113" i="40"/>
  <c r="B113" i="48"/>
  <c r="B116" i="41"/>
  <c r="B114" i="39"/>
  <c r="B107" i="43"/>
  <c r="B108" i="41"/>
  <c r="B112" i="42"/>
  <c r="B115" i="48"/>
  <c r="B105" i="41"/>
  <c r="B114" i="43"/>
  <c r="B111" i="39"/>
  <c r="B104" i="41"/>
  <c r="B111" i="42"/>
  <c r="B107" i="39"/>
  <c r="B107" i="45" s="1"/>
  <c r="B114" i="40"/>
  <c r="B106" i="42"/>
  <c r="B106" i="48"/>
  <c r="B105" i="40"/>
  <c r="B112" i="41"/>
  <c r="B115" i="43"/>
  <c r="B115" i="39"/>
  <c r="B114" i="41"/>
  <c r="B110" i="48"/>
  <c r="B116" i="42"/>
  <c r="B105" i="39"/>
  <c r="B107" i="40"/>
  <c r="B109" i="41"/>
  <c r="B113" i="42"/>
  <c r="B104" i="48"/>
  <c r="B109" i="42"/>
  <c r="B116" i="39"/>
  <c r="B117" i="45" s="1"/>
  <c r="B110" i="41"/>
  <c r="B111" i="43"/>
  <c r="B112" i="39"/>
  <c r="B106" i="41"/>
  <c r="B114" i="42"/>
  <c r="B114" i="48"/>
  <c r="B110" i="40"/>
  <c r="B107" i="42"/>
  <c r="B109" i="48"/>
  <c r="B106" i="40"/>
  <c r="B110" i="42"/>
  <c r="B104" i="42"/>
  <c r="B105" i="43"/>
  <c r="B107" i="48"/>
  <c r="B109" i="39"/>
  <c r="B111" i="40"/>
  <c r="B113" i="41"/>
  <c r="B106" i="43"/>
  <c r="B108" i="48"/>
  <c r="B106" i="39"/>
  <c r="B109" i="40"/>
  <c r="B112" i="43"/>
  <c r="B107" i="41"/>
  <c r="B110" i="39"/>
  <c r="B111" i="45" s="1"/>
  <c r="B116" i="43"/>
  <c r="B113" i="43"/>
  <c r="B116" i="48"/>
  <c r="B108" i="40"/>
  <c r="B115" i="41"/>
  <c r="B105" i="48"/>
  <c r="B104" i="40"/>
  <c r="B111" i="41"/>
  <c r="B104" i="43"/>
  <c r="B108" i="39"/>
  <c r="B108" i="45" s="1"/>
  <c r="B116" i="40"/>
  <c r="B115" i="42"/>
  <c r="B104" i="39"/>
  <c r="B112" i="40"/>
  <c r="B108" i="43"/>
  <c r="B108" i="42"/>
  <c r="B109" i="43"/>
  <c r="B111" i="48"/>
  <c r="B113" i="39"/>
  <c r="B114" i="45" s="1"/>
  <c r="B115" i="40"/>
  <c r="B105" i="42"/>
  <c r="B110" i="43"/>
  <c r="B112" i="48"/>
  <c r="C110" i="37"/>
  <c r="C227" i="37" s="1"/>
  <c r="L56" i="37"/>
  <c r="L173" i="37" s="1"/>
  <c r="G56" i="37"/>
  <c r="G173" i="37" s="1"/>
  <c r="F56" i="37"/>
  <c r="F173" i="37" s="1"/>
  <c r="K72" i="37"/>
  <c r="K189" i="37" s="1"/>
  <c r="M122" i="37"/>
  <c r="M239" i="37" s="1"/>
  <c r="G110" i="37"/>
  <c r="G227" i="37" s="1"/>
  <c r="D110" i="37"/>
  <c r="D227" i="37" s="1"/>
  <c r="C99" i="37"/>
  <c r="C216" i="37" s="1"/>
  <c r="F276" i="37"/>
  <c r="F336" i="37"/>
  <c r="G336" i="37" s="1"/>
  <c r="H336" i="37" s="1"/>
  <c r="I336" i="37" s="1"/>
  <c r="J336" i="37" s="1"/>
  <c r="K336" i="37" s="1"/>
  <c r="L336" i="37" s="1"/>
  <c r="M336" i="37" s="1"/>
  <c r="N336" i="37" s="1"/>
  <c r="O336" i="37" s="1"/>
  <c r="P336" i="37" s="1"/>
  <c r="Q336" i="37" s="1"/>
  <c r="R336" i="37" s="1"/>
  <c r="S336" i="37" s="1"/>
  <c r="T336" i="37" s="1"/>
  <c r="U336" i="37" s="1"/>
  <c r="V336" i="37" s="1"/>
  <c r="W336" i="37" s="1"/>
  <c r="X336" i="37" s="1"/>
  <c r="Y336" i="37" s="1"/>
  <c r="Z336" i="37" s="1"/>
  <c r="AA336" i="37" s="1"/>
  <c r="AB336" i="37" s="1"/>
  <c r="AC336" i="37" s="1"/>
  <c r="AD336" i="37" s="1"/>
  <c r="AE336" i="37" s="1"/>
  <c r="AF336" i="37" s="1"/>
  <c r="AG336" i="37" s="1"/>
  <c r="AH336" i="37" s="1"/>
  <c r="AI336" i="37" s="1"/>
  <c r="AJ336" i="37" s="1"/>
  <c r="AK336" i="37" s="1"/>
  <c r="AL336" i="37" s="1"/>
  <c r="AM336" i="37" s="1"/>
  <c r="AN336" i="37" s="1"/>
  <c r="AO336" i="37" s="1"/>
  <c r="AP336" i="37" s="1"/>
  <c r="AQ336" i="37" s="1"/>
  <c r="AR336" i="37" s="1"/>
  <c r="AS336" i="37" s="1"/>
  <c r="AT336" i="37" s="1"/>
  <c r="AU336" i="37" s="1"/>
  <c r="AV336" i="37" s="1"/>
  <c r="AW336" i="37" s="1"/>
  <c r="AX336" i="37" s="1"/>
  <c r="AY336" i="37" s="1"/>
  <c r="AZ336" i="37" s="1"/>
  <c r="BA336" i="37" s="1"/>
  <c r="BB336" i="37" s="1"/>
  <c r="BC336" i="37" s="1"/>
  <c r="BD336" i="37" s="1"/>
  <c r="BE336" i="37" s="1"/>
  <c r="BF336" i="37" s="1"/>
  <c r="BG336" i="37" s="1"/>
  <c r="BH336" i="37" s="1"/>
  <c r="BI336" i="37" s="1"/>
  <c r="BJ336" i="37" s="1"/>
  <c r="BK336" i="37" s="1"/>
  <c r="BL336" i="37" s="1"/>
  <c r="BM336" i="37" s="1"/>
  <c r="BN336" i="37" s="1"/>
  <c r="BO336" i="37" s="1"/>
  <c r="BP336" i="37" s="1"/>
  <c r="BQ336" i="37" s="1"/>
  <c r="BR336" i="37" s="1"/>
  <c r="BS336" i="37" s="1"/>
  <c r="BT336" i="37" s="1"/>
  <c r="BU336" i="37" s="1"/>
  <c r="BV336" i="37" s="1"/>
  <c r="BW336" i="37" s="1"/>
  <c r="F110" i="37"/>
  <c r="F227" i="37" s="1"/>
  <c r="E110" i="37"/>
  <c r="E227" i="37" s="1"/>
  <c r="N110" i="37"/>
  <c r="N227" i="37" s="1"/>
  <c r="M110" i="37"/>
  <c r="M227" i="37" s="1"/>
  <c r="L110" i="37"/>
  <c r="L227" i="37" s="1"/>
  <c r="H110" i="37"/>
  <c r="H227" i="37" s="1"/>
  <c r="C122" i="37"/>
  <c r="C239" i="37" s="1"/>
  <c r="N72" i="37"/>
  <c r="N189" i="37" s="1"/>
  <c r="H122" i="37"/>
  <c r="H239" i="37" s="1"/>
  <c r="F72" i="37"/>
  <c r="F189" i="37" s="1"/>
  <c r="E72" i="37"/>
  <c r="E189" i="37" s="1"/>
  <c r="L122" i="37"/>
  <c r="L239" i="37" s="1"/>
  <c r="L72" i="37"/>
  <c r="L189" i="37" s="1"/>
  <c r="K56" i="37"/>
  <c r="K173" i="37" s="1"/>
  <c r="J122" i="37"/>
  <c r="J239" i="37" s="1"/>
  <c r="M56" i="37"/>
  <c r="M173" i="37" s="1"/>
  <c r="M72" i="37"/>
  <c r="M189" i="37" s="1"/>
  <c r="G122" i="37"/>
  <c r="G239" i="37" s="1"/>
  <c r="N122" i="37"/>
  <c r="N239" i="37" s="1"/>
  <c r="I56" i="37"/>
  <c r="I173" i="37" s="1"/>
  <c r="N56" i="37"/>
  <c r="N173" i="37" s="1"/>
  <c r="E122" i="37"/>
  <c r="E239" i="37" s="1"/>
  <c r="F331" i="37"/>
  <c r="F302" i="37"/>
  <c r="G302" i="37" s="1"/>
  <c r="H302" i="37" s="1"/>
  <c r="I302" i="37" s="1"/>
  <c r="J302" i="37" s="1"/>
  <c r="K302" i="37" s="1"/>
  <c r="L302" i="37" s="1"/>
  <c r="M302" i="37" s="1"/>
  <c r="N302" i="37" s="1"/>
  <c r="O302" i="37" s="1"/>
  <c r="P302" i="37" s="1"/>
  <c r="Q302" i="37" s="1"/>
  <c r="R302" i="37" s="1"/>
  <c r="S302" i="37" s="1"/>
  <c r="T302" i="37" s="1"/>
  <c r="U302" i="37" s="1"/>
  <c r="V302" i="37" s="1"/>
  <c r="W302" i="37" s="1"/>
  <c r="X302" i="37" s="1"/>
  <c r="Y302" i="37" s="1"/>
  <c r="Z302" i="37" s="1"/>
  <c r="AA302" i="37" s="1"/>
  <c r="AB302" i="37" s="1"/>
  <c r="AC302" i="37" s="1"/>
  <c r="AD302" i="37" s="1"/>
  <c r="AE302" i="37" s="1"/>
  <c r="AF302" i="37" s="1"/>
  <c r="AG302" i="37" s="1"/>
  <c r="AH302" i="37" s="1"/>
  <c r="AI302" i="37" s="1"/>
  <c r="AJ302" i="37" s="1"/>
  <c r="AK302" i="37" s="1"/>
  <c r="AL302" i="37" s="1"/>
  <c r="AM302" i="37" s="1"/>
  <c r="AN302" i="37" s="1"/>
  <c r="AO302" i="37" s="1"/>
  <c r="AP302" i="37" s="1"/>
  <c r="AQ302" i="37" s="1"/>
  <c r="AR302" i="37" s="1"/>
  <c r="AS302" i="37" s="1"/>
  <c r="AT302" i="37" s="1"/>
  <c r="AU302" i="37" s="1"/>
  <c r="AV302" i="37" s="1"/>
  <c r="AW302" i="37" s="1"/>
  <c r="AX302" i="37" s="1"/>
  <c r="AY302" i="37" s="1"/>
  <c r="AZ302" i="37" s="1"/>
  <c r="BA302" i="37" s="1"/>
  <c r="BB302" i="37" s="1"/>
  <c r="BC302" i="37" s="1"/>
  <c r="BD302" i="37" s="1"/>
  <c r="BE302" i="37" s="1"/>
  <c r="BF302" i="37" s="1"/>
  <c r="BG302" i="37" s="1"/>
  <c r="BH302" i="37" s="1"/>
  <c r="BI302" i="37" s="1"/>
  <c r="BJ302" i="37" s="1"/>
  <c r="BK302" i="37" s="1"/>
  <c r="BL302" i="37" s="1"/>
  <c r="BM302" i="37" s="1"/>
  <c r="BN302" i="37" s="1"/>
  <c r="BO302" i="37" s="1"/>
  <c r="BP302" i="37" s="1"/>
  <c r="BQ302" i="37" s="1"/>
  <c r="BR302" i="37" s="1"/>
  <c r="BS302" i="37" s="1"/>
  <c r="BT302" i="37" s="1"/>
  <c r="BU302" i="37" s="1"/>
  <c r="BV302" i="37" s="1"/>
  <c r="BW302" i="37" s="1"/>
  <c r="F280" i="37"/>
  <c r="F305" i="37"/>
  <c r="F274" i="37"/>
  <c r="I110" i="37"/>
  <c r="I227" i="37" s="1"/>
  <c r="J56" i="37"/>
  <c r="J173" i="37" s="1"/>
  <c r="H56" i="37"/>
  <c r="H173" i="37" s="1"/>
  <c r="F325" i="37"/>
  <c r="F368" i="37"/>
  <c r="F122" i="37"/>
  <c r="F239" i="37" s="1"/>
  <c r="D122" i="37"/>
  <c r="D239" i="37" s="1"/>
  <c r="J110" i="37"/>
  <c r="J227" i="37" s="1"/>
  <c r="E173" i="37"/>
  <c r="F277" i="37"/>
  <c r="F335" i="37"/>
  <c r="J72" i="37"/>
  <c r="J189" i="37" s="1"/>
  <c r="I72" i="37"/>
  <c r="I189" i="37" s="1"/>
  <c r="F322" i="37"/>
  <c r="K122" i="37"/>
  <c r="K239" i="37" s="1"/>
  <c r="I122" i="37"/>
  <c r="I239" i="37" s="1"/>
  <c r="K110" i="37"/>
  <c r="K227" i="37" s="1"/>
  <c r="G72" i="37"/>
  <c r="G189" i="37" s="1"/>
  <c r="F340" i="37"/>
  <c r="F372" i="37"/>
  <c r="F326" i="37"/>
  <c r="F339" i="37"/>
  <c r="F290" i="37"/>
  <c r="B13" i="48"/>
  <c r="F3" i="45"/>
  <c r="K108" i="45"/>
  <c r="G108" i="45"/>
  <c r="C108" i="45"/>
  <c r="I107" i="45"/>
  <c r="E107" i="45"/>
  <c r="K106" i="45"/>
  <c r="G106" i="45"/>
  <c r="C106" i="45"/>
  <c r="H105" i="45"/>
  <c r="D105" i="45"/>
  <c r="J107" i="45"/>
  <c r="D106" i="45"/>
  <c r="J108" i="45"/>
  <c r="F108" i="45"/>
  <c r="H107" i="45"/>
  <c r="D107" i="45"/>
  <c r="J106" i="45"/>
  <c r="F106" i="45"/>
  <c r="K105" i="45"/>
  <c r="G105" i="45"/>
  <c r="C105" i="45"/>
  <c r="D108" i="45"/>
  <c r="I105" i="45"/>
  <c r="I108" i="45"/>
  <c r="E108" i="45"/>
  <c r="K107" i="45"/>
  <c r="G107" i="45"/>
  <c r="C107" i="45"/>
  <c r="I106" i="45"/>
  <c r="E106" i="45"/>
  <c r="J105" i="45"/>
  <c r="F105" i="45"/>
  <c r="H108" i="45"/>
  <c r="F107" i="45"/>
  <c r="H106" i="45"/>
  <c r="E105" i="45"/>
  <c r="B17" i="42"/>
  <c r="B17" i="48"/>
  <c r="B17" i="39"/>
  <c r="B17" i="41"/>
  <c r="B17" i="43"/>
  <c r="B17" i="40"/>
  <c r="K12" i="45"/>
  <c r="B46" i="42"/>
  <c r="K28" i="45"/>
  <c r="J87" i="45"/>
  <c r="K102" i="45"/>
  <c r="G102" i="45"/>
  <c r="C102" i="45"/>
  <c r="J102" i="45"/>
  <c r="F102" i="45"/>
  <c r="I102" i="45"/>
  <c r="E102" i="45"/>
  <c r="H102" i="45"/>
  <c r="D102" i="45"/>
  <c r="B6" i="42"/>
  <c r="B5" i="48"/>
  <c r="B6" i="40"/>
  <c r="B5" i="43"/>
  <c r="B52" i="39"/>
  <c r="B4" i="43"/>
  <c r="B4" i="39"/>
  <c r="E67" i="45"/>
  <c r="H37" i="45"/>
  <c r="K51" i="45"/>
  <c r="I100" i="45"/>
  <c r="B8" i="42"/>
  <c r="F24" i="45"/>
  <c r="I85" i="45"/>
  <c r="E8" i="45"/>
  <c r="E63" i="45"/>
  <c r="F39" i="45"/>
  <c r="H88" i="45"/>
  <c r="H14" i="45"/>
  <c r="H7" i="45"/>
  <c r="G32" i="45"/>
  <c r="I97" i="45"/>
  <c r="E30" i="45"/>
  <c r="D51" i="45"/>
  <c r="J3" i="45"/>
  <c r="C54" i="45"/>
  <c r="H67" i="45"/>
  <c r="F27" i="45"/>
  <c r="G7" i="45"/>
  <c r="H55" i="45"/>
  <c r="K22" i="45"/>
  <c r="K24" i="45"/>
  <c r="G56" i="45"/>
  <c r="J64" i="45"/>
  <c r="H18" i="45"/>
  <c r="G21" i="45"/>
  <c r="I55" i="45"/>
  <c r="D11" i="45"/>
  <c r="F85" i="45"/>
  <c r="C6" i="45"/>
  <c r="E71" i="45"/>
  <c r="K4" i="45"/>
  <c r="H69" i="45"/>
  <c r="I88" i="45"/>
  <c r="D25" i="45"/>
  <c r="G92" i="45"/>
  <c r="D58" i="45"/>
  <c r="H16" i="45"/>
  <c r="K55" i="45"/>
  <c r="I75" i="45"/>
  <c r="J26" i="45"/>
  <c r="D14" i="45"/>
  <c r="F4" i="45"/>
  <c r="H97" i="45"/>
  <c r="I34" i="45"/>
  <c r="D5" i="45"/>
  <c r="H103" i="45"/>
  <c r="K103" i="45"/>
  <c r="E101" i="45"/>
  <c r="F103" i="45"/>
  <c r="K101" i="45"/>
  <c r="I98" i="45"/>
  <c r="H91" i="45"/>
  <c r="G84" i="45"/>
  <c r="F77" i="45"/>
  <c r="E70" i="45"/>
  <c r="G95" i="45"/>
  <c r="F88" i="45"/>
  <c r="E81" i="45"/>
  <c r="D74" i="45"/>
  <c r="K98" i="45"/>
  <c r="J91" i="45"/>
  <c r="I84" i="45"/>
  <c r="H77" i="45"/>
  <c r="G70" i="45"/>
  <c r="C100" i="45"/>
  <c r="K92" i="45"/>
  <c r="J85" i="45"/>
  <c r="I78" i="45"/>
  <c r="H71" i="45"/>
  <c r="J96" i="45"/>
  <c r="I89" i="45"/>
  <c r="H82" i="45"/>
  <c r="G75" i="45"/>
  <c r="E100" i="45"/>
  <c r="D93" i="45"/>
  <c r="C86" i="45"/>
  <c r="K78" i="45"/>
  <c r="J71" i="45"/>
  <c r="F86" i="45"/>
  <c r="C66" i="45"/>
  <c r="K58" i="45"/>
  <c r="C93" i="45"/>
  <c r="I67" i="45"/>
  <c r="H60" i="45"/>
  <c r="G53" i="45"/>
  <c r="E87" i="45"/>
  <c r="C92" i="45"/>
  <c r="J77" i="45"/>
  <c r="K95" i="45"/>
  <c r="I81" i="45"/>
  <c r="F99" i="45"/>
  <c r="D85" i="45"/>
  <c r="K70" i="45"/>
  <c r="F67" i="45"/>
  <c r="C58" i="45"/>
  <c r="H80" i="45"/>
  <c r="K61" i="45"/>
  <c r="H52" i="45"/>
  <c r="J74" i="45"/>
  <c r="D63" i="45"/>
  <c r="C56" i="45"/>
  <c r="K48" i="45"/>
  <c r="J41" i="45"/>
  <c r="H54" i="45"/>
  <c r="E43" i="45"/>
  <c r="F35" i="45"/>
  <c r="E28" i="45"/>
  <c r="D21" i="45"/>
  <c r="I95" i="45"/>
  <c r="G50" i="45"/>
  <c r="I40" i="45"/>
  <c r="G33" i="45"/>
  <c r="F26" i="45"/>
  <c r="E19" i="45"/>
  <c r="I53" i="45"/>
  <c r="K42" i="45"/>
  <c r="D35" i="45"/>
  <c r="C28" i="45"/>
  <c r="K20" i="45"/>
  <c r="J70" i="45"/>
  <c r="J24" i="45"/>
  <c r="I10" i="45"/>
  <c r="D103" i="45"/>
  <c r="G103" i="45"/>
  <c r="H101" i="45"/>
  <c r="G101" i="45"/>
  <c r="K96" i="45"/>
  <c r="J89" i="45"/>
  <c r="I82" i="45"/>
  <c r="H75" i="45"/>
  <c r="J100" i="45"/>
  <c r="I93" i="45"/>
  <c r="H86" i="45"/>
  <c r="G79" i="45"/>
  <c r="F72" i="45"/>
  <c r="D97" i="45"/>
  <c r="C90" i="45"/>
  <c r="K82" i="45"/>
  <c r="J75" i="45"/>
  <c r="I68" i="45"/>
  <c r="E98" i="45"/>
  <c r="D91" i="45"/>
  <c r="C84" i="45"/>
  <c r="K76" i="45"/>
  <c r="J69" i="45"/>
  <c r="C95" i="45"/>
  <c r="K87" i="45"/>
  <c r="J80" i="45"/>
  <c r="I73" i="45"/>
  <c r="G98" i="45"/>
  <c r="F91" i="45"/>
  <c r="E84" i="45"/>
  <c r="D77" i="45"/>
  <c r="C70" i="45"/>
  <c r="E79" i="45"/>
  <c r="E64" i="45"/>
  <c r="D57" i="45"/>
  <c r="K85" i="45"/>
  <c r="K65" i="45"/>
  <c r="J58" i="45"/>
  <c r="I51" i="45"/>
  <c r="D80" i="45"/>
  <c r="G88" i="45"/>
  <c r="E74" i="45"/>
  <c r="F92" i="45"/>
  <c r="D78" i="45"/>
  <c r="J95" i="45"/>
  <c r="H81" i="45"/>
  <c r="C97" i="45"/>
  <c r="D65" i="45"/>
  <c r="J55" i="45"/>
  <c r="K69" i="45"/>
  <c r="I59" i="45"/>
  <c r="F50" i="45"/>
  <c r="G68" i="45"/>
  <c r="F61" i="45"/>
  <c r="E54" i="45"/>
  <c r="D47" i="45"/>
  <c r="G97" i="45"/>
  <c r="H50" i="45"/>
  <c r="J40" i="45"/>
  <c r="H33" i="45"/>
  <c r="G26" i="45"/>
  <c r="F19" i="45"/>
  <c r="F68" i="45"/>
  <c r="J47" i="45"/>
  <c r="J38" i="45"/>
  <c r="I31" i="45"/>
  <c r="H24" i="45"/>
  <c r="K93" i="45"/>
  <c r="D50" i="45"/>
  <c r="H40" i="45"/>
  <c r="F33" i="45"/>
  <c r="E26" i="45"/>
  <c r="D19" i="45"/>
  <c r="D48" i="45"/>
  <c r="I17" i="45"/>
  <c r="K8" i="45"/>
  <c r="C103" i="45"/>
  <c r="C101" i="45"/>
  <c r="C88" i="45"/>
  <c r="J73" i="45"/>
  <c r="K91" i="45"/>
  <c r="I77" i="45"/>
  <c r="F95" i="45"/>
  <c r="D81" i="45"/>
  <c r="E95" i="45"/>
  <c r="F89" i="45"/>
  <c r="D75" i="45"/>
  <c r="E93" i="45"/>
  <c r="C79" i="45"/>
  <c r="I96" i="45"/>
  <c r="G82" i="45"/>
  <c r="H100" i="45"/>
  <c r="G62" i="45"/>
  <c r="J78" i="45"/>
  <c r="C57" i="45"/>
  <c r="D99" i="45"/>
  <c r="I70" i="45"/>
  <c r="H74" i="45"/>
  <c r="C78" i="45"/>
  <c r="K62" i="45"/>
  <c r="J66" i="45"/>
  <c r="H92" i="45"/>
  <c r="H59" i="45"/>
  <c r="F45" i="45"/>
  <c r="K47" i="45"/>
  <c r="J31" i="45"/>
  <c r="H17" i="45"/>
  <c r="G45" i="45"/>
  <c r="K29" i="45"/>
  <c r="K67" i="45"/>
  <c r="I38" i="45"/>
  <c r="G24" i="45"/>
  <c r="C39" i="45"/>
  <c r="D7" i="45"/>
  <c r="G39" i="45"/>
  <c r="H53" i="45"/>
  <c r="J20" i="45"/>
  <c r="I9" i="45"/>
  <c r="I37" i="45"/>
  <c r="I65" i="45"/>
  <c r="K23" i="45"/>
  <c r="G10" i="45"/>
  <c r="K77" i="45"/>
  <c r="E3" i="45"/>
  <c r="D87" i="45"/>
  <c r="K72" i="45"/>
  <c r="C91" i="45"/>
  <c r="J76" i="45"/>
  <c r="G94" i="45"/>
  <c r="E80" i="45"/>
  <c r="I91" i="45"/>
  <c r="I64" i="45"/>
  <c r="K54" i="45"/>
  <c r="H68" i="45"/>
  <c r="E59" i="45"/>
  <c r="I99" i="45"/>
  <c r="C68" i="45"/>
  <c r="K60" i="45"/>
  <c r="J53" i="45"/>
  <c r="I46" i="45"/>
  <c r="F90" i="45"/>
  <c r="I49" i="45"/>
  <c r="E40" i="45"/>
  <c r="D33" i="45"/>
  <c r="C26" i="45"/>
  <c r="K18" i="45"/>
  <c r="H66" i="45"/>
  <c r="E47" i="45"/>
  <c r="F38" i="45"/>
  <c r="E31" i="45"/>
  <c r="D24" i="45"/>
  <c r="J86" i="45"/>
  <c r="G49" i="45"/>
  <c r="C40" i="45"/>
  <c r="K32" i="45"/>
  <c r="J25" i="45"/>
  <c r="I18" i="45"/>
  <c r="I45" i="45"/>
  <c r="I101" i="45"/>
  <c r="J103" i="45"/>
  <c r="G100" i="45"/>
  <c r="E86" i="45"/>
  <c r="C72" i="45"/>
  <c r="D90" i="45"/>
  <c r="K75" i="45"/>
  <c r="H93" i="45"/>
  <c r="F79" i="45"/>
  <c r="D88" i="45"/>
  <c r="H87" i="45"/>
  <c r="F73" i="45"/>
  <c r="G91" i="45"/>
  <c r="E77" i="45"/>
  <c r="K94" i="45"/>
  <c r="I80" i="45"/>
  <c r="G93" i="45"/>
  <c r="I60" i="45"/>
  <c r="I71" i="45"/>
  <c r="E55" i="45"/>
  <c r="H95" i="45"/>
  <c r="G99" i="45"/>
  <c r="C71" i="45"/>
  <c r="G74" i="45"/>
  <c r="E60" i="45"/>
  <c r="H64" i="45"/>
  <c r="I83" i="45"/>
  <c r="J57" i="45"/>
  <c r="H43" i="45"/>
  <c r="H45" i="45"/>
  <c r="C30" i="45"/>
  <c r="J15" i="45"/>
  <c r="C43" i="45"/>
  <c r="D28" i="45"/>
  <c r="J60" i="45"/>
  <c r="K36" i="45"/>
  <c r="I22" i="45"/>
  <c r="K31" i="45"/>
  <c r="F5" i="45"/>
  <c r="C17" i="45"/>
  <c r="J42" i="45"/>
  <c r="I15" i="45"/>
  <c r="K7" i="45"/>
  <c r="D18" i="45"/>
  <c r="K46" i="45"/>
  <c r="E17" i="45"/>
  <c r="I8" i="45"/>
  <c r="H30" i="45"/>
  <c r="J97" i="45"/>
  <c r="H83" i="45"/>
  <c r="F69" i="45"/>
  <c r="G87" i="45"/>
  <c r="E73" i="45"/>
  <c r="K90" i="45"/>
  <c r="I76" i="45"/>
  <c r="C81" i="45"/>
  <c r="C62" i="45"/>
  <c r="H96" i="45"/>
  <c r="F66" i="45"/>
  <c r="H56" i="45"/>
  <c r="J90" i="45"/>
  <c r="E66" i="45"/>
  <c r="D59" i="45"/>
  <c r="C52" i="45"/>
  <c r="K44" i="45"/>
  <c r="C67" i="45"/>
  <c r="F47" i="45"/>
  <c r="G38" i="45"/>
  <c r="F31" i="45"/>
  <c r="E24" i="45"/>
  <c r="D17" i="45"/>
  <c r="G59" i="45"/>
  <c r="J44" i="45"/>
  <c r="H36" i="45"/>
  <c r="G29" i="45"/>
  <c r="F22" i="45"/>
  <c r="D66" i="45"/>
  <c r="C47" i="45"/>
  <c r="E38" i="45"/>
  <c r="D31" i="45"/>
  <c r="C24" i="45"/>
  <c r="K16" i="45"/>
  <c r="J101" i="45"/>
  <c r="I103" i="45"/>
  <c r="K80" i="45"/>
  <c r="J84" i="45"/>
  <c r="E88" i="45"/>
  <c r="G96" i="45"/>
  <c r="F100" i="45"/>
  <c r="K71" i="45"/>
  <c r="F75" i="45"/>
  <c r="F55" i="45"/>
  <c r="K49" i="45"/>
  <c r="J88" i="45"/>
  <c r="J82" i="45"/>
  <c r="G57" i="45"/>
  <c r="G52" i="45"/>
  <c r="K38" i="45"/>
  <c r="E61" i="45"/>
  <c r="J22" i="45"/>
  <c r="H31" i="45"/>
  <c r="E14" i="45"/>
  <c r="G9" i="45"/>
  <c r="E13" i="45"/>
  <c r="J10" i="45"/>
  <c r="C14" i="45"/>
  <c r="K13" i="45"/>
  <c r="C80" i="45"/>
  <c r="K83" i="45"/>
  <c r="F87" i="45"/>
  <c r="F70" i="45"/>
  <c r="I87" i="45"/>
  <c r="F54" i="45"/>
  <c r="G64" i="45"/>
  <c r="E50" i="45"/>
  <c r="K59" i="45"/>
  <c r="I36" i="45"/>
  <c r="G22" i="45"/>
  <c r="D53" i="45"/>
  <c r="J34" i="45"/>
  <c r="H20" i="45"/>
  <c r="I44" i="45"/>
  <c r="F29" i="45"/>
  <c r="D15" i="45"/>
  <c r="C23" i="45"/>
  <c r="E10" i="45"/>
  <c r="D3" i="45"/>
  <c r="D8" i="45"/>
  <c r="E33" i="45"/>
  <c r="J12" i="45"/>
  <c r="I5" i="45"/>
  <c r="K9" i="45"/>
  <c r="F36" i="45"/>
  <c r="H13" i="45"/>
  <c r="G6" i="45"/>
  <c r="H12" i="45"/>
  <c r="D83" i="45"/>
  <c r="C87" i="45"/>
  <c r="G90" i="45"/>
  <c r="G77" i="45"/>
  <c r="J94" i="45"/>
  <c r="D56" i="45"/>
  <c r="J65" i="45"/>
  <c r="H51" i="45"/>
  <c r="E65" i="45"/>
  <c r="C38" i="45"/>
  <c r="J23" i="45"/>
  <c r="I57" i="45"/>
  <c r="D36" i="45"/>
  <c r="K21" i="45"/>
  <c r="G46" i="45"/>
  <c r="I30" i="45"/>
  <c r="G16" i="45"/>
  <c r="F13" i="45"/>
  <c r="J28" i="45"/>
  <c r="G17" i="45"/>
  <c r="C27" i="45"/>
  <c r="F20" i="45"/>
  <c r="H41" i="45"/>
  <c r="G72" i="45"/>
  <c r="J79" i="45"/>
  <c r="D68" i="45"/>
  <c r="K56" i="45"/>
  <c r="H25" i="45"/>
  <c r="F34" i="45"/>
  <c r="D44" i="45"/>
  <c r="I14" i="45"/>
  <c r="C13" i="45"/>
  <c r="G13" i="45"/>
  <c r="K19" i="45"/>
  <c r="F96" i="45"/>
  <c r="H84" i="45"/>
  <c r="C53" i="45"/>
  <c r="E42" i="45"/>
  <c r="H21" i="45"/>
  <c r="E41" i="45"/>
  <c r="G55" i="45"/>
  <c r="E99" i="45"/>
  <c r="F60" i="45"/>
  <c r="I25" i="45"/>
  <c r="C96" i="45"/>
  <c r="K99" i="45"/>
  <c r="G71" i="45"/>
  <c r="K74" i="45"/>
  <c r="D61" i="45"/>
  <c r="C65" i="45"/>
  <c r="G85" i="45"/>
  <c r="E58" i="45"/>
  <c r="C44" i="45"/>
  <c r="D46" i="45"/>
  <c r="G30" i="45"/>
  <c r="E16" i="45"/>
  <c r="I43" i="45"/>
  <c r="H28" i="45"/>
  <c r="H62" i="45"/>
  <c r="F37" i="45"/>
  <c r="D23" i="45"/>
  <c r="I33" i="45"/>
  <c r="J5" i="45"/>
  <c r="D45" i="45"/>
  <c r="F8" i="45"/>
  <c r="E49" i="45"/>
  <c r="D9" i="45"/>
  <c r="J93" i="45"/>
  <c r="E69" i="45"/>
  <c r="F59" i="45"/>
  <c r="F78" i="45"/>
  <c r="E46" i="45"/>
  <c r="F44" i="45"/>
  <c r="C22" i="45"/>
  <c r="K37" i="45"/>
  <c r="J48" i="45"/>
  <c r="E18" i="45"/>
  <c r="J51" i="45"/>
  <c r="J56" i="45"/>
  <c r="E4" i="45"/>
  <c r="E89" i="45"/>
  <c r="F82" i="45"/>
  <c r="H48" i="45"/>
  <c r="G28" i="45"/>
  <c r="I13" i="45"/>
  <c r="F71" i="45"/>
  <c r="D67" i="45"/>
  <c r="J43" i="45"/>
  <c r="C63" i="45"/>
  <c r="E48" i="45"/>
  <c r="C15" i="45"/>
  <c r="K43" i="45"/>
  <c r="F101" i="45"/>
  <c r="E103" i="45"/>
  <c r="D79" i="45"/>
  <c r="C83" i="45"/>
  <c r="G86" i="45"/>
  <c r="I94" i="45"/>
  <c r="H98" i="45"/>
  <c r="D70" i="45"/>
  <c r="H73" i="45"/>
  <c r="D100" i="45"/>
  <c r="F94" i="45"/>
  <c r="E85" i="45"/>
  <c r="K73" i="45"/>
  <c r="J54" i="45"/>
  <c r="I50" i="45"/>
  <c r="D37" i="45"/>
  <c r="D54" i="45"/>
  <c r="C21" i="45"/>
  <c r="J29" i="45"/>
  <c r="G12" i="45"/>
  <c r="D4" i="45"/>
  <c r="G11" i="45"/>
  <c r="F6" i="45"/>
  <c r="E12" i="45"/>
  <c r="H8" i="45"/>
  <c r="G76" i="45"/>
  <c r="F80" i="45"/>
  <c r="J83" i="45"/>
  <c r="K66" i="45"/>
  <c r="C77" i="45"/>
  <c r="D52" i="45"/>
  <c r="I62" i="45"/>
  <c r="G48" i="45"/>
  <c r="E53" i="45"/>
  <c r="K34" i="45"/>
  <c r="I20" i="45"/>
  <c r="H49" i="45"/>
  <c r="C33" i="45"/>
  <c r="J18" i="45"/>
  <c r="F42" i="45"/>
  <c r="H27" i="45"/>
  <c r="D62" i="45"/>
  <c r="J16" i="45"/>
  <c r="G8" i="45"/>
  <c r="K63" i="45"/>
  <c r="D92" i="45"/>
  <c r="D26" i="45"/>
  <c r="C11" i="45"/>
  <c r="C3" i="45"/>
  <c r="C5" i="45"/>
  <c r="E29" i="45"/>
  <c r="J11" i="45"/>
  <c r="I4" i="45"/>
  <c r="E7" i="45"/>
  <c r="C76" i="45"/>
  <c r="K79" i="45"/>
  <c r="F83" i="45"/>
  <c r="G66" i="45"/>
  <c r="E75" i="45"/>
  <c r="E51" i="45"/>
  <c r="E62" i="45"/>
  <c r="C48" i="45"/>
  <c r="F52" i="45"/>
  <c r="G34" i="45"/>
  <c r="E20" i="45"/>
  <c r="C49" i="45"/>
  <c r="H32" i="45"/>
  <c r="F18" i="45"/>
  <c r="I41" i="45"/>
  <c r="D27" i="45"/>
  <c r="C55" i="45"/>
  <c r="J9" i="45"/>
  <c r="J6" i="45"/>
  <c r="F12" i="45"/>
  <c r="C9" i="45"/>
  <c r="D13" i="45"/>
  <c r="E11" i="45"/>
  <c r="H90" i="45"/>
  <c r="K89" i="45"/>
  <c r="F58" i="45"/>
  <c r="J49" i="45"/>
  <c r="G18" i="45"/>
  <c r="E27" i="45"/>
  <c r="C36" i="45"/>
  <c r="F28" i="45"/>
  <c r="H38" i="45"/>
  <c r="D42" i="45"/>
  <c r="H99" i="45"/>
  <c r="D82" i="45"/>
  <c r="F63" i="45"/>
  <c r="H76" i="45"/>
  <c r="F56" i="45"/>
  <c r="C18" i="45"/>
  <c r="K33" i="45"/>
  <c r="D39" i="45"/>
  <c r="H26" i="45"/>
  <c r="H22" i="45"/>
  <c r="K10" i="45"/>
  <c r="K88" i="45"/>
  <c r="J92" i="45"/>
  <c r="E96" i="45"/>
  <c r="J98" i="45"/>
  <c r="E56" i="45"/>
  <c r="D60" i="45"/>
  <c r="G69" i="45"/>
  <c r="I54" i="45"/>
  <c r="G40" i="45"/>
  <c r="G41" i="45"/>
  <c r="K26" i="45"/>
  <c r="F74" i="45"/>
  <c r="E39" i="45"/>
  <c r="C25" i="45"/>
  <c r="C51" i="45"/>
  <c r="J33" i="45"/>
  <c r="H19" i="45"/>
  <c r="G19" i="45"/>
  <c r="G3" i="45"/>
  <c r="I29" i="45"/>
  <c r="J4" i="45"/>
  <c r="J32" i="45"/>
  <c r="H5" i="45"/>
  <c r="H79" i="45"/>
  <c r="K86" i="45"/>
  <c r="D84" i="45"/>
  <c r="C64" i="45"/>
  <c r="E83" i="45"/>
  <c r="J39" i="45"/>
  <c r="K14" i="45"/>
  <c r="J30" i="45"/>
  <c r="H39" i="45"/>
  <c r="F43" i="45"/>
  <c r="G67" i="45"/>
  <c r="I3" i="45"/>
  <c r="K5" i="45"/>
  <c r="C75" i="45"/>
  <c r="D96" i="45"/>
  <c r="I28" i="45"/>
  <c r="C41" i="45"/>
  <c r="C85" i="45"/>
  <c r="G58" i="45"/>
  <c r="C60" i="45"/>
  <c r="J35" i="45"/>
  <c r="G37" i="45"/>
  <c r="H35" i="45"/>
  <c r="C4" i="45"/>
  <c r="K39" i="45"/>
  <c r="D101" i="45"/>
  <c r="D95" i="45"/>
  <c r="C99" i="45"/>
  <c r="H70" i="45"/>
  <c r="C74" i="45"/>
  <c r="E82" i="45"/>
  <c r="D86" i="45"/>
  <c r="H89" i="45"/>
  <c r="D72" i="45"/>
  <c r="D64" i="45"/>
  <c r="K84" i="45"/>
  <c r="E92" i="45"/>
  <c r="F98" i="45"/>
  <c r="I66" i="45"/>
  <c r="C69" i="45"/>
  <c r="I24" i="45"/>
  <c r="C37" i="45"/>
  <c r="I47" i="45"/>
  <c r="F17" i="45"/>
  <c r="H3" i="45"/>
  <c r="C35" i="45"/>
  <c r="D6" i="45"/>
  <c r="D38" i="45"/>
  <c r="K6" i="45"/>
  <c r="E94" i="45"/>
  <c r="D98" i="45"/>
  <c r="I69" i="45"/>
  <c r="D73" i="45"/>
  <c r="J59" i="45"/>
  <c r="I63" i="45"/>
  <c r="K81" i="45"/>
  <c r="F57" i="45"/>
  <c r="D43" i="45"/>
  <c r="C45" i="45"/>
  <c r="H29" i="45"/>
  <c r="F15" i="45"/>
  <c r="G42" i="45"/>
  <c r="I27" i="45"/>
  <c r="C59" i="45"/>
  <c r="G36" i="45"/>
  <c r="E22" i="45"/>
  <c r="E37" i="45"/>
  <c r="J13" i="45"/>
  <c r="I6" i="45"/>
  <c r="D34" i="45"/>
  <c r="C50" i="45"/>
  <c r="C19" i="45"/>
  <c r="E9" i="45"/>
  <c r="F32" i="45"/>
  <c r="H58" i="45"/>
  <c r="D22" i="45"/>
  <c r="C10" i="45"/>
  <c r="I48" i="45"/>
  <c r="F97" i="45"/>
  <c r="K68" i="45"/>
  <c r="J72" i="45"/>
  <c r="E76" i="45"/>
  <c r="H61" i="45"/>
  <c r="G65" i="45"/>
  <c r="C89" i="45"/>
  <c r="I58" i="45"/>
  <c r="G44" i="45"/>
  <c r="J46" i="45"/>
  <c r="K30" i="45"/>
  <c r="I16" i="45"/>
  <c r="E44" i="45"/>
  <c r="C29" i="45"/>
  <c r="F64" i="45"/>
  <c r="J37" i="45"/>
  <c r="H23" i="45"/>
  <c r="G35" i="45"/>
  <c r="E6" i="45"/>
  <c r="G47" i="45"/>
  <c r="J8" i="45"/>
  <c r="I52" i="45"/>
  <c r="H9" i="45"/>
  <c r="K100" i="45"/>
  <c r="F76" i="45"/>
  <c r="J63" i="45"/>
  <c r="K97" i="45"/>
  <c r="I42" i="45"/>
  <c r="E52" i="45"/>
  <c r="D20" i="45"/>
  <c r="B98" i="48"/>
  <c r="B4" i="42"/>
  <c r="D10" i="45"/>
  <c r="H72" i="45"/>
  <c r="D76" i="45"/>
  <c r="J99" i="45"/>
  <c r="G43" i="45"/>
  <c r="E68" i="45"/>
  <c r="F11" i="45"/>
  <c r="C8" i="45"/>
  <c r="I79" i="45"/>
  <c r="D29" i="45"/>
  <c r="F53" i="45"/>
  <c r="J68" i="45"/>
  <c r="F10" i="45"/>
  <c r="I7" i="45"/>
  <c r="G5" i="45"/>
  <c r="K50" i="45"/>
  <c r="D41" i="45"/>
  <c r="D32" i="45"/>
  <c r="J19" i="45"/>
  <c r="G51" i="45"/>
  <c r="J61" i="45"/>
  <c r="G73" i="45"/>
  <c r="C82" i="45"/>
  <c r="I74" i="45"/>
  <c r="D12" i="45"/>
  <c r="F21" i="45"/>
  <c r="C46" i="45"/>
  <c r="K52" i="45"/>
  <c r="G78" i="45"/>
  <c r="J7" i="45"/>
  <c r="G4" i="45"/>
  <c r="E57" i="45"/>
  <c r="G54" i="45"/>
  <c r="H34" i="45"/>
  <c r="E21" i="45"/>
  <c r="G25" i="45"/>
  <c r="C42" i="45"/>
  <c r="C61" i="45"/>
  <c r="D94" i="45"/>
  <c r="F16" i="45"/>
  <c r="J14" i="45"/>
  <c r="C12" i="45"/>
  <c r="J52" i="45"/>
  <c r="J27" i="45"/>
  <c r="C73" i="45"/>
  <c r="C98" i="45"/>
  <c r="C31" i="45"/>
  <c r="H15" i="45"/>
  <c r="I61" i="45"/>
  <c r="F81" i="45"/>
  <c r="F84" i="45"/>
  <c r="E97" i="45"/>
  <c r="J36" i="45"/>
  <c r="E23" i="45"/>
  <c r="F49" i="45"/>
  <c r="F7" i="45"/>
  <c r="F30" i="45"/>
  <c r="H85" i="45"/>
  <c r="G27" i="45"/>
  <c r="K15" i="45"/>
  <c r="I23" i="45"/>
  <c r="E36" i="45"/>
  <c r="G60" i="45"/>
  <c r="I72" i="45"/>
  <c r="K35" i="45"/>
  <c r="I21" i="45"/>
  <c r="G23" i="45"/>
  <c r="C16" i="45"/>
  <c r="K45" i="45"/>
  <c r="I35" i="45"/>
  <c r="F23" i="45"/>
  <c r="G63" i="45"/>
  <c r="F65" i="45"/>
  <c r="E91" i="45"/>
  <c r="D89" i="45"/>
  <c r="J81" i="45"/>
  <c r="H6" i="45"/>
  <c r="C32" i="45"/>
  <c r="F51" i="45"/>
  <c r="H63" i="45"/>
  <c r="I92" i="45"/>
  <c r="G15" i="45"/>
  <c r="H11" i="45"/>
  <c r="K41" i="45"/>
  <c r="C94" i="45"/>
  <c r="E5" i="45"/>
  <c r="C20" i="45"/>
  <c r="I39" i="45"/>
  <c r="K40" i="45"/>
  <c r="I56" i="45"/>
  <c r="E90" i="45"/>
  <c r="H44" i="45"/>
  <c r="F40" i="45"/>
  <c r="D30" i="45"/>
  <c r="K25" i="45"/>
  <c r="H42" i="45"/>
  <c r="G61" i="45"/>
  <c r="H94" i="45"/>
  <c r="K3" i="45"/>
  <c r="E45" i="45"/>
  <c r="K64" i="45"/>
  <c r="F62" i="45"/>
  <c r="G80" i="45"/>
  <c r="F93" i="45"/>
  <c r="B80" i="48"/>
  <c r="B4" i="41"/>
  <c r="B4" i="48"/>
  <c r="D16" i="45"/>
  <c r="J17" i="45"/>
  <c r="G14" i="45"/>
  <c r="K57" i="45"/>
  <c r="I11" i="45"/>
  <c r="J45" i="45"/>
  <c r="E78" i="45"/>
  <c r="H10" i="45"/>
  <c r="F25" i="45"/>
  <c r="H46" i="45"/>
  <c r="D49" i="45"/>
  <c r="K53" i="45"/>
  <c r="G83" i="45"/>
  <c r="I12" i="45"/>
  <c r="K11" i="45"/>
  <c r="F9" i="45"/>
  <c r="I26" i="45"/>
  <c r="K17" i="45"/>
  <c r="F48" i="45"/>
  <c r="C34" i="45"/>
  <c r="H47" i="45"/>
  <c r="J50" i="45"/>
  <c r="H65" i="45"/>
  <c r="H78" i="45"/>
  <c r="H4" i="45"/>
  <c r="F46" i="45"/>
  <c r="I19" i="45"/>
  <c r="E32" i="45"/>
  <c r="J62" i="45"/>
  <c r="D71" i="45"/>
  <c r="C7" i="45"/>
  <c r="J21" i="45"/>
  <c r="I32" i="45"/>
  <c r="I86" i="45"/>
  <c r="G31" i="45"/>
  <c r="E34" i="45"/>
  <c r="G81" i="45"/>
  <c r="D55" i="45"/>
  <c r="D69" i="45"/>
  <c r="E25" i="45"/>
  <c r="E15" i="45"/>
  <c r="F14" i="45"/>
  <c r="G20" i="45"/>
  <c r="D40" i="45"/>
  <c r="F41" i="45"/>
  <c r="H57" i="45"/>
  <c r="I90" i="45"/>
  <c r="K27" i="45"/>
  <c r="E35" i="45"/>
  <c r="G89" i="45"/>
  <c r="J67" i="45"/>
  <c r="E72" i="45"/>
  <c r="B18" i="37"/>
  <c r="D10" i="37"/>
  <c r="D14" i="37"/>
  <c r="D18" i="37"/>
  <c r="H10" i="37"/>
  <c r="H14" i="37"/>
  <c r="H18" i="37"/>
  <c r="I10" i="37"/>
  <c r="I14" i="37"/>
  <c r="I18" i="37"/>
  <c r="F9" i="37"/>
  <c r="F13" i="37"/>
  <c r="F17" i="37"/>
  <c r="C9" i="37"/>
  <c r="C13" i="37"/>
  <c r="C17" i="37"/>
  <c r="G9" i="37"/>
  <c r="G13" i="37"/>
  <c r="G17" i="37"/>
  <c r="E9" i="37"/>
  <c r="E13" i="37"/>
  <c r="E17" i="37"/>
  <c r="B11" i="37"/>
  <c r="B15" i="37"/>
  <c r="B19" i="37"/>
  <c r="D11" i="37"/>
  <c r="D15" i="37"/>
  <c r="D19" i="37"/>
  <c r="H11" i="37"/>
  <c r="H15" i="37"/>
  <c r="H19" i="37"/>
  <c r="I11" i="37"/>
  <c r="I15" i="37"/>
  <c r="I19" i="37"/>
  <c r="F10" i="37"/>
  <c r="F14" i="37"/>
  <c r="F18" i="37"/>
  <c r="C10" i="37"/>
  <c r="C14" i="37"/>
  <c r="C18" i="37"/>
  <c r="G10" i="37"/>
  <c r="G14" i="37"/>
  <c r="G18" i="37"/>
  <c r="E10" i="37"/>
  <c r="E14" i="37"/>
  <c r="E18" i="37"/>
  <c r="B12" i="37"/>
  <c r="B16" i="37"/>
  <c r="B20" i="37"/>
  <c r="D12" i="37"/>
  <c r="D16" i="37"/>
  <c r="D20" i="37"/>
  <c r="H12" i="37"/>
  <c r="H16" i="37"/>
  <c r="H20" i="37"/>
  <c r="I12" i="37"/>
  <c r="I16" i="37"/>
  <c r="I20" i="37"/>
  <c r="F11" i="37"/>
  <c r="F15" i="37"/>
  <c r="F19" i="37"/>
  <c r="C11" i="37"/>
  <c r="C15" i="37"/>
  <c r="C19" i="37"/>
  <c r="G11" i="37"/>
  <c r="G15" i="37"/>
  <c r="G19" i="37"/>
  <c r="E11" i="37"/>
  <c r="E15" i="37"/>
  <c r="E19" i="37"/>
  <c r="B9" i="37"/>
  <c r="B13" i="37"/>
  <c r="B17" i="37"/>
  <c r="D9" i="37"/>
  <c r="D13" i="37"/>
  <c r="D17" i="37"/>
  <c r="H9" i="37"/>
  <c r="H13" i="37"/>
  <c r="H17" i="37"/>
  <c r="I9" i="37"/>
  <c r="I13" i="37"/>
  <c r="I17" i="37"/>
  <c r="F12" i="37"/>
  <c r="F16" i="37"/>
  <c r="F20" i="37"/>
  <c r="C12" i="37"/>
  <c r="C16" i="37"/>
  <c r="C20" i="37"/>
  <c r="G12" i="37"/>
  <c r="G16" i="37"/>
  <c r="G20" i="37"/>
  <c r="E12" i="37"/>
  <c r="E16" i="37"/>
  <c r="E20" i="37"/>
  <c r="B10" i="37"/>
  <c r="B14" i="37"/>
  <c r="B49" i="42"/>
  <c r="B5" i="40"/>
  <c r="B10" i="41"/>
  <c r="B12" i="48"/>
  <c r="B5" i="39"/>
  <c r="B9" i="43"/>
  <c r="B16" i="39"/>
  <c r="B34" i="39"/>
  <c r="B7" i="43"/>
  <c r="B9" i="39"/>
  <c r="B6" i="43"/>
  <c r="B40" i="40"/>
  <c r="B22" i="39"/>
  <c r="B9" i="42"/>
  <c r="B9" i="40"/>
  <c r="B28" i="48"/>
  <c r="B34" i="40"/>
  <c r="B6" i="41"/>
  <c r="B7" i="42"/>
  <c r="B83" i="39"/>
  <c r="B74" i="43"/>
  <c r="B69" i="48"/>
  <c r="B7" i="39"/>
  <c r="B9" i="41"/>
  <c r="B20" i="39"/>
  <c r="B5" i="42"/>
  <c r="B8" i="40"/>
  <c r="B6" i="39"/>
  <c r="B25" i="41"/>
  <c r="B95" i="42"/>
  <c r="B152" i="37"/>
  <c r="B47" i="39"/>
  <c r="B27" i="48"/>
  <c r="B58" i="41"/>
  <c r="B96" i="48"/>
  <c r="B44" i="43"/>
  <c r="B28" i="43"/>
  <c r="B43" i="40"/>
  <c r="B49" i="39"/>
  <c r="B70" i="39"/>
  <c r="B78" i="40"/>
  <c r="B42" i="42"/>
  <c r="B93" i="41"/>
  <c r="A204" i="37"/>
  <c r="B36" i="48"/>
  <c r="B21" i="42"/>
  <c r="B89" i="43"/>
  <c r="B47" i="40"/>
  <c r="B30" i="39"/>
  <c r="B82" i="42"/>
  <c r="B33" i="43"/>
  <c r="B71" i="39"/>
  <c r="B62" i="39"/>
  <c r="B20" i="41"/>
  <c r="B52" i="43"/>
  <c r="B81" i="42"/>
  <c r="B85" i="40"/>
  <c r="B75" i="42"/>
  <c r="B91" i="48"/>
  <c r="B15" i="48"/>
  <c r="B18" i="43"/>
  <c r="B78" i="39"/>
  <c r="B85" i="39"/>
  <c r="B96" i="43"/>
  <c r="B70" i="40"/>
  <c r="B33" i="48"/>
  <c r="B25" i="43"/>
  <c r="B39" i="40"/>
  <c r="B82" i="43"/>
  <c r="B9" i="48"/>
  <c r="A155" i="37"/>
  <c r="B11" i="39"/>
  <c r="A158" i="37"/>
  <c r="B72" i="41"/>
  <c r="B55" i="41"/>
  <c r="B29" i="40"/>
  <c r="B19" i="40"/>
  <c r="B11" i="41"/>
  <c r="B21" i="40"/>
  <c r="B13" i="43"/>
  <c r="B62" i="48"/>
  <c r="B90" i="42"/>
  <c r="B44" i="41"/>
  <c r="B28" i="41"/>
  <c r="B62" i="40"/>
  <c r="B65" i="41"/>
  <c r="B30" i="41"/>
  <c r="B100" i="43"/>
  <c r="B15" i="43"/>
  <c r="B67" i="48"/>
  <c r="B100" i="40"/>
  <c r="B41" i="41"/>
  <c r="B44" i="39"/>
  <c r="B54" i="41"/>
  <c r="B15" i="39"/>
  <c r="B70" i="43"/>
  <c r="B26" i="40"/>
  <c r="B21" i="41"/>
  <c r="B102" i="41"/>
  <c r="B73" i="41"/>
  <c r="B85" i="41"/>
  <c r="B20" i="42"/>
  <c r="B75" i="39"/>
  <c r="B13" i="42"/>
  <c r="B30" i="40"/>
  <c r="B71" i="42"/>
  <c r="B46" i="40"/>
  <c r="B33" i="39"/>
  <c r="B49" i="48"/>
  <c r="B31" i="48"/>
  <c r="B54" i="39"/>
  <c r="B29" i="43"/>
  <c r="B32" i="39"/>
  <c r="B35" i="42"/>
  <c r="B73" i="48"/>
  <c r="B31" i="42"/>
  <c r="B92" i="40"/>
  <c r="B54" i="42"/>
  <c r="B41" i="43"/>
  <c r="B63" i="41"/>
  <c r="B80" i="41"/>
  <c r="B37" i="48"/>
  <c r="B32" i="41"/>
  <c r="B76" i="39"/>
  <c r="B95" i="40"/>
  <c r="B84" i="40"/>
  <c r="B12" i="39"/>
  <c r="B27" i="43"/>
  <c r="B48" i="43"/>
  <c r="B76" i="41"/>
  <c r="B33" i="41"/>
  <c r="B89" i="42"/>
  <c r="B79" i="40"/>
  <c r="B67" i="41"/>
  <c r="B82" i="40"/>
  <c r="B67" i="42"/>
  <c r="B50" i="39"/>
  <c r="B83" i="42"/>
  <c r="B81" i="39"/>
  <c r="B78" i="48"/>
  <c r="B11" i="42"/>
  <c r="B98" i="39"/>
  <c r="B71" i="40"/>
  <c r="B57" i="43"/>
  <c r="B25" i="39"/>
  <c r="B68" i="41"/>
  <c r="B37" i="42"/>
  <c r="B93" i="42"/>
  <c r="B64" i="39"/>
  <c r="B24" i="42"/>
  <c r="B51" i="40"/>
  <c r="B45" i="42"/>
  <c r="B66" i="48"/>
  <c r="B68" i="40"/>
  <c r="B13" i="41"/>
  <c r="B99" i="42"/>
  <c r="B26" i="41"/>
  <c r="B30" i="42"/>
  <c r="B74" i="48"/>
  <c r="B51" i="41"/>
  <c r="B61" i="42"/>
  <c r="B74" i="41"/>
  <c r="B10" i="40"/>
  <c r="B96" i="40"/>
  <c r="B39" i="43"/>
  <c r="B23" i="42"/>
  <c r="B43" i="39"/>
  <c r="B36" i="43"/>
  <c r="B75" i="43"/>
  <c r="B11" i="40"/>
  <c r="B70" i="42"/>
  <c r="B58" i="39"/>
  <c r="B92" i="39"/>
  <c r="B99" i="40"/>
  <c r="B65" i="40"/>
  <c r="B80" i="39"/>
  <c r="B66" i="42"/>
  <c r="B92" i="42"/>
  <c r="B57" i="39"/>
  <c r="B60" i="41"/>
  <c r="B54" i="40"/>
  <c r="B35" i="40"/>
  <c r="B75" i="41"/>
  <c r="B89" i="41"/>
  <c r="B44" i="42"/>
  <c r="B76" i="43"/>
  <c r="B30" i="48"/>
  <c r="B40" i="41"/>
  <c r="B20" i="48"/>
  <c r="B97" i="40"/>
  <c r="B92" i="48"/>
  <c r="B62" i="43"/>
  <c r="B51" i="48"/>
  <c r="B43" i="42"/>
  <c r="B102" i="39"/>
  <c r="B36" i="42"/>
  <c r="B56" i="40"/>
  <c r="B48" i="40"/>
  <c r="B11" i="43"/>
  <c r="B54" i="43"/>
  <c r="B38" i="48"/>
  <c r="B22" i="40"/>
  <c r="B84" i="48"/>
  <c r="B90" i="41"/>
  <c r="B73" i="40"/>
  <c r="B81" i="48"/>
  <c r="B94" i="42"/>
  <c r="B29" i="48"/>
  <c r="B69" i="41"/>
  <c r="B42" i="40"/>
  <c r="B50" i="40"/>
  <c r="B11" i="48"/>
  <c r="B77" i="42"/>
  <c r="B45" i="39"/>
  <c r="B15" i="41"/>
  <c r="B35" i="43"/>
  <c r="B97" i="39"/>
  <c r="B24" i="39"/>
  <c r="B71" i="41"/>
  <c r="B69" i="40"/>
  <c r="B18" i="39"/>
  <c r="B33" i="42"/>
  <c r="B94" i="40"/>
  <c r="B23" i="43"/>
  <c r="B59" i="42"/>
  <c r="B99" i="43"/>
  <c r="B59" i="43"/>
  <c r="B48" i="42"/>
  <c r="B49" i="43"/>
  <c r="B63" i="42"/>
  <c r="B38" i="43"/>
  <c r="B86" i="48"/>
  <c r="B73" i="39"/>
  <c r="B10" i="39"/>
  <c r="B97" i="43"/>
  <c r="B68" i="39"/>
  <c r="B41" i="48"/>
  <c r="B73" i="43"/>
  <c r="B79" i="39"/>
  <c r="B24" i="48"/>
  <c r="B16" i="48"/>
  <c r="B87" i="39"/>
  <c r="B21" i="39"/>
  <c r="B18" i="48"/>
  <c r="B55" i="43"/>
  <c r="B69" i="43"/>
  <c r="B103" i="40"/>
  <c r="B84" i="42"/>
  <c r="B101" i="40"/>
  <c r="B10" i="48"/>
  <c r="B65" i="43"/>
  <c r="B100" i="39"/>
  <c r="B45" i="43"/>
  <c r="B72" i="39"/>
  <c r="B82" i="41"/>
  <c r="B59" i="39"/>
  <c r="B23" i="39"/>
  <c r="B80" i="40"/>
  <c r="B48" i="48"/>
  <c r="B72" i="43"/>
  <c r="B74" i="42"/>
  <c r="B99" i="41"/>
  <c r="B75" i="48"/>
  <c r="B64" i="42"/>
  <c r="B35" i="48"/>
  <c r="B98" i="43"/>
  <c r="B82" i="39"/>
  <c r="B60" i="48"/>
  <c r="B97" i="41"/>
  <c r="B38" i="41"/>
  <c r="B51" i="39"/>
  <c r="B22" i="48"/>
  <c r="B29" i="42"/>
  <c r="B34" i="43"/>
  <c r="B65" i="42"/>
  <c r="B57" i="41"/>
  <c r="B86" i="42"/>
  <c r="B64" i="40"/>
  <c r="B31" i="39"/>
  <c r="B37" i="39"/>
  <c r="B12" i="43"/>
  <c r="B101" i="39"/>
  <c r="B75" i="40"/>
  <c r="B49" i="41"/>
  <c r="B22" i="43"/>
  <c r="B16" i="40"/>
  <c r="B61" i="41"/>
  <c r="B37" i="43"/>
  <c r="B74" i="40"/>
  <c r="B12" i="41"/>
  <c r="B97" i="48"/>
  <c r="B83" i="40"/>
  <c r="B79" i="43"/>
  <c r="B16" i="43"/>
  <c r="B90" i="48"/>
  <c r="B61" i="48"/>
  <c r="B23" i="40"/>
  <c r="B25" i="48"/>
  <c r="B52" i="41"/>
  <c r="B67" i="39"/>
  <c r="B77" i="48"/>
  <c r="B85" i="43"/>
  <c r="B91" i="43"/>
  <c r="B64" i="41"/>
  <c r="B18" i="41"/>
  <c r="B90" i="43"/>
  <c r="B76" i="42"/>
  <c r="B59" i="48"/>
  <c r="B69" i="42"/>
  <c r="B72" i="42"/>
  <c r="B42" i="48"/>
  <c r="B45" i="48"/>
  <c r="B92" i="43"/>
  <c r="B87" i="42"/>
  <c r="B84" i="39"/>
  <c r="B61" i="43"/>
  <c r="B93" i="48"/>
  <c r="B48" i="39"/>
  <c r="B46" i="41"/>
  <c r="B101" i="43"/>
  <c r="B52" i="42"/>
  <c r="B85" i="42"/>
  <c r="B64" i="48"/>
  <c r="B15" i="42"/>
  <c r="B13" i="39"/>
  <c r="B23" i="41"/>
  <c r="B86" i="41"/>
  <c r="B36" i="39"/>
  <c r="B68" i="43"/>
  <c r="B39" i="42"/>
  <c r="B26" i="43"/>
  <c r="B103" i="39"/>
  <c r="B56" i="41"/>
  <c r="B21" i="48"/>
  <c r="B79" i="42"/>
  <c r="B20" i="43"/>
  <c r="B103" i="48"/>
  <c r="B83" i="48"/>
  <c r="B10" i="42"/>
  <c r="B56" i="42"/>
  <c r="B93" i="40"/>
  <c r="B59" i="41"/>
  <c r="B55" i="42"/>
  <c r="B41" i="39"/>
  <c r="B50" i="41"/>
  <c r="B103" i="43"/>
  <c r="B83" i="43"/>
  <c r="B47" i="48"/>
  <c r="B72" i="48"/>
  <c r="B93" i="39"/>
  <c r="B42" i="41"/>
  <c r="B45" i="41"/>
  <c r="B94" i="43"/>
  <c r="B63" i="48"/>
  <c r="B78" i="43"/>
  <c r="B56" i="48"/>
  <c r="B55" i="48"/>
  <c r="B56" i="39"/>
  <c r="B27" i="40"/>
  <c r="B58" i="40"/>
  <c r="B5" i="41"/>
  <c r="B101" i="48"/>
  <c r="B70" i="48"/>
  <c r="B54" i="48"/>
  <c r="B22" i="42"/>
  <c r="B39" i="39"/>
  <c r="B98" i="40"/>
  <c r="B62" i="41"/>
  <c r="B26" i="39"/>
  <c r="B79" i="41"/>
  <c r="B20" i="40"/>
  <c r="B74" i="39"/>
  <c r="B80" i="42"/>
  <c r="B57" i="42"/>
  <c r="B24" i="43"/>
  <c r="B43" i="41"/>
  <c r="B8" i="43"/>
  <c r="B38" i="39"/>
  <c r="B64" i="43"/>
  <c r="B86" i="40"/>
  <c r="B87" i="43"/>
  <c r="B66" i="43"/>
  <c r="B32" i="48"/>
  <c r="B8" i="48"/>
  <c r="B77" i="39"/>
  <c r="B27" i="41"/>
  <c r="B16" i="42"/>
  <c r="B51" i="42"/>
  <c r="B57" i="40"/>
  <c r="B66" i="40"/>
  <c r="B57" i="48"/>
  <c r="B70" i="41"/>
  <c r="B19" i="42"/>
  <c r="B24" i="40"/>
  <c r="B72" i="40"/>
  <c r="B7" i="41"/>
  <c r="B15" i="40"/>
  <c r="B90" i="40"/>
  <c r="B63" i="43"/>
  <c r="B62" i="42"/>
  <c r="B32" i="42"/>
  <c r="B36" i="40"/>
  <c r="B52" i="40"/>
  <c r="B48" i="41"/>
  <c r="B66" i="41"/>
  <c r="B60" i="39"/>
  <c r="B50" i="48"/>
  <c r="B28" i="42"/>
  <c r="B31" i="41"/>
  <c r="B81" i="41"/>
  <c r="B71" i="43"/>
  <c r="B61" i="39"/>
  <c r="B84" i="41"/>
  <c r="B94" i="39"/>
  <c r="B44" i="48"/>
  <c r="B101" i="41"/>
  <c r="B55" i="40"/>
  <c r="B60" i="40"/>
  <c r="B37" i="40"/>
  <c r="B58" i="43"/>
  <c r="B40" i="43"/>
  <c r="B19" i="48"/>
  <c r="B96" i="42"/>
  <c r="B65" i="39"/>
  <c r="B18" i="40"/>
  <c r="B67" i="40"/>
  <c r="B76" i="48"/>
  <c r="B81" i="43"/>
  <c r="B58" i="42"/>
  <c r="B40" i="42"/>
  <c r="B19" i="43"/>
  <c r="B39" i="41"/>
  <c r="B85" i="48"/>
  <c r="B12" i="40"/>
  <c r="B99" i="39"/>
  <c r="B10" i="43"/>
  <c r="B37" i="41"/>
  <c r="B103" i="42"/>
  <c r="B50" i="42"/>
  <c r="B97" i="42"/>
  <c r="B19" i="41"/>
  <c r="B100" i="41"/>
  <c r="B41" i="42"/>
  <c r="B63" i="39"/>
  <c r="B90" i="39"/>
  <c r="B80" i="43"/>
  <c r="B78" i="42"/>
  <c r="B47" i="42"/>
  <c r="B49" i="40"/>
  <c r="B7" i="40"/>
  <c r="B87" i="40"/>
  <c r="B55" i="39"/>
  <c r="B91" i="39"/>
  <c r="B6" i="48"/>
  <c r="B40" i="39"/>
  <c r="B7" i="48"/>
  <c r="B102" i="43"/>
  <c r="B65" i="48"/>
  <c r="B77" i="41"/>
  <c r="B13" i="40"/>
  <c r="B81" i="40"/>
  <c r="B16" i="41"/>
  <c r="B38" i="42"/>
  <c r="B86" i="39"/>
  <c r="B94" i="48"/>
  <c r="B25" i="42"/>
  <c r="B101" i="42"/>
  <c r="B24" i="41"/>
  <c r="B23" i="48"/>
  <c r="B96" i="39"/>
  <c r="B63" i="40"/>
  <c r="B66" i="39"/>
  <c r="B19" i="39"/>
  <c r="B67" i="43"/>
  <c r="B98" i="42"/>
  <c r="B47" i="43"/>
  <c r="B95" i="41"/>
  <c r="B42" i="43"/>
  <c r="B46" i="39"/>
  <c r="B95" i="43"/>
  <c r="B44" i="40"/>
  <c r="B102" i="40"/>
  <c r="B40" i="48"/>
  <c r="B39" i="48"/>
  <c r="B87" i="41"/>
  <c r="B92" i="41"/>
  <c r="B29" i="41"/>
  <c r="B12" i="42"/>
  <c r="B38" i="40"/>
  <c r="B60" i="42"/>
  <c r="B71" i="48"/>
  <c r="B78" i="41"/>
  <c r="B61" i="40"/>
  <c r="B91" i="41"/>
  <c r="B25" i="40"/>
  <c r="B50" i="43"/>
  <c r="B46" i="43"/>
  <c r="B8" i="41"/>
  <c r="B51" i="43"/>
  <c r="B95" i="48"/>
  <c r="B89" i="48"/>
  <c r="B89" i="39"/>
  <c r="B34" i="42"/>
  <c r="B46" i="48"/>
  <c r="B31" i="40"/>
  <c r="B68" i="42"/>
  <c r="B73" i="42"/>
  <c r="B22" i="41"/>
  <c r="B47" i="41"/>
  <c r="B96" i="41"/>
  <c r="B31" i="43"/>
  <c r="B93" i="43"/>
  <c r="B28" i="40"/>
  <c r="B91" i="42"/>
  <c r="B18" i="42"/>
  <c r="B86" i="43"/>
  <c r="B42" i="39"/>
  <c r="B69" i="39"/>
  <c r="B83" i="41"/>
  <c r="B102" i="48"/>
  <c r="B91" i="40"/>
  <c r="B32" i="43"/>
  <c r="B29" i="39"/>
  <c r="B89" i="40"/>
  <c r="B99" i="48"/>
  <c r="B100" i="48"/>
  <c r="B30" i="43"/>
  <c r="B28" i="39"/>
  <c r="B52" i="48"/>
  <c r="B98" i="41"/>
  <c r="B35" i="39"/>
  <c r="B45" i="40"/>
  <c r="B56" i="43"/>
  <c r="B43" i="48"/>
  <c r="B34" i="48"/>
  <c r="B100" i="42"/>
  <c r="B59" i="40"/>
  <c r="B103" i="41"/>
  <c r="B102" i="42"/>
  <c r="B8" i="39"/>
  <c r="B26" i="42"/>
  <c r="B77" i="40"/>
  <c r="B94" i="41"/>
  <c r="B87" i="48"/>
  <c r="B60" i="43"/>
  <c r="B41" i="40"/>
  <c r="B27" i="42"/>
  <c r="B43" i="43"/>
  <c r="B58" i="48"/>
  <c r="B95" i="39"/>
  <c r="B68" i="48"/>
  <c r="B77" i="43"/>
  <c r="B84" i="43"/>
  <c r="B33" i="40"/>
  <c r="B76" i="40"/>
  <c r="B21" i="43"/>
  <c r="B27" i="39"/>
  <c r="B34" i="41"/>
  <c r="B32" i="40"/>
  <c r="B82" i="48"/>
  <c r="B26" i="48"/>
  <c r="B79" i="48"/>
  <c r="B36" i="41"/>
  <c r="E19" i="44"/>
  <c r="B88" i="43"/>
  <c r="B88" i="42"/>
  <c r="B88" i="48"/>
  <c r="B88" i="39"/>
  <c r="B104" i="45"/>
  <c r="B35" i="41"/>
  <c r="B88" i="41"/>
  <c r="B88" i="40"/>
  <c r="B116" i="45" l="1"/>
  <c r="B109" i="45"/>
  <c r="B115" i="45"/>
  <c r="B110" i="45"/>
  <c r="B113" i="45"/>
  <c r="B112" i="45"/>
  <c r="H72" i="37"/>
  <c r="H189" i="37" s="1"/>
  <c r="J99" i="37"/>
  <c r="J216" i="37" s="1"/>
  <c r="L99" i="37"/>
  <c r="L216" i="37" s="1"/>
  <c r="D99" i="37"/>
  <c r="D216" i="37" s="1"/>
  <c r="K99" i="37"/>
  <c r="K216" i="37" s="1"/>
  <c r="G276" i="37"/>
  <c r="E99" i="37"/>
  <c r="E216" i="37" s="1"/>
  <c r="M99" i="37"/>
  <c r="M216" i="37" s="1"/>
  <c r="G99" i="37"/>
  <c r="G216" i="37" s="1"/>
  <c r="F99" i="37"/>
  <c r="F216" i="37" s="1"/>
  <c r="N99" i="37"/>
  <c r="N216" i="37" s="1"/>
  <c r="H99" i="37"/>
  <c r="H216" i="37" s="1"/>
  <c r="I99" i="37"/>
  <c r="I216" i="37" s="1"/>
  <c r="L65" i="37"/>
  <c r="L182" i="37" s="1"/>
  <c r="G65" i="37"/>
  <c r="G182" i="37" s="1"/>
  <c r="J65" i="37"/>
  <c r="J182" i="37" s="1"/>
  <c r="H65" i="37"/>
  <c r="H182" i="37" s="1"/>
  <c r="G290" i="37"/>
  <c r="H290" i="37" s="1"/>
  <c r="I290" i="37" s="1"/>
  <c r="J290" i="37" s="1"/>
  <c r="K290" i="37" s="1"/>
  <c r="L290" i="37" s="1"/>
  <c r="M290" i="37" s="1"/>
  <c r="N290" i="37" s="1"/>
  <c r="O290" i="37" s="1"/>
  <c r="P290" i="37" s="1"/>
  <c r="Q290" i="37" s="1"/>
  <c r="R290" i="37" s="1"/>
  <c r="S290" i="37" s="1"/>
  <c r="T290" i="37" s="1"/>
  <c r="U290" i="37" s="1"/>
  <c r="V290" i="37" s="1"/>
  <c r="W290" i="37" s="1"/>
  <c r="X290" i="37" s="1"/>
  <c r="Y290" i="37" s="1"/>
  <c r="Z290" i="37" s="1"/>
  <c r="AA290" i="37" s="1"/>
  <c r="AB290" i="37" s="1"/>
  <c r="AC290" i="37" s="1"/>
  <c r="AD290" i="37" s="1"/>
  <c r="AE290" i="37" s="1"/>
  <c r="AF290" i="37" s="1"/>
  <c r="AG290" i="37" s="1"/>
  <c r="AH290" i="37" s="1"/>
  <c r="AI290" i="37" s="1"/>
  <c r="AJ290" i="37" s="1"/>
  <c r="AK290" i="37" s="1"/>
  <c r="AL290" i="37" s="1"/>
  <c r="AM290" i="37" s="1"/>
  <c r="AN290" i="37" s="1"/>
  <c r="AO290" i="37" s="1"/>
  <c r="AP290" i="37" s="1"/>
  <c r="AQ290" i="37" s="1"/>
  <c r="AR290" i="37" s="1"/>
  <c r="AS290" i="37" s="1"/>
  <c r="AT290" i="37" s="1"/>
  <c r="AU290" i="37" s="1"/>
  <c r="AV290" i="37" s="1"/>
  <c r="AW290" i="37" s="1"/>
  <c r="AX290" i="37" s="1"/>
  <c r="AY290" i="37" s="1"/>
  <c r="AZ290" i="37" s="1"/>
  <c r="BA290" i="37" s="1"/>
  <c r="BB290" i="37" s="1"/>
  <c r="BC290" i="37" s="1"/>
  <c r="BD290" i="37" s="1"/>
  <c r="BE290" i="37" s="1"/>
  <c r="BF290" i="37" s="1"/>
  <c r="BG290" i="37" s="1"/>
  <c r="BH290" i="37" s="1"/>
  <c r="BI290" i="37" s="1"/>
  <c r="BJ290" i="37" s="1"/>
  <c r="BK290" i="37" s="1"/>
  <c r="BL290" i="37" s="1"/>
  <c r="BM290" i="37" s="1"/>
  <c r="BN290" i="37" s="1"/>
  <c r="BO290" i="37" s="1"/>
  <c r="BP290" i="37" s="1"/>
  <c r="BQ290" i="37" s="1"/>
  <c r="BR290" i="37" s="1"/>
  <c r="BS290" i="37" s="1"/>
  <c r="BT290" i="37" s="1"/>
  <c r="BU290" i="37" s="1"/>
  <c r="BV290" i="37" s="1"/>
  <c r="BW290" i="37" s="1"/>
  <c r="G326" i="37"/>
  <c r="G340" i="37"/>
  <c r="G305" i="37"/>
  <c r="G372" i="37"/>
  <c r="D65" i="37"/>
  <c r="D182" i="37" s="1"/>
  <c r="M65" i="37"/>
  <c r="M182" i="37" s="1"/>
  <c r="G322" i="37"/>
  <c r="G368" i="37"/>
  <c r="F65" i="37"/>
  <c r="F182" i="37" s="1"/>
  <c r="G274" i="37"/>
  <c r="D37" i="37"/>
  <c r="D154" i="37" s="1"/>
  <c r="G280" i="37"/>
  <c r="E65" i="37"/>
  <c r="E182" i="37" s="1"/>
  <c r="I65" i="37"/>
  <c r="I182" i="37" s="1"/>
  <c r="G331" i="37"/>
  <c r="G339" i="37"/>
  <c r="G335" i="37"/>
  <c r="G277" i="37"/>
  <c r="G325" i="37"/>
  <c r="H325" i="37" s="1"/>
  <c r="I325" i="37" s="1"/>
  <c r="J325" i="37" s="1"/>
  <c r="K325" i="37" s="1"/>
  <c r="L325" i="37" s="1"/>
  <c r="M325" i="37" s="1"/>
  <c r="N325" i="37" s="1"/>
  <c r="O325" i="37" s="1"/>
  <c r="P325" i="37" s="1"/>
  <c r="Q325" i="37" s="1"/>
  <c r="R325" i="37" s="1"/>
  <c r="S325" i="37" s="1"/>
  <c r="T325" i="37" s="1"/>
  <c r="U325" i="37" s="1"/>
  <c r="V325" i="37" s="1"/>
  <c r="W325" i="37" s="1"/>
  <c r="X325" i="37" s="1"/>
  <c r="Y325" i="37" s="1"/>
  <c r="Z325" i="37" s="1"/>
  <c r="AA325" i="37" s="1"/>
  <c r="AB325" i="37" s="1"/>
  <c r="AC325" i="37" s="1"/>
  <c r="AD325" i="37" s="1"/>
  <c r="AE325" i="37" s="1"/>
  <c r="AF325" i="37" s="1"/>
  <c r="AG325" i="37" s="1"/>
  <c r="AH325" i="37" s="1"/>
  <c r="AI325" i="37" s="1"/>
  <c r="AJ325" i="37" s="1"/>
  <c r="AK325" i="37" s="1"/>
  <c r="AL325" i="37" s="1"/>
  <c r="AM325" i="37" s="1"/>
  <c r="AN325" i="37" s="1"/>
  <c r="AO325" i="37" s="1"/>
  <c r="AP325" i="37" s="1"/>
  <c r="AQ325" i="37" s="1"/>
  <c r="AR325" i="37" s="1"/>
  <c r="AS325" i="37" s="1"/>
  <c r="AT325" i="37" s="1"/>
  <c r="AU325" i="37" s="1"/>
  <c r="AV325" i="37" s="1"/>
  <c r="AW325" i="37" s="1"/>
  <c r="AX325" i="37" s="1"/>
  <c r="AY325" i="37" s="1"/>
  <c r="AZ325" i="37" s="1"/>
  <c r="BA325" i="37" s="1"/>
  <c r="BB325" i="37" s="1"/>
  <c r="BC325" i="37" s="1"/>
  <c r="BD325" i="37" s="1"/>
  <c r="BE325" i="37" s="1"/>
  <c r="BF325" i="37" s="1"/>
  <c r="BG325" i="37" s="1"/>
  <c r="BH325" i="37" s="1"/>
  <c r="BI325" i="37" s="1"/>
  <c r="BJ325" i="37" s="1"/>
  <c r="BK325" i="37" s="1"/>
  <c r="BL325" i="37" s="1"/>
  <c r="BM325" i="37" s="1"/>
  <c r="BN325" i="37" s="1"/>
  <c r="BO325" i="37" s="1"/>
  <c r="BP325" i="37" s="1"/>
  <c r="BQ325" i="37" s="1"/>
  <c r="BR325" i="37" s="1"/>
  <c r="BS325" i="37" s="1"/>
  <c r="BT325" i="37" s="1"/>
  <c r="BU325" i="37" s="1"/>
  <c r="BV325" i="37" s="1"/>
  <c r="BW325" i="37" s="1"/>
  <c r="K65" i="37"/>
  <c r="K182" i="37" s="1"/>
  <c r="N65" i="37"/>
  <c r="N182" i="37" s="1"/>
  <c r="C65" i="37"/>
  <c r="C182" i="37" s="1"/>
  <c r="B105" i="45"/>
  <c r="B106" i="45"/>
  <c r="B16" i="45"/>
  <c r="B48" i="45"/>
  <c r="B32" i="45"/>
  <c r="B77" i="45"/>
  <c r="B101" i="45"/>
  <c r="B94" i="45"/>
  <c r="B78" i="45"/>
  <c r="B50" i="45"/>
  <c r="B28" i="45"/>
  <c r="B55" i="45"/>
  <c r="B47" i="45"/>
  <c r="B61" i="45"/>
  <c r="B23" i="45"/>
  <c r="B46" i="45"/>
  <c r="B93" i="45"/>
  <c r="B20" i="45"/>
  <c r="B71" i="45"/>
  <c r="B91" i="45"/>
  <c r="B30" i="45"/>
  <c r="B38" i="45"/>
  <c r="B26" i="45"/>
  <c r="B83" i="45"/>
  <c r="B72" i="45"/>
  <c r="B42" i="45"/>
  <c r="B29" i="45"/>
  <c r="B31" i="45"/>
  <c r="B90" i="45"/>
  <c r="B11" i="45"/>
  <c r="B5" i="45"/>
  <c r="B76" i="45"/>
  <c r="B58" i="45"/>
  <c r="B80" i="45"/>
  <c r="B57" i="45"/>
  <c r="B70" i="45"/>
  <c r="B18" i="45"/>
  <c r="B34" i="45"/>
  <c r="B88" i="45"/>
  <c r="B22" i="45"/>
  <c r="B44" i="45"/>
  <c r="B82" i="45"/>
  <c r="B37" i="45"/>
  <c r="B35" i="45"/>
  <c r="B21" i="45"/>
  <c r="B79" i="45"/>
  <c r="B60" i="45"/>
  <c r="B102" i="45"/>
  <c r="B10" i="45"/>
  <c r="B84" i="45"/>
  <c r="B51" i="45"/>
  <c r="B73" i="45"/>
  <c r="B6" i="45"/>
  <c r="B99" i="45"/>
  <c r="B25" i="45"/>
  <c r="B56" i="45"/>
  <c r="B3" i="45"/>
  <c r="B14" i="45"/>
  <c r="B53" i="45"/>
  <c r="B86" i="45"/>
  <c r="B15" i="45"/>
  <c r="B33" i="45"/>
  <c r="B24" i="45"/>
  <c r="B75" i="45"/>
  <c r="B63" i="45"/>
  <c r="B27" i="45"/>
  <c r="B97" i="45"/>
  <c r="B89" i="45"/>
  <c r="B65" i="45"/>
  <c r="B49" i="45"/>
  <c r="B85" i="45"/>
  <c r="B59" i="45"/>
  <c r="B95" i="45"/>
  <c r="B74" i="45"/>
  <c r="B9" i="45"/>
  <c r="B67" i="45"/>
  <c r="B68" i="45"/>
  <c r="B96" i="45"/>
  <c r="B100" i="45"/>
  <c r="B7" i="45"/>
  <c r="B17" i="45"/>
  <c r="B13" i="45"/>
  <c r="B54" i="45"/>
  <c r="B39" i="45"/>
  <c r="B66" i="45"/>
  <c r="B92" i="45"/>
  <c r="B40" i="45"/>
  <c r="B8" i="45"/>
  <c r="B19" i="45"/>
  <c r="B41" i="45"/>
  <c r="B52" i="45"/>
  <c r="B69" i="45"/>
  <c r="B12" i="45"/>
  <c r="B81" i="45"/>
  <c r="B62" i="45"/>
  <c r="B43" i="45"/>
  <c r="B4" i="45"/>
  <c r="B103" i="45"/>
  <c r="B87" i="45"/>
  <c r="B98" i="45"/>
  <c r="B64" i="45"/>
  <c r="B36" i="45"/>
  <c r="B45" i="45"/>
  <c r="D268" i="37"/>
  <c r="D24" i="37" s="1"/>
  <c r="C268" i="37"/>
  <c r="C24" i="37" s="1"/>
  <c r="G268" i="37"/>
  <c r="G24" i="37" s="1"/>
  <c r="H268" i="37"/>
  <c r="H24" i="37" s="1"/>
  <c r="B268" i="37"/>
  <c r="B24" i="37" s="1"/>
  <c r="F268" i="37"/>
  <c r="F24" i="37" s="1"/>
  <c r="E268" i="37"/>
  <c r="E24" i="37" s="1"/>
  <c r="I268" i="37"/>
  <c r="I24" i="37" s="1"/>
  <c r="E314" i="44" l="1"/>
  <c r="E202" i="44"/>
  <c r="E258" i="44"/>
  <c r="E90" i="44"/>
  <c r="E34" i="44"/>
  <c r="H276" i="37"/>
  <c r="F88" i="37"/>
  <c r="F205" i="37" s="1"/>
  <c r="K88" i="37"/>
  <c r="K205" i="37" s="1"/>
  <c r="H53" i="37"/>
  <c r="H170" i="37" s="1"/>
  <c r="F53" i="37"/>
  <c r="F170" i="37" s="1"/>
  <c r="E88" i="37"/>
  <c r="E205" i="37" s="1"/>
  <c r="J53" i="37"/>
  <c r="J170" i="37" s="1"/>
  <c r="E53" i="37"/>
  <c r="E170" i="37" s="1"/>
  <c r="H88" i="37"/>
  <c r="H205" i="37" s="1"/>
  <c r="D88" i="37"/>
  <c r="D205" i="37" s="1"/>
  <c r="M88" i="37"/>
  <c r="M205" i="37" s="1"/>
  <c r="H277" i="37"/>
  <c r="M53" i="37"/>
  <c r="M170" i="37" s="1"/>
  <c r="H331" i="37"/>
  <c r="G53" i="37"/>
  <c r="G170" i="37" s="1"/>
  <c r="I88" i="37"/>
  <c r="I205" i="37" s="1"/>
  <c r="N88" i="37"/>
  <c r="N205" i="37" s="1"/>
  <c r="J88" i="37"/>
  <c r="J205" i="37" s="1"/>
  <c r="H339" i="37"/>
  <c r="H326" i="37"/>
  <c r="I53" i="37"/>
  <c r="I170" i="37" s="1"/>
  <c r="G88" i="37"/>
  <c r="G205" i="37" s="1"/>
  <c r="D53" i="37"/>
  <c r="D170" i="37" s="1"/>
  <c r="H368" i="37"/>
  <c r="L53" i="37"/>
  <c r="L170" i="37" s="1"/>
  <c r="H305" i="37"/>
  <c r="K53" i="37"/>
  <c r="K170" i="37" s="1"/>
  <c r="N53" i="37"/>
  <c r="N170" i="37" s="1"/>
  <c r="L88" i="37"/>
  <c r="L205" i="37" s="1"/>
  <c r="H335" i="37"/>
  <c r="H280" i="37"/>
  <c r="H274" i="37"/>
  <c r="H322" i="37"/>
  <c r="H372" i="37"/>
  <c r="H340" i="37"/>
  <c r="E249" i="44"/>
  <c r="E252" i="44" s="1"/>
  <c r="E268" i="44"/>
  <c r="E292" i="44"/>
  <c r="E272" i="44"/>
  <c r="E283" i="44"/>
  <c r="E282" i="44"/>
  <c r="E273" i="44"/>
  <c r="E259" i="44"/>
  <c r="E260" i="44"/>
  <c r="E274" i="44"/>
  <c r="E417" i="44"/>
  <c r="E420" i="44" s="1"/>
  <c r="E436" i="44"/>
  <c r="E440" i="44"/>
  <c r="E427" i="44"/>
  <c r="E428" i="44"/>
  <c r="E450" i="44"/>
  <c r="E441" i="44"/>
  <c r="E451" i="44"/>
  <c r="E460" i="44"/>
  <c r="E442" i="44"/>
  <c r="E361" i="44"/>
  <c r="E364" i="44" s="1"/>
  <c r="E380" i="44"/>
  <c r="E385" i="44"/>
  <c r="E395" i="44"/>
  <c r="E384" i="44"/>
  <c r="E371" i="44"/>
  <c r="E386" i="44"/>
  <c r="E394" i="44"/>
  <c r="E372" i="44"/>
  <c r="E404" i="44"/>
  <c r="E305" i="44"/>
  <c r="E308" i="44" s="1"/>
  <c r="E324" i="44"/>
  <c r="E338" i="44"/>
  <c r="E316" i="44"/>
  <c r="E339" i="44"/>
  <c r="E329" i="44"/>
  <c r="E348" i="44"/>
  <c r="E315" i="44"/>
  <c r="E328" i="44"/>
  <c r="E330" i="44"/>
  <c r="E81" i="44"/>
  <c r="E84" i="44" s="1"/>
  <c r="E137" i="44"/>
  <c r="E140" i="44" s="1"/>
  <c r="E156" i="44"/>
  <c r="E170" i="44"/>
  <c r="E148" i="44"/>
  <c r="E162" i="44"/>
  <c r="E161" i="44"/>
  <c r="E160" i="44"/>
  <c r="E147" i="44"/>
  <c r="E171" i="44"/>
  <c r="E180" i="44"/>
  <c r="E25" i="44"/>
  <c r="E28" i="44" s="1"/>
  <c r="E100" i="44"/>
  <c r="E105" i="44"/>
  <c r="E91" i="44"/>
  <c r="E114" i="44"/>
  <c r="E124" i="44"/>
  <c r="E106" i="44"/>
  <c r="E104" i="44"/>
  <c r="E115" i="44"/>
  <c r="E92" i="44"/>
  <c r="E193" i="44"/>
  <c r="E196" i="44" s="1"/>
  <c r="E212" i="44"/>
  <c r="E204" i="44"/>
  <c r="E203" i="44"/>
  <c r="E227" i="44"/>
  <c r="E218" i="44"/>
  <c r="E216" i="44"/>
  <c r="E217" i="44"/>
  <c r="E236" i="44"/>
  <c r="E226" i="44"/>
  <c r="E44" i="44"/>
  <c r="E48" i="44"/>
  <c r="E49" i="44"/>
  <c r="E36" i="44"/>
  <c r="E50" i="44"/>
  <c r="E68" i="44"/>
  <c r="E58" i="44"/>
  <c r="E35" i="44"/>
  <c r="E59" i="44"/>
  <c r="C39" i="37" l="1"/>
  <c r="C156" i="37" s="1"/>
  <c r="I276" i="37"/>
  <c r="I372" i="37"/>
  <c r="I277" i="37"/>
  <c r="I305" i="37"/>
  <c r="J305" i="37" s="1"/>
  <c r="K305" i="37" s="1"/>
  <c r="L305" i="37" s="1"/>
  <c r="M305" i="37" s="1"/>
  <c r="N305" i="37" s="1"/>
  <c r="O305" i="37" s="1"/>
  <c r="P305" i="37" s="1"/>
  <c r="Q305" i="37" s="1"/>
  <c r="R305" i="37" s="1"/>
  <c r="S305" i="37" s="1"/>
  <c r="T305" i="37" s="1"/>
  <c r="U305" i="37" s="1"/>
  <c r="V305" i="37" s="1"/>
  <c r="W305" i="37" s="1"/>
  <c r="X305" i="37" s="1"/>
  <c r="Y305" i="37" s="1"/>
  <c r="Z305" i="37" s="1"/>
  <c r="AA305" i="37" s="1"/>
  <c r="AB305" i="37" s="1"/>
  <c r="AC305" i="37" s="1"/>
  <c r="AD305" i="37" s="1"/>
  <c r="AE305" i="37" s="1"/>
  <c r="AF305" i="37" s="1"/>
  <c r="AG305" i="37" s="1"/>
  <c r="AH305" i="37" s="1"/>
  <c r="AI305" i="37" s="1"/>
  <c r="AJ305" i="37" s="1"/>
  <c r="AK305" i="37" s="1"/>
  <c r="AL305" i="37" s="1"/>
  <c r="AM305" i="37" s="1"/>
  <c r="AN305" i="37" s="1"/>
  <c r="AO305" i="37" s="1"/>
  <c r="AP305" i="37" s="1"/>
  <c r="AQ305" i="37" s="1"/>
  <c r="AR305" i="37" s="1"/>
  <c r="AS305" i="37" s="1"/>
  <c r="AT305" i="37" s="1"/>
  <c r="AU305" i="37" s="1"/>
  <c r="AV305" i="37" s="1"/>
  <c r="AW305" i="37" s="1"/>
  <c r="AX305" i="37" s="1"/>
  <c r="AY305" i="37" s="1"/>
  <c r="AZ305" i="37" s="1"/>
  <c r="BA305" i="37" s="1"/>
  <c r="BB305" i="37" s="1"/>
  <c r="BC305" i="37" s="1"/>
  <c r="BD305" i="37" s="1"/>
  <c r="BE305" i="37" s="1"/>
  <c r="BF305" i="37" s="1"/>
  <c r="BG305" i="37" s="1"/>
  <c r="BH305" i="37" s="1"/>
  <c r="I326" i="37"/>
  <c r="J326" i="37" s="1"/>
  <c r="K326" i="37" s="1"/>
  <c r="L326" i="37" s="1"/>
  <c r="M326" i="37" s="1"/>
  <c r="N326" i="37" s="1"/>
  <c r="O326" i="37" s="1"/>
  <c r="P326" i="37" s="1"/>
  <c r="Q326" i="37" s="1"/>
  <c r="R326" i="37" s="1"/>
  <c r="S326" i="37" s="1"/>
  <c r="T326" i="37" s="1"/>
  <c r="U326" i="37" s="1"/>
  <c r="V326" i="37" s="1"/>
  <c r="W326" i="37" s="1"/>
  <c r="X326" i="37" s="1"/>
  <c r="Y326" i="37" s="1"/>
  <c r="Z326" i="37" s="1"/>
  <c r="AA326" i="37" s="1"/>
  <c r="AB326" i="37" s="1"/>
  <c r="AC326" i="37" s="1"/>
  <c r="AD326" i="37" s="1"/>
  <c r="AE326" i="37" s="1"/>
  <c r="AF326" i="37" s="1"/>
  <c r="AG326" i="37" s="1"/>
  <c r="AH326" i="37" s="1"/>
  <c r="AI326" i="37" s="1"/>
  <c r="AJ326" i="37" s="1"/>
  <c r="AK326" i="37" s="1"/>
  <c r="AL326" i="37" s="1"/>
  <c r="AM326" i="37" s="1"/>
  <c r="AN326" i="37" s="1"/>
  <c r="AO326" i="37" s="1"/>
  <c r="AP326" i="37" s="1"/>
  <c r="AQ326" i="37" s="1"/>
  <c r="AR326" i="37" s="1"/>
  <c r="AS326" i="37" s="1"/>
  <c r="AT326" i="37" s="1"/>
  <c r="AU326" i="37" s="1"/>
  <c r="AV326" i="37" s="1"/>
  <c r="AW326" i="37" s="1"/>
  <c r="AX326" i="37" s="1"/>
  <c r="AY326" i="37" s="1"/>
  <c r="AZ326" i="37" s="1"/>
  <c r="BA326" i="37" s="1"/>
  <c r="BB326" i="37" s="1"/>
  <c r="BC326" i="37" s="1"/>
  <c r="BD326" i="37" s="1"/>
  <c r="BE326" i="37" s="1"/>
  <c r="BF326" i="37" s="1"/>
  <c r="BG326" i="37" s="1"/>
  <c r="BH326" i="37" s="1"/>
  <c r="I340" i="37"/>
  <c r="I368" i="37"/>
  <c r="I339" i="37"/>
  <c r="I322" i="37"/>
  <c r="J322" i="37" s="1"/>
  <c r="K322" i="37" s="1"/>
  <c r="L322" i="37" s="1"/>
  <c r="M322" i="37" s="1"/>
  <c r="N322" i="37" s="1"/>
  <c r="O322" i="37" s="1"/>
  <c r="P322" i="37" s="1"/>
  <c r="Q322" i="37" s="1"/>
  <c r="R322" i="37" s="1"/>
  <c r="S322" i="37" s="1"/>
  <c r="T322" i="37" s="1"/>
  <c r="U322" i="37" s="1"/>
  <c r="V322" i="37" s="1"/>
  <c r="W322" i="37" s="1"/>
  <c r="X322" i="37" s="1"/>
  <c r="Y322" i="37" s="1"/>
  <c r="Z322" i="37" s="1"/>
  <c r="AA322" i="37" s="1"/>
  <c r="AB322" i="37" s="1"/>
  <c r="AC322" i="37" s="1"/>
  <c r="AD322" i="37" s="1"/>
  <c r="AE322" i="37" s="1"/>
  <c r="AF322" i="37" s="1"/>
  <c r="AG322" i="37" s="1"/>
  <c r="AH322" i="37" s="1"/>
  <c r="AI322" i="37" s="1"/>
  <c r="AJ322" i="37" s="1"/>
  <c r="AK322" i="37" s="1"/>
  <c r="AL322" i="37" s="1"/>
  <c r="AM322" i="37" s="1"/>
  <c r="AN322" i="37" s="1"/>
  <c r="AO322" i="37" s="1"/>
  <c r="AP322" i="37" s="1"/>
  <c r="AQ322" i="37" s="1"/>
  <c r="AR322" i="37" s="1"/>
  <c r="AS322" i="37" s="1"/>
  <c r="AT322" i="37" s="1"/>
  <c r="AU322" i="37" s="1"/>
  <c r="AV322" i="37" s="1"/>
  <c r="AW322" i="37" s="1"/>
  <c r="AX322" i="37" s="1"/>
  <c r="AY322" i="37" s="1"/>
  <c r="AZ322" i="37" s="1"/>
  <c r="BA322" i="37" s="1"/>
  <c r="BB322" i="37" s="1"/>
  <c r="BC322" i="37" s="1"/>
  <c r="BD322" i="37" s="1"/>
  <c r="BE322" i="37" s="1"/>
  <c r="BF322" i="37" s="1"/>
  <c r="BG322" i="37" s="1"/>
  <c r="BH322" i="37" s="1"/>
  <c r="I274" i="37"/>
  <c r="J274" i="37" s="1"/>
  <c r="K274" i="37" s="1"/>
  <c r="L274" i="37" s="1"/>
  <c r="M274" i="37" s="1"/>
  <c r="N274" i="37" s="1"/>
  <c r="O274" i="37" s="1"/>
  <c r="P274" i="37" s="1"/>
  <c r="Q274" i="37" s="1"/>
  <c r="R274" i="37" s="1"/>
  <c r="S274" i="37" s="1"/>
  <c r="T274" i="37" s="1"/>
  <c r="U274" i="37" s="1"/>
  <c r="V274" i="37" s="1"/>
  <c r="W274" i="37" s="1"/>
  <c r="X274" i="37" s="1"/>
  <c r="Y274" i="37" s="1"/>
  <c r="Z274" i="37" s="1"/>
  <c r="AA274" i="37" s="1"/>
  <c r="AB274" i="37" s="1"/>
  <c r="AC274" i="37" s="1"/>
  <c r="AD274" i="37" s="1"/>
  <c r="AE274" i="37" s="1"/>
  <c r="AF274" i="37" s="1"/>
  <c r="AG274" i="37" s="1"/>
  <c r="AH274" i="37" s="1"/>
  <c r="AI274" i="37" s="1"/>
  <c r="AJ274" i="37" s="1"/>
  <c r="AK274" i="37" s="1"/>
  <c r="AL274" i="37" s="1"/>
  <c r="AM274" i="37" s="1"/>
  <c r="AN274" i="37" s="1"/>
  <c r="AO274" i="37" s="1"/>
  <c r="AP274" i="37" s="1"/>
  <c r="AQ274" i="37" s="1"/>
  <c r="AR274" i="37" s="1"/>
  <c r="AS274" i="37" s="1"/>
  <c r="AT274" i="37" s="1"/>
  <c r="AU274" i="37" s="1"/>
  <c r="AV274" i="37" s="1"/>
  <c r="AW274" i="37" s="1"/>
  <c r="AX274" i="37" s="1"/>
  <c r="AY274" i="37" s="1"/>
  <c r="AZ274" i="37" s="1"/>
  <c r="BA274" i="37" s="1"/>
  <c r="BB274" i="37" s="1"/>
  <c r="BC274" i="37" s="1"/>
  <c r="BD274" i="37" s="1"/>
  <c r="BE274" i="37" s="1"/>
  <c r="BF274" i="37" s="1"/>
  <c r="BG274" i="37" s="1"/>
  <c r="BH274" i="37" s="1"/>
  <c r="I280" i="37"/>
  <c r="J280" i="37" s="1"/>
  <c r="K280" i="37" s="1"/>
  <c r="L280" i="37" s="1"/>
  <c r="M280" i="37" s="1"/>
  <c r="N280" i="37" s="1"/>
  <c r="O280" i="37" s="1"/>
  <c r="P280" i="37" s="1"/>
  <c r="Q280" i="37" s="1"/>
  <c r="R280" i="37" s="1"/>
  <c r="S280" i="37" s="1"/>
  <c r="T280" i="37" s="1"/>
  <c r="U280" i="37" s="1"/>
  <c r="V280" i="37" s="1"/>
  <c r="W280" i="37" s="1"/>
  <c r="X280" i="37" s="1"/>
  <c r="Y280" i="37" s="1"/>
  <c r="Z280" i="37" s="1"/>
  <c r="AA280" i="37" s="1"/>
  <c r="AB280" i="37" s="1"/>
  <c r="AC280" i="37" s="1"/>
  <c r="AD280" i="37" s="1"/>
  <c r="AE280" i="37" s="1"/>
  <c r="AF280" i="37" s="1"/>
  <c r="AG280" i="37" s="1"/>
  <c r="AH280" i="37" s="1"/>
  <c r="AI280" i="37" s="1"/>
  <c r="AJ280" i="37" s="1"/>
  <c r="AK280" i="37" s="1"/>
  <c r="AL280" i="37" s="1"/>
  <c r="AM280" i="37" s="1"/>
  <c r="AN280" i="37" s="1"/>
  <c r="AO280" i="37" s="1"/>
  <c r="AP280" i="37" s="1"/>
  <c r="AQ280" i="37" s="1"/>
  <c r="AR280" i="37" s="1"/>
  <c r="AS280" i="37" s="1"/>
  <c r="AT280" i="37" s="1"/>
  <c r="AU280" i="37" s="1"/>
  <c r="AV280" i="37" s="1"/>
  <c r="AW280" i="37" s="1"/>
  <c r="AX280" i="37" s="1"/>
  <c r="AY280" i="37" s="1"/>
  <c r="AZ280" i="37" s="1"/>
  <c r="BA280" i="37" s="1"/>
  <c r="BB280" i="37" s="1"/>
  <c r="BC280" i="37" s="1"/>
  <c r="BD280" i="37" s="1"/>
  <c r="BE280" i="37" s="1"/>
  <c r="BF280" i="37" s="1"/>
  <c r="BG280" i="37" s="1"/>
  <c r="BH280" i="37" s="1"/>
  <c r="I335" i="37"/>
  <c r="J335" i="37" s="1"/>
  <c r="K335" i="37" s="1"/>
  <c r="L335" i="37" s="1"/>
  <c r="M335" i="37" s="1"/>
  <c r="N335" i="37" s="1"/>
  <c r="O335" i="37" s="1"/>
  <c r="P335" i="37" s="1"/>
  <c r="Q335" i="37" s="1"/>
  <c r="R335" i="37" s="1"/>
  <c r="S335" i="37" s="1"/>
  <c r="T335" i="37" s="1"/>
  <c r="U335" i="37" s="1"/>
  <c r="V335" i="37" s="1"/>
  <c r="W335" i="37" s="1"/>
  <c r="X335" i="37" s="1"/>
  <c r="Y335" i="37" s="1"/>
  <c r="Z335" i="37" s="1"/>
  <c r="AA335" i="37" s="1"/>
  <c r="AB335" i="37" s="1"/>
  <c r="AC335" i="37" s="1"/>
  <c r="AD335" i="37" s="1"/>
  <c r="AE335" i="37" s="1"/>
  <c r="AF335" i="37" s="1"/>
  <c r="AG335" i="37" s="1"/>
  <c r="AH335" i="37" s="1"/>
  <c r="AI335" i="37" s="1"/>
  <c r="AJ335" i="37" s="1"/>
  <c r="AK335" i="37" s="1"/>
  <c r="AL335" i="37" s="1"/>
  <c r="AM335" i="37" s="1"/>
  <c r="AN335" i="37" s="1"/>
  <c r="AO335" i="37" s="1"/>
  <c r="AP335" i="37" s="1"/>
  <c r="AQ335" i="37" s="1"/>
  <c r="AR335" i="37" s="1"/>
  <c r="AS335" i="37" s="1"/>
  <c r="AT335" i="37" s="1"/>
  <c r="AU335" i="37" s="1"/>
  <c r="AV335" i="37" s="1"/>
  <c r="AW335" i="37" s="1"/>
  <c r="AX335" i="37" s="1"/>
  <c r="AY335" i="37" s="1"/>
  <c r="AZ335" i="37" s="1"/>
  <c r="BA335" i="37" s="1"/>
  <c r="BB335" i="37" s="1"/>
  <c r="BC335" i="37" s="1"/>
  <c r="BD335" i="37" s="1"/>
  <c r="BE335" i="37" s="1"/>
  <c r="BF335" i="37" s="1"/>
  <c r="BG335" i="37" s="1"/>
  <c r="BH335" i="37" s="1"/>
  <c r="I331" i="37"/>
  <c r="S17" i="31"/>
  <c r="G88" i="29" s="1"/>
  <c r="S31" i="31"/>
  <c r="Q17" i="31"/>
  <c r="G79" i="29" s="1"/>
  <c r="E393" i="44"/>
  <c r="O17" i="31"/>
  <c r="E70" i="29" s="1"/>
  <c r="O31" i="31"/>
  <c r="M17" i="31"/>
  <c r="E61" i="29" s="1"/>
  <c r="E262" i="44"/>
  <c r="K17" i="31"/>
  <c r="G52" i="29" s="1"/>
  <c r="E206" i="44"/>
  <c r="I17" i="31"/>
  <c r="E43" i="29" s="1"/>
  <c r="E178" i="44"/>
  <c r="G17" i="31"/>
  <c r="E34" i="29" s="1"/>
  <c r="E113" i="44"/>
  <c r="E17" i="31"/>
  <c r="G25" i="29" s="1"/>
  <c r="E66" i="44"/>
  <c r="F114" i="49"/>
  <c r="E291" i="44"/>
  <c r="M32" i="31"/>
  <c r="E111" i="49"/>
  <c r="E276" i="44"/>
  <c r="M44" i="31"/>
  <c r="M46" i="31"/>
  <c r="G111" i="49"/>
  <c r="M45" i="31"/>
  <c r="F111" i="49"/>
  <c r="M62" i="31"/>
  <c r="G113" i="49"/>
  <c r="E299" i="44"/>
  <c r="M67" i="31" s="1"/>
  <c r="M53" i="31"/>
  <c r="F112" i="49"/>
  <c r="F115" i="49"/>
  <c r="E269" i="44"/>
  <c r="G115" i="49"/>
  <c r="E115" i="49"/>
  <c r="M37" i="31"/>
  <c r="M33" i="31"/>
  <c r="G114" i="49"/>
  <c r="M54" i="31"/>
  <c r="G112" i="49"/>
  <c r="S46" i="31"/>
  <c r="G138" i="49"/>
  <c r="S45" i="31"/>
  <c r="F138" i="49"/>
  <c r="S44" i="31"/>
  <c r="E138" i="49"/>
  <c r="E444" i="44"/>
  <c r="S32" i="31"/>
  <c r="E459" i="44"/>
  <c r="F141" i="49"/>
  <c r="E467" i="44"/>
  <c r="S67" i="31" s="1"/>
  <c r="G140" i="49"/>
  <c r="S62" i="31"/>
  <c r="S53" i="31"/>
  <c r="F139" i="49"/>
  <c r="G142" i="49"/>
  <c r="S37" i="31"/>
  <c r="E437" i="44"/>
  <c r="F142" i="49"/>
  <c r="E142" i="49"/>
  <c r="G139" i="49"/>
  <c r="S54" i="31"/>
  <c r="G141" i="49"/>
  <c r="S33" i="31"/>
  <c r="G131" i="49"/>
  <c r="E411" i="44"/>
  <c r="Q67" i="31" s="1"/>
  <c r="Q62" i="31"/>
  <c r="F132" i="49"/>
  <c r="Q32" i="31"/>
  <c r="E403" i="44"/>
  <c r="F129" i="49"/>
  <c r="Q45" i="31"/>
  <c r="G130" i="49"/>
  <c r="Q54" i="31"/>
  <c r="Q33" i="31"/>
  <c r="G132" i="49"/>
  <c r="Q44" i="31"/>
  <c r="E388" i="44"/>
  <c r="E129" i="49"/>
  <c r="G133" i="49"/>
  <c r="E381" i="44"/>
  <c r="F133" i="49"/>
  <c r="E133" i="49"/>
  <c r="Q37" i="31"/>
  <c r="G129" i="49"/>
  <c r="Q46" i="31"/>
  <c r="Q53" i="31"/>
  <c r="F130" i="49"/>
  <c r="E347" i="44"/>
  <c r="O32" i="31"/>
  <c r="F123" i="49"/>
  <c r="O33" i="31"/>
  <c r="G123" i="49"/>
  <c r="G120" i="49"/>
  <c r="O46" i="31"/>
  <c r="E355" i="44"/>
  <c r="O67" i="31" s="1"/>
  <c r="G122" i="49"/>
  <c r="O62" i="31"/>
  <c r="O53" i="31"/>
  <c r="F121" i="49"/>
  <c r="E120" i="49"/>
  <c r="E332" i="44"/>
  <c r="O44" i="31"/>
  <c r="O45" i="31"/>
  <c r="F120" i="49"/>
  <c r="E325" i="44"/>
  <c r="O37" i="31"/>
  <c r="E124" i="49"/>
  <c r="G124" i="49"/>
  <c r="F124" i="49"/>
  <c r="G121" i="49"/>
  <c r="O54" i="31"/>
  <c r="E187" i="44"/>
  <c r="I67" i="31" s="1"/>
  <c r="G95" i="49"/>
  <c r="I62" i="31"/>
  <c r="I45" i="31"/>
  <c r="F93" i="49"/>
  <c r="I54" i="31"/>
  <c r="G94" i="49"/>
  <c r="I46" i="31"/>
  <c r="G93" i="49"/>
  <c r="I37" i="31"/>
  <c r="E97" i="49"/>
  <c r="G97" i="49"/>
  <c r="E157" i="44"/>
  <c r="F97" i="49"/>
  <c r="I32" i="31"/>
  <c r="F96" i="49"/>
  <c r="E179" i="44"/>
  <c r="I33" i="31"/>
  <c r="G96" i="49"/>
  <c r="I44" i="31"/>
  <c r="E164" i="44"/>
  <c r="E93" i="49"/>
  <c r="I53" i="31"/>
  <c r="F94" i="49"/>
  <c r="G44" i="31"/>
  <c r="E84" i="49"/>
  <c r="E108" i="44"/>
  <c r="E123" i="44"/>
  <c r="F87" i="49"/>
  <c r="G32" i="31"/>
  <c r="G46" i="31"/>
  <c r="G84" i="49"/>
  <c r="F84" i="49"/>
  <c r="G45" i="31"/>
  <c r="G33" i="31"/>
  <c r="G87" i="49"/>
  <c r="G86" i="49"/>
  <c r="E131" i="44"/>
  <c r="G67" i="31" s="1"/>
  <c r="G62" i="31"/>
  <c r="G85" i="49"/>
  <c r="G54" i="31"/>
  <c r="F85" i="49"/>
  <c r="G53" i="31"/>
  <c r="E101" i="44"/>
  <c r="G88" i="49"/>
  <c r="G37" i="31"/>
  <c r="E88" i="49"/>
  <c r="F88" i="49"/>
  <c r="E235" i="44"/>
  <c r="K32" i="31"/>
  <c r="F105" i="49"/>
  <c r="F103" i="49"/>
  <c r="K53" i="31"/>
  <c r="G102" i="49"/>
  <c r="K46" i="31"/>
  <c r="G105" i="49"/>
  <c r="K33" i="31"/>
  <c r="E220" i="44"/>
  <c r="K44" i="31"/>
  <c r="E102" i="49"/>
  <c r="G104" i="49"/>
  <c r="E243" i="44"/>
  <c r="K67" i="31" s="1"/>
  <c r="K62" i="31"/>
  <c r="K54" i="31"/>
  <c r="G103" i="49"/>
  <c r="G106" i="49"/>
  <c r="F106" i="49"/>
  <c r="E106" i="49"/>
  <c r="E213" i="44"/>
  <c r="K37" i="31"/>
  <c r="K45" i="31"/>
  <c r="F102" i="49"/>
  <c r="E32" i="31"/>
  <c r="E474" i="44"/>
  <c r="F78" i="49"/>
  <c r="E67" i="44"/>
  <c r="G78" i="49"/>
  <c r="E475" i="44"/>
  <c r="E33" i="31"/>
  <c r="E494" i="44"/>
  <c r="E53" i="31"/>
  <c r="F76" i="49"/>
  <c r="E485" i="44"/>
  <c r="E45" i="31"/>
  <c r="F75" i="49"/>
  <c r="E75" i="44"/>
  <c r="G77" i="49"/>
  <c r="E62" i="31"/>
  <c r="E504" i="44"/>
  <c r="E484" i="44"/>
  <c r="E75" i="49"/>
  <c r="E52" i="44"/>
  <c r="E44" i="31"/>
  <c r="E495" i="44"/>
  <c r="E54" i="31"/>
  <c r="G76" i="49"/>
  <c r="E46" i="31"/>
  <c r="G75" i="49"/>
  <c r="E486" i="44"/>
  <c r="F79" i="49"/>
  <c r="E45" i="44"/>
  <c r="G79" i="49"/>
  <c r="E480" i="44"/>
  <c r="E37" i="31"/>
  <c r="E79" i="49"/>
  <c r="E88" i="29" l="1"/>
  <c r="BI280" i="37"/>
  <c r="BJ280" i="37" s="1"/>
  <c r="BK280" i="37" s="1"/>
  <c r="BL280" i="37" s="1"/>
  <c r="BM280" i="37" s="1"/>
  <c r="BN280" i="37" s="1"/>
  <c r="BO280" i="37" s="1"/>
  <c r="BP280" i="37" s="1"/>
  <c r="BQ280" i="37" s="1"/>
  <c r="BR280" i="37" s="1"/>
  <c r="BS280" i="37" s="1"/>
  <c r="BT280" i="37" s="1"/>
  <c r="BU280" i="37" s="1"/>
  <c r="BV280" i="37" s="1"/>
  <c r="BW280" i="37" s="1"/>
  <c r="BI274" i="37"/>
  <c r="BJ274" i="37" s="1"/>
  <c r="BK274" i="37" s="1"/>
  <c r="BL274" i="37" s="1"/>
  <c r="BM274" i="37" s="1"/>
  <c r="BN274" i="37" s="1"/>
  <c r="BO274" i="37" s="1"/>
  <c r="BP274" i="37" s="1"/>
  <c r="BQ274" i="37" s="1"/>
  <c r="BR274" i="37" s="1"/>
  <c r="BS274" i="37" s="1"/>
  <c r="BT274" i="37" s="1"/>
  <c r="BU274" i="37" s="1"/>
  <c r="BV274" i="37" s="1"/>
  <c r="BW274" i="37" s="1"/>
  <c r="BI322" i="37"/>
  <c r="BJ322" i="37" s="1"/>
  <c r="BK322" i="37" s="1"/>
  <c r="BL322" i="37" s="1"/>
  <c r="BM322" i="37" s="1"/>
  <c r="BN322" i="37" s="1"/>
  <c r="BO322" i="37" s="1"/>
  <c r="BP322" i="37" s="1"/>
  <c r="BQ322" i="37" s="1"/>
  <c r="BR322" i="37" s="1"/>
  <c r="BS322" i="37" s="1"/>
  <c r="BT322" i="37" s="1"/>
  <c r="BU322" i="37" s="1"/>
  <c r="BV322" i="37" s="1"/>
  <c r="BW322" i="37" s="1"/>
  <c r="BI326" i="37"/>
  <c r="BJ326" i="37" s="1"/>
  <c r="BK326" i="37" s="1"/>
  <c r="BL326" i="37" s="1"/>
  <c r="BM326" i="37" s="1"/>
  <c r="BN326" i="37" s="1"/>
  <c r="BO326" i="37" s="1"/>
  <c r="BP326" i="37" s="1"/>
  <c r="BQ326" i="37" s="1"/>
  <c r="BR326" i="37" s="1"/>
  <c r="BS326" i="37" s="1"/>
  <c r="BT326" i="37" s="1"/>
  <c r="BU326" i="37" s="1"/>
  <c r="BV326" i="37" s="1"/>
  <c r="BW326" i="37" s="1"/>
  <c r="BI335" i="37"/>
  <c r="BJ335" i="37" s="1"/>
  <c r="BK335" i="37" s="1"/>
  <c r="BL335" i="37" s="1"/>
  <c r="BM335" i="37" s="1"/>
  <c r="BN335" i="37" s="1"/>
  <c r="BO335" i="37" s="1"/>
  <c r="BP335" i="37" s="1"/>
  <c r="BQ335" i="37" s="1"/>
  <c r="BR335" i="37" s="1"/>
  <c r="BS335" i="37" s="1"/>
  <c r="BT335" i="37" s="1"/>
  <c r="BU335" i="37" s="1"/>
  <c r="BV335" i="37" s="1"/>
  <c r="BW335" i="37" s="1"/>
  <c r="BI305" i="37"/>
  <c r="E234" i="44"/>
  <c r="E104" i="49" s="1"/>
  <c r="J276" i="37"/>
  <c r="K37" i="37"/>
  <c r="K154" i="37" s="1"/>
  <c r="L37" i="37"/>
  <c r="L154" i="37" s="1"/>
  <c r="J37" i="37"/>
  <c r="J154" i="37" s="1"/>
  <c r="C85" i="37"/>
  <c r="C202" i="37" s="1"/>
  <c r="D85" i="37"/>
  <c r="D202" i="37" s="1"/>
  <c r="K43" i="37"/>
  <c r="K160" i="37" s="1"/>
  <c r="G98" i="37"/>
  <c r="G215" i="37" s="1"/>
  <c r="J85" i="37"/>
  <c r="J202" i="37" s="1"/>
  <c r="E98" i="37"/>
  <c r="E215" i="37" s="1"/>
  <c r="G37" i="37"/>
  <c r="G154" i="37" s="1"/>
  <c r="F98" i="37"/>
  <c r="F215" i="37" s="1"/>
  <c r="F37" i="37"/>
  <c r="F154" i="37" s="1"/>
  <c r="D89" i="37"/>
  <c r="D206" i="37" s="1"/>
  <c r="J98" i="37"/>
  <c r="J215" i="37" s="1"/>
  <c r="I43" i="37"/>
  <c r="I160" i="37" s="1"/>
  <c r="C40" i="37"/>
  <c r="C157" i="37" s="1"/>
  <c r="H37" i="37"/>
  <c r="H154" i="37" s="1"/>
  <c r="I37" i="37"/>
  <c r="I154" i="37" s="1"/>
  <c r="L43" i="37"/>
  <c r="L160" i="37" s="1"/>
  <c r="J331" i="37"/>
  <c r="M43" i="37"/>
  <c r="M160" i="37" s="1"/>
  <c r="M37" i="37"/>
  <c r="M154" i="37" s="1"/>
  <c r="E85" i="37"/>
  <c r="E202" i="37" s="1"/>
  <c r="C43" i="37"/>
  <c r="C160" i="37" s="1"/>
  <c r="K85" i="37"/>
  <c r="K202" i="37" s="1"/>
  <c r="J339" i="37"/>
  <c r="J43" i="37"/>
  <c r="J160" i="37" s="1"/>
  <c r="J368" i="37"/>
  <c r="F85" i="37"/>
  <c r="F202" i="37" s="1"/>
  <c r="J340" i="37"/>
  <c r="D43" i="37"/>
  <c r="D160" i="37" s="1"/>
  <c r="M98" i="37"/>
  <c r="M215" i="37" s="1"/>
  <c r="D68" i="37"/>
  <c r="D185" i="37" s="1"/>
  <c r="N43" i="37"/>
  <c r="N160" i="37" s="1"/>
  <c r="L85" i="37"/>
  <c r="L202" i="37" s="1"/>
  <c r="D98" i="37"/>
  <c r="D215" i="37" s="1"/>
  <c r="L98" i="37"/>
  <c r="L215" i="37" s="1"/>
  <c r="H98" i="37"/>
  <c r="H215" i="37" s="1"/>
  <c r="H43" i="37"/>
  <c r="H160" i="37" s="1"/>
  <c r="N98" i="37"/>
  <c r="N215" i="37" s="1"/>
  <c r="N85" i="37"/>
  <c r="N202" i="37" s="1"/>
  <c r="M85" i="37"/>
  <c r="M202" i="37" s="1"/>
  <c r="G43" i="37"/>
  <c r="G160" i="37" s="1"/>
  <c r="N37" i="37"/>
  <c r="N154" i="37" s="1"/>
  <c r="J277" i="37"/>
  <c r="F43" i="37"/>
  <c r="F160" i="37" s="1"/>
  <c r="J372" i="37"/>
  <c r="G85" i="37"/>
  <c r="G202" i="37" s="1"/>
  <c r="E122" i="44"/>
  <c r="G60" i="31" s="1"/>
  <c r="E52" i="29"/>
  <c r="G70" i="29"/>
  <c r="E225" i="44"/>
  <c r="K52" i="31" s="1"/>
  <c r="G43" i="29"/>
  <c r="G34" i="29"/>
  <c r="E25" i="29"/>
  <c r="G61" i="29"/>
  <c r="E79" i="29"/>
  <c r="E31" i="31"/>
  <c r="E374" i="44"/>
  <c r="E390" i="44" s="1"/>
  <c r="G52" i="49" s="1"/>
  <c r="K31" i="31"/>
  <c r="E57" i="44"/>
  <c r="E52" i="31" s="1"/>
  <c r="E38" i="44"/>
  <c r="E34" i="31" s="1"/>
  <c r="E78" i="49"/>
  <c r="E169" i="44"/>
  <c r="E173" i="44" s="1"/>
  <c r="E174" i="44" s="1"/>
  <c r="I57" i="31" s="1"/>
  <c r="E132" i="49"/>
  <c r="Q31" i="31"/>
  <c r="E402" i="44"/>
  <c r="E131" i="49" s="1"/>
  <c r="E105" i="49"/>
  <c r="M31" i="31"/>
  <c r="E430" i="44"/>
  <c r="H141" i="49" s="1"/>
  <c r="E290" i="44"/>
  <c r="E113" i="49" s="1"/>
  <c r="E87" i="49"/>
  <c r="E346" i="44"/>
  <c r="E122" i="49" s="1"/>
  <c r="E337" i="44"/>
  <c r="O52" i="31" s="1"/>
  <c r="E123" i="49"/>
  <c r="E318" i="44"/>
  <c r="H123" i="49" s="1"/>
  <c r="E141" i="49"/>
  <c r="E114" i="49"/>
  <c r="E281" i="44"/>
  <c r="M52" i="31" s="1"/>
  <c r="G31" i="31"/>
  <c r="E94" i="44"/>
  <c r="G34" i="31" s="1"/>
  <c r="I31" i="31"/>
  <c r="E473" i="44"/>
  <c r="E150" i="49" s="1"/>
  <c r="E449" i="44"/>
  <c r="E453" i="44" s="1"/>
  <c r="E458" i="44"/>
  <c r="E140" i="49" s="1"/>
  <c r="E150" i="44"/>
  <c r="I34" i="31" s="1"/>
  <c r="E96" i="49"/>
  <c r="H114" i="49"/>
  <c r="E278" i="44"/>
  <c r="G38" i="49" s="1"/>
  <c r="M34" i="31"/>
  <c r="M38" i="31"/>
  <c r="H115" i="49"/>
  <c r="E277" i="44"/>
  <c r="M49" i="31" s="1"/>
  <c r="F113" i="49"/>
  <c r="M61" i="31"/>
  <c r="M47" i="31"/>
  <c r="E38" i="49"/>
  <c r="H111" i="49"/>
  <c r="S38" i="31"/>
  <c r="H142" i="49"/>
  <c r="E445" i="44"/>
  <c r="H138" i="49"/>
  <c r="S47" i="31"/>
  <c r="E59" i="49"/>
  <c r="F140" i="49"/>
  <c r="S61" i="31"/>
  <c r="E130" i="49"/>
  <c r="Q52" i="31"/>
  <c r="E397" i="44"/>
  <c r="Q47" i="31"/>
  <c r="E52" i="49"/>
  <c r="H129" i="49"/>
  <c r="F131" i="49"/>
  <c r="Q61" i="31"/>
  <c r="H133" i="49"/>
  <c r="Q38" i="31"/>
  <c r="E389" i="44"/>
  <c r="Q49" i="31" s="1"/>
  <c r="H124" i="49"/>
  <c r="O38" i="31"/>
  <c r="E333" i="44"/>
  <c r="O47" i="31"/>
  <c r="H120" i="49"/>
  <c r="E45" i="49"/>
  <c r="O61" i="31"/>
  <c r="F122" i="49"/>
  <c r="I47" i="31"/>
  <c r="H93" i="49"/>
  <c r="E24" i="49"/>
  <c r="I60" i="31"/>
  <c r="E95" i="49"/>
  <c r="E182" i="44"/>
  <c r="I61" i="31"/>
  <c r="F95" i="49"/>
  <c r="I38" i="31"/>
  <c r="H97" i="49"/>
  <c r="E165" i="44"/>
  <c r="I49" i="31" s="1"/>
  <c r="E85" i="49"/>
  <c r="G52" i="31"/>
  <c r="E117" i="44"/>
  <c r="G61" i="31"/>
  <c r="F86" i="49"/>
  <c r="E17" i="49"/>
  <c r="G47" i="31"/>
  <c r="H84" i="49"/>
  <c r="G38" i="31"/>
  <c r="H88" i="49"/>
  <c r="E109" i="44"/>
  <c r="K34" i="31"/>
  <c r="E222" i="44"/>
  <c r="G31" i="49" s="1"/>
  <c r="H105" i="49"/>
  <c r="E31" i="49"/>
  <c r="H102" i="49"/>
  <c r="K47" i="31"/>
  <c r="K38" i="31"/>
  <c r="H106" i="49"/>
  <c r="E221" i="44"/>
  <c r="F104" i="49"/>
  <c r="K61" i="31"/>
  <c r="H75" i="49"/>
  <c r="E10" i="49"/>
  <c r="E47" i="31"/>
  <c r="E488" i="44"/>
  <c r="G148" i="49"/>
  <c r="U54" i="31"/>
  <c r="E147" i="49"/>
  <c r="U44" i="31"/>
  <c r="E67" i="31"/>
  <c r="E511" i="44"/>
  <c r="U67" i="31" s="1"/>
  <c r="F148" i="49"/>
  <c r="U53" i="31"/>
  <c r="E61" i="31"/>
  <c r="E503" i="44"/>
  <c r="F77" i="49"/>
  <c r="E481" i="44"/>
  <c r="E38" i="31"/>
  <c r="E53" i="44"/>
  <c r="L49" i="31" s="1"/>
  <c r="H79" i="49"/>
  <c r="U62" i="31"/>
  <c r="G149" i="49"/>
  <c r="F147" i="49"/>
  <c r="U45" i="31"/>
  <c r="U32" i="31"/>
  <c r="F150" i="49"/>
  <c r="U33" i="31"/>
  <c r="G150" i="49"/>
  <c r="F151" i="49"/>
  <c r="U37" i="31"/>
  <c r="E151" i="49"/>
  <c r="G151" i="49"/>
  <c r="G147" i="49"/>
  <c r="U46" i="31"/>
  <c r="E77" i="49"/>
  <c r="E60" i="31"/>
  <c r="E70" i="44"/>
  <c r="E71" i="44" s="1"/>
  <c r="H89" i="37" l="1"/>
  <c r="H206" i="37" s="1"/>
  <c r="E89" i="37"/>
  <c r="E206" i="37" s="1"/>
  <c r="G89" i="37"/>
  <c r="G206" i="37" s="1"/>
  <c r="M89" i="37"/>
  <c r="M206" i="37" s="1"/>
  <c r="L89" i="37"/>
  <c r="L206" i="37" s="1"/>
  <c r="J89" i="37"/>
  <c r="J206" i="37" s="1"/>
  <c r="K89" i="37"/>
  <c r="K206" i="37" s="1"/>
  <c r="N89" i="37"/>
  <c r="N206" i="37" s="1"/>
  <c r="F89" i="37"/>
  <c r="F206" i="37" s="1"/>
  <c r="BJ305" i="37"/>
  <c r="K98" i="37"/>
  <c r="K215" i="37" s="1"/>
  <c r="H85" i="37"/>
  <c r="H202" i="37" s="1"/>
  <c r="I89" i="37"/>
  <c r="I206" i="37" s="1"/>
  <c r="E37" i="37"/>
  <c r="E154" i="37" s="1"/>
  <c r="I98" i="37"/>
  <c r="I215" i="37" s="1"/>
  <c r="I85" i="37"/>
  <c r="I202" i="37" s="1"/>
  <c r="E43" i="37"/>
  <c r="E160" i="37" s="1"/>
  <c r="M60" i="31"/>
  <c r="K60" i="31"/>
  <c r="H132" i="49"/>
  <c r="E238" i="44"/>
  <c r="E240" i="44" s="1"/>
  <c r="G33" i="49" s="1"/>
  <c r="K276" i="37"/>
  <c r="K277" i="37"/>
  <c r="L277" i="37" s="1"/>
  <c r="M277" i="37" s="1"/>
  <c r="N277" i="37" s="1"/>
  <c r="O277" i="37" s="1"/>
  <c r="P277" i="37" s="1"/>
  <c r="Q277" i="37" s="1"/>
  <c r="R277" i="37" s="1"/>
  <c r="S277" i="37" s="1"/>
  <c r="T277" i="37" s="1"/>
  <c r="U277" i="37" s="1"/>
  <c r="V277" i="37" s="1"/>
  <c r="W277" i="37" s="1"/>
  <c r="X277" i="37" s="1"/>
  <c r="Y277" i="37" s="1"/>
  <c r="Z277" i="37" s="1"/>
  <c r="AA277" i="37" s="1"/>
  <c r="AB277" i="37" s="1"/>
  <c r="AC277" i="37" s="1"/>
  <c r="AD277" i="37" s="1"/>
  <c r="AE277" i="37" s="1"/>
  <c r="AF277" i="37" s="1"/>
  <c r="AG277" i="37" s="1"/>
  <c r="AH277" i="37" s="1"/>
  <c r="AI277" i="37" s="1"/>
  <c r="AJ277" i="37" s="1"/>
  <c r="AK277" i="37" s="1"/>
  <c r="AL277" i="37" s="1"/>
  <c r="AM277" i="37" s="1"/>
  <c r="AN277" i="37" s="1"/>
  <c r="AO277" i="37" s="1"/>
  <c r="AP277" i="37" s="1"/>
  <c r="AQ277" i="37" s="1"/>
  <c r="AR277" i="37" s="1"/>
  <c r="AS277" i="37" s="1"/>
  <c r="AT277" i="37" s="1"/>
  <c r="AU277" i="37" s="1"/>
  <c r="AV277" i="37" s="1"/>
  <c r="AW277" i="37" s="1"/>
  <c r="AX277" i="37" s="1"/>
  <c r="AY277" i="37" s="1"/>
  <c r="AZ277" i="37" s="1"/>
  <c r="BA277" i="37" s="1"/>
  <c r="BB277" i="37" s="1"/>
  <c r="BC277" i="37" s="1"/>
  <c r="BD277" i="37" s="1"/>
  <c r="BE277" i="37" s="1"/>
  <c r="BF277" i="37" s="1"/>
  <c r="BG277" i="37" s="1"/>
  <c r="BH277" i="37" s="1"/>
  <c r="BI277" i="37" s="1"/>
  <c r="BJ277" i="37" s="1"/>
  <c r="BK277" i="37" s="1"/>
  <c r="BL277" i="37" s="1"/>
  <c r="BM277" i="37" s="1"/>
  <c r="BN277" i="37" s="1"/>
  <c r="BO277" i="37" s="1"/>
  <c r="BP277" i="37" s="1"/>
  <c r="BQ277" i="37" s="1"/>
  <c r="BR277" i="37" s="1"/>
  <c r="BS277" i="37" s="1"/>
  <c r="BT277" i="37" s="1"/>
  <c r="BU277" i="37" s="1"/>
  <c r="BV277" i="37" s="1"/>
  <c r="BW277" i="37" s="1"/>
  <c r="K368" i="37"/>
  <c r="K331" i="37"/>
  <c r="K372" i="37"/>
  <c r="K340" i="37"/>
  <c r="K339" i="37"/>
  <c r="E126" i="44"/>
  <c r="G63" i="31" s="1"/>
  <c r="E86" i="49"/>
  <c r="E229" i="44"/>
  <c r="H103" i="49" s="1"/>
  <c r="E103" i="49"/>
  <c r="E54" i="44"/>
  <c r="G10" i="49" s="1"/>
  <c r="E94" i="49"/>
  <c r="H78" i="49"/>
  <c r="Q34" i="31"/>
  <c r="I52" i="31"/>
  <c r="E406" i="44"/>
  <c r="E54" i="49" s="1"/>
  <c r="Q60" i="31"/>
  <c r="E76" i="49"/>
  <c r="E334" i="44"/>
  <c r="G45" i="49" s="1"/>
  <c r="H87" i="49"/>
  <c r="E61" i="44"/>
  <c r="E63" i="44" s="1"/>
  <c r="G11" i="49" s="1"/>
  <c r="E121" i="49"/>
  <c r="E446" i="44"/>
  <c r="G59" i="49" s="1"/>
  <c r="S34" i="31"/>
  <c r="E455" i="44"/>
  <c r="G60" i="49" s="1"/>
  <c r="O60" i="31"/>
  <c r="E112" i="49"/>
  <c r="E294" i="44"/>
  <c r="H113" i="49" s="1"/>
  <c r="E110" i="44"/>
  <c r="G17" i="49" s="1"/>
  <c r="E341" i="44"/>
  <c r="E342" i="44" s="1"/>
  <c r="F46" i="49" s="1"/>
  <c r="E350" i="44"/>
  <c r="E47" i="49" s="1"/>
  <c r="E493" i="44"/>
  <c r="E148" i="49" s="1"/>
  <c r="O34" i="31"/>
  <c r="E477" i="44"/>
  <c r="F37" i="36" s="1"/>
  <c r="G37" i="36" s="1"/>
  <c r="E114" i="36" s="1"/>
  <c r="F114" i="36" s="1"/>
  <c r="E285" i="44"/>
  <c r="M55" i="31" s="1"/>
  <c r="E139" i="49"/>
  <c r="S52" i="31"/>
  <c r="S60" i="31"/>
  <c r="U31" i="31"/>
  <c r="E166" i="44"/>
  <c r="G24" i="49" s="1"/>
  <c r="E502" i="44"/>
  <c r="E149" i="49" s="1"/>
  <c r="E462" i="44"/>
  <c r="S63" i="31" s="1"/>
  <c r="H96" i="49"/>
  <c r="F38" i="49"/>
  <c r="M48" i="31"/>
  <c r="E454" i="44"/>
  <c r="F60" i="49" s="1"/>
  <c r="S55" i="31"/>
  <c r="H139" i="49"/>
  <c r="E60" i="49"/>
  <c r="S49" i="31"/>
  <c r="S48" i="31"/>
  <c r="F59" i="49"/>
  <c r="H130" i="49"/>
  <c r="Q55" i="31"/>
  <c r="E398" i="44"/>
  <c r="Q57" i="31" s="1"/>
  <c r="E53" i="49"/>
  <c r="E399" i="44"/>
  <c r="G53" i="49" s="1"/>
  <c r="Q48" i="31"/>
  <c r="F52" i="49"/>
  <c r="O49" i="31"/>
  <c r="F45" i="49"/>
  <c r="O48" i="31"/>
  <c r="F25" i="49"/>
  <c r="I56" i="31"/>
  <c r="E175" i="44"/>
  <c r="G25" i="49" s="1"/>
  <c r="F24" i="49"/>
  <c r="I48" i="31"/>
  <c r="H94" i="49"/>
  <c r="I55" i="31"/>
  <c r="E25" i="49"/>
  <c r="E183" i="44"/>
  <c r="I65" i="31" s="1"/>
  <c r="E26" i="49"/>
  <c r="H95" i="49"/>
  <c r="I63" i="31"/>
  <c r="E184" i="44"/>
  <c r="G26" i="49" s="1"/>
  <c r="F17" i="49"/>
  <c r="G48" i="31"/>
  <c r="G49" i="31"/>
  <c r="H85" i="49"/>
  <c r="E18" i="49"/>
  <c r="G55" i="31"/>
  <c r="E119" i="44"/>
  <c r="G18" i="49" s="1"/>
  <c r="E118" i="44"/>
  <c r="K49" i="31"/>
  <c r="K48" i="31"/>
  <c r="F31" i="49"/>
  <c r="P65" i="31"/>
  <c r="E65" i="31"/>
  <c r="F12" i="49"/>
  <c r="E64" i="31"/>
  <c r="L65" i="31"/>
  <c r="H151" i="49"/>
  <c r="U38" i="31"/>
  <c r="F38" i="36"/>
  <c r="G38" i="36" s="1"/>
  <c r="E115" i="36" s="1"/>
  <c r="F115" i="36" s="1"/>
  <c r="H147" i="49"/>
  <c r="F51" i="36"/>
  <c r="G51" i="36" s="1"/>
  <c r="E128" i="36" s="1"/>
  <c r="F128" i="36" s="1"/>
  <c r="U47" i="31"/>
  <c r="E66" i="49"/>
  <c r="E72" i="44"/>
  <c r="E63" i="31"/>
  <c r="E12" i="49"/>
  <c r="H77" i="49"/>
  <c r="E49" i="31"/>
  <c r="E489" i="44"/>
  <c r="F10" i="49"/>
  <c r="E48" i="31"/>
  <c r="U61" i="31"/>
  <c r="F149" i="49"/>
  <c r="P49" i="31"/>
  <c r="BK305" i="37" l="1"/>
  <c r="N40" i="37"/>
  <c r="N157" i="37" s="1"/>
  <c r="E128" i="44"/>
  <c r="G19" i="49" s="1"/>
  <c r="K63" i="31"/>
  <c r="H104" i="49"/>
  <c r="E19" i="49"/>
  <c r="E239" i="44"/>
  <c r="F33" i="49" s="1"/>
  <c r="E33" i="49"/>
  <c r="E127" i="44"/>
  <c r="F19" i="49" s="1"/>
  <c r="H86" i="49"/>
  <c r="L276" i="37"/>
  <c r="E40" i="37"/>
  <c r="E157" i="37" s="1"/>
  <c r="K40" i="37"/>
  <c r="K157" i="37" s="1"/>
  <c r="L40" i="37"/>
  <c r="L157" i="37" s="1"/>
  <c r="L339" i="37"/>
  <c r="G40" i="37"/>
  <c r="G157" i="37" s="1"/>
  <c r="L372" i="37"/>
  <c r="L331" i="37"/>
  <c r="L368" i="37"/>
  <c r="M40" i="37"/>
  <c r="M157" i="37" s="1"/>
  <c r="F40" i="37"/>
  <c r="F157" i="37" s="1"/>
  <c r="J40" i="37"/>
  <c r="J157" i="37" s="1"/>
  <c r="L340" i="37"/>
  <c r="H40" i="37"/>
  <c r="H157" i="37" s="1"/>
  <c r="D40" i="37"/>
  <c r="D157" i="37" s="1"/>
  <c r="I40" i="37"/>
  <c r="I157" i="37" s="1"/>
  <c r="E230" i="44"/>
  <c r="F32" i="49" s="1"/>
  <c r="E231" i="44"/>
  <c r="G32" i="49" s="1"/>
  <c r="E32" i="49"/>
  <c r="K55" i="31"/>
  <c r="E286" i="44"/>
  <c r="M57" i="31" s="1"/>
  <c r="Q63" i="31"/>
  <c r="H131" i="49"/>
  <c r="E296" i="44"/>
  <c r="G40" i="49" s="1"/>
  <c r="E408" i="44"/>
  <c r="G54" i="49" s="1"/>
  <c r="E407" i="44"/>
  <c r="Q65" i="31" s="1"/>
  <c r="E352" i="44"/>
  <c r="G47" i="49" s="1"/>
  <c r="O63" i="31"/>
  <c r="H76" i="49"/>
  <c r="E11" i="49"/>
  <c r="E62" i="44"/>
  <c r="L57" i="31" s="1"/>
  <c r="E55" i="31"/>
  <c r="H121" i="49"/>
  <c r="O56" i="31"/>
  <c r="E295" i="44"/>
  <c r="M65" i="31" s="1"/>
  <c r="O55" i="31"/>
  <c r="O57" i="31"/>
  <c r="E46" i="49"/>
  <c r="E343" i="44"/>
  <c r="G46" i="49" s="1"/>
  <c r="E351" i="44"/>
  <c r="F47" i="49" s="1"/>
  <c r="H122" i="49"/>
  <c r="E39" i="49"/>
  <c r="E497" i="44"/>
  <c r="E67" i="49" s="1"/>
  <c r="H112" i="49"/>
  <c r="E287" i="44"/>
  <c r="G39" i="49" s="1"/>
  <c r="E506" i="44"/>
  <c r="F53" i="36" s="1"/>
  <c r="G53" i="36" s="1"/>
  <c r="E130" i="36" s="1"/>
  <c r="F130" i="36" s="1"/>
  <c r="E40" i="49"/>
  <c r="M63" i="31"/>
  <c r="E490" i="44"/>
  <c r="G66" i="49" s="1"/>
  <c r="U52" i="31"/>
  <c r="H150" i="49"/>
  <c r="U34" i="31"/>
  <c r="H140" i="49"/>
  <c r="E463" i="44"/>
  <c r="F61" i="49" s="1"/>
  <c r="E61" i="49"/>
  <c r="E464" i="44"/>
  <c r="G61" i="49" s="1"/>
  <c r="U60" i="31"/>
  <c r="S57" i="31"/>
  <c r="S56" i="31"/>
  <c r="F53" i="49"/>
  <c r="Q56" i="31"/>
  <c r="I64" i="31"/>
  <c r="F26" i="49"/>
  <c r="G56" i="31"/>
  <c r="G57" i="31"/>
  <c r="F18" i="49"/>
  <c r="E14" i="36"/>
  <c r="C4" i="31" s="1"/>
  <c r="U49" i="31"/>
  <c r="U48" i="31"/>
  <c r="F66" i="49"/>
  <c r="G12" i="49"/>
  <c r="BL305" i="37" l="1"/>
  <c r="O65" i="31"/>
  <c r="K65" i="31"/>
  <c r="K57" i="31"/>
  <c r="G65" i="31"/>
  <c r="G64" i="31"/>
  <c r="K64" i="31"/>
  <c r="M276" i="37"/>
  <c r="M340" i="37"/>
  <c r="M339" i="37"/>
  <c r="M372" i="37"/>
  <c r="M368" i="37"/>
  <c r="M331" i="37"/>
  <c r="K56" i="31"/>
  <c r="M56" i="31"/>
  <c r="F39" i="49"/>
  <c r="Q64" i="31"/>
  <c r="F54" i="49"/>
  <c r="E498" i="44"/>
  <c r="F67" i="49" s="1"/>
  <c r="F40" i="49"/>
  <c r="E56" i="31"/>
  <c r="P57" i="31"/>
  <c r="F11" i="49"/>
  <c r="E57" i="31"/>
  <c r="M64" i="31"/>
  <c r="O64" i="31"/>
  <c r="E507" i="44"/>
  <c r="F68" i="49" s="1"/>
  <c r="E499" i="44"/>
  <c r="G67" i="49" s="1"/>
  <c r="S65" i="31"/>
  <c r="H148" i="49"/>
  <c r="U55" i="31"/>
  <c r="F52" i="36"/>
  <c r="G52" i="36" s="1"/>
  <c r="E129" i="36" s="1"/>
  <c r="F129" i="36" s="1"/>
  <c r="H149" i="49"/>
  <c r="E68" i="49"/>
  <c r="U63" i="31"/>
  <c r="E508" i="44"/>
  <c r="G68" i="49" s="1"/>
  <c r="S64" i="31"/>
  <c r="BM305" i="37" l="1"/>
  <c r="E17" i="36"/>
  <c r="C5" i="31" s="1"/>
  <c r="N276" i="37"/>
  <c r="N339" i="37"/>
  <c r="N372" i="37"/>
  <c r="O372" i="37" s="1"/>
  <c r="P372" i="37" s="1"/>
  <c r="Q372" i="37" s="1"/>
  <c r="R372" i="37" s="1"/>
  <c r="S372" i="37" s="1"/>
  <c r="T372" i="37" s="1"/>
  <c r="U372" i="37" s="1"/>
  <c r="V372" i="37" s="1"/>
  <c r="W372" i="37" s="1"/>
  <c r="X372" i="37" s="1"/>
  <c r="Y372" i="37" s="1"/>
  <c r="Z372" i="37" s="1"/>
  <c r="AA372" i="37" s="1"/>
  <c r="AB372" i="37" s="1"/>
  <c r="AC372" i="37" s="1"/>
  <c r="AD372" i="37" s="1"/>
  <c r="AE372" i="37" s="1"/>
  <c r="AF372" i="37" s="1"/>
  <c r="AG372" i="37" s="1"/>
  <c r="AH372" i="37" s="1"/>
  <c r="AI372" i="37" s="1"/>
  <c r="AJ372" i="37" s="1"/>
  <c r="AK372" i="37" s="1"/>
  <c r="AL372" i="37" s="1"/>
  <c r="AM372" i="37" s="1"/>
  <c r="AN372" i="37" s="1"/>
  <c r="AO372" i="37" s="1"/>
  <c r="AP372" i="37" s="1"/>
  <c r="AQ372" i="37" s="1"/>
  <c r="AR372" i="37" s="1"/>
  <c r="AS372" i="37" s="1"/>
  <c r="AT372" i="37" s="1"/>
  <c r="AU372" i="37" s="1"/>
  <c r="AV372" i="37" s="1"/>
  <c r="AW372" i="37" s="1"/>
  <c r="AX372" i="37" s="1"/>
  <c r="AY372" i="37" s="1"/>
  <c r="AZ372" i="37" s="1"/>
  <c r="BA372" i="37" s="1"/>
  <c r="BB372" i="37" s="1"/>
  <c r="BC372" i="37" s="1"/>
  <c r="BD372" i="37" s="1"/>
  <c r="BE372" i="37" s="1"/>
  <c r="BF372" i="37" s="1"/>
  <c r="BG372" i="37" s="1"/>
  <c r="BH372" i="37" s="1"/>
  <c r="N340" i="37"/>
  <c r="O340" i="37" s="1"/>
  <c r="P340" i="37" s="1"/>
  <c r="Q340" i="37" s="1"/>
  <c r="R340" i="37" s="1"/>
  <c r="S340" i="37" s="1"/>
  <c r="T340" i="37" s="1"/>
  <c r="U340" i="37" s="1"/>
  <c r="V340" i="37" s="1"/>
  <c r="W340" i="37" s="1"/>
  <c r="X340" i="37" s="1"/>
  <c r="Y340" i="37" s="1"/>
  <c r="Z340" i="37" s="1"/>
  <c r="AA340" i="37" s="1"/>
  <c r="AB340" i="37" s="1"/>
  <c r="AC340" i="37" s="1"/>
  <c r="AD340" i="37" s="1"/>
  <c r="AE340" i="37" s="1"/>
  <c r="AF340" i="37" s="1"/>
  <c r="AG340" i="37" s="1"/>
  <c r="AH340" i="37" s="1"/>
  <c r="AI340" i="37" s="1"/>
  <c r="AJ340" i="37" s="1"/>
  <c r="AK340" i="37" s="1"/>
  <c r="AL340" i="37" s="1"/>
  <c r="AM340" i="37" s="1"/>
  <c r="AN340" i="37" s="1"/>
  <c r="AO340" i="37" s="1"/>
  <c r="AP340" i="37" s="1"/>
  <c r="AQ340" i="37" s="1"/>
  <c r="AR340" i="37" s="1"/>
  <c r="AS340" i="37" s="1"/>
  <c r="AT340" i="37" s="1"/>
  <c r="AU340" i="37" s="1"/>
  <c r="AV340" i="37" s="1"/>
  <c r="AW340" i="37" s="1"/>
  <c r="AX340" i="37" s="1"/>
  <c r="AY340" i="37" s="1"/>
  <c r="AZ340" i="37" s="1"/>
  <c r="BA340" i="37" s="1"/>
  <c r="BB340" i="37" s="1"/>
  <c r="BC340" i="37" s="1"/>
  <c r="BD340" i="37" s="1"/>
  <c r="BE340" i="37" s="1"/>
  <c r="BF340" i="37" s="1"/>
  <c r="BG340" i="37" s="1"/>
  <c r="BH340" i="37" s="1"/>
  <c r="BI340" i="37" s="1"/>
  <c r="BJ340" i="37" s="1"/>
  <c r="BK340" i="37" s="1"/>
  <c r="BL340" i="37" s="1"/>
  <c r="BM340" i="37" s="1"/>
  <c r="BN340" i="37" s="1"/>
  <c r="BO340" i="37" s="1"/>
  <c r="BP340" i="37" s="1"/>
  <c r="BQ340" i="37" s="1"/>
  <c r="BR340" i="37" s="1"/>
  <c r="BS340" i="37" s="1"/>
  <c r="BT340" i="37" s="1"/>
  <c r="BU340" i="37" s="1"/>
  <c r="BV340" i="37" s="1"/>
  <c r="BW340" i="37" s="1"/>
  <c r="N368" i="37"/>
  <c r="N331" i="37"/>
  <c r="U56" i="31"/>
  <c r="U57" i="31"/>
  <c r="U64" i="31"/>
  <c r="U65" i="31"/>
  <c r="BI372" i="37" l="1"/>
  <c r="BJ372" i="37" s="1"/>
  <c r="BK372" i="37" s="1"/>
  <c r="BL372" i="37" s="1"/>
  <c r="BM372" i="37" s="1"/>
  <c r="BN372" i="37" s="1"/>
  <c r="BO372" i="37" s="1"/>
  <c r="BP372" i="37" s="1"/>
  <c r="BQ372" i="37" s="1"/>
  <c r="BR372" i="37" s="1"/>
  <c r="BS372" i="37" s="1"/>
  <c r="BT372" i="37" s="1"/>
  <c r="BU372" i="37" s="1"/>
  <c r="BV372" i="37" s="1"/>
  <c r="BW372" i="37" s="1"/>
  <c r="BN305" i="37"/>
  <c r="O276" i="37"/>
  <c r="O368" i="37"/>
  <c r="P368" i="37" s="1"/>
  <c r="Q368" i="37" s="1"/>
  <c r="R368" i="37" s="1"/>
  <c r="S368" i="37" s="1"/>
  <c r="T368" i="37" s="1"/>
  <c r="U368" i="37" s="1"/>
  <c r="V368" i="37" s="1"/>
  <c r="W368" i="37" s="1"/>
  <c r="X368" i="37" s="1"/>
  <c r="Y368" i="37" s="1"/>
  <c r="Z368" i="37" s="1"/>
  <c r="AA368" i="37" s="1"/>
  <c r="AB368" i="37" s="1"/>
  <c r="AC368" i="37" s="1"/>
  <c r="AD368" i="37" s="1"/>
  <c r="AE368" i="37" s="1"/>
  <c r="AF368" i="37" s="1"/>
  <c r="AG368" i="37" s="1"/>
  <c r="AH368" i="37" s="1"/>
  <c r="AI368" i="37" s="1"/>
  <c r="AJ368" i="37" s="1"/>
  <c r="AK368" i="37" s="1"/>
  <c r="AL368" i="37" s="1"/>
  <c r="AM368" i="37" s="1"/>
  <c r="AN368" i="37" s="1"/>
  <c r="AO368" i="37" s="1"/>
  <c r="AP368" i="37" s="1"/>
  <c r="AQ368" i="37" s="1"/>
  <c r="AR368" i="37" s="1"/>
  <c r="AS368" i="37" s="1"/>
  <c r="AT368" i="37" s="1"/>
  <c r="AU368" i="37" s="1"/>
  <c r="AV368" i="37" s="1"/>
  <c r="AW368" i="37" s="1"/>
  <c r="AX368" i="37" s="1"/>
  <c r="AY368" i="37" s="1"/>
  <c r="AZ368" i="37" s="1"/>
  <c r="BA368" i="37" s="1"/>
  <c r="BB368" i="37" s="1"/>
  <c r="BC368" i="37" s="1"/>
  <c r="BD368" i="37" s="1"/>
  <c r="BE368" i="37" s="1"/>
  <c r="BF368" i="37" s="1"/>
  <c r="BG368" i="37" s="1"/>
  <c r="BH368" i="37" s="1"/>
  <c r="O339" i="37"/>
  <c r="P339" i="37" s="1"/>
  <c r="Q339" i="37" s="1"/>
  <c r="R339" i="37" s="1"/>
  <c r="S339" i="37" s="1"/>
  <c r="T339" i="37" s="1"/>
  <c r="U339" i="37" s="1"/>
  <c r="V339" i="37" s="1"/>
  <c r="W339" i="37" s="1"/>
  <c r="X339" i="37" s="1"/>
  <c r="Y339" i="37" s="1"/>
  <c r="Z339" i="37" s="1"/>
  <c r="AA339" i="37" s="1"/>
  <c r="AB339" i="37" s="1"/>
  <c r="AC339" i="37" s="1"/>
  <c r="AD339" i="37" s="1"/>
  <c r="AE339" i="37" s="1"/>
  <c r="AF339" i="37" s="1"/>
  <c r="AG339" i="37" s="1"/>
  <c r="AH339" i="37" s="1"/>
  <c r="AI339" i="37" s="1"/>
  <c r="AJ339" i="37" s="1"/>
  <c r="AK339" i="37" s="1"/>
  <c r="AL339" i="37" s="1"/>
  <c r="AM339" i="37" s="1"/>
  <c r="AN339" i="37" s="1"/>
  <c r="AO339" i="37" s="1"/>
  <c r="AP339" i="37" s="1"/>
  <c r="AQ339" i="37" s="1"/>
  <c r="AR339" i="37" s="1"/>
  <c r="AS339" i="37" s="1"/>
  <c r="AT339" i="37" s="1"/>
  <c r="AU339" i="37" s="1"/>
  <c r="AV339" i="37" s="1"/>
  <c r="AW339" i="37" s="1"/>
  <c r="AX339" i="37" s="1"/>
  <c r="AY339" i="37" s="1"/>
  <c r="AZ339" i="37" s="1"/>
  <c r="BA339" i="37" s="1"/>
  <c r="BB339" i="37" s="1"/>
  <c r="BC339" i="37" s="1"/>
  <c r="BD339" i="37" s="1"/>
  <c r="BE339" i="37" s="1"/>
  <c r="BF339" i="37" s="1"/>
  <c r="BG339" i="37" s="1"/>
  <c r="BH339" i="37" s="1"/>
  <c r="BI339" i="37" s="1"/>
  <c r="BJ339" i="37" s="1"/>
  <c r="BK339" i="37" s="1"/>
  <c r="BL339" i="37" s="1"/>
  <c r="BM339" i="37" s="1"/>
  <c r="BN339" i="37" s="1"/>
  <c r="BO339" i="37" s="1"/>
  <c r="BP339" i="37" s="1"/>
  <c r="BQ339" i="37" s="1"/>
  <c r="BR339" i="37" s="1"/>
  <c r="BS339" i="37" s="1"/>
  <c r="BT339" i="37" s="1"/>
  <c r="BU339" i="37" s="1"/>
  <c r="BV339" i="37" s="1"/>
  <c r="BW339" i="37" s="1"/>
  <c r="D135" i="37"/>
  <c r="D252" i="37" s="1"/>
  <c r="C135" i="37"/>
  <c r="C252" i="37" s="1"/>
  <c r="K135" i="37"/>
  <c r="K252" i="37" s="1"/>
  <c r="F135" i="37"/>
  <c r="F252" i="37" s="1"/>
  <c r="E135" i="37"/>
  <c r="E252" i="37" s="1"/>
  <c r="F103" i="37"/>
  <c r="F220" i="37" s="1"/>
  <c r="L103" i="37"/>
  <c r="L220" i="37" s="1"/>
  <c r="M103" i="37"/>
  <c r="M220" i="37" s="1"/>
  <c r="I103" i="37"/>
  <c r="I220" i="37" s="1"/>
  <c r="H103" i="37"/>
  <c r="H220" i="37" s="1"/>
  <c r="G103" i="37"/>
  <c r="G220" i="37" s="1"/>
  <c r="D103" i="37"/>
  <c r="D220" i="37" s="1"/>
  <c r="J103" i="37"/>
  <c r="J220" i="37" s="1"/>
  <c r="N103" i="37"/>
  <c r="N220" i="37" s="1"/>
  <c r="K103" i="37"/>
  <c r="K220" i="37" s="1"/>
  <c r="E103" i="37"/>
  <c r="E220" i="37" s="1"/>
  <c r="O331" i="37"/>
  <c r="P331" i="37" s="1"/>
  <c r="Q331" i="37" s="1"/>
  <c r="R331" i="37" s="1"/>
  <c r="S331" i="37" s="1"/>
  <c r="T331" i="37" s="1"/>
  <c r="U331" i="37" s="1"/>
  <c r="V331" i="37" s="1"/>
  <c r="W331" i="37" s="1"/>
  <c r="X331" i="37" s="1"/>
  <c r="Y331" i="37" s="1"/>
  <c r="Z331" i="37" s="1"/>
  <c r="AA331" i="37" s="1"/>
  <c r="AB331" i="37" s="1"/>
  <c r="AC331" i="37" s="1"/>
  <c r="AD331" i="37" s="1"/>
  <c r="AE331" i="37" s="1"/>
  <c r="AF331" i="37" s="1"/>
  <c r="AG331" i="37" s="1"/>
  <c r="AH331" i="37" s="1"/>
  <c r="AI331" i="37" s="1"/>
  <c r="AJ331" i="37" s="1"/>
  <c r="AK331" i="37" s="1"/>
  <c r="AL331" i="37" s="1"/>
  <c r="AM331" i="37" s="1"/>
  <c r="AN331" i="37" s="1"/>
  <c r="AO331" i="37" s="1"/>
  <c r="AP331" i="37" s="1"/>
  <c r="AQ331" i="37" s="1"/>
  <c r="AR331" i="37" s="1"/>
  <c r="AS331" i="37" s="1"/>
  <c r="AT331" i="37" s="1"/>
  <c r="AU331" i="37" s="1"/>
  <c r="AV331" i="37" s="1"/>
  <c r="AW331" i="37" s="1"/>
  <c r="AX331" i="37" s="1"/>
  <c r="AY331" i="37" s="1"/>
  <c r="AZ331" i="37" s="1"/>
  <c r="BA331" i="37" s="1"/>
  <c r="BB331" i="37" s="1"/>
  <c r="BC331" i="37" s="1"/>
  <c r="BD331" i="37" s="1"/>
  <c r="BE331" i="37" s="1"/>
  <c r="BF331" i="37" s="1"/>
  <c r="BG331" i="37" s="1"/>
  <c r="BH331" i="37" s="1"/>
  <c r="BI331" i="37" s="1"/>
  <c r="BJ331" i="37" s="1"/>
  <c r="BK331" i="37" s="1"/>
  <c r="BL331" i="37" s="1"/>
  <c r="BM331" i="37" s="1"/>
  <c r="BN331" i="37" s="1"/>
  <c r="BO331" i="37" s="1"/>
  <c r="BP331" i="37" s="1"/>
  <c r="BQ331" i="37" s="1"/>
  <c r="BR331" i="37" s="1"/>
  <c r="BS331" i="37" s="1"/>
  <c r="BT331" i="37" s="1"/>
  <c r="BU331" i="37" s="1"/>
  <c r="BV331" i="37" s="1"/>
  <c r="BW331" i="37" s="1"/>
  <c r="H135" i="37"/>
  <c r="H252" i="37" s="1"/>
  <c r="I135" i="37" l="1"/>
  <c r="I252" i="37" s="1"/>
  <c r="J135" i="37"/>
  <c r="J252" i="37" s="1"/>
  <c r="L135" i="37"/>
  <c r="L252" i="37" s="1"/>
  <c r="N135" i="37"/>
  <c r="N252" i="37" s="1"/>
  <c r="BI368" i="37"/>
  <c r="BJ368" i="37" s="1"/>
  <c r="BK368" i="37" s="1"/>
  <c r="BL368" i="37" s="1"/>
  <c r="BM368" i="37" s="1"/>
  <c r="BN368" i="37" s="1"/>
  <c r="BO368" i="37" s="1"/>
  <c r="BP368" i="37" s="1"/>
  <c r="BQ368" i="37" s="1"/>
  <c r="BR368" i="37" s="1"/>
  <c r="BS368" i="37" s="1"/>
  <c r="BT368" i="37" s="1"/>
  <c r="BU368" i="37" s="1"/>
  <c r="BV368" i="37" s="1"/>
  <c r="BW368" i="37" s="1"/>
  <c r="M135" i="37"/>
  <c r="M252" i="37" s="1"/>
  <c r="BO305" i="37"/>
  <c r="G135" i="37"/>
  <c r="G252" i="37" s="1"/>
  <c r="P276" i="37"/>
  <c r="Q276" i="37" s="1"/>
  <c r="R276" i="37" s="1"/>
  <c r="S276" i="37" s="1"/>
  <c r="T276" i="37" s="1"/>
  <c r="U276" i="37" s="1"/>
  <c r="V276" i="37" s="1"/>
  <c r="W276" i="37" s="1"/>
  <c r="X276" i="37" s="1"/>
  <c r="Y276" i="37" s="1"/>
  <c r="Z276" i="37" s="1"/>
  <c r="AA276" i="37" s="1"/>
  <c r="AB276" i="37" s="1"/>
  <c r="AC276" i="37" s="1"/>
  <c r="AD276" i="37" s="1"/>
  <c r="AE276" i="37" s="1"/>
  <c r="AF276" i="37" s="1"/>
  <c r="AG276" i="37" s="1"/>
  <c r="AH276" i="37" s="1"/>
  <c r="AI276" i="37" s="1"/>
  <c r="AJ276" i="37" s="1"/>
  <c r="AK276" i="37" s="1"/>
  <c r="AL276" i="37" s="1"/>
  <c r="AM276" i="37" s="1"/>
  <c r="AN276" i="37" s="1"/>
  <c r="AO276" i="37" s="1"/>
  <c r="AP276" i="37" s="1"/>
  <c r="AQ276" i="37" s="1"/>
  <c r="AR276" i="37" s="1"/>
  <c r="AS276" i="37" s="1"/>
  <c r="AT276" i="37" s="1"/>
  <c r="AU276" i="37" s="1"/>
  <c r="AV276" i="37" s="1"/>
  <c r="AW276" i="37" s="1"/>
  <c r="AX276" i="37" s="1"/>
  <c r="AY276" i="37" s="1"/>
  <c r="AZ276" i="37" s="1"/>
  <c r="BA276" i="37" s="1"/>
  <c r="BB276" i="37" s="1"/>
  <c r="BC276" i="37" s="1"/>
  <c r="BD276" i="37" s="1"/>
  <c r="BE276" i="37" s="1"/>
  <c r="BF276" i="37" s="1"/>
  <c r="BG276" i="37" s="1"/>
  <c r="BH276" i="37" s="1"/>
  <c r="G102" i="37"/>
  <c r="G219" i="37" s="1"/>
  <c r="C94" i="37"/>
  <c r="C211" i="37" s="1"/>
  <c r="L102" i="37"/>
  <c r="L219" i="37" s="1"/>
  <c r="E102" i="37"/>
  <c r="J102" i="37"/>
  <c r="J219" i="37" s="1"/>
  <c r="H102" i="37"/>
  <c r="H219" i="37" s="1"/>
  <c r="K102" i="37"/>
  <c r="K219" i="37" s="1"/>
  <c r="M102" i="37"/>
  <c r="M219" i="37" s="1"/>
  <c r="F102" i="37"/>
  <c r="F219" i="37" s="1"/>
  <c r="I102" i="37"/>
  <c r="I219" i="37" s="1"/>
  <c r="N102" i="37"/>
  <c r="N219" i="37" s="1"/>
  <c r="K94" i="37"/>
  <c r="K211" i="37" s="1"/>
  <c r="G94" i="37"/>
  <c r="G211" i="37" s="1"/>
  <c r="L94" i="37"/>
  <c r="L211" i="37" s="1"/>
  <c r="J94" i="37"/>
  <c r="J211" i="37" s="1"/>
  <c r="E94" i="37"/>
  <c r="E211" i="37" s="1"/>
  <c r="I94" i="37"/>
  <c r="I211" i="37" s="1"/>
  <c r="F94" i="37"/>
  <c r="F211" i="37" s="1"/>
  <c r="D94" i="37"/>
  <c r="D211" i="37" s="1"/>
  <c r="H94" i="37"/>
  <c r="H211" i="37" s="1"/>
  <c r="M94" i="37"/>
  <c r="M211" i="37" s="1"/>
  <c r="N131" i="37"/>
  <c r="N248" i="37" s="1"/>
  <c r="N94" i="37"/>
  <c r="N211" i="37" s="1"/>
  <c r="L131" i="37"/>
  <c r="L248" i="37" s="1"/>
  <c r="F131" i="37"/>
  <c r="F248" i="37" s="1"/>
  <c r="J131" i="37"/>
  <c r="J248" i="37" s="1"/>
  <c r="M131" i="37"/>
  <c r="M248" i="37" s="1"/>
  <c r="H131" i="37"/>
  <c r="H248" i="37" s="1"/>
  <c r="G131" i="37"/>
  <c r="G248" i="37" s="1"/>
  <c r="K131" i="37"/>
  <c r="K248" i="37" s="1"/>
  <c r="E131" i="37"/>
  <c r="E248" i="37" s="1"/>
  <c r="D131" i="37"/>
  <c r="D248" i="37" s="1"/>
  <c r="C131" i="37"/>
  <c r="C248" i="37" s="1"/>
  <c r="BP305" i="37" l="1"/>
  <c r="BI276" i="37"/>
  <c r="BJ276" i="37" s="1"/>
  <c r="BK276" i="37" s="1"/>
  <c r="BL276" i="37" s="1"/>
  <c r="BM276" i="37" s="1"/>
  <c r="BN276" i="37" s="1"/>
  <c r="BO276" i="37" s="1"/>
  <c r="BP276" i="37" s="1"/>
  <c r="BQ276" i="37" s="1"/>
  <c r="BR276" i="37" s="1"/>
  <c r="BS276" i="37" s="1"/>
  <c r="BT276" i="37" s="1"/>
  <c r="BU276" i="37" s="1"/>
  <c r="BV276" i="37" s="1"/>
  <c r="BW276" i="37" s="1"/>
  <c r="I131" i="37"/>
  <c r="I248" i="37" s="1"/>
  <c r="M39" i="37" l="1"/>
  <c r="M156" i="37" s="1"/>
  <c r="N39" i="37"/>
  <c r="N156" i="37" s="1"/>
  <c r="G39" i="37"/>
  <c r="G156" i="37" s="1"/>
  <c r="I39" i="37"/>
  <c r="I156" i="37" s="1"/>
  <c r="D39" i="37"/>
  <c r="D156" i="37" s="1"/>
  <c r="F39" i="37"/>
  <c r="F156" i="37" s="1"/>
  <c r="H39" i="37"/>
  <c r="H156" i="37" s="1"/>
  <c r="J39" i="37"/>
  <c r="J156" i="37" s="1"/>
  <c r="E39" i="37"/>
  <c r="E156" i="37" s="1"/>
  <c r="L39" i="37"/>
  <c r="L156" i="37" s="1"/>
  <c r="K39" i="37"/>
  <c r="K156" i="37" s="1"/>
  <c r="BQ305" i="37"/>
  <c r="BR305" i="37" l="1"/>
  <c r="BS305" i="37" l="1"/>
  <c r="BT305" i="37" s="1"/>
  <c r="BU305" i="37" s="1"/>
  <c r="BV305" i="37" s="1"/>
  <c r="BW305" i="37" s="1"/>
  <c r="K68" i="37" s="1"/>
  <c r="K185" i="37" s="1"/>
  <c r="N68" i="37" l="1"/>
  <c r="N185" i="37" s="1"/>
  <c r="F68" i="37"/>
  <c r="F185" i="37" s="1"/>
  <c r="H68" i="37"/>
  <c r="H185" i="37" s="1"/>
  <c r="E68" i="37"/>
  <c r="E185" i="37" s="1"/>
  <c r="I68" i="37"/>
  <c r="I185" i="37" s="1"/>
  <c r="G68" i="37"/>
  <c r="G185" i="37" s="1"/>
  <c r="L68" i="37"/>
  <c r="L185" i="37" s="1"/>
  <c r="M68" i="37"/>
  <c r="M185" i="37" s="1"/>
  <c r="J68" i="37"/>
  <c r="J185" i="37" s="1"/>
</calcChain>
</file>

<file path=xl/comments1.xml><?xml version="1.0" encoding="utf-8"?>
<comments xmlns="http://schemas.openxmlformats.org/spreadsheetml/2006/main">
  <authors>
    <author>Adam Aranyos</author>
  </authors>
  <commentList>
    <comment ref="G25"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81"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137"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193"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249"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305"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361"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 ref="G417" authorId="0" shapeId="0">
      <text>
        <r>
          <rPr>
            <b/>
            <sz val="9"/>
            <color indexed="81"/>
            <rFont val="Tahoma"/>
            <family val="2"/>
          </rPr>
          <t>Adam Aranyos:</t>
        </r>
        <r>
          <rPr>
            <sz val="9"/>
            <color indexed="81"/>
            <rFont val="Tahoma"/>
            <family val="2"/>
          </rPr>
          <t xml:space="preserve">
April 23 2018 - updated to pull from the column for year 2.
June 2 2017 - instructed by Autodesk to use Yr1 maintenance prices for the "current" price. Was previously column number 2.</t>
        </r>
      </text>
    </comment>
  </commentList>
</comments>
</file>

<file path=xl/comments2.xml><?xml version="1.0" encoding="utf-8"?>
<comments xmlns="http://schemas.openxmlformats.org/spreadsheetml/2006/main">
  <authors>
    <author>Grift Krehnbrink</author>
  </authors>
  <commentList>
    <comment ref="D164" authorId="0" shapeId="0">
      <text>
        <r>
          <rPr>
            <b/>
            <sz val="9"/>
            <color indexed="81"/>
            <rFont val="Tahoma"/>
            <family val="2"/>
          </rPr>
          <t>Grift Krehnbrink:</t>
        </r>
        <r>
          <rPr>
            <sz val="9"/>
            <color indexed="81"/>
            <rFont val="Tahoma"/>
            <family val="2"/>
          </rPr>
          <t xml:space="preserve">
Not available in Multi-User
</t>
        </r>
      </text>
    </comment>
    <comment ref="D201" authorId="0" shapeId="0">
      <text>
        <r>
          <rPr>
            <b/>
            <sz val="9"/>
            <color indexed="81"/>
            <rFont val="Tahoma"/>
            <family val="2"/>
          </rPr>
          <t>Grift Krehnbrink:</t>
        </r>
        <r>
          <rPr>
            <sz val="9"/>
            <color indexed="81"/>
            <rFont val="Tahoma"/>
            <family val="2"/>
          </rPr>
          <t xml:space="preserve">
Not available in Multi-User
</t>
        </r>
      </text>
    </comment>
    <comment ref="D204" authorId="0" shapeId="0">
      <text>
        <r>
          <rPr>
            <b/>
            <sz val="9"/>
            <color indexed="81"/>
            <rFont val="Tahoma"/>
            <family val="2"/>
          </rPr>
          <t>Grift Krehnbrink:</t>
        </r>
        <r>
          <rPr>
            <sz val="9"/>
            <color indexed="81"/>
            <rFont val="Tahoma"/>
            <family val="2"/>
          </rPr>
          <t xml:space="preserve">
Not available in Multi-User
</t>
        </r>
      </text>
    </comment>
    <comment ref="E219" authorId="0" shapeId="0">
      <text>
        <r>
          <rPr>
            <b/>
            <sz val="9"/>
            <color indexed="81"/>
            <rFont val="Tahoma"/>
            <family val="2"/>
          </rPr>
          <t>Grift Krehnbrink:</t>
        </r>
        <r>
          <rPr>
            <sz val="9"/>
            <color indexed="81"/>
            <rFont val="Tahoma"/>
            <family val="2"/>
          </rPr>
          <t xml:space="preserve">
Not available in Multi-User
</t>
        </r>
      </text>
    </comment>
    <comment ref="D237" authorId="0" shapeId="0">
      <text>
        <r>
          <rPr>
            <b/>
            <sz val="9"/>
            <color indexed="81"/>
            <rFont val="Tahoma"/>
            <family val="2"/>
          </rPr>
          <t>Grift Krehnbrink:</t>
        </r>
        <r>
          <rPr>
            <sz val="9"/>
            <color indexed="81"/>
            <rFont val="Tahoma"/>
            <family val="2"/>
          </rPr>
          <t xml:space="preserve">
Not available in Multi-User
</t>
        </r>
      </text>
    </comment>
  </commentList>
</comments>
</file>

<file path=xl/comments3.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comments4.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comments5.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comments6.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comments7.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comments8.xml><?xml version="1.0" encoding="utf-8"?>
<comments xmlns="http://schemas.openxmlformats.org/spreadsheetml/2006/main">
  <authors>
    <author>Adam Aranyos</author>
  </authors>
  <commentList>
    <comment ref="A14" authorId="0" shapeId="0">
      <text>
        <r>
          <rPr>
            <b/>
            <sz val="9"/>
            <color indexed="81"/>
            <rFont val="Tahoma"/>
            <family val="2"/>
          </rPr>
          <t>Adam Aranyos:</t>
        </r>
        <r>
          <rPr>
            <sz val="9"/>
            <color indexed="81"/>
            <rFont val="Tahoma"/>
            <family val="2"/>
          </rPr>
          <t xml:space="preserve">
New name is AutoCAD with Specialized Toolsets</t>
        </r>
      </text>
    </comment>
    <comment ref="B14" authorId="0" shapeId="0">
      <text>
        <r>
          <rPr>
            <b/>
            <sz val="9"/>
            <color indexed="81"/>
            <rFont val="Tahoma"/>
            <family val="2"/>
          </rPr>
          <t>Adam Aranyos:</t>
        </r>
        <r>
          <rPr>
            <sz val="9"/>
            <color indexed="81"/>
            <rFont val="Tahoma"/>
            <family val="2"/>
          </rPr>
          <t xml:space="preserve">
New name is AutoCAD with Specialized Toolsets</t>
        </r>
      </text>
    </comment>
    <comment ref="A17" authorId="0" shapeId="0">
      <text>
        <r>
          <rPr>
            <b/>
            <sz val="9"/>
            <color indexed="81"/>
            <rFont val="Tahoma"/>
            <family val="2"/>
          </rPr>
          <t>Adam Aranyos:</t>
        </r>
        <r>
          <rPr>
            <sz val="9"/>
            <color indexed="81"/>
            <rFont val="Tahoma"/>
            <family val="2"/>
          </rPr>
          <t xml:space="preserve">
Removing AutoCAD from product name.</t>
        </r>
      </text>
    </comment>
    <comment ref="B17" authorId="0" shapeId="0">
      <text>
        <r>
          <rPr>
            <b/>
            <sz val="9"/>
            <color indexed="81"/>
            <rFont val="Tahoma"/>
            <family val="2"/>
          </rPr>
          <t>Adam Aranyos:</t>
        </r>
        <r>
          <rPr>
            <sz val="9"/>
            <color indexed="81"/>
            <rFont val="Tahoma"/>
            <family val="2"/>
          </rPr>
          <t xml:space="preserve">
Removing AutoCAD from product name.</t>
        </r>
      </text>
    </comment>
  </commentList>
</comments>
</file>

<file path=xl/sharedStrings.xml><?xml version="1.0" encoding="utf-8"?>
<sst xmlns="http://schemas.openxmlformats.org/spreadsheetml/2006/main" count="10513" uniqueCount="2054">
  <si>
    <t>core_FilePrefix</t>
  </si>
  <si>
    <t>This is used by the "Filename" macro, to determine what to name files as when saving</t>
  </si>
  <si>
    <t>this specifies what named ranges the tool reset decision macros search for</t>
  </si>
  <si>
    <t>e.g. if the named range on the dec page is "decTeamName" then the reset macro will look for [dec_toolInputPrefix &amp; "TeamName"]</t>
  </si>
  <si>
    <t>BTS</t>
  </si>
  <si>
    <t>xxRound</t>
  </si>
  <si>
    <t>dec_TeamName</t>
  </si>
  <si>
    <t>Menu Active</t>
  </si>
  <si>
    <t>Level 1 Menus</t>
  </si>
  <si>
    <t>vbaPopupMenu1Lvl1ItemNumber</t>
  </si>
  <si>
    <t>Level 2 Menus</t>
  </si>
  <si>
    <t>vbaPopupMenu1Lvl2ItemNumber</t>
  </si>
  <si>
    <t>Total</t>
  </si>
  <si>
    <t>vbaPopupMenu1ItemNumber</t>
  </si>
  <si>
    <t>Menu Items</t>
  </si>
  <si>
    <t>Menu Level</t>
  </si>
  <si>
    <t>Title</t>
  </si>
  <si>
    <t>Macro</t>
  </si>
  <si>
    <t>Face Id</t>
  </si>
  <si>
    <t>vbaPopupMenu1ListLevel</t>
  </si>
  <si>
    <t>vbaPopupMenu1ListTitle</t>
  </si>
  <si>
    <t>vbaPopupMenu1ListMacro</t>
  </si>
  <si>
    <t>vbaPopupMenu1ListFaceID</t>
  </si>
  <si>
    <t>ID</t>
  </si>
  <si>
    <t>Symbol</t>
  </si>
  <si>
    <t>Blank</t>
  </si>
  <si>
    <t>Save</t>
  </si>
  <si>
    <t>Print</t>
  </si>
  <si>
    <t>Cut</t>
  </si>
  <si>
    <t>Paste</t>
  </si>
  <si>
    <t>Open</t>
  </si>
  <si>
    <t>Rotate/Reset</t>
  </si>
  <si>
    <t>Trash</t>
  </si>
  <si>
    <t>Search</t>
  </si>
  <si>
    <t>Do Not Enter</t>
  </si>
  <si>
    <t>Delete (x)</t>
  </si>
  <si>
    <t>=</t>
  </si>
  <si>
    <t>+</t>
  </si>
  <si>
    <t>-</t>
  </si>
  <si>
    <t>70 - 79</t>
  </si>
  <si>
    <t>0-9</t>
  </si>
  <si>
    <t>80-105</t>
  </si>
  <si>
    <t>A-Z</t>
  </si>
  <si>
    <t>cnstSingleQuote</t>
  </si>
  <si>
    <t>cnstDoubleQuote</t>
  </si>
  <si>
    <t>Macro Name</t>
  </si>
  <si>
    <t>Arg 1</t>
  </si>
  <si>
    <t>Arg 2</t>
  </si>
  <si>
    <t>dec_TeamNumber</t>
  </si>
  <si>
    <t>Connect this to tlTeamName on Intro page</t>
  </si>
  <si>
    <t>Connect this to tlTeamNumber on Intro page</t>
  </si>
  <si>
    <t>dec_Round</t>
  </si>
  <si>
    <t>Connect this to xxRound on your Controls page</t>
  </si>
  <si>
    <t>hood_OnHoodCloseGoTo</t>
  </si>
  <si>
    <t>hood_ToolPrefix</t>
  </si>
  <si>
    <t>tlIntro</t>
  </si>
  <si>
    <t>xxSim0Tool1</t>
  </si>
  <si>
    <t>xxIndexTeam</t>
  </si>
  <si>
    <t>Feedback</t>
  </si>
  <si>
    <t>feedback_FeedbackSheetName</t>
  </si>
  <si>
    <t>FeedbackTS</t>
  </si>
  <si>
    <t>feedback_TimeSeriesFeedbackSheetName</t>
  </si>
  <si>
    <t>feedback_FeedbackFileName</t>
  </si>
  <si>
    <t>sim_OnResetGoTo</t>
  </si>
  <si>
    <t>This named range determines which page to go to once the sim has been reset; by default it goes to the "Instructions" page you have just created</t>
  </si>
  <si>
    <t>Leave this blank if you do not want to specify a page to go to</t>
  </si>
  <si>
    <t>Controls</t>
  </si>
  <si>
    <t>this specifices which sheets the hood close macro acts upon</t>
  </si>
  <si>
    <t>after the hood is closed, which sheet should be navigated to (must begin with the prefix specified in hood_ToolPrefix)</t>
  </si>
  <si>
    <t>This is the name of the feedback file - whatever you enter here will be what the macro searches for when updating feedbacks</t>
  </si>
  <si>
    <t>dec_ToolInputPrefix</t>
  </si>
  <si>
    <t>FeedbackFile.xlsx</t>
  </si>
  <si>
    <t>This determines how many tools to create</t>
  </si>
  <si>
    <t>xxNumOfTeams</t>
  </si>
  <si>
    <t>xxToolPrefix</t>
  </si>
  <si>
    <t>CONFIGURATION - These MAY be set up by the developer at the beginning of the development; You are unlikely to need to modify these</t>
  </si>
  <si>
    <t>STATE - These are modified by macros, or may be manually adjusted by the developer for testing purposes</t>
  </si>
  <si>
    <t>SET UP - These MUST be set up by the developer at the beginning of the development</t>
  </si>
  <si>
    <t>SETTINGS - These may be modified by the developer or consultant</t>
  </si>
  <si>
    <t>INTERFACE - For modules that are being imported, these cells must be correctly connected to other cells in the simulation</t>
  </si>
  <si>
    <t>Connect this to xxToolPrefix on your controls page</t>
  </si>
  <si>
    <t>Menu Name</t>
  </si>
  <si>
    <t>PopUpMenu1</t>
  </si>
  <si>
    <t>vbaPopupMenuName</t>
  </si>
  <si>
    <t>vbaPopupMenuActive</t>
  </si>
  <si>
    <t>Popup Menu 1</t>
  </si>
  <si>
    <t>Arg 3</t>
  </si>
  <si>
    <t>Menu Level Count</t>
  </si>
  <si>
    <t>Useful Face IDs:</t>
  </si>
  <si>
    <t>Menu Constants</t>
  </si>
  <si>
    <t>Single Quote</t>
  </si>
  <si>
    <t>'</t>
  </si>
  <si>
    <t>Double Quote</t>
  </si>
  <si>
    <t>"</t>
  </si>
  <si>
    <t>Comma</t>
  </si>
  <si>
    <t>,</t>
  </si>
  <si>
    <t>cnstComma</t>
  </si>
  <si>
    <t xml:space="preserve">  Formula cell.  Developer may modify.</t>
  </si>
  <si>
    <t xml:space="preserve">  Hard-coded cell.  Developer may modify.</t>
  </si>
  <si>
    <t xml:space="preserve">  Calculated cell. User must not modify.</t>
  </si>
  <si>
    <t xml:space="preserve">  Cell must be linked to another worksheet.</t>
  </si>
  <si>
    <t>ModuleFactory@bts.com</t>
  </si>
  <si>
    <t>Constants (for Reference)</t>
  </si>
  <si>
    <t>Calculations</t>
  </si>
  <si>
    <t>Set Up</t>
  </si>
  <si>
    <t>Inputs</t>
  </si>
  <si>
    <t>Calculation Cell Types</t>
  </si>
  <si>
    <t>Input Cell Types</t>
  </si>
  <si>
    <t>Legend</t>
  </si>
  <si>
    <t>For support contact:</t>
  </si>
  <si>
    <t>Popup Menu Module (Crtl + M)</t>
  </si>
  <si>
    <t>simulation_Type</t>
  </si>
  <si>
    <t>This is used as a switch for certain macros such as the SimReset macro</t>
  </si>
  <si>
    <t>Navigation</t>
  </si>
  <si>
    <t>HoodGoToScreen</t>
  </si>
  <si>
    <t>Facilitator_Instructions</t>
  </si>
  <si>
    <t>Applies to BA1 and BA2 only</t>
  </si>
  <si>
    <t>BA2</t>
  </si>
  <si>
    <t>dec_End</t>
  </si>
  <si>
    <t>End of Decisions</t>
  </si>
  <si>
    <t>dec_PasteY3</t>
  </si>
  <si>
    <t>dec_PasteY2</t>
  </si>
  <si>
    <t>dec_PasteY1</t>
  </si>
  <si>
    <t>Paste. Leave This Row Blank</t>
  </si>
  <si>
    <t>T5Y3</t>
  </si>
  <si>
    <t>T4Y3</t>
  </si>
  <si>
    <t>T3Y3</t>
  </si>
  <si>
    <t>T2Y3</t>
  </si>
  <si>
    <t>T1Y3</t>
  </si>
  <si>
    <t>T5Y2</t>
  </si>
  <si>
    <t>T4Y2</t>
  </si>
  <si>
    <t>T3Y2</t>
  </si>
  <si>
    <t>T2Y2</t>
  </si>
  <si>
    <t>T1Y2</t>
  </si>
  <si>
    <t>T5Y1</t>
  </si>
  <si>
    <t>T4Y1</t>
  </si>
  <si>
    <t>T3Y1</t>
  </si>
  <si>
    <t>T2Y1</t>
  </si>
  <si>
    <t>T1Y1</t>
  </si>
  <si>
    <t>dec_ToolResetValues</t>
  </si>
  <si>
    <t>dec_ToolResetR0</t>
  </si>
  <si>
    <t>dec_ToolReset</t>
  </si>
  <si>
    <t>dec_FormulaReset</t>
  </si>
  <si>
    <t>dec_Names</t>
  </si>
  <si>
    <t>Team 1</t>
  </si>
  <si>
    <t>Dec History</t>
  </si>
  <si>
    <t>Tool Reset R0</t>
  </si>
  <si>
    <t>Tool Reset Every Round</t>
  </si>
  <si>
    <t>Simulation Type</t>
  </si>
  <si>
    <t>Decisions</t>
  </si>
  <si>
    <t>Business Simulation</t>
  </si>
  <si>
    <t>nmProgramSubtitle</t>
  </si>
  <si>
    <t>nmProgramTitle</t>
  </si>
  <si>
    <t>English</t>
  </si>
  <si>
    <t>Names</t>
  </si>
  <si>
    <t>cnstMillion</t>
  </si>
  <si>
    <t>Constants</t>
  </si>
  <si>
    <t>Inputs and Outputs</t>
  </si>
  <si>
    <t>glossaryLanguage</t>
  </si>
  <si>
    <t>Glossary Language</t>
  </si>
  <si>
    <t>Glossary</t>
  </si>
  <si>
    <t>Active String</t>
  </si>
  <si>
    <t>String</t>
  </si>
  <si>
    <t>Dashboard 5</t>
  </si>
  <si>
    <t>Dashboard 4</t>
  </si>
  <si>
    <t>Dashboard 3</t>
  </si>
  <si>
    <t>Dashboard 2</t>
  </si>
  <si>
    <t>Dashboard 1</t>
  </si>
  <si>
    <t>DB_SubWhiteSpace</t>
  </si>
  <si>
    <t>Sub Value Space</t>
  </si>
  <si>
    <t>DB_LargeWhiteSpace</t>
  </si>
  <si>
    <t>Large White Space</t>
  </si>
  <si>
    <t>DB_WhiteSpace</t>
  </si>
  <si>
    <t xml:space="preserve">White Space </t>
  </si>
  <si>
    <t>DB_ArrayDash5Values</t>
  </si>
  <si>
    <t>DB_ArrayDash5Names</t>
  </si>
  <si>
    <t>Formatted Sub Raw Value</t>
  </si>
  <si>
    <t>Sub Raw Value</t>
  </si>
  <si>
    <t>Formatted Value</t>
  </si>
  <si>
    <t>Raw Value</t>
  </si>
  <si>
    <t>Active</t>
  </si>
  <si>
    <t>KPI Name</t>
  </si>
  <si>
    <t>DB_ArrayDash4Values</t>
  </si>
  <si>
    <t>DB_ArrayDash4Names</t>
  </si>
  <si>
    <t>DB_ArrayDash3Values</t>
  </si>
  <si>
    <t>DB_ArrayDash3Names</t>
  </si>
  <si>
    <t>DB_ArrayDash2Values</t>
  </si>
  <si>
    <t>DB_ArrayDash2Names</t>
  </si>
  <si>
    <t>DB_ArrayDash1Values</t>
  </si>
  <si>
    <t>DB_ArrayDash1Names</t>
  </si>
  <si>
    <t>DB_SubWhiteSpaceLength</t>
  </si>
  <si>
    <t>Sub Value Space Length</t>
  </si>
  <si>
    <t>DB_LargeWhiteSpaceLength</t>
  </si>
  <si>
    <t>Large White Space Length</t>
  </si>
  <si>
    <t>DB_WhiteSpaceLength</t>
  </si>
  <si>
    <t>White Space Length</t>
  </si>
  <si>
    <t>DB_Dashboard5</t>
  </si>
  <si>
    <t>DB_Dashboard4</t>
  </si>
  <si>
    <t>DB_Dashboard3</t>
  </si>
  <si>
    <t>DB_Dashboard2</t>
  </si>
  <si>
    <t>DB_Dashboard1</t>
  </si>
  <si>
    <t>Outputs</t>
  </si>
  <si>
    <t>DashBoard</t>
  </si>
  <si>
    <t>DecResetToolDecs</t>
  </si>
  <si>
    <t>Reset</t>
  </si>
  <si>
    <t>Reset Tool Values</t>
  </si>
  <si>
    <t>Autodesk_M2S</t>
  </si>
  <si>
    <t>Product on Maintenance</t>
  </si>
  <si>
    <t>Quantity</t>
  </si>
  <si>
    <t>Maintenance Price</t>
  </si>
  <si>
    <t>Maintenance Expiration</t>
  </si>
  <si>
    <t>tlInput</t>
  </si>
  <si>
    <t>Currency</t>
  </si>
  <si>
    <t>Language</t>
  </si>
  <si>
    <t>Year 2</t>
  </si>
  <si>
    <t>Year 3</t>
  </si>
  <si>
    <t>decCurrency</t>
  </si>
  <si>
    <t>decLanguage</t>
  </si>
  <si>
    <t>decPath1_ExpMT</t>
  </si>
  <si>
    <t>decPath1_PriceMT</t>
  </si>
  <si>
    <t>decPath1_ProdMT</t>
  </si>
  <si>
    <t>decPath1_ProdSub</t>
  </si>
  <si>
    <t>decPath1_Qty</t>
  </si>
  <si>
    <t>decPath2_ExpMT</t>
  </si>
  <si>
    <t>decPath2_PriceMT</t>
  </si>
  <si>
    <t>decPath2_ProdMT</t>
  </si>
  <si>
    <t>decPath2_ProdSub</t>
  </si>
  <si>
    <t>decPath2_Qty</t>
  </si>
  <si>
    <t>decPath3_ExpMT</t>
  </si>
  <si>
    <t>decPath3_PriceMT</t>
  </si>
  <si>
    <t>decPath3_ProdMT</t>
  </si>
  <si>
    <t>decPath3_ProdSub</t>
  </si>
  <si>
    <t>decPath3_Qty</t>
  </si>
  <si>
    <t>decPath4_ExpMT</t>
  </si>
  <si>
    <t>decPath4_PriceMT</t>
  </si>
  <si>
    <t>decPath4_ProdMT</t>
  </si>
  <si>
    <t>decPath4_ProdSub</t>
  </si>
  <si>
    <t>decPath4_Qty</t>
  </si>
  <si>
    <t>nmCurrency</t>
  </si>
  <si>
    <t>nmLanguage</t>
  </si>
  <si>
    <t>tlM2S</t>
  </si>
  <si>
    <t>Calculator Page</t>
  </si>
  <si>
    <t>nmPath1</t>
  </si>
  <si>
    <t>nmPath2</t>
  </si>
  <si>
    <t>nmPath3</t>
  </si>
  <si>
    <t>nmPath4</t>
  </si>
  <si>
    <t>nmPath5</t>
  </si>
  <si>
    <t>nmPath6</t>
  </si>
  <si>
    <t>nmProdMT</t>
  </si>
  <si>
    <t>nmPriceMT</t>
  </si>
  <si>
    <t>nmExpMT</t>
  </si>
  <si>
    <t>nmProdSub</t>
  </si>
  <si>
    <t>nmQty</t>
  </si>
  <si>
    <t>nmInputs</t>
  </si>
  <si>
    <t>nmOutputs</t>
  </si>
  <si>
    <t>nmMTAll</t>
  </si>
  <si>
    <t>nmNewSub</t>
  </si>
  <si>
    <t>nmYr1</t>
  </si>
  <si>
    <t>nmYr2</t>
  </si>
  <si>
    <t>nmYr3</t>
  </si>
  <si>
    <t>nmTotal</t>
  </si>
  <si>
    <t>nmSavings</t>
  </si>
  <si>
    <t>nmMigrateFY1</t>
  </si>
  <si>
    <t>nmMigrateFY2</t>
  </si>
  <si>
    <t>nmMigrateFY3</t>
  </si>
  <si>
    <t>nmFY1</t>
  </si>
  <si>
    <t>nmFY2</t>
  </si>
  <si>
    <t>nmFY3</t>
  </si>
  <si>
    <t>New Subscription SRP</t>
  </si>
  <si>
    <t>nmListGlossary</t>
  </si>
  <si>
    <t>Autodesk 3ds Max</t>
  </si>
  <si>
    <t>Autodesk 3ds Max Entertainment Creation Suite Standard</t>
  </si>
  <si>
    <t>Autodesk AutoCAD</t>
  </si>
  <si>
    <t>Autodesk AutoCAD Architecture</t>
  </si>
  <si>
    <t>Autodesk AutoCAD Design Suite Premium</t>
  </si>
  <si>
    <t>Autodesk AutoCAD Design Suite Standard</t>
  </si>
  <si>
    <t>Autodesk AutoCAD LT</t>
  </si>
  <si>
    <t>Autodesk AutoCAD Map 3D</t>
  </si>
  <si>
    <t>Autodesk AutoCAD Mechanical</t>
  </si>
  <si>
    <t>Autodesk AutoCAD MEP</t>
  </si>
  <si>
    <t>Autodesk AutoCAD P&amp;ID</t>
  </si>
  <si>
    <t>Autodesk AutoCAD Raster Design</t>
  </si>
  <si>
    <t>Autodesk Building Design Suite Premium</t>
  </si>
  <si>
    <t>Autodesk Building Design Suite Standard</t>
  </si>
  <si>
    <t>Autodesk Building Design Suite Ultimate</t>
  </si>
  <si>
    <t>Autodesk Entertainment Creation Suite Ultimate</t>
  </si>
  <si>
    <t>Autodesk Factory Design Suite Ultimate</t>
  </si>
  <si>
    <t>Autodesk Infrastructure Design Suite Standard</t>
  </si>
  <si>
    <t>Autodesk Inventor LT</t>
  </si>
  <si>
    <t>Autodesk Inventor Professional</t>
  </si>
  <si>
    <t>Autodesk Maya</t>
  </si>
  <si>
    <t>Autodesk Maya Entertainment Creation Suite Standard</t>
  </si>
  <si>
    <t>Autodesk MotionBuilder</t>
  </si>
  <si>
    <t>Autodesk Plant Design Suite Premium</t>
  </si>
  <si>
    <t>Autodesk Plant Design Suite Standard</t>
  </si>
  <si>
    <t>Autodesk Plant Design Suite Ultimate</t>
  </si>
  <si>
    <t>Autodesk Product Design Suite Premium</t>
  </si>
  <si>
    <t>Autodesk Product Design Suite Ultimate</t>
  </si>
  <si>
    <t>Autodesk Revit</t>
  </si>
  <si>
    <t>Autodesk Revit LT</t>
  </si>
  <si>
    <t>Architecture Engineering Construction Collection</t>
  </si>
  <si>
    <t>Product Design Collection</t>
  </si>
  <si>
    <t>M2S</t>
  </si>
  <si>
    <t xml:space="preserve">                                                                                               </t>
  </si>
  <si>
    <t>Legend:</t>
  </si>
  <si>
    <t xml:space="preserve">- Additional eligibility criteria will be included in the May update of the Contract Administration and Policy Guide for Autodesk Maintenance Plans and Subscriptions on One Team Source at: https://apps.gosavo.com/autodesk/oneteamsource
</t>
  </si>
  <si>
    <t xml:space="preserve">- All available operating system versions are eligible to switch.  Products listed below are available on Windows and additional operating systems (such as Linux and Mac) as specified. </t>
  </si>
  <si>
    <t>Eligibility for switching a maintenance plan to a subscription:</t>
  </si>
  <si>
    <t>Maintenance to Subscription Eligibility List Preview*</t>
  </si>
  <si>
    <t>Lookup Code</t>
  </si>
  <si>
    <t>DataPaths_Code</t>
  </si>
  <si>
    <t>Paths Data</t>
  </si>
  <si>
    <t>DataPaths_List_ProdMT</t>
  </si>
  <si>
    <t>Static Output - All Paths</t>
  </si>
  <si>
    <t>Dynamic Output - Selected Paths</t>
  </si>
  <si>
    <t>DataPaths_Tbl_AllPaths</t>
  </si>
  <si>
    <t>Path Option 1</t>
  </si>
  <si>
    <t>Path Option 2</t>
  </si>
  <si>
    <t>Path Option 3</t>
  </si>
  <si>
    <t>Path Option 4</t>
  </si>
  <si>
    <t>Path Option 5</t>
  </si>
  <si>
    <t>Dec --&gt;</t>
  </si>
  <si>
    <t>DataPaths_List_Path1_ProdSub</t>
  </si>
  <si>
    <t>DataPaths_List_Path2_ProdSub</t>
  </si>
  <si>
    <t>DataPaths_List_Path3_ProdSub</t>
  </si>
  <si>
    <t>DataPaths_List_Path4_ProdSub</t>
  </si>
  <si>
    <t>DataPaths_Path1_ProdSub</t>
  </si>
  <si>
    <t>DataPaths_Path2_ProdSub</t>
  </si>
  <si>
    <t>DataPaths_Path3_ProdSub</t>
  </si>
  <si>
    <t>DataPaths_Path4_ProdSub</t>
  </si>
  <si>
    <t>Position</t>
  </si>
  <si>
    <t>Number of Paths for Dynamic List</t>
  </si>
  <si>
    <t>DataPaths_List_Path1_Count</t>
  </si>
  <si>
    <t>DataPaths_List_Path2_Count</t>
  </si>
  <si>
    <t>DataPaths_List_Path3_Count</t>
  </si>
  <si>
    <t>DataPaths_List_Path4_Count</t>
  </si>
  <si>
    <t>nmADwSP</t>
  </si>
  <si>
    <t xml:space="preserve">Autodesk </t>
  </si>
  <si>
    <t>USD</t>
  </si>
  <si>
    <t>Please Select</t>
  </si>
  <si>
    <t>nmUSD</t>
  </si>
  <si>
    <t>nmEUR</t>
  </si>
  <si>
    <t>nmJPY</t>
  </si>
  <si>
    <t>nmGBP</t>
  </si>
  <si>
    <t>EUR</t>
  </si>
  <si>
    <t>JPY</t>
  </si>
  <si>
    <t>GBP</t>
  </si>
  <si>
    <t>Italian</t>
  </si>
  <si>
    <t>French</t>
  </si>
  <si>
    <t>German</t>
  </si>
  <si>
    <t>Japanese</t>
  </si>
  <si>
    <t>Chinese (Simplified)</t>
  </si>
  <si>
    <t>Chinese (Traditional)</t>
  </si>
  <si>
    <t>Korean</t>
  </si>
  <si>
    <t>nmLanguages</t>
  </si>
  <si>
    <t>Config Num</t>
  </si>
  <si>
    <t>Hide column before publlishing</t>
  </si>
  <si>
    <t>3DSMAX</t>
  </si>
  <si>
    <t>MXECS</t>
  </si>
  <si>
    <t>ARCHDESK</t>
  </si>
  <si>
    <t>CIV3D</t>
  </si>
  <si>
    <t>DSPRM</t>
  </si>
  <si>
    <t>DSSTD</t>
  </si>
  <si>
    <t>ACAD_E</t>
  </si>
  <si>
    <t>MAP</t>
  </si>
  <si>
    <t>AMECH_PP</t>
  </si>
  <si>
    <t>BLDSYS</t>
  </si>
  <si>
    <t>PNID</t>
  </si>
  <si>
    <t>PLNT3D</t>
  </si>
  <si>
    <t>ARDES</t>
  </si>
  <si>
    <t>BDSS</t>
  </si>
  <si>
    <t>ENCSU</t>
  </si>
  <si>
    <t>FDSS</t>
  </si>
  <si>
    <t>IDSP</t>
  </si>
  <si>
    <t>IDSS</t>
  </si>
  <si>
    <t>IDSU</t>
  </si>
  <si>
    <t>INVPROSA</t>
  </si>
  <si>
    <t>MAYA</t>
  </si>
  <si>
    <t>MYECS</t>
  </si>
  <si>
    <t>MOBPRO</t>
  </si>
  <si>
    <t>NAVMAN</t>
  </si>
  <si>
    <t>PDSPRM</t>
  </si>
  <si>
    <t>PLTDSS</t>
  </si>
  <si>
    <t>PDSADV</t>
  </si>
  <si>
    <t>PDSP</t>
  </si>
  <si>
    <t>PDSU</t>
  </si>
  <si>
    <t>nmSelect</t>
  </si>
  <si>
    <t>Media and Entertainment Collection</t>
  </si>
  <si>
    <t>Autodesk AutoCAD Revit LT Suite</t>
  </si>
  <si>
    <t>M2S to Collection</t>
  </si>
  <si>
    <t>Autodesk Inventor</t>
  </si>
  <si>
    <t>Autodesk AutoCAD Inventor LT Suite</t>
  </si>
  <si>
    <t>Autodesk Infrastructure Design Suite Ultimate</t>
  </si>
  <si>
    <t>Autodesk Infrastructure Design Suite Premium</t>
  </si>
  <si>
    <t>Autodesk Factory Design Suite Premium</t>
  </si>
  <si>
    <t>MU</t>
  </si>
  <si>
    <t>SU</t>
  </si>
  <si>
    <t>Yr3</t>
  </si>
  <si>
    <t>Yr2</t>
  </si>
  <si>
    <t>Yr1</t>
  </si>
  <si>
    <t>M2S switch in Yr 3</t>
  </si>
  <si>
    <t>M2S switch in Yr 2</t>
  </si>
  <si>
    <t>M2S switch in Yr 1</t>
  </si>
  <si>
    <t>Product Name</t>
  </si>
  <si>
    <t>Current Sub Prices</t>
  </si>
  <si>
    <t>Maintenance Prices</t>
  </si>
  <si>
    <t>M2S Prices</t>
  </si>
  <si>
    <t>Current MTC Price</t>
  </si>
  <si>
    <t>Product Name (Exact Match)</t>
  </si>
  <si>
    <t>Data_USD_Tbl</t>
  </si>
  <si>
    <t>calcPath1MTPrice</t>
  </si>
  <si>
    <t>S</t>
  </si>
  <si>
    <t>M</t>
  </si>
  <si>
    <t>calcPath1Yr1_CostYr1</t>
  </si>
  <si>
    <t>calcPath1Yr1_CostYr2</t>
  </si>
  <si>
    <t>calcPath1Yr1_CostYr3</t>
  </si>
  <si>
    <t>calcPath1Yr1_CostTotal</t>
  </si>
  <si>
    <t>calcPath1Yr3_CostYr3</t>
  </si>
  <si>
    <t>calcPath1Yr3_CostYr2</t>
  </si>
  <si>
    <t>calcPath1Yr3_CostTotal</t>
  </si>
  <si>
    <t>calcPath1Yr3_CostYr1</t>
  </si>
  <si>
    <t>calcPath1Yr2_CostYr2</t>
  </si>
  <si>
    <t>calcPath1Yr2_CostYr3</t>
  </si>
  <si>
    <t>calcPath1Yr2_CostTotal</t>
  </si>
  <si>
    <t>calcPath1Yr2_CostYr1</t>
  </si>
  <si>
    <t>calcPath1SubSRP</t>
  </si>
  <si>
    <t>calcPath1Yr1_SRPDisc</t>
  </si>
  <si>
    <t>calcPath1Yr2_SRPDisc</t>
  </si>
  <si>
    <t>calcPath1Yr3_SRPDisc</t>
  </si>
  <si>
    <t>cnstYears</t>
  </si>
  <si>
    <t>Starting Maintenance</t>
  </si>
  <si>
    <t>calcPath1ExpMt</t>
  </si>
  <si>
    <t>calcPath1ExpMt_Code</t>
  </si>
  <si>
    <t>calcPath1MTCost_Yr1</t>
  </si>
  <si>
    <t>calcPath1MTCost_Yr2</t>
  </si>
  <si>
    <t>calcPath1MTCost_Yr3</t>
  </si>
  <si>
    <t>calcPath1MTCost_AllYears</t>
  </si>
  <si>
    <t>**Legend: M = Maintenance, S = Subscription</t>
  </si>
  <si>
    <t>Single or Multi Access</t>
  </si>
  <si>
    <t>nmSingle</t>
  </si>
  <si>
    <t>nmMulti</t>
  </si>
  <si>
    <t>Single</t>
  </si>
  <si>
    <t>Multi</t>
  </si>
  <si>
    <t>Column Number</t>
  </si>
  <si>
    <t>calcPath2MTPrice</t>
  </si>
  <si>
    <t>calcPath2ExpMt</t>
  </si>
  <si>
    <t>calcPath2ExpMt_Code</t>
  </si>
  <si>
    <t>calcPath2MTCost_Yr1</t>
  </si>
  <si>
    <t>calcPath2MTCost_Yr2</t>
  </si>
  <si>
    <t>calcPath2MTCost_Yr3</t>
  </si>
  <si>
    <t>calcPath2MTCost_AllYears</t>
  </si>
  <si>
    <t>calcPath2SubSRP</t>
  </si>
  <si>
    <t>calcPath2Yr1_CostYr1</t>
  </si>
  <si>
    <t>calcPath2Yr1_CostYr2</t>
  </si>
  <si>
    <t>calcPath2Yr1_CostYr3</t>
  </si>
  <si>
    <t>calcPath2Yr1_CostTotal</t>
  </si>
  <si>
    <t>calcPath2Yr1_SRPDisc</t>
  </si>
  <si>
    <t>calcPath2Yr2_CostYr1</t>
  </si>
  <si>
    <t>calcPath2Yr2_CostYr2</t>
  </si>
  <si>
    <t>calcPath2Yr2_CostYr3</t>
  </si>
  <si>
    <t>calcPath2Yr2_CostTotal</t>
  </si>
  <si>
    <t>calcPath2Yr2_SRPDisc</t>
  </si>
  <si>
    <t>calcPath2Yr3_CostYr1</t>
  </si>
  <si>
    <t>calcPath2Yr3_CostYr2</t>
  </si>
  <si>
    <t>calcPath2Yr3_CostYr3</t>
  </si>
  <si>
    <t>calcPath2Yr3_CostTotal</t>
  </si>
  <si>
    <t>calcPath2Yr3_SRPDisc</t>
  </si>
  <si>
    <t>calcPath3MTPrice</t>
  </si>
  <si>
    <t>calcPath3ExpMt</t>
  </si>
  <si>
    <t>calcPath3ExpMt_Code</t>
  </si>
  <si>
    <t>calcPath3MTCost_Yr1</t>
  </si>
  <si>
    <t>calcPath3MTCost_Yr2</t>
  </si>
  <si>
    <t>calcPath3MTCost_Yr3</t>
  </si>
  <si>
    <t>calcPath3MTCost_AllYears</t>
  </si>
  <si>
    <t>calcPath3SubSRP</t>
  </si>
  <si>
    <t>calcPath3Yr1_CostYr1</t>
  </si>
  <si>
    <t>calcPath3Yr1_CostYr2</t>
  </si>
  <si>
    <t>calcPath3Yr1_CostYr3</t>
  </si>
  <si>
    <t>calcPath3Yr1_CostTotal</t>
  </si>
  <si>
    <t>calcPath3Yr1_SRPDisc</t>
  </si>
  <si>
    <t>calcPath3Yr2_CostYr1</t>
  </si>
  <si>
    <t>calcPath3Yr2_CostYr2</t>
  </si>
  <si>
    <t>calcPath3Yr2_CostYr3</t>
  </si>
  <si>
    <t>calcPath3Yr2_CostTotal</t>
  </si>
  <si>
    <t>calcPath3Yr2_SRPDisc</t>
  </si>
  <si>
    <t>calcPath3Yr3_CostYr1</t>
  </si>
  <si>
    <t>calcPath3Yr3_CostYr2</t>
  </si>
  <si>
    <t>calcPath3Yr3_CostYr3</t>
  </si>
  <si>
    <t>calcPath3Yr3_CostTotal</t>
  </si>
  <si>
    <t>calcPath3Yr3_SRPDisc</t>
  </si>
  <si>
    <t>calcPath4MTPrice</t>
  </si>
  <si>
    <t>calcPath4ExpMt</t>
  </si>
  <si>
    <t>calcPath4ExpMt_Code</t>
  </si>
  <si>
    <t>calcPath4MTCost_Yr1</t>
  </si>
  <si>
    <t>calcPath4MTCost_Yr2</t>
  </si>
  <si>
    <t>calcPath4MTCost_Yr3</t>
  </si>
  <si>
    <t>calcPath4MTCost_AllYears</t>
  </si>
  <si>
    <t>calcPath4SubSRP</t>
  </si>
  <si>
    <t>calcPath4Yr1_CostYr1</t>
  </si>
  <si>
    <t>calcPath4Yr1_CostYr2</t>
  </si>
  <si>
    <t>calcPath4Yr1_CostYr3</t>
  </si>
  <si>
    <t>calcPath4Yr1_CostTotal</t>
  </si>
  <si>
    <t>calcPath4Yr1_SRPDisc</t>
  </si>
  <si>
    <t>calcPath4Yr2_CostYr1</t>
  </si>
  <si>
    <t>calcPath4Yr2_CostYr2</t>
  </si>
  <si>
    <t>calcPath4Yr2_CostYr3</t>
  </si>
  <si>
    <t>calcPath4Yr2_CostTotal</t>
  </si>
  <si>
    <t>calcPath4Yr2_SRPDisc</t>
  </si>
  <si>
    <t>calcPath4Yr3_CostYr1</t>
  </si>
  <si>
    <t>calcPath4Yr3_CostYr2</t>
  </si>
  <si>
    <t>calcPath4Yr3_CostYr3</t>
  </si>
  <si>
    <t>calcPath4Yr3_CostTotal</t>
  </si>
  <si>
    <t>calcPath4Yr3_SRPDisc</t>
  </si>
  <si>
    <t>calcTotalMTCost_Yr1</t>
  </si>
  <si>
    <t>calcTotalMTCost_Yr2</t>
  </si>
  <si>
    <t>calcTotalMTCost_Yr3</t>
  </si>
  <si>
    <t>calcTotalMTCost_AllYears</t>
  </si>
  <si>
    <t>calcTotalSubSRP</t>
  </si>
  <si>
    <t>calcTotalYr1_CostYr1</t>
  </si>
  <si>
    <t>calcTotalYr1_CostYr2</t>
  </si>
  <si>
    <t>calcTotalYr1_CostYr3</t>
  </si>
  <si>
    <t>calcTotalYr1_CostTotal</t>
  </si>
  <si>
    <t>calcTotalYr1_SRPDisc</t>
  </si>
  <si>
    <t>calcTotalYr2_CostYr1</t>
  </si>
  <si>
    <t>calcTotalYr2_CostYr2</t>
  </si>
  <si>
    <t>calcTotalYr2_CostYr3</t>
  </si>
  <si>
    <t>calcTotalYr2_CostTotal</t>
  </si>
  <si>
    <t>calcTotalYr2_SRPDisc</t>
  </si>
  <si>
    <t>calcTotalYr3_CostYr1</t>
  </si>
  <si>
    <t>calcTotalYr3_CostYr2</t>
  </si>
  <si>
    <t>calcTotalYr3_CostYr3</t>
  </si>
  <si>
    <t>calcTotalYr3_CostTotal</t>
  </si>
  <si>
    <t>calcTotalYr3_SRPDisc</t>
  </si>
  <si>
    <t>Total Across All Path Options</t>
  </si>
  <si>
    <t>nmMigrate</t>
  </si>
  <si>
    <t>Data_Unified_Pricing_Tbl</t>
  </si>
  <si>
    <t>btnLevelCount</t>
  </si>
  <si>
    <t>Number of button sets</t>
  </si>
  <si>
    <t>btnLevelDec3</t>
  </si>
  <si>
    <t>btnLevelSheet3</t>
  </si>
  <si>
    <t>btnLevel</t>
  </si>
  <si>
    <t>btnLevelLevels3</t>
  </si>
  <si>
    <t>Set 3</t>
  </si>
  <si>
    <t>btnLevelDec2</t>
  </si>
  <si>
    <t>btnLevelSheet2</t>
  </si>
  <si>
    <t>btnLevelLevels2</t>
  </si>
  <si>
    <t>Set 2</t>
  </si>
  <si>
    <t>btnLevelDec1</t>
  </si>
  <si>
    <t>btnLevelSheet1</t>
  </si>
  <si>
    <t>btnLevelLevels1</t>
  </si>
  <si>
    <t>Set 1</t>
  </si>
  <si>
    <t>tl Input Range</t>
  </si>
  <si>
    <t>Sheet Location</t>
  </si>
  <si>
    <t>Number of Levels</t>
  </si>
  <si>
    <t>Buttons</t>
  </si>
  <si>
    <t>btnLevelDeselected</t>
  </si>
  <si>
    <t>Button color - not selected</t>
  </si>
  <si>
    <t>btnLevelSelected</t>
  </si>
  <si>
    <t>Button color - selected</t>
  </si>
  <si>
    <t>Set 4</t>
  </si>
  <si>
    <t>btnLevelLevels4</t>
  </si>
  <si>
    <t>btnLevelSheet4</t>
  </si>
  <si>
    <t>btnLevelDec4</t>
  </si>
  <si>
    <t>nmSLM</t>
  </si>
  <si>
    <t>nmNLM</t>
  </si>
  <si>
    <t>decPath1_Access</t>
  </si>
  <si>
    <t>decPath2_Access</t>
  </si>
  <si>
    <t>decPath3_Access</t>
  </si>
  <si>
    <t>decPath4_Access</t>
  </si>
  <si>
    <t>tlInputPath1_Access</t>
  </si>
  <si>
    <t>tlInputPath4_Access</t>
  </si>
  <si>
    <t>tlInputPath3_Access</t>
  </si>
  <si>
    <t>tlInputPath2_Access</t>
  </si>
  <si>
    <t>SRP Discount</t>
  </si>
  <si>
    <t>nmYr4</t>
  </si>
  <si>
    <t>calcPath1Yr4Cost</t>
  </si>
  <si>
    <t>Projected Cost</t>
  </si>
  <si>
    <t>calcTotalYr4Cost</t>
  </si>
  <si>
    <t>calcPath2Yr4Cost</t>
  </si>
  <si>
    <t>calcPath3Yr4Cost</t>
  </si>
  <si>
    <t>calcPath4Yr4Cost</t>
  </si>
  <si>
    <t>Stay on Maintenance</t>
  </si>
  <si>
    <t>Investment Options</t>
  </si>
  <si>
    <t>nmBenchmarks</t>
  </si>
  <si>
    <t>nmProjections</t>
  </si>
  <si>
    <t>Benchmark Values</t>
  </si>
  <si>
    <t>Total Investment</t>
  </si>
  <si>
    <t>nmTotal3Yr</t>
  </si>
  <si>
    <t>3 Year Investment</t>
  </si>
  <si>
    <t>Maintenance to Subscription Analysis</t>
  </si>
  <si>
    <t>nmTotalInv</t>
  </si>
  <si>
    <t>Russian</t>
  </si>
  <si>
    <t>Spanish</t>
  </si>
  <si>
    <t>Portuguese</t>
  </si>
  <si>
    <t>Autodesk M2S Calculator - Developer Instructions</t>
  </si>
  <si>
    <t>Adam.Aranyos@bts.com</t>
  </si>
  <si>
    <t>Tab Color Legend</t>
  </si>
  <si>
    <t>Cell Color Legend</t>
  </si>
  <si>
    <t xml:space="preserve">  Configuration page</t>
  </si>
  <si>
    <t xml:space="preserve">  Tool / output page</t>
  </si>
  <si>
    <t xml:space="preserve">  Back-end calculation page</t>
  </si>
  <si>
    <t xml:space="preserve">  Sorted tool data page</t>
  </si>
  <si>
    <r>
      <t xml:space="preserve">  Raw client data page to be sorted - </t>
    </r>
    <r>
      <rPr>
        <b/>
        <sz val="11"/>
        <rFont val="Verdana"/>
        <family val="2"/>
      </rPr>
      <t>values must be updated here</t>
    </r>
  </si>
  <si>
    <t>Autodesk Factory Design Suite Standard</t>
  </si>
  <si>
    <t>nmCAD</t>
  </si>
  <si>
    <t>CAD</t>
  </si>
  <si>
    <t>nmAUD</t>
  </si>
  <si>
    <t>AUD</t>
  </si>
  <si>
    <t>Data_CAD_Tbl</t>
  </si>
  <si>
    <t>Data_EUR_Tbl</t>
  </si>
  <si>
    <t>Data_JPY_Tbl</t>
  </si>
  <si>
    <t>Data_AUD_Tbl</t>
  </si>
  <si>
    <t>Data_GBP_Tbl</t>
  </si>
  <si>
    <t>Currency to Index Number Conersion</t>
  </si>
  <si>
    <t>Increase Over Year 3 M2S</t>
  </si>
  <si>
    <t>Currency Selected</t>
  </si>
  <si>
    <t>Index Number</t>
  </si>
  <si>
    <t>calcCurrencyConvTbl</t>
  </si>
  <si>
    <t>calcCurrencyIndexNum</t>
  </si>
  <si>
    <t>Maintenance to Subscription</t>
  </si>
  <si>
    <t>nmReset</t>
  </si>
  <si>
    <t>nmMaint</t>
  </si>
  <si>
    <t>nmSub</t>
  </si>
  <si>
    <t>Maintenance</t>
  </si>
  <si>
    <t>Subscription</t>
  </si>
  <si>
    <t>nmReports</t>
  </si>
  <si>
    <t>Charts</t>
  </si>
  <si>
    <t>nmInvOpt</t>
  </si>
  <si>
    <t>nmMaintCOst</t>
  </si>
  <si>
    <t>Cost to Stay on Maintenance</t>
  </si>
  <si>
    <t>nmM2SSavings</t>
  </si>
  <si>
    <t>nmM2SCost</t>
  </si>
  <si>
    <t>Click on a data series to hide or show it</t>
  </si>
  <si>
    <t>Horizontal Axis Label</t>
  </si>
  <si>
    <t>nmMigrateYr</t>
  </si>
  <si>
    <t>Year Switched from Maintenance to Subscription</t>
  </si>
  <si>
    <t>nmM2SMaintDiff</t>
  </si>
  <si>
    <t>calcPath1Yr1_MaintDiff</t>
  </si>
  <si>
    <t>calcPath1Yr2_MaintDiff</t>
  </si>
  <si>
    <t>calcPath1Yr3_MaintDiff</t>
  </si>
  <si>
    <t>calcPath2Yr1_MaintDiff</t>
  </si>
  <si>
    <t>calcPath2Yr2_MaintDiff</t>
  </si>
  <si>
    <t>calcPath2Yr3_MaintDiff</t>
  </si>
  <si>
    <t>calcPath3Yr1_MaintDiff</t>
  </si>
  <si>
    <t>calcPath3Yr2_MaintDiff</t>
  </si>
  <si>
    <t>calcPath3Yr3_MaintDiff</t>
  </si>
  <si>
    <t>calcPath4Yr1_MaintDiff</t>
  </si>
  <si>
    <t>calcPath4Yr2_MaintDiff</t>
  </si>
  <si>
    <t>calcPath4Yr3_MaintDiff</t>
  </si>
  <si>
    <t>calcTotalYr1_MaintDiff</t>
  </si>
  <si>
    <t>calcTotalYr2_MaintDiff</t>
  </si>
  <si>
    <t>calcTotalYr3_MaintDiff</t>
  </si>
  <si>
    <t>btnPlusMinusDec3</t>
  </si>
  <si>
    <t>btnPlusMinusMin3</t>
  </si>
  <si>
    <t>btnPlusMinusMax3</t>
  </si>
  <si>
    <t>btnPlusMinusIncr3</t>
  </si>
  <si>
    <t>Button Pair 3</t>
  </si>
  <si>
    <t>btnPlusMinusDec2</t>
  </si>
  <si>
    <t>btnPlusMinusMin2</t>
  </si>
  <si>
    <t>btnPlusMinusMax2</t>
  </si>
  <si>
    <t>btnPlusMinusIncr2</t>
  </si>
  <si>
    <t>Button Pair 2</t>
  </si>
  <si>
    <t>btnPlusMinusDec1</t>
  </si>
  <si>
    <t>btnPlusMinusMin1</t>
  </si>
  <si>
    <t>btnPlusMinusMax1</t>
  </si>
  <si>
    <t>btnPlusMinusIncr1</t>
  </si>
  <si>
    <t>Button Pair 1</t>
  </si>
  <si>
    <t>Value to Change (tl input range)</t>
  </si>
  <si>
    <t>Min Value</t>
  </si>
  <si>
    <t>Max Value</t>
  </si>
  <si>
    <t>Increment per Click</t>
  </si>
  <si>
    <t>PlusMinusButton</t>
  </si>
  <si>
    <t>decPath1_PriceMT_Adj</t>
  </si>
  <si>
    <t>decPath4_PriceMT_Adj</t>
  </si>
  <si>
    <t>decPath3_PriceMT_Adj</t>
  </si>
  <si>
    <t>decPath2_PriceMT_Adj</t>
  </si>
  <si>
    <t>tlInputPath1_PriceMT_Adj</t>
  </si>
  <si>
    <t>tlInputPath3_PriceMT_Adj</t>
  </si>
  <si>
    <t>tlInputPath2_PriceMT_Adj</t>
  </si>
  <si>
    <t>Button Pair 4</t>
  </si>
  <si>
    <t>btnPlusMinusIncr4</t>
  </si>
  <si>
    <t>btnPlusMinusMax4</t>
  </si>
  <si>
    <t>btnPlusMinusMin4</t>
  </si>
  <si>
    <t>tlInputPath4_PriceMT_Adj</t>
  </si>
  <si>
    <t>btnPlusMinusDec4</t>
  </si>
  <si>
    <t>Base Value</t>
  </si>
  <si>
    <t>Adjustment</t>
  </si>
  <si>
    <t>tlOutput_List_Path1_ProdSub</t>
  </si>
  <si>
    <t>tlOutput_List_Path2_ProdSub</t>
  </si>
  <si>
    <t>tlOutput_List_Path3_ProdSub</t>
  </si>
  <si>
    <t>tlOutput_List_Path4_ProdSub</t>
  </si>
  <si>
    <t>tlOutputListGlossary</t>
  </si>
  <si>
    <t>tlOutput_List_ProdMT</t>
  </si>
  <si>
    <t>tlOutput_Path1_ProdSub</t>
  </si>
  <si>
    <t>tlOutput_Path2_ProdSub</t>
  </si>
  <si>
    <t>tlOutput_Path3_ProdSub</t>
  </si>
  <si>
    <t>tlOutput_Path4_ProdSub</t>
  </si>
  <si>
    <t>tlOutputListCurrency</t>
  </si>
  <si>
    <t>nmTotal1Yr</t>
  </si>
  <si>
    <t>1 Year Investment</t>
  </si>
  <si>
    <t>calcPath1SubSRP3Yr</t>
  </si>
  <si>
    <t>calcPath2SubSRP3Yr</t>
  </si>
  <si>
    <t>calcPath3SubSRP3Yr</t>
  </si>
  <si>
    <t>calcPath4SubSRP3Yr</t>
  </si>
  <si>
    <t>calcTotalSubSRP3Yr</t>
  </si>
  <si>
    <t>nmFY1_Def</t>
  </si>
  <si>
    <t>nmFY2_Def</t>
  </si>
  <si>
    <t>nmFY3_Def</t>
  </si>
  <si>
    <t>nmLegend</t>
  </si>
  <si>
    <t>nmCostBreakdownAnaly</t>
  </si>
  <si>
    <t>Cost Breakdown Analysis</t>
  </si>
  <si>
    <t>Discount Analysis</t>
  </si>
  <si>
    <t>Active Paths</t>
  </si>
  <si>
    <t>Total Active Paths</t>
  </si>
  <si>
    <t>calcTotalActivePaths</t>
  </si>
  <si>
    <t>tlInputTotalActivePaths</t>
  </si>
  <si>
    <t>Switching to Subscription</t>
  </si>
  <si>
    <t>Important: Read before using</t>
  </si>
  <si>
    <t>Product 1</t>
  </si>
  <si>
    <t>Product 2</t>
  </si>
  <si>
    <t>Product 3</t>
  </si>
  <si>
    <t>Product 4</t>
  </si>
  <si>
    <t>Product 5</t>
  </si>
  <si>
    <t>Product 6</t>
  </si>
  <si>
    <t>Test Info</t>
  </si>
  <si>
    <t>3ds Max --&gt; Media and Entertainment Collection</t>
  </si>
  <si>
    <t>3ds Max --&gt; 3ds Max</t>
  </si>
  <si>
    <t>3ds Max Entertainment Creation Suite Standard --&gt; Media and Entertainment Collection</t>
  </si>
  <si>
    <t>3ds Max Entertainment Creation Suite Standard --&gt; 3ds Max</t>
  </si>
  <si>
    <t>AutoCAD --&gt; Architecture Engineering Construction Collection</t>
  </si>
  <si>
    <t>AutoCAD Architecture --&gt; Architecture Engineering Construction Collection</t>
  </si>
  <si>
    <t>AutoCAD Design Suite Standard --&gt; Architecture Engineering Construction Collection</t>
  </si>
  <si>
    <t>AutoCAD LT --&gt; AutoCAD LT</t>
  </si>
  <si>
    <t>AutoCAD Map 3D --&gt; Architecture Engineering Construction Collection</t>
  </si>
  <si>
    <t>AutoCAD P&amp;ID --&gt; Architecture Engineering Construction Collection</t>
  </si>
  <si>
    <t>AutoCAD Raster Design --&gt; Architecture Engineering Construction Collection</t>
  </si>
  <si>
    <t>Building Design Suite Premium --&gt; Architecture Engineering Construction Collection</t>
  </si>
  <si>
    <t>Building Design Suite Standard --&gt; Architecture Engineering Construction Collection</t>
  </si>
  <si>
    <t>Building Design Suite Ultimate --&gt; Architecture Engineering Construction Collection</t>
  </si>
  <si>
    <t>Entertainment Creation Suite Ultimate --&gt; Media and Entertainment Collection</t>
  </si>
  <si>
    <t>Infrastructure Design Suite Standard --&gt; Architecture Engineering Construction Collection</t>
  </si>
  <si>
    <t>Inventor LT --&gt; Inventor LT</t>
  </si>
  <si>
    <t>Maya --&gt; Media and Entertainment Collection</t>
  </si>
  <si>
    <t>Maya --&gt; Maya</t>
  </si>
  <si>
    <t>Maya Entertainment Creation Suite Standard --&gt; Media and Entertainment Collection</t>
  </si>
  <si>
    <t>Maya Entertainment Creation Suite Standard --&gt; Maya</t>
  </si>
  <si>
    <t>MotionBuilder --&gt; Media and Entertainment Collection</t>
  </si>
  <si>
    <t>Plant Design Suite Premium --&gt; Architecture Engineering Construction Collection</t>
  </si>
  <si>
    <t>Plant Design Suite Standard --&gt; Architecture Engineering Construction Collection</t>
  </si>
  <si>
    <t>Plant Design Suite Ultimate --&gt; Architecture Engineering Construction Collection</t>
  </si>
  <si>
    <t>Revit --&gt; Architecture Engineering Construction Collection</t>
  </si>
  <si>
    <t>MotionBuilder --&gt; MotionBuilder</t>
  </si>
  <si>
    <t>Revit LT --&gt; Revit LT</t>
  </si>
  <si>
    <t>Starting Maintenance Price</t>
  </si>
  <si>
    <t>Latest Test</t>
  </si>
  <si>
    <t>Currency Used</t>
  </si>
  <si>
    <t>SLM = 1 / NLM = 2</t>
  </si>
  <si>
    <t>Product Column Tested</t>
  </si>
  <si>
    <t>Total NA Errors</t>
  </si>
  <si>
    <t>Total DIV/0 Errors</t>
  </si>
  <si>
    <t>Total Ref Errors</t>
  </si>
  <si>
    <t>Total Name Errors</t>
  </si>
  <si>
    <t>Total Value Errors</t>
  </si>
  <si>
    <t>Testing</t>
  </si>
  <si>
    <t>Run Test</t>
  </si>
  <si>
    <t>AutoTest</t>
  </si>
  <si>
    <t>7 May 2018 - 6 May 2019</t>
  </si>
  <si>
    <t>7 May 2019 - 6 May 2020</t>
  </si>
  <si>
    <t>Move to Subscription Calculator</t>
  </si>
  <si>
    <t>Move to Subscription Analysis</t>
  </si>
  <si>
    <t>Discount off New SRP</t>
  </si>
  <si>
    <t>Discount off Staying on Maintenance</t>
  </si>
  <si>
    <t>Investment to Switch</t>
  </si>
  <si>
    <t>Combinations</t>
  </si>
  <si>
    <t>Calcolatore del passaggio da manutenzione ad abbonamento</t>
  </si>
  <si>
    <t>Simulazione aziendale</t>
  </si>
  <si>
    <t>Permanenza in manutenzione</t>
  </si>
  <si>
    <t>Nuovo abbonamento SRP</t>
  </si>
  <si>
    <t>Passaggio all’anno 2</t>
  </si>
  <si>
    <t>Passaggio all’anno 3</t>
  </si>
  <si>
    <t>Anno 2</t>
  </si>
  <si>
    <t>Anno 3</t>
  </si>
  <si>
    <t>Investimento totale</t>
  </si>
  <si>
    <t>Investimento di 1 anno</t>
  </si>
  <si>
    <t>Investimento di 3 anni</t>
  </si>
  <si>
    <t>Sconto SRP</t>
  </si>
  <si>
    <t>Prodotto 1</t>
  </si>
  <si>
    <t>Prodotto 2</t>
  </si>
  <si>
    <t>Prodotto 3</t>
  </si>
  <si>
    <t>Prodotto 4</t>
  </si>
  <si>
    <t>Prodotto 5</t>
  </si>
  <si>
    <t>Prodotto 6</t>
  </si>
  <si>
    <t>Valuta</t>
  </si>
  <si>
    <t>Lingua</t>
  </si>
  <si>
    <t>Prodotto in manutenzione</t>
  </si>
  <si>
    <t>Selezionare</t>
  </si>
  <si>
    <t>Quantità</t>
  </si>
  <si>
    <t>Passaggio all’abbonamento</t>
  </si>
  <si>
    <t>Scadenza della manutenzione</t>
  </si>
  <si>
    <t>Prezzo della manutenzione</t>
  </si>
  <si>
    <t>Totale</t>
  </si>
  <si>
    <t>Manutenzione</t>
  </si>
  <si>
    <t>Abbonamento</t>
  </si>
  <si>
    <t>Analisi della ripartizione dei costi</t>
  </si>
  <si>
    <t>Costi della permanenza in manutenzione</t>
  </si>
  <si>
    <t>Analisi del passaggio da manutenzione ad abbonamento</t>
  </si>
  <si>
    <t>Singolo</t>
  </si>
  <si>
    <t>Multiplo</t>
  </si>
  <si>
    <t>Sconto manutenzione</t>
  </si>
  <si>
    <t>Importante: Leggere prima dell’uso</t>
  </si>
  <si>
    <t>Inserimenti</t>
  </si>
  <si>
    <t>Opzioni di investimento</t>
  </si>
  <si>
    <t>Valori del benchmark</t>
  </si>
  <si>
    <t>Tabelle</t>
  </si>
  <si>
    <t>7 maggio 2018 – 6 maggio 2019</t>
  </si>
  <si>
    <t>7 maggio 2019 – 6 maggio 2020</t>
  </si>
  <si>
    <t>Businesssimulation</t>
  </si>
  <si>
    <t>Währung</t>
  </si>
  <si>
    <t>Sprache</t>
  </si>
  <si>
    <t>Eingaben</t>
  </si>
  <si>
    <t>Benchmark-Werte</t>
  </si>
  <si>
    <t>Analyse der Wartungverträge zum Abonnement</t>
  </si>
  <si>
    <t>Wartungverträge zum Abonnement Rechner</t>
  </si>
  <si>
    <t>Tabellen</t>
  </si>
  <si>
    <t>Produkt 1</t>
  </si>
  <si>
    <t>Produkt 2</t>
  </si>
  <si>
    <t>Produkt 3</t>
  </si>
  <si>
    <t>Produkt 4</t>
  </si>
  <si>
    <t>Produkt 5</t>
  </si>
  <si>
    <t>Produkt 6</t>
  </si>
  <si>
    <t>Produkt mit Wartungsvertrag</t>
  </si>
  <si>
    <t>Wartungspreis</t>
  </si>
  <si>
    <t>Ablaufdatum des Wartungsvertrags</t>
  </si>
  <si>
    <t>Investmentoptionen</t>
  </si>
  <si>
    <t>Umstellung auf Abonnements</t>
  </si>
  <si>
    <t>Menge</t>
  </si>
  <si>
    <t>Im Wartungsvertrag verbleiben</t>
  </si>
  <si>
    <t>Neues Abonnement SRP</t>
  </si>
  <si>
    <t>Umstellung in Jahr 2</t>
  </si>
  <si>
    <t>Umstellung in Jahr 3</t>
  </si>
  <si>
    <t>Jahr 2</t>
  </si>
  <si>
    <t>Jahr 3</t>
  </si>
  <si>
    <t>Gesamt</t>
  </si>
  <si>
    <t>Gesamtinvestition</t>
  </si>
  <si>
    <t>1-Jahres-Investition</t>
  </si>
  <si>
    <t>3-Jahres-Investition</t>
  </si>
  <si>
    <t>SRP-Nachlass</t>
  </si>
  <si>
    <t>7. Mai 2018 – 6. Mai 2019</t>
  </si>
  <si>
    <t>7. Mai 2019 – 6. Mai 2020</t>
  </si>
  <si>
    <t>Einzeln</t>
  </si>
  <si>
    <t>Mehrere</t>
  </si>
  <si>
    <t>Bitte auswählen</t>
  </si>
  <si>
    <t>Wartungverträge zum Abonnement</t>
  </si>
  <si>
    <t>Das Jahr, in dem vom Wartungsvertrag auf Abonnement gewechselt wurde</t>
  </si>
  <si>
    <t>Zurücksetzen</t>
  </si>
  <si>
    <t>Wartungsvertrag</t>
  </si>
  <si>
    <t>Abonnement</t>
  </si>
  <si>
    <t>Analyse des Wechsels von Wartungsverträgen zu Abonnements</t>
  </si>
  <si>
    <t>Kosten, um auf Wartung zu verbleiben</t>
  </si>
  <si>
    <t>Nachlass: Im Wartungsvertrag verbleiben</t>
  </si>
  <si>
    <t>Analyse zur Kostenaufschlüsselung</t>
  </si>
  <si>
    <t>Wichtig: Vor Gebrauch lesen</t>
  </si>
  <si>
    <t>Da manutenzione ad abbonamento</t>
  </si>
  <si>
    <t>Anno del passaggio da manutenzione ad abbonamento</t>
  </si>
  <si>
    <t>Investimento del passagio</t>
  </si>
  <si>
    <t>Investition des Wechsels</t>
  </si>
  <si>
    <t>Calculateur maintenance à abonnement</t>
  </si>
  <si>
    <t>Simulation de Business</t>
  </si>
  <si>
    <t>Devise</t>
  </si>
  <si>
    <t>Langue</t>
  </si>
  <si>
    <t>Variables</t>
  </si>
  <si>
    <t>Options d’investissement</t>
  </si>
  <si>
    <t>Valeurs de référence</t>
  </si>
  <si>
    <t>Analyse maintenance à abonnement</t>
  </si>
  <si>
    <t>Tableaux</t>
  </si>
  <si>
    <t>Produit sous maintenance</t>
  </si>
  <si>
    <t>Prix de la maintenance</t>
  </si>
  <si>
    <t>Expiration de la maintenance</t>
  </si>
  <si>
    <t>Passer à un abonnement</t>
  </si>
  <si>
    <t>Quantité</t>
  </si>
  <si>
    <t>Rester sous maintenance</t>
  </si>
  <si>
    <t>SRP d’un nouvel abonnement</t>
  </si>
  <si>
    <t>Année 2</t>
  </si>
  <si>
    <t>Année 3</t>
  </si>
  <si>
    <t>Transition en année 2</t>
  </si>
  <si>
    <t>Transition en année 3</t>
  </si>
  <si>
    <t>Investissement total</t>
  </si>
  <si>
    <t>Investissement sur 1 an</t>
  </si>
  <si>
    <t>Investissement sur 3 ans</t>
  </si>
  <si>
    <t>Réduction du SRP</t>
  </si>
  <si>
    <t>7 mai 2018 – 6 mai 2019</t>
  </si>
  <si>
    <t>7 mai 2019 – 6 mai 2020</t>
  </si>
  <si>
    <t>Veuillez sélectionner</t>
  </si>
  <si>
    <t>Individuel</t>
  </si>
  <si>
    <t>Maintenance à abonnement</t>
  </si>
  <si>
    <t>Important : Lire avant utilisation</t>
  </si>
  <si>
    <t>Année de passage maintenance à abonnement</t>
  </si>
  <si>
    <t>Réinitialiser</t>
  </si>
  <si>
    <t>Coût pour rester sous maintenance</t>
  </si>
  <si>
    <t>Investissement de passage</t>
  </si>
  <si>
    <t>Réduction: Rester sous maintenance</t>
  </si>
  <si>
    <t>Analyse de répartition des coûts</t>
  </si>
  <si>
    <t>유지보수에서 서브스크립션으로 전환 계산기</t>
  </si>
  <si>
    <t>비즈니스 시뮬레이션</t>
  </si>
  <si>
    <t>통화</t>
  </si>
  <si>
    <t>언어</t>
  </si>
  <si>
    <t>입력</t>
  </si>
  <si>
    <t>투자 옵션</t>
  </si>
  <si>
    <t>벤치마크 값</t>
  </si>
  <si>
    <t>유지보수에서 서브스크립션으로 전환 분석</t>
  </si>
  <si>
    <t>차트</t>
  </si>
  <si>
    <t>제품 1</t>
  </si>
  <si>
    <t>제품 2</t>
  </si>
  <si>
    <t>제품 3</t>
  </si>
  <si>
    <t>제품 4</t>
  </si>
  <si>
    <t>제품 5</t>
  </si>
  <si>
    <t>제품 6</t>
  </si>
  <si>
    <t>Produit 1</t>
  </si>
  <si>
    <t>Produit 2</t>
  </si>
  <si>
    <t>Produit 3</t>
  </si>
  <si>
    <t>Produit 4</t>
  </si>
  <si>
    <t>Produit 5</t>
  </si>
  <si>
    <t>Produit 6</t>
  </si>
  <si>
    <t>유지보수 대상 제품</t>
  </si>
  <si>
    <t>유지보수 가격</t>
  </si>
  <si>
    <t>유지보수 만료</t>
  </si>
  <si>
    <t>서브스크립션으로 전환</t>
  </si>
  <si>
    <t>수량</t>
  </si>
  <si>
    <t>유지보수 유지</t>
  </si>
  <si>
    <t>신규 서브스크립션 SRP</t>
  </si>
  <si>
    <t>2년차에 전환</t>
  </si>
  <si>
    <t>3년차에 전환</t>
  </si>
  <si>
    <t>2년차</t>
  </si>
  <si>
    <t>3년차</t>
  </si>
  <si>
    <t>합계</t>
  </si>
  <si>
    <t>총 투자</t>
  </si>
  <si>
    <t>1년차 투자</t>
  </si>
  <si>
    <t>3년차 투자</t>
  </si>
  <si>
    <t>2018년 5월 7일 - 2019년 5월 6일</t>
  </si>
  <si>
    <t>2019년 5월 7일 - 2020년 5월 6일</t>
  </si>
  <si>
    <t>선택해 주십시오</t>
  </si>
  <si>
    <t>단일</t>
  </si>
  <si>
    <t>다중</t>
  </si>
  <si>
    <t>유지보수에서 서브스크립션으로 전환</t>
  </si>
  <si>
    <t>유지보수에서 서브스크립션으로 전환된 연도</t>
  </si>
  <si>
    <t>재설정</t>
  </si>
  <si>
    <t>유지보수</t>
  </si>
  <si>
    <t>서브스크립션</t>
  </si>
  <si>
    <t>비용 세부 분석</t>
  </si>
  <si>
    <t>유지보수를 유지하기 위한 비용</t>
  </si>
  <si>
    <t>투자</t>
  </si>
  <si>
    <t>할인: 유지보수 유지</t>
  </si>
  <si>
    <t>할인: 신규 서브스크립션</t>
  </si>
  <si>
    <t>중요: 사용 전 확인사항</t>
  </si>
  <si>
    <t>SRP 할인</t>
  </si>
  <si>
    <t>維護方案至訂購計算器</t>
  </si>
  <si>
    <t>業務模擬</t>
  </si>
  <si>
    <t>貨幣</t>
  </si>
  <si>
    <t>語言</t>
  </si>
  <si>
    <t>輸入</t>
  </si>
  <si>
    <t>產品 1</t>
  </si>
  <si>
    <t>產品 2</t>
  </si>
  <si>
    <t>產品 3</t>
  </si>
  <si>
    <t>產品 4</t>
  </si>
  <si>
    <t>產品 5</t>
  </si>
  <si>
    <t>產品 6</t>
  </si>
  <si>
    <t>投資選項</t>
  </si>
  <si>
    <t>基準值</t>
  </si>
  <si>
    <t>維護方案至訂購分析</t>
  </si>
  <si>
    <t>圖表</t>
  </si>
  <si>
    <t>使用維護方案的產品</t>
  </si>
  <si>
    <t>維護方案價格</t>
  </si>
  <si>
    <t>維護方案期限</t>
  </si>
  <si>
    <t>轉換到訂購</t>
  </si>
  <si>
    <t>數量</t>
  </si>
  <si>
    <t>繼續使用維護方案</t>
  </si>
  <si>
    <t>新訂購 SRP</t>
  </si>
  <si>
    <t>於第 2 年轉換</t>
  </si>
  <si>
    <t>於第 3 年轉換</t>
  </si>
  <si>
    <t>第 2 年</t>
  </si>
  <si>
    <t>第 3 年</t>
  </si>
  <si>
    <t>總共</t>
  </si>
  <si>
    <t>總投資</t>
  </si>
  <si>
    <t>1 年投資</t>
  </si>
  <si>
    <t>3 年投資</t>
  </si>
  <si>
    <t>SRP 折扣</t>
  </si>
  <si>
    <t>2018 年 5 月 7 日 - 2019 年 5 月6 日</t>
  </si>
  <si>
    <t>2019 年 5 月 7 日 - 2020 年 5 月 6 日</t>
  </si>
  <si>
    <t>請選擇</t>
  </si>
  <si>
    <t>單(人)</t>
  </si>
  <si>
    <t>多 (人)</t>
  </si>
  <si>
    <t>維護方案至訂購</t>
  </si>
  <si>
    <t>從維護方案轉換至訂購的年份</t>
  </si>
  <si>
    <t>重設</t>
  </si>
  <si>
    <t>維護方案</t>
  </si>
  <si>
    <t>訂購</t>
  </si>
  <si>
    <t>繼續使用維護方案成本</t>
  </si>
  <si>
    <t>投資</t>
  </si>
  <si>
    <t>折扣：繼續使用維護方案</t>
  </si>
  <si>
    <t>折扣：新訂購</t>
  </si>
  <si>
    <t>成本明細分析</t>
  </si>
  <si>
    <t>重要提示：使用前先閱讀</t>
  </si>
  <si>
    <t>Калькулятор перехода от обслуживания к подписке</t>
  </si>
  <si>
    <t>Бизнес-симулятор</t>
  </si>
  <si>
    <t>Тип валюты</t>
  </si>
  <si>
    <t>Язык</t>
  </si>
  <si>
    <t>Ввод</t>
  </si>
  <si>
    <t>Инвестиционные возможности</t>
  </si>
  <si>
    <t>Значения контрольных показателей</t>
  </si>
  <si>
    <t>Анализ перехода от обслуживания к подписке</t>
  </si>
  <si>
    <t>Графики</t>
  </si>
  <si>
    <t>Продукт 1</t>
  </si>
  <si>
    <t>Продукт 2</t>
  </si>
  <si>
    <t>Продукт 3</t>
  </si>
  <si>
    <t>Продукт 4</t>
  </si>
  <si>
    <t>Продукт 5</t>
  </si>
  <si>
    <t>Продукт 6</t>
  </si>
  <si>
    <t>Продукт на обслуживании</t>
  </si>
  <si>
    <t>Стоимость обслуживания</t>
  </si>
  <si>
    <t>Истечение срока обслуживания</t>
  </si>
  <si>
    <t>Переход к подписке</t>
  </si>
  <si>
    <t>Количество</t>
  </si>
  <si>
    <t>Оставаться на обслуживании</t>
  </si>
  <si>
    <t>Новая подписка SRP</t>
  </si>
  <si>
    <t>Переход в 2-ом году</t>
  </si>
  <si>
    <t>Год 2</t>
  </si>
  <si>
    <t>Год 3</t>
  </si>
  <si>
    <t>Итого</t>
  </si>
  <si>
    <t>Общий объём инвестиций</t>
  </si>
  <si>
    <t>Инвестиции на 1 год</t>
  </si>
  <si>
    <t>Инвестиции на 3 года</t>
  </si>
  <si>
    <t>Скидка SRP</t>
  </si>
  <si>
    <t>7 мая 2018 г. – 6 мая 2019 г.</t>
  </si>
  <si>
    <t>7 мая 2019 г. – 6 мая 2020 г.</t>
  </si>
  <si>
    <t>Выберите</t>
  </si>
  <si>
    <t>Один пользователь</t>
  </si>
  <si>
    <t>Несколько пользователей</t>
  </si>
  <si>
    <t>От обслуживания к подписке</t>
  </si>
  <si>
    <t>Года перехода от обслуживания к подписке</t>
  </si>
  <si>
    <t>Сбросить</t>
  </si>
  <si>
    <t>Обслуживание</t>
  </si>
  <si>
    <t>Подписка</t>
  </si>
  <si>
    <t>Стоимость, если оставаться на обслуживании</t>
  </si>
  <si>
    <t>инвестиции</t>
  </si>
  <si>
    <t>скидка: Оставаться на обслуживании</t>
  </si>
  <si>
    <t>скидка: Новая подписка</t>
  </si>
  <si>
    <t>Анализ разбивки затрат</t>
  </si>
  <si>
    <t>Важно: Прочитайте перед использованием</t>
  </si>
  <si>
    <t>Simulación empresarial</t>
  </si>
  <si>
    <t>Divisa</t>
  </si>
  <si>
    <t>Idioma</t>
  </si>
  <si>
    <t>Entradas</t>
  </si>
  <si>
    <t>Producto 1</t>
  </si>
  <si>
    <t>Producto 2</t>
  </si>
  <si>
    <t>Producto 3</t>
  </si>
  <si>
    <t>Producto 4</t>
  </si>
  <si>
    <t>Producto 5</t>
  </si>
  <si>
    <t>Producto 6</t>
  </si>
  <si>
    <t>Opciones de inversión</t>
  </si>
  <si>
    <t>Valores de referencia</t>
  </si>
  <si>
    <t>Gráficos</t>
  </si>
  <si>
    <t>Producto en mantenimiento</t>
  </si>
  <si>
    <t>Precio de mantenimiento</t>
  </si>
  <si>
    <t>Caducidad del mantenimiento</t>
  </si>
  <si>
    <t>Cambio a suscripción</t>
  </si>
  <si>
    <t>Calculadora para cambio a suscripción</t>
  </si>
  <si>
    <t>Análisis del cambio a suscripción</t>
  </si>
  <si>
    <t>Cantidad</t>
  </si>
  <si>
    <t>Permanecer en mantenimiento</t>
  </si>
  <si>
    <t>Nueva suscripción SRP</t>
  </si>
  <si>
    <t>Cambio en año 2</t>
  </si>
  <si>
    <t>Cambio en año 3</t>
  </si>
  <si>
    <t>Año 2</t>
  </si>
  <si>
    <t>Año 3</t>
  </si>
  <si>
    <t>Inversión total</t>
  </si>
  <si>
    <t>Inversión 1 año</t>
  </si>
  <si>
    <t>Inversión 3 años</t>
  </si>
  <si>
    <t>Descuento SRP</t>
  </si>
  <si>
    <t>del 7 de mayo de 2018 al 6 de mayo de 2019</t>
  </si>
  <si>
    <t>del 7 de mayo de 2019 al 6 de mayo de 2020</t>
  </si>
  <si>
    <t>Seleccione</t>
  </si>
  <si>
    <t>Uno</t>
  </si>
  <si>
    <t>Varios</t>
  </si>
  <si>
    <t>Año del cambio de mantenimiento a suscripción</t>
  </si>
  <si>
    <t>Restablecer</t>
  </si>
  <si>
    <t>Mantenimiento</t>
  </si>
  <si>
    <t>Suscripción</t>
  </si>
  <si>
    <t>Análisis desglosado de gastos</t>
  </si>
  <si>
    <t>Costo de permanecer en mantenimiento</t>
  </si>
  <si>
    <t>Inversión para cambiar</t>
  </si>
  <si>
    <t xml:space="preserve">Descuento: Permanecer en mantenimiento </t>
  </si>
  <si>
    <t xml:space="preserve">Descuento: Nueva SRP </t>
  </si>
  <si>
    <t>Importante: Leer antes de utilizar</t>
  </si>
  <si>
    <t>Calculadora de manutenção para assinatura</t>
  </si>
  <si>
    <t>Simulação de negócio</t>
  </si>
  <si>
    <t>Moeda</t>
  </si>
  <si>
    <t>Opções de investimento</t>
  </si>
  <si>
    <t>Valores de referência</t>
  </si>
  <si>
    <t>Análise de manutenção para assinatura</t>
  </si>
  <si>
    <t>Produto 1</t>
  </si>
  <si>
    <t>Produto 2</t>
  </si>
  <si>
    <t>Produto 3</t>
  </si>
  <si>
    <t>Produto 4</t>
  </si>
  <si>
    <t>Produto 5</t>
  </si>
  <si>
    <t>Produto 6</t>
  </si>
  <si>
    <t>Produto em manutenção</t>
  </si>
  <si>
    <t>Preço de manutenção</t>
  </si>
  <si>
    <t>Vencimento da manutenção</t>
  </si>
  <si>
    <t>Trocando para assinatura</t>
  </si>
  <si>
    <t>Quantidade</t>
  </si>
  <si>
    <t>Permanecer em manutenção</t>
  </si>
  <si>
    <t>Nova assinatura SRP</t>
  </si>
  <si>
    <t>Trocar no ano 2</t>
  </si>
  <si>
    <t>Trocar no ano 3</t>
  </si>
  <si>
    <t>Ano 2</t>
  </si>
  <si>
    <t>Ano 3</t>
  </si>
  <si>
    <t>Investimento de 1 ano</t>
  </si>
  <si>
    <t>Investimento de 3 anos</t>
  </si>
  <si>
    <t>Investimento total</t>
  </si>
  <si>
    <t>7. de maio de 2018 a 6 de maio de 2019</t>
  </si>
  <si>
    <t>7. de maio de 2019 a 6 de maio de 2020</t>
  </si>
  <si>
    <t>Desconto de SRP</t>
  </si>
  <si>
    <t>Selecione</t>
  </si>
  <si>
    <t>Unitario</t>
  </si>
  <si>
    <t>Desconto: permanecendo em manutenção</t>
  </si>
  <si>
    <t>Custo para permanecer em manutenção</t>
  </si>
  <si>
    <t>Investimento para trocar</t>
  </si>
  <si>
    <t>Desconto: nova SRP</t>
  </si>
  <si>
    <t>Análise do detalhamento de custos</t>
  </si>
  <si>
    <t>Manutenção</t>
  </si>
  <si>
    <t>Assinatura</t>
  </si>
  <si>
    <t>Redefinir</t>
  </si>
  <si>
    <t>Importante: leia antes de usar</t>
  </si>
  <si>
    <t>Manutenção para assinatura</t>
  </si>
  <si>
    <t>Ano da troca de manutenção para assinatura</t>
  </si>
  <si>
    <t>业务模拟</t>
  </si>
  <si>
    <t>“维护转订阅”计算器</t>
  </si>
  <si>
    <t>货币</t>
  </si>
  <si>
    <t>语言</t>
  </si>
  <si>
    <t>输入</t>
  </si>
  <si>
    <t>投资选择</t>
  </si>
  <si>
    <t>基准值</t>
  </si>
  <si>
    <t>“维护转订阅”分析</t>
  </si>
  <si>
    <t>图表</t>
  </si>
  <si>
    <t>产品 1</t>
  </si>
  <si>
    <t>产品 2</t>
  </si>
  <si>
    <t>产品 3</t>
  </si>
  <si>
    <t>产品 4</t>
  </si>
  <si>
    <t>产品 5</t>
  </si>
  <si>
    <t>产品 6</t>
  </si>
  <si>
    <t>处于维护状态的产品</t>
  </si>
  <si>
    <t>维护价格</t>
  </si>
  <si>
    <t>维护到期日</t>
  </si>
  <si>
    <t>转换到订阅</t>
  </si>
  <si>
    <t>数量</t>
  </si>
  <si>
    <t>保持维护</t>
  </si>
  <si>
    <t>新订阅 SRP</t>
  </si>
  <si>
    <t>在第 3 年转换</t>
  </si>
  <si>
    <t>在第 2 年转换</t>
  </si>
  <si>
    <t>合计</t>
  </si>
  <si>
    <t>总投资</t>
  </si>
  <si>
    <t>1 年投资</t>
  </si>
  <si>
    <t>3 年投资</t>
  </si>
  <si>
    <t>2018 年 5 月 7 日 - 2019 年 5 月 6 日</t>
  </si>
  <si>
    <t>请选择</t>
  </si>
  <si>
    <t>单一</t>
  </si>
  <si>
    <t>多个</t>
  </si>
  <si>
    <t>维护转订阅</t>
  </si>
  <si>
    <t>从维护转换到订阅的年份</t>
  </si>
  <si>
    <t>重置</t>
  </si>
  <si>
    <t>维护</t>
  </si>
  <si>
    <t>订阅</t>
  </si>
  <si>
    <t>保持维护所需的成本</t>
  </si>
  <si>
    <t>“维护转订阅”投资</t>
  </si>
  <si>
    <t>“维护转订阅”折扣：保持维护</t>
  </si>
  <si>
    <t>“维护转订阅”折扣：新订阅</t>
  </si>
  <si>
    <t>成本明细分析</t>
  </si>
  <si>
    <t>请注意：使用前请阅读</t>
  </si>
  <si>
    <t>Year 2 - Subscription</t>
  </si>
  <si>
    <t>Year 3 - Subscription</t>
  </si>
  <si>
    <t>Switch in Year 2</t>
  </si>
  <si>
    <t>Switch in Year 3</t>
  </si>
  <si>
    <t>Year 2 - Maintenance</t>
  </si>
  <si>
    <t>nmMaintenancePeriod</t>
  </si>
  <si>
    <t>Maintenance Term</t>
  </si>
  <si>
    <t>Migration</t>
  </si>
  <si>
    <t>Add New Product</t>
  </si>
  <si>
    <t>Select your Language</t>
  </si>
  <si>
    <t>Select your Currency</t>
  </si>
  <si>
    <t>Reports</t>
  </si>
  <si>
    <t>Consolidated Charts</t>
  </si>
  <si>
    <t>Copyright. All rights reserved.</t>
  </si>
  <si>
    <t>Dashboard Data</t>
  </si>
  <si>
    <t>Reset All</t>
  </si>
  <si>
    <t>Are you sure you want to logout?</t>
  </si>
  <si>
    <t>Yes</t>
  </si>
  <si>
    <t>No</t>
  </si>
  <si>
    <t>Logout</t>
  </si>
  <si>
    <t>Tutorial</t>
  </si>
  <si>
    <t>First Time? Click Here to Get Started</t>
  </si>
  <si>
    <t>nmMigration</t>
  </si>
  <si>
    <t>nmCreateNewPath</t>
  </si>
  <si>
    <t>nmSelectLanguage</t>
  </si>
  <si>
    <t>nmSelectCurrency</t>
  </si>
  <si>
    <t>nmReportsTitle</t>
  </si>
  <si>
    <t>nmConsolidatedReports</t>
  </si>
  <si>
    <t>nmDashboardData</t>
  </si>
  <si>
    <t>nmCopyrightText</t>
  </si>
  <si>
    <t>nmResetAll</t>
  </si>
  <si>
    <t>nmLogoutConfirmMsg</t>
  </si>
  <si>
    <t>nmResetConfirmMsg</t>
  </si>
  <si>
    <t>nmYes</t>
  </si>
  <si>
    <t>nmNo</t>
  </si>
  <si>
    <t>nmLogout</t>
  </si>
  <si>
    <t>nmTutorial</t>
  </si>
  <si>
    <t>nmFirstTimeMessage</t>
  </si>
  <si>
    <t>Periodo di manutenzione</t>
  </si>
  <si>
    <t>Migrazione</t>
  </si>
  <si>
    <t>Aggiungi un nuovo prodotto</t>
  </si>
  <si>
    <t>Seleziona la tua lingua</t>
  </si>
  <si>
    <t>Seleziona la tua valuta</t>
  </si>
  <si>
    <t>Report</t>
  </si>
  <si>
    <t>Grafici a combinazione</t>
  </si>
  <si>
    <t>Copyright. Tutti i diritti riservati.</t>
  </si>
  <si>
    <t>Pannello dei dati</t>
  </si>
  <si>
    <t>Sei sicuro di voler uscire?</t>
  </si>
  <si>
    <t>Questa decisione non può essere annullata. Sei sicuro di voler ripristinare tutto?</t>
  </si>
  <si>
    <t>Sì</t>
  </si>
  <si>
    <t>Wartungsperiode</t>
  </si>
  <si>
    <t>Neues Produkt hinzufügen</t>
  </si>
  <si>
    <t>Sprache auswählen</t>
  </si>
  <si>
    <t>Währung auswählen</t>
  </si>
  <si>
    <t>Berichte</t>
  </si>
  <si>
    <t>Copyright. Alle Rechte vorbehalten.</t>
  </si>
  <si>
    <t>Konsolidierte Tabellen</t>
  </si>
  <si>
    <t>Dashboard-Daten</t>
  </si>
  <si>
    <t>Möchten Sie sich wirklich abmelden?</t>
  </si>
  <si>
    <t>Diese Entscheidung kann nicht rückgängig gemacht werden. Möchten Sie wirklich zurücksetzen?</t>
  </si>
  <si>
    <t>Ja</t>
  </si>
  <si>
    <t>Nein</t>
  </si>
  <si>
    <t>Période de maintenance</t>
  </si>
  <si>
    <t>Ajouter un nouveau produit</t>
  </si>
  <si>
    <t>Sélectionner votre langue</t>
  </si>
  <si>
    <t>Sélectionner votre devise</t>
  </si>
  <si>
    <t>Rapports</t>
  </si>
  <si>
    <t>Graphiques consolidés</t>
  </si>
  <si>
    <t>Copyright. Tous droits réservés.</t>
  </si>
  <si>
    <t>Données du tableau de bord</t>
  </si>
  <si>
    <t>Voulez-vous vraiment vous déconnecter ?</t>
  </si>
  <si>
    <t>Cette décision ne peut pas être annulée. Voulez-vous vraiment procéder à la réinitialisation ?</t>
  </si>
  <si>
    <t>Oui</t>
  </si>
  <si>
    <t>Non</t>
  </si>
  <si>
    <t>유지보수 기간</t>
  </si>
  <si>
    <t>전환</t>
  </si>
  <si>
    <t>신제품 추가</t>
  </si>
  <si>
    <t>언어 선택</t>
  </si>
  <si>
    <t>통화 선택</t>
  </si>
  <si>
    <t>보고서</t>
  </si>
  <si>
    <t>통합 차트</t>
  </si>
  <si>
    <t xml:space="preserve">저작권. 모든 권한 보유. </t>
  </si>
  <si>
    <t>대시보드 데이터</t>
  </si>
  <si>
    <t xml:space="preserve">로그아웃하시겠습니까? </t>
  </si>
  <si>
    <t xml:space="preserve">이 결정은 취소할 수 없습니다. 재설정하시겠습니까? </t>
  </si>
  <si>
    <t>예</t>
  </si>
  <si>
    <t>아니요</t>
  </si>
  <si>
    <t>移轉</t>
  </si>
  <si>
    <t>新增產品</t>
  </si>
  <si>
    <t>選擇語言</t>
  </si>
  <si>
    <t>選擇貨幣</t>
  </si>
  <si>
    <t>報告</t>
  </si>
  <si>
    <t>合併圖表</t>
  </si>
  <si>
    <t>版權所有。保留所有權利。</t>
  </si>
  <si>
    <t>儀表板資料</t>
  </si>
  <si>
    <t>是否確定要登出？</t>
  </si>
  <si>
    <t>此決定無法撤銷。是否確定要重設？</t>
  </si>
  <si>
    <t>是</t>
  </si>
  <si>
    <t>否</t>
  </si>
  <si>
    <t>维护期</t>
  </si>
  <si>
    <t>迁移</t>
  </si>
  <si>
    <t>添加新产品</t>
  </si>
  <si>
    <t>选择语言</t>
  </si>
  <si>
    <t>选择货币</t>
  </si>
  <si>
    <t>报告</t>
  </si>
  <si>
    <t>合并图表</t>
  </si>
  <si>
    <t>版权所有。保留所有权利。</t>
  </si>
  <si>
    <t>仪表盘数据</t>
  </si>
  <si>
    <t>确定要注销吗？</t>
  </si>
  <si>
    <t>此决定无法撤销。确定要重置吗？</t>
  </si>
  <si>
    <t>Период обслуживания</t>
  </si>
  <si>
    <t>Переход</t>
  </si>
  <si>
    <t>Добавить новый продукт</t>
  </si>
  <si>
    <t>Выберите свой язык</t>
  </si>
  <si>
    <t>Выберите свою валюту</t>
  </si>
  <si>
    <t>Отчеты</t>
  </si>
  <si>
    <t>Авторские права. Все права защищены.</t>
  </si>
  <si>
    <t>Консолидированные графики</t>
  </si>
  <si>
    <t>Данные панели инструментов</t>
  </si>
  <si>
    <t>Вы действительно хотите выйти?</t>
  </si>
  <si>
    <t>Вы не можете отменить это решение. Вы уверены, что хотите сбросить настройки?</t>
  </si>
  <si>
    <t>Да</t>
  </si>
  <si>
    <t>Нет</t>
  </si>
  <si>
    <t>Período de mantenimiento</t>
  </si>
  <si>
    <t>Migración</t>
  </si>
  <si>
    <t>Agregar nuevo producto</t>
  </si>
  <si>
    <t>Seleccione su idioma</t>
  </si>
  <si>
    <t>Seleccione su moneda</t>
  </si>
  <si>
    <t>Informes</t>
  </si>
  <si>
    <t>Copyright. Todos los derechos reservados.</t>
  </si>
  <si>
    <t>Diagramas unificados</t>
  </si>
  <si>
    <t>Datos del panel de control</t>
  </si>
  <si>
    <t>¿Está seguro de que desea cerrar la sesión?</t>
  </si>
  <si>
    <t>No puede cancelar esta decisión. ¿Está seguro de que desea reiniciar?</t>
  </si>
  <si>
    <t>Sí</t>
  </si>
  <si>
    <t>You cannot undo this decision. Are you sure you want to reset?</t>
  </si>
  <si>
    <t>Período de manutenção</t>
  </si>
  <si>
    <t>Migração</t>
  </si>
  <si>
    <t>Adicionar novo produto</t>
  </si>
  <si>
    <t>Selecione seu idioma</t>
  </si>
  <si>
    <t>Selecione sua moeda</t>
  </si>
  <si>
    <t>Relatórios</t>
  </si>
  <si>
    <t>Gráficos consolidados</t>
  </si>
  <si>
    <t>Copyright. Todos os direitos reservados.</t>
  </si>
  <si>
    <t>Dados do painel de controle</t>
  </si>
  <si>
    <t>Tem certeza de que deseja encerrar a sessão?</t>
  </si>
  <si>
    <t>Você não pode voltar atrás dessa decisão. Tem certeza de que deseja reiniciar?</t>
  </si>
  <si>
    <t>Sim</t>
  </si>
  <si>
    <t>Não</t>
  </si>
  <si>
    <t>Reimposta tutto</t>
  </si>
  <si>
    <t>Disconnetti</t>
  </si>
  <si>
    <t>Prima volta? Fai clic qui per iniziare</t>
  </si>
  <si>
    <t>Alles zurücksetzen</t>
  </si>
  <si>
    <t>Abmelden</t>
  </si>
  <si>
    <t>Anleitung</t>
  </si>
  <si>
    <t>Erstbenutzer? Klicken Sie hier, um anzufangen</t>
  </si>
  <si>
    <t>Tout réinitialiser</t>
  </si>
  <si>
    <t>Déconnexion</t>
  </si>
  <si>
    <t>Tutoriel</t>
  </si>
  <si>
    <t>Première utilisation ? Cliquez ici pour démarrer</t>
  </si>
  <si>
    <t>모두 재설정</t>
  </si>
  <si>
    <t>로그 아웃</t>
  </si>
  <si>
    <t>자습서</t>
  </si>
  <si>
    <t>처음 사용하십니까? 시작하려면 여기를 클릭하십시오</t>
  </si>
  <si>
    <t>すべてリセット</t>
  </si>
  <si>
    <t>ログアウト</t>
  </si>
  <si>
    <t>チュートリアル</t>
  </si>
  <si>
    <t>はじめてですか？ ここをクリックしてスタート</t>
  </si>
  <si>
    <t>全部重設</t>
  </si>
  <si>
    <t>登出</t>
  </si>
  <si>
    <t>教學課程</t>
  </si>
  <si>
    <t>首次使用？ 按一下此處開始</t>
  </si>
  <si>
    <t>全部重置</t>
  </si>
  <si>
    <t>注销</t>
  </si>
  <si>
    <t>教程</t>
  </si>
  <si>
    <t>首次使用？ 点击此处开始</t>
  </si>
  <si>
    <t>Общий сброс</t>
  </si>
  <si>
    <t>Выход из системы</t>
  </si>
  <si>
    <t>Обучающий курс</t>
  </si>
  <si>
    <t>Вы здесь впервые? Нажмите здесь, чтобы начать</t>
  </si>
  <si>
    <t>Restablecer todo</t>
  </si>
  <si>
    <t>Cerrar sesión</t>
  </si>
  <si>
    <t>¿Primera vez? Haga clic aquí para comenzar</t>
  </si>
  <si>
    <t>Redefinir tudo</t>
  </si>
  <si>
    <t>Sair</t>
  </si>
  <si>
    <t>É a primeira vez? Clique aqui para começar</t>
  </si>
  <si>
    <t>ビジネスシミュレーション</t>
  </si>
  <si>
    <t>保守プラン/サブスクリプション移行カリキュレーター</t>
  </si>
  <si>
    <t>通貨</t>
  </si>
  <si>
    <t>言語</t>
  </si>
  <si>
    <t>インプット</t>
  </si>
  <si>
    <t>投資オプション</t>
  </si>
  <si>
    <t>ベンチマーク価格</t>
  </si>
  <si>
    <t>保守プラン/サブスクリプション移行の比較分析</t>
  </si>
  <si>
    <t>チャート</t>
  </si>
  <si>
    <t>製品1</t>
  </si>
  <si>
    <t>製品2</t>
  </si>
  <si>
    <t>製品3</t>
  </si>
  <si>
    <t>製品4</t>
  </si>
  <si>
    <t>製品5</t>
  </si>
  <si>
    <t>製品6</t>
  </si>
  <si>
    <t>保守プラン製品</t>
  </si>
  <si>
    <t>保守費用</t>
  </si>
  <si>
    <t>保守有効期間の失効</t>
  </si>
  <si>
    <t>サブスクリプションへの移行</t>
  </si>
  <si>
    <t>保守プランの継続</t>
  </si>
  <si>
    <t>新規サブスクリプションSRP</t>
  </si>
  <si>
    <t>2年目での移行</t>
  </si>
  <si>
    <t>3年目での移行</t>
  </si>
  <si>
    <t>2年目</t>
  </si>
  <si>
    <t>3年目</t>
  </si>
  <si>
    <t>合計</t>
  </si>
  <si>
    <t>投資額合計</t>
  </si>
  <si>
    <t>1年間の投資額</t>
  </si>
  <si>
    <t>3年間の投資額</t>
  </si>
  <si>
    <t>SRPディスカウント</t>
  </si>
  <si>
    <t>2018年5月7日 - 2019年5月6日</t>
  </si>
  <si>
    <t>2019年5月7日 - 2020年5月6日</t>
  </si>
  <si>
    <t>選択してください</t>
  </si>
  <si>
    <t>シングル</t>
  </si>
  <si>
    <t>マルチ</t>
  </si>
  <si>
    <t>保守プランからサブスクリプションへの移行</t>
  </si>
  <si>
    <t>保守プランからサブスクリプションに移行した年度</t>
  </si>
  <si>
    <t>リセット</t>
  </si>
  <si>
    <t>保守プラン</t>
  </si>
  <si>
    <t>サブスクリプション</t>
  </si>
  <si>
    <t>保守プラン継続時のコスト</t>
  </si>
  <si>
    <t>ディスカウント：保守プランの継続</t>
  </si>
  <si>
    <t>コストブレークダウン分析</t>
  </si>
  <si>
    <t>重要：はじめにお読みください</t>
  </si>
  <si>
    <t>保守有効期間</t>
  </si>
  <si>
    <t>移行</t>
  </si>
  <si>
    <t>新製品の追加</t>
  </si>
  <si>
    <t>言語を選択</t>
  </si>
  <si>
    <t>通貨を選択</t>
  </si>
  <si>
    <t>レポート</t>
  </si>
  <si>
    <t>連結チャート</t>
  </si>
  <si>
    <t>Copyright All rights reserved.</t>
  </si>
  <si>
    <t>ログアウトしますか?</t>
  </si>
  <si>
    <t xml:space="preserve">決定後は元に戻せません リセットしますか? </t>
  </si>
  <si>
    <t>はい</t>
  </si>
  <si>
    <t>いいえ</t>
  </si>
  <si>
    <t>3ds Max --&gt; Architecture Engineering Construction Collection</t>
  </si>
  <si>
    <t>AutoCAD Mechanical --&gt; Architecture Engineering Construction Collection</t>
  </si>
  <si>
    <t>Factory Design Suite Premium --&gt; Architecture Engineering Construction Collection</t>
  </si>
  <si>
    <t>Factory Design Suite Standard --&gt; Architecture Engineering Construction Collection</t>
  </si>
  <si>
    <t>Factory Design Suite Ultimate --&gt; Architecture Engineering Construction Collection</t>
  </si>
  <si>
    <t>Infrastructure Design Suite Premium --&gt; Architecture Engineering Construction Collection</t>
  </si>
  <si>
    <t>Infrastructure Design Suite Ultimate --&gt; Architecture Engineering Construction Collection</t>
  </si>
  <si>
    <t>Product Design Suite Premium --&gt; Architecture Engineering Construction Collection</t>
  </si>
  <si>
    <t>Product Design Suite Ultimate --&gt; Architecture Engineering Construction Collection</t>
  </si>
  <si>
    <t>Path Option 6</t>
  </si>
  <si>
    <t>Path Option 7</t>
  </si>
  <si>
    <t>Path Option 8</t>
  </si>
  <si>
    <t>Path Option 9</t>
  </si>
  <si>
    <t>Path Option 10</t>
  </si>
  <si>
    <t>nmPath7</t>
  </si>
  <si>
    <t>nmPath8</t>
  </si>
  <si>
    <t>Product 7</t>
  </si>
  <si>
    <t>Prodotto 7</t>
  </si>
  <si>
    <t>Produkt 7</t>
  </si>
  <si>
    <t>Produit 7</t>
  </si>
  <si>
    <t>제품 7</t>
  </si>
  <si>
    <t>製品7</t>
  </si>
  <si>
    <t>產品 7</t>
  </si>
  <si>
    <t>产品 7</t>
  </si>
  <si>
    <t>Продукт 7</t>
  </si>
  <si>
    <t>Producto 7</t>
  </si>
  <si>
    <t>Produto 7</t>
  </si>
  <si>
    <t>Product 8</t>
  </si>
  <si>
    <t>Prodotto 8</t>
  </si>
  <si>
    <t>Produkt 8</t>
  </si>
  <si>
    <t>Produit 8</t>
  </si>
  <si>
    <t>제품 8</t>
  </si>
  <si>
    <t>製品8</t>
  </si>
  <si>
    <t>產品 8</t>
  </si>
  <si>
    <t>产品 8</t>
  </si>
  <si>
    <t>Продукт 8</t>
  </si>
  <si>
    <t>Producto 8</t>
  </si>
  <si>
    <t>Produto 8</t>
  </si>
  <si>
    <t>decPath5_ExpMT</t>
  </si>
  <si>
    <t>decPath5_PriceMT</t>
  </si>
  <si>
    <t>decPath5_PriceMT_Adj</t>
  </si>
  <si>
    <t>decPath5_ProdMT</t>
  </si>
  <si>
    <t>decPath5_Access</t>
  </si>
  <si>
    <t>decPath5_ProdSub</t>
  </si>
  <si>
    <t>decPath5_Qty</t>
  </si>
  <si>
    <t>decPath6_ExpMT</t>
  </si>
  <si>
    <t>decPath6_PriceMT</t>
  </si>
  <si>
    <t>decPath6_PriceMT_Adj</t>
  </si>
  <si>
    <t>decPath6_ProdMT</t>
  </si>
  <si>
    <t>decPath6_Access</t>
  </si>
  <si>
    <t>decPath6_ProdSub</t>
  </si>
  <si>
    <t>decPath6_Qty</t>
  </si>
  <si>
    <t>decPath7_ExpMT</t>
  </si>
  <si>
    <t>decPath7_PriceMT</t>
  </si>
  <si>
    <t>decPath7_PriceMT_Adj</t>
  </si>
  <si>
    <t>decPath7_ProdMT</t>
  </si>
  <si>
    <t>decPath7_Access</t>
  </si>
  <si>
    <t>decPath7_ProdSub</t>
  </si>
  <si>
    <t>decPath7_Qty</t>
  </si>
  <si>
    <t>decPath8_ExpMT</t>
  </si>
  <si>
    <t>decPath8_PriceMT</t>
  </si>
  <si>
    <t>decPath8_PriceMT_Adj</t>
  </si>
  <si>
    <t>decPath8_ProdMT</t>
  </si>
  <si>
    <t>decPath8_Access</t>
  </si>
  <si>
    <t>decPath8_ProdSub</t>
  </si>
  <si>
    <t>decPath8_Qty</t>
  </si>
  <si>
    <t>Set 8</t>
  </si>
  <si>
    <t>btnLevelLevels8</t>
  </si>
  <si>
    <t>btnLevelSheet8</t>
  </si>
  <si>
    <t>tlInputPath8_Access</t>
  </si>
  <si>
    <t>btnLevelDec8</t>
  </si>
  <si>
    <t>Set 7</t>
  </si>
  <si>
    <t>btnLevelLevels7</t>
  </si>
  <si>
    <t>btnLevelSheet7</t>
  </si>
  <si>
    <t>tlInputPath7_Access</t>
  </si>
  <si>
    <t>btnLevelDec7</t>
  </si>
  <si>
    <t>Set 6</t>
  </si>
  <si>
    <t>btnLevelLevels6</t>
  </si>
  <si>
    <t>btnLevelSheet6</t>
  </si>
  <si>
    <t>tlInputPath6_Access</t>
  </si>
  <si>
    <t>btnLevelDec6</t>
  </si>
  <si>
    <t>Set 5</t>
  </si>
  <si>
    <t>btnLevelLevels5</t>
  </si>
  <si>
    <t>btnLevelSheet5</t>
  </si>
  <si>
    <t>tlInputPath5_Access</t>
  </si>
  <si>
    <t>btnLevelDec5</t>
  </si>
  <si>
    <t>Button Pair 8</t>
  </si>
  <si>
    <t>btnPlusMinusIncr8</t>
  </si>
  <si>
    <t>btnPlusMinusMax8</t>
  </si>
  <si>
    <t>btnPlusMinusMin8</t>
  </si>
  <si>
    <t>tlInputPath8_PriceMT_Adj</t>
  </si>
  <si>
    <t>btnPlusMinusDec8</t>
  </si>
  <si>
    <t>Button Pair 7</t>
  </si>
  <si>
    <t>btnPlusMinusIncr7</t>
  </si>
  <si>
    <t>btnPlusMinusMax7</t>
  </si>
  <si>
    <t>btnPlusMinusMin7</t>
  </si>
  <si>
    <t>tlInputPath7_PriceMT_Adj</t>
  </si>
  <si>
    <t>btnPlusMinusDec7</t>
  </si>
  <si>
    <t>Button Pair 6</t>
  </si>
  <si>
    <t>btnPlusMinusIncr6</t>
  </si>
  <si>
    <t>btnPlusMinusMax6</t>
  </si>
  <si>
    <t>btnPlusMinusMin6</t>
  </si>
  <si>
    <t>tlInputPath6_PriceMT_Adj</t>
  </si>
  <si>
    <t>btnPlusMinusDec6</t>
  </si>
  <si>
    <t>Button Pair 5</t>
  </si>
  <si>
    <t>btnPlusMinusIncr5</t>
  </si>
  <si>
    <t>btnPlusMinusMax5</t>
  </si>
  <si>
    <t>btnPlusMinusMin5</t>
  </si>
  <si>
    <t>tlInputPath5_PriceMT_Adj</t>
  </si>
  <si>
    <t>btnPlusMinusDec5</t>
  </si>
  <si>
    <t>calcPath5MTPrice</t>
  </si>
  <si>
    <t>calcPath5ExpMt</t>
  </si>
  <si>
    <t>calcPath5ExpMt_Code</t>
  </si>
  <si>
    <t>calcPath5MTCost_Yr1</t>
  </si>
  <si>
    <t>calcPath5MTCost_Yr2</t>
  </si>
  <si>
    <t>calcPath5MTCost_Yr3</t>
  </si>
  <si>
    <t>calcPath5MTCost_AllYears</t>
  </si>
  <si>
    <t>calcPath5SubSRP</t>
  </si>
  <si>
    <t>calcPath5SubSRP3Yr</t>
  </si>
  <si>
    <t>calcPath5Yr1_CostYr1</t>
  </si>
  <si>
    <t>calcPath5Yr1_CostYr2</t>
  </si>
  <si>
    <t>calcPath5Yr1_CostYr3</t>
  </si>
  <si>
    <t>calcPath5Yr1_CostTotal</t>
  </si>
  <si>
    <t>calcPath5Yr1_SRPDisc</t>
  </si>
  <si>
    <t>calcPath5Yr1_MaintDiff</t>
  </si>
  <si>
    <t>calcPath5Yr2_CostYr1</t>
  </si>
  <si>
    <t>calcPath5Yr2_CostYr2</t>
  </si>
  <si>
    <t>calcPath5Yr2_CostYr3</t>
  </si>
  <si>
    <t>calcPath5Yr2_CostTotal</t>
  </si>
  <si>
    <t>calcPath5Yr2_SRPDisc</t>
  </si>
  <si>
    <t>calcPath5Yr2_MaintDiff</t>
  </si>
  <si>
    <t>calcPath5Yr3_CostYr1</t>
  </si>
  <si>
    <t>calcPath5Yr3_CostYr2</t>
  </si>
  <si>
    <t>calcPath5Yr3_CostYr3</t>
  </si>
  <si>
    <t>calcPath5Yr3_CostTotal</t>
  </si>
  <si>
    <t>calcPath5Yr3_SRPDisc</t>
  </si>
  <si>
    <t>calcPath5Yr3_MaintDiff</t>
  </si>
  <si>
    <t>calcPath5Yr4Cost</t>
  </si>
  <si>
    <t>calcPath6MTPrice</t>
  </si>
  <si>
    <t>calcPath6ExpMt</t>
  </si>
  <si>
    <t>calcPath6ExpMt_Code</t>
  </si>
  <si>
    <t>calcPath6MTCost_Yr1</t>
  </si>
  <si>
    <t>calcPath6MTCost_Yr2</t>
  </si>
  <si>
    <t>calcPath6MTCost_Yr3</t>
  </si>
  <si>
    <t>calcPath6MTCost_AllYears</t>
  </si>
  <si>
    <t>calcPath6SubSRP</t>
  </si>
  <si>
    <t>calcPath6SubSRP3Yr</t>
  </si>
  <si>
    <t>calcPath6Yr1_CostYr1</t>
  </si>
  <si>
    <t>calcPath6Yr1_CostYr2</t>
  </si>
  <si>
    <t>calcPath6Yr1_CostYr3</t>
  </si>
  <si>
    <t>calcPath6Yr1_CostTotal</t>
  </si>
  <si>
    <t>calcPath6Yr1_SRPDisc</t>
  </si>
  <si>
    <t>calcPath6Yr1_MaintDiff</t>
  </si>
  <si>
    <t>calcPath6Yr2_CostYr1</t>
  </si>
  <si>
    <t>calcPath6Yr2_CostYr2</t>
  </si>
  <si>
    <t>calcPath6Yr2_CostYr3</t>
  </si>
  <si>
    <t>calcPath6Yr2_CostTotal</t>
  </si>
  <si>
    <t>calcPath6Yr2_SRPDisc</t>
  </si>
  <si>
    <t>calcPath6Yr2_MaintDiff</t>
  </si>
  <si>
    <t>calcPath6Yr3_CostYr1</t>
  </si>
  <si>
    <t>calcPath6Yr3_CostYr2</t>
  </si>
  <si>
    <t>calcPath6Yr3_CostYr3</t>
  </si>
  <si>
    <t>calcPath6Yr3_CostTotal</t>
  </si>
  <si>
    <t>calcPath6Yr3_SRPDisc</t>
  </si>
  <si>
    <t>calcPath6Yr3_MaintDiff</t>
  </si>
  <si>
    <t>calcPath6Yr4Cost</t>
  </si>
  <si>
    <t>calcPath7MTPrice</t>
  </si>
  <si>
    <t>calcPath7ExpMt</t>
  </si>
  <si>
    <t>calcPath7ExpMt_Code</t>
  </si>
  <si>
    <t>calcPath7MTCost_Yr1</t>
  </si>
  <si>
    <t>calcPath7MTCost_Yr2</t>
  </si>
  <si>
    <t>calcPath7MTCost_Yr3</t>
  </si>
  <si>
    <t>calcPath7MTCost_AllYears</t>
  </si>
  <si>
    <t>calcPath7SubSRP</t>
  </si>
  <si>
    <t>calcPath7SubSRP3Yr</t>
  </si>
  <si>
    <t>calcPath7Yr1_CostYr1</t>
  </si>
  <si>
    <t>calcPath7Yr1_CostYr2</t>
  </si>
  <si>
    <t>calcPath7Yr1_CostYr3</t>
  </si>
  <si>
    <t>calcPath7Yr1_CostTotal</t>
  </si>
  <si>
    <t>calcPath7Yr1_SRPDisc</t>
  </si>
  <si>
    <t>calcPath7Yr1_MaintDiff</t>
  </si>
  <si>
    <t>calcPath7Yr2_CostYr1</t>
  </si>
  <si>
    <t>calcPath7Yr2_CostYr2</t>
  </si>
  <si>
    <t>calcPath7Yr2_CostYr3</t>
  </si>
  <si>
    <t>calcPath7Yr2_CostTotal</t>
  </si>
  <si>
    <t>calcPath7Yr2_SRPDisc</t>
  </si>
  <si>
    <t>calcPath7Yr2_MaintDiff</t>
  </si>
  <si>
    <t>calcPath7Yr3_CostYr1</t>
  </si>
  <si>
    <t>calcPath7Yr3_CostYr2</t>
  </si>
  <si>
    <t>calcPath7Yr3_CostYr3</t>
  </si>
  <si>
    <t>calcPath7Yr3_CostTotal</t>
  </si>
  <si>
    <t>calcPath7Yr3_SRPDisc</t>
  </si>
  <si>
    <t>calcPath7Yr3_MaintDiff</t>
  </si>
  <si>
    <t>calcPath7Yr4Cost</t>
  </si>
  <si>
    <t>calcPath8MTPrice</t>
  </si>
  <si>
    <t>calcPath8ExpMt</t>
  </si>
  <si>
    <t>calcPath8ExpMt_Code</t>
  </si>
  <si>
    <t>calcPath8MTCost_Yr1</t>
  </si>
  <si>
    <t>calcPath8MTCost_Yr2</t>
  </si>
  <si>
    <t>calcPath8MTCost_Yr3</t>
  </si>
  <si>
    <t>calcPath8MTCost_AllYears</t>
  </si>
  <si>
    <t>calcPath8SubSRP</t>
  </si>
  <si>
    <t>calcPath8SubSRP3Yr</t>
  </si>
  <si>
    <t>calcPath8Yr1_CostYr1</t>
  </si>
  <si>
    <t>calcPath8Yr1_CostYr2</t>
  </si>
  <si>
    <t>calcPath8Yr1_CostYr3</t>
  </si>
  <si>
    <t>calcPath8Yr1_CostTotal</t>
  </si>
  <si>
    <t>calcPath8Yr1_SRPDisc</t>
  </si>
  <si>
    <t>calcPath8Yr1_MaintDiff</t>
  </si>
  <si>
    <t>calcPath8Yr2_CostYr1</t>
  </si>
  <si>
    <t>calcPath8Yr2_CostYr2</t>
  </si>
  <si>
    <t>calcPath8Yr2_CostYr3</t>
  </si>
  <si>
    <t>calcPath8Yr2_CostTotal</t>
  </si>
  <si>
    <t>calcPath8Yr2_SRPDisc</t>
  </si>
  <si>
    <t>calcPath8Yr2_MaintDiff</t>
  </si>
  <si>
    <t>calcPath8Yr3_CostYr1</t>
  </si>
  <si>
    <t>calcPath8Yr3_CostYr2</t>
  </si>
  <si>
    <t>calcPath8Yr3_CostYr3</t>
  </si>
  <si>
    <t>calcPath8Yr3_CostTotal</t>
  </si>
  <si>
    <t>calcPath8Yr3_SRPDisc</t>
  </si>
  <si>
    <t>calcPath8Yr3_MaintDiff</t>
  </si>
  <si>
    <t>calcPath8Yr4Cost</t>
  </si>
  <si>
    <t>DataPaths_List_Path5_ProdSub</t>
  </si>
  <si>
    <t>tlOutput_List_Path5_ProdSub</t>
  </si>
  <si>
    <t>DataPaths_Path5_ProdSub</t>
  </si>
  <si>
    <t>tlOutput_Path5_ProdSub</t>
  </si>
  <si>
    <t>DataPaths_List_Path6_ProdSub</t>
  </si>
  <si>
    <t>tlOutput_List_Path6_ProdSub</t>
  </si>
  <si>
    <t>DataPaths_Path6_ProdSub</t>
  </si>
  <si>
    <t>tlOutput_Path6_ProdSub</t>
  </si>
  <si>
    <t>DataPaths_List_Path7_ProdSub</t>
  </si>
  <si>
    <t>tlOutput_List_Path7_ProdSub</t>
  </si>
  <si>
    <t>DataPaths_Path7_ProdSub</t>
  </si>
  <si>
    <t>tlOutput_Path7_ProdSub</t>
  </si>
  <si>
    <t>DataPaths_List_Path8_ProdSub</t>
  </si>
  <si>
    <t>tlOutput_List_Path8_ProdSub</t>
  </si>
  <si>
    <t>DataPaths_Path8_ProdSub</t>
  </si>
  <si>
    <t>tlOutput_Path8_ProdSub</t>
  </si>
  <si>
    <t>DataPaths_List_Path5_Count</t>
  </si>
  <si>
    <t>DataPaths_List_Path6_Count</t>
  </si>
  <si>
    <t>DataPaths_List_Path7_Count</t>
  </si>
  <si>
    <t>DataPaths_List_Path8_Count</t>
  </si>
  <si>
    <t xml:space="preserve">- A product with an active maintenance plan is eligible for switching to a subscription when the intersection of Product Coming From and Product Going To contains "June or July". If the intersection is blank, the switch is not eligible. </t>
  </si>
  <si>
    <r>
      <t xml:space="preserve">- Only switches from/to the </t>
    </r>
    <r>
      <rPr>
        <u/>
        <sz val="10"/>
        <color theme="1"/>
        <rFont val="Arial"/>
        <family val="2"/>
      </rPr>
      <t>same</t>
    </r>
    <r>
      <rPr>
        <sz val="11"/>
        <color theme="1"/>
        <rFont val="Verdana"/>
        <family val="2"/>
      </rPr>
      <t xml:space="preserve"> deployment type (also known as access type) are supported, i.e. single-user to single-user and multi-user to multi-user only. </t>
    </r>
  </si>
  <si>
    <t xml:space="preserve">- Some products may not be available as a subscription with multi-user access. Refer to the price list for availability.  </t>
  </si>
  <si>
    <t xml:space="preserve">- Not all switches will be available in all regions.  Refer to your price list for availability by region. </t>
  </si>
  <si>
    <t>*This list is to be used for preview purposes only and is subject to change. Refer to the Maintenance to Subscription Eligibility List within the Price List library on Partner Center, which will be available in June 2017 and updated again in July 2017.  Some paths will not be available until July, as indicated below.</t>
  </si>
  <si>
    <r>
      <rPr>
        <b/>
        <sz val="10"/>
        <color theme="3" tint="0.39997558519241921"/>
        <rFont val="Arial"/>
        <family val="2"/>
      </rPr>
      <t>June</t>
    </r>
    <r>
      <rPr>
        <sz val="11"/>
        <color theme="1"/>
        <rFont val="Verdana"/>
        <family val="2"/>
      </rPr>
      <t xml:space="preserve"> = This is an eligible maintenance plan to subscription switch path, available on the June price list and transactable as of June 15</t>
    </r>
  </si>
  <si>
    <r>
      <rPr>
        <b/>
        <sz val="10"/>
        <color rgb="FF7030A0"/>
        <rFont val="Arial"/>
        <family val="2"/>
      </rPr>
      <t>July</t>
    </r>
    <r>
      <rPr>
        <sz val="11"/>
        <color theme="1"/>
        <rFont val="Verdana"/>
        <family val="2"/>
      </rPr>
      <t xml:space="preserve"> = This is an eligible maintenance plan to subscription switch path, available on the July price list and transactable as of July 7</t>
    </r>
  </si>
  <si>
    <t>Autodesk Advance Steel</t>
  </si>
  <si>
    <t>Autodesk Alias AutoStudio</t>
  </si>
  <si>
    <t>Autodesk Alias Concept</t>
  </si>
  <si>
    <t>Autodesk Alias Design</t>
  </si>
  <si>
    <t>Autodesk Alias SpeedForm</t>
  </si>
  <si>
    <t>Autodesk Alias Surface</t>
  </si>
  <si>
    <t>Autodesk AutoCAD LT with CALS Tools</t>
  </si>
  <si>
    <t>Autodesk CFD</t>
  </si>
  <si>
    <t>Autodesk Fabrication CADmep</t>
  </si>
  <si>
    <t>Autodesk Fabrication CAMduct</t>
  </si>
  <si>
    <t>Autodesk Fabrication ESTmep</t>
  </si>
  <si>
    <t>Autodesk Helius Composite</t>
  </si>
  <si>
    <t>Autodesk HSM - Premium</t>
  </si>
  <si>
    <t>Autodesk HSM - Ultimate</t>
  </si>
  <si>
    <t>Autodesk Infrastructure Map Server</t>
  </si>
  <si>
    <t>Autodesk Infraworks</t>
  </si>
  <si>
    <t>Autodesk Maya LT</t>
  </si>
  <si>
    <t>Autodesk Moldflow Adviser Premium</t>
  </si>
  <si>
    <t>Autodesk Moldflow Adviser Ultimate</t>
  </si>
  <si>
    <t>Autodesk Moldflow Insight Premium</t>
  </si>
  <si>
    <t>Autodesk Moldflow Insight Standard</t>
  </si>
  <si>
    <t>Autodesk Moldflow Insight Ultimate</t>
  </si>
  <si>
    <t>Autodesk Moldflow Synergy</t>
  </si>
  <si>
    <t>Autodesk Mudbox</t>
  </si>
  <si>
    <t>Autodesk Nastran</t>
  </si>
  <si>
    <t>Autodesk Nastran In-CAD</t>
  </si>
  <si>
    <t>Autodesk Navisworks Simulate</t>
  </si>
  <si>
    <t>Autodesk Point Layout</t>
  </si>
  <si>
    <t>Autodesk Robot Structural Analysis Professional</t>
  </si>
  <si>
    <t>Autodesk SketchBook - For Enterprise</t>
  </si>
  <si>
    <t>Autodesk TruComp</t>
  </si>
  <si>
    <t>Autodesk TruLaser</t>
  </si>
  <si>
    <t>Autodesk TruNest Composites</t>
  </si>
  <si>
    <t>Autodesk TruNest Contour</t>
  </si>
  <si>
    <t>Autodesk TruNest Multi-Tool</t>
  </si>
  <si>
    <t>Autodesk Vault Office</t>
  </si>
  <si>
    <t>Autodesk Vault Professional</t>
  </si>
  <si>
    <t>Autodesk Vault Workgroup</t>
  </si>
  <si>
    <t>Autodesk Vehicle Tracking</t>
  </si>
  <si>
    <t>Autodesk VRED</t>
  </si>
  <si>
    <t>Autodesk VRED Design</t>
  </si>
  <si>
    <t>Autodesk VRED Presenter</t>
  </si>
  <si>
    <t>Autodesk VRED Professional</t>
  </si>
  <si>
    <t>Autodesk VRED Render Node</t>
  </si>
  <si>
    <t>Autodesk VRED Server</t>
  </si>
  <si>
    <t>Autodesk AutoCAD with Advance Steel</t>
  </si>
  <si>
    <t>Autodesk Revit Architecture</t>
  </si>
  <si>
    <t>Autodesk Revit MEP</t>
  </si>
  <si>
    <t>Autodesk Revit Structure</t>
  </si>
  <si>
    <t>Autodesk Simulation Mechanical</t>
  </si>
  <si>
    <t>Path Option 11</t>
  </si>
  <si>
    <t>Path Option 12</t>
  </si>
  <si>
    <t>Autodesk SketchBook - for Enterprise</t>
  </si>
  <si>
    <t>Exclude Product?</t>
  </si>
  <si>
    <t>DataPaths_List_ProdMT_NonCurrency</t>
  </si>
  <si>
    <t>Advance Steel --&gt; Advance Steel</t>
  </si>
  <si>
    <t>Alias AutoStudio --&gt; Alias AutoStudio</t>
  </si>
  <si>
    <t>Alias Concept --&gt; Alias Concept</t>
  </si>
  <si>
    <t>Alias Design --&gt; Alias Design</t>
  </si>
  <si>
    <t>Alias SpeedForm --&gt; Alias SpeedForm</t>
  </si>
  <si>
    <t>Alias Surface --&gt; Alias Surface</t>
  </si>
  <si>
    <t>AutoCAD --&gt; Advance Steel</t>
  </si>
  <si>
    <t>AutoCAD LT --&gt; AutoCAD Inventor LT Suite</t>
  </si>
  <si>
    <t>AutoCAD LT --&gt; AutoCAD Revit LT Suite</t>
  </si>
  <si>
    <t>AutoCAD with Advance Steel --&gt; Advance Steel</t>
  </si>
  <si>
    <t>Helius Composite --&gt; Helius Composite</t>
  </si>
  <si>
    <t>Infrastructure Map Server --&gt; Infrastructure Map Server</t>
  </si>
  <si>
    <t>Inventor LT --&gt; AutoCAD Inventor LT Suite</t>
  </si>
  <si>
    <t>AutoCAD Inventor LT Suite --&gt; AutoCAD Inventor LT Suite</t>
  </si>
  <si>
    <t>Maya LT --&gt; Maya LT</t>
  </si>
  <si>
    <t>Moldflow Adviser Premium --&gt; Moldflow Adviser Premium</t>
  </si>
  <si>
    <t>Moldflow Adviser Premium --&gt; Moldflow Adviser Ultimate</t>
  </si>
  <si>
    <t>Moldflow Adviser Premium --&gt; Moldflow Insight Premium</t>
  </si>
  <si>
    <t>Moldflow Adviser Premium --&gt; Moldflow Insight Standard</t>
  </si>
  <si>
    <t>Moldflow Adviser Premium --&gt; Moldflow Insight Ultimate</t>
  </si>
  <si>
    <t>Moldflow Adviser Ultimate --&gt; Moldflow Adviser Ultimate</t>
  </si>
  <si>
    <t>Moldflow Adviser Ultimate --&gt; Moldflow Insight Premium</t>
  </si>
  <si>
    <t>Moldflow Adviser Ultimate --&gt; Moldflow Insight Standard</t>
  </si>
  <si>
    <t>Moldflow Adviser Ultimate --&gt; Moldflow Insight Ultimate</t>
  </si>
  <si>
    <t>Moldflow Insight Premium --&gt; Moldflow Insight Premium</t>
  </si>
  <si>
    <t>Moldflow Insight Premium --&gt; Moldflow Insight Ultimate</t>
  </si>
  <si>
    <t>Moldflow Insight Standard --&gt; Moldflow Insight Premium</t>
  </si>
  <si>
    <t>Moldflow Insight Standard --&gt; Moldflow Insight Standard</t>
  </si>
  <si>
    <t>Moldflow Insight Standard --&gt; Moldflow Insight Ultimate</t>
  </si>
  <si>
    <t>Moldflow Insight Ultimate --&gt; Moldflow Insight Ultimate</t>
  </si>
  <si>
    <t>Moldflow Synergy --&gt; Moldflow Synergy</t>
  </si>
  <si>
    <t>Mudbox --&gt; Media and Entertainment Collection</t>
  </si>
  <si>
    <t>Mudbox --&gt; Mudbox</t>
  </si>
  <si>
    <t>Navisworks Simulate --&gt; Architecture Engineering Construction Collection</t>
  </si>
  <si>
    <t>Navisworks Simulate --&gt; Navisworks Simulate</t>
  </si>
  <si>
    <t>Point Layout --&gt; Point Layout</t>
  </si>
  <si>
    <t>Revit Architecture --&gt; Architecture Engineering Construction Collection</t>
  </si>
  <si>
    <t>Revit Architecture --&gt; Revit</t>
  </si>
  <si>
    <t>Revit LT --&gt; AutoCAD Revit LT Suite</t>
  </si>
  <si>
    <t>AutoCAD Revit LT Suite --&gt; AutoCAD Revit LT Suite</t>
  </si>
  <si>
    <t>Revit MEP --&gt; Architecture Engineering Construction Collection</t>
  </si>
  <si>
    <t>Revit MEP --&gt; Revit</t>
  </si>
  <si>
    <t>Revit Structure --&gt; Architecture Engineering Construction Collection</t>
  </si>
  <si>
    <t>Revit Structure --&gt; Revit</t>
  </si>
  <si>
    <t>SketchBook - For Enterprise --&gt; SketchBook - For Enterprise</t>
  </si>
  <si>
    <t>TruComp --&gt; TruComp</t>
  </si>
  <si>
    <t>TruLaser --&gt; TruLaser</t>
  </si>
  <si>
    <t>TruNest Composites --&gt; TruNest Composites</t>
  </si>
  <si>
    <t>TruNest Contour --&gt; TruNest Contour</t>
  </si>
  <si>
    <t>TruNest Multi-Tool --&gt; TruNest Multi-Tool</t>
  </si>
  <si>
    <t>Vault Office --&gt; Vault Office</t>
  </si>
  <si>
    <t>Vault Office --&gt; Vault Professional</t>
  </si>
  <si>
    <t>Vault Professional --&gt; Vault Professional</t>
  </si>
  <si>
    <t>Vault Workgroup --&gt; Vault Professional</t>
  </si>
  <si>
    <t>Vault Workgroup --&gt; Vault Workgroup</t>
  </si>
  <si>
    <t>VRED --&gt; VRED</t>
  </si>
  <si>
    <t>VRED Design --&gt; VRED Design</t>
  </si>
  <si>
    <t>VRED Presenter --&gt; VRED Presenter</t>
  </si>
  <si>
    <t>VRED Professional --&gt; VRED Professional</t>
  </si>
  <si>
    <t>VRED Render Node --&gt; VRED Render Node</t>
  </si>
  <si>
    <t>VRED Server --&gt; VRED Server</t>
  </si>
  <si>
    <t>Autodesk AutoCAD Civil 3D*</t>
  </si>
  <si>
    <t>Autodesk AutoCAD Electrical*</t>
  </si>
  <si>
    <t>Autodesk AutoCAD Plant 3D*</t>
  </si>
  <si>
    <t>AutoCAD Civil 3D* --&gt; Architecture Engineering Construction Collection</t>
  </si>
  <si>
    <t>AutoCAD Electrical* --&gt; Architecture Engineering Construction Collection</t>
  </si>
  <si>
    <t>AutoCAD Plant 3D* --&gt; Architecture Engineering Construction Collection</t>
  </si>
  <si>
    <t>Autodesk Navisworks Manage*</t>
  </si>
  <si>
    <t>Navisworks Manage* --&gt; Architecture Engineering Construction Collection</t>
  </si>
  <si>
    <t>Navisworks Simulate --&gt; Navisworks Manage*</t>
  </si>
  <si>
    <t>DSADV</t>
  </si>
  <si>
    <t>Autodesk AutoCAD Design Suite Ultimate</t>
  </si>
  <si>
    <t>MAYAS</t>
  </si>
  <si>
    <t>AQTO</t>
  </si>
  <si>
    <t>Autodesk Quantity Take Off</t>
  </si>
  <si>
    <t>Autodesk 3ds Max with Softimage</t>
  </si>
  <si>
    <t>Autodesk Maya with Softimage</t>
  </si>
  <si>
    <t>3ds Max with Softimage --&gt; Media and Entertainment Collection</t>
  </si>
  <si>
    <t>3ds Max with Softimage --&gt; 3ds Max</t>
  </si>
  <si>
    <t>AutoCAD Design Suite Ultimate --&gt; Architecture Engineering Construction Collection</t>
  </si>
  <si>
    <t>Maya with Softimage --&gt; Media and Entertainment Collection</t>
  </si>
  <si>
    <t>Maya with Softimage --&gt; Maya</t>
  </si>
  <si>
    <t>3DSMXS</t>
  </si>
  <si>
    <t>ADSTPR</t>
  </si>
  <si>
    <t>ALAUST</t>
  </si>
  <si>
    <t>ALSCPT</t>
  </si>
  <si>
    <t>DESNST</t>
  </si>
  <si>
    <t>ALSSF</t>
  </si>
  <si>
    <t>SURFST</t>
  </si>
  <si>
    <t>ACD / ACDMAC</t>
  </si>
  <si>
    <t>ACDLT</t>
  </si>
  <si>
    <t>ACDLTC</t>
  </si>
  <si>
    <t>ASPACD</t>
  </si>
  <si>
    <t>BDSPRM</t>
  </si>
  <si>
    <t>BDSADV</t>
  </si>
  <si>
    <t>SCFD</t>
  </si>
  <si>
    <t>SCFDA</t>
  </si>
  <si>
    <t>SCFDM</t>
  </si>
  <si>
    <t>CADMEP</t>
  </si>
  <si>
    <t>CAMDCT</t>
  </si>
  <si>
    <t>ESTMEP</t>
  </si>
  <si>
    <t>FDSPRM</t>
  </si>
  <si>
    <t>FDSADV</t>
  </si>
  <si>
    <t>ACMPDS</t>
  </si>
  <si>
    <t>HSMPREM</t>
  </si>
  <si>
    <t>HSMULT</t>
  </si>
  <si>
    <t>IMS</t>
  </si>
  <si>
    <t>INVNTOR</t>
  </si>
  <si>
    <t>INVLT</t>
  </si>
  <si>
    <t>INVLTS</t>
  </si>
  <si>
    <t>MAYALT</t>
  </si>
  <si>
    <t>MFAM</t>
  </si>
  <si>
    <t>MFAA</t>
  </si>
  <si>
    <t>MFIP</t>
  </si>
  <si>
    <t>MFIB</t>
  </si>
  <si>
    <t>MFIA</t>
  </si>
  <si>
    <t>MFS</t>
  </si>
  <si>
    <t>MBXPRO</t>
  </si>
  <si>
    <t>NSTRN</t>
  </si>
  <si>
    <t>NINCAD</t>
  </si>
  <si>
    <t>NAVSIM</t>
  </si>
  <si>
    <t>PNTLAY</t>
  </si>
  <si>
    <t>RVT</t>
  </si>
  <si>
    <t>REVIT</t>
  </si>
  <si>
    <t>RVTLT</t>
  </si>
  <si>
    <t>RVTLTS</t>
  </si>
  <si>
    <t>RVTMPB</t>
  </si>
  <si>
    <t>REVITST</t>
  </si>
  <si>
    <t>RSAPRO</t>
  </si>
  <si>
    <t>ASMES</t>
  </si>
  <si>
    <t>SBPNL</t>
  </si>
  <si>
    <t>TRUCOM</t>
  </si>
  <si>
    <t>TRULSR</t>
  </si>
  <si>
    <t>TNCOMP</t>
  </si>
  <si>
    <t>TNCONT</t>
  </si>
  <si>
    <t>TNMULT</t>
  </si>
  <si>
    <t>PCOFFI</t>
  </si>
  <si>
    <t>VLTM</t>
  </si>
  <si>
    <t>VLTWG</t>
  </si>
  <si>
    <t>VEHTRK</t>
  </si>
  <si>
    <t>ADKVRD</t>
  </si>
  <si>
    <t>VRDDES</t>
  </si>
  <si>
    <t>VRDPRS</t>
  </si>
  <si>
    <t>VRDPRO</t>
  </si>
  <si>
    <t>RCMVRD</t>
  </si>
  <si>
    <t>VRDSRV</t>
  </si>
  <si>
    <t xml:space="preserve">This preview is current as of: June 31, 2017  </t>
  </si>
  <si>
    <t>Product Design &amp; Manufacturing Collection</t>
  </si>
  <si>
    <t>3ds Max --&gt; Product Design &amp; Manufacturing Collection</t>
  </si>
  <si>
    <t>AutoCAD --&gt; Product Design &amp; Manufacturing Collection</t>
  </si>
  <si>
    <t>AutoCAD Architecture --&gt; Product Design &amp; Manufacturing Collection</t>
  </si>
  <si>
    <t>AutoCAD Design Suite Standard --&gt; Product Design &amp; Manufacturing Collection</t>
  </si>
  <si>
    <t>AutoCAD Design Suite Ultimate --&gt; Product Design &amp; Manufacturing Collection</t>
  </si>
  <si>
    <t>AutoCAD Electrical* --&gt; Product Design &amp; Manufacturing Collection</t>
  </si>
  <si>
    <t>AutoCAD Mechanical --&gt; Product Design &amp; Manufacturing Collection</t>
  </si>
  <si>
    <t>AutoCAD P&amp;ID --&gt; Product Design &amp; Manufacturing Collection</t>
  </si>
  <si>
    <t>Building Design Suite Premium --&gt; Product Design &amp; Manufacturing Collection</t>
  </si>
  <si>
    <t>Building Design Suite Standard --&gt; Product Design &amp; Manufacturing Collection</t>
  </si>
  <si>
    <t>Building Design Suite Ultimate --&gt; Product Design &amp; Manufacturing Collection</t>
  </si>
  <si>
    <t>Factory Design Suite Premium --&gt; Product Design &amp; Manufacturing Collection</t>
  </si>
  <si>
    <t>Factory Design Suite Standard --&gt; Product Design &amp; Manufacturing Collection</t>
  </si>
  <si>
    <t>Factory Design Suite Ultimate --&gt; Product Design &amp; Manufacturing Collection</t>
  </si>
  <si>
    <t>HSM - Premium --&gt; Product Design &amp; Manufacturing Collection</t>
  </si>
  <si>
    <t>HSM - Ultimate --&gt; Product Design &amp; Manufacturing Collection</t>
  </si>
  <si>
    <t>Infrastructure Design Suite Premium --&gt; Product Design &amp; Manufacturing Collection</t>
  </si>
  <si>
    <t>Infrastructure Design Suite Standard --&gt; Product Design &amp; Manufacturing Collection</t>
  </si>
  <si>
    <t>Infrastructure Design Suite Ultimate --&gt; Product Design &amp; Manufacturing Collection</t>
  </si>
  <si>
    <t>Inventor --&gt; Product Design &amp; Manufacturing Collection</t>
  </si>
  <si>
    <t>Inventor Professional --&gt; Product Design &amp; Manufacturing Collection</t>
  </si>
  <si>
    <t>Nastran In-CAD --&gt; Product Design &amp; Manufacturing Collection</t>
  </si>
  <si>
    <t>Navisworks Manage* --&gt; Product Design &amp; Manufacturing Collection</t>
  </si>
  <si>
    <t>Plant Design Suite Premium --&gt; Product Design &amp; Manufacturing Collection</t>
  </si>
  <si>
    <t>Plant Design Suite Standard --&gt; Product Design &amp; Manufacturing Collection</t>
  </si>
  <si>
    <t>Plant Design Suite Ultimate --&gt; Product Design &amp; Manufacturing Collection</t>
  </si>
  <si>
    <t>Product Design Suite Premium --&gt; Product Design &amp; Manufacturing Collection</t>
  </si>
  <si>
    <t>Product Design Suite Ultimate --&gt; Product Design &amp; Manufacturing Collection</t>
  </si>
  <si>
    <t>Simulation Mechanical --&gt; Product Design &amp; Manufacturing Collection</t>
  </si>
  <si>
    <t>Autodesk Structural Bridge Design</t>
  </si>
  <si>
    <t>Advance Steel --&gt; Architecture Engineering Construction Collection</t>
  </si>
  <si>
    <t>Robot Structural Analysis Professional --&gt; Architecture Engineering Construction Collection</t>
  </si>
  <si>
    <t>Vehicle Tracking --&gt; Architecture Engineering Construction Collection</t>
  </si>
  <si>
    <t>AutoCAD Design Suite Premium --&gt; Architecture Engineering Construction Collection</t>
  </si>
  <si>
    <t>AutoCAD Design Suite Premium --&gt; Product Design &amp; Manufacturing Collection</t>
  </si>
  <si>
    <t>Single or Multi-User</t>
  </si>
  <si>
    <t>Single User</t>
  </si>
  <si>
    <t>Multi User</t>
  </si>
  <si>
    <t>nmY4Disclaimer</t>
  </si>
  <si>
    <t>Anything beyond the three-year outlook we communicated is an estimate only. Pricing for Year 4 and subsequent renewal years is subject to change.</t>
  </si>
  <si>
    <t>Autodesk AutoCAD - including specialized toolsets</t>
  </si>
  <si>
    <t>Autodesk Civil 3D*</t>
  </si>
  <si>
    <t>Autodesk CFD Ultimate (formerly CFD Motion)</t>
  </si>
  <si>
    <t>Autodesk CFD Premium (formerly CFD Advanced)</t>
  </si>
  <si>
    <t/>
  </si>
  <si>
    <t>AutoCAD --&gt; AutoCAD - including specialized toolsets</t>
  </si>
  <si>
    <t>AutoCAD --&gt; Civil 3D*</t>
  </si>
  <si>
    <t>AutoCAD Design Suite Standard --&gt; AutoCAD - including specialized toolsets</t>
  </si>
  <si>
    <t>Building Design Suite Standard --&gt; AutoCAD - including specialized toolsets</t>
  </si>
  <si>
    <t>CFD --&gt; CFD Premium (formerly CFD Advanced)</t>
  </si>
  <si>
    <t>CFD --&gt; CFD Ultimate (formerly CFD Motion)</t>
  </si>
  <si>
    <t>Infrastructure Design Suite Standard --&gt; AutoCAD - including specialized toolsets</t>
  </si>
  <si>
    <t>Nastran --&gt; Product Design &amp; Manufacturing Collection</t>
  </si>
  <si>
    <t>Plant Design Suite Standard --&gt; AutoCAD - including specialized toolsets</t>
  </si>
  <si>
    <t>nmAutoCAD</t>
  </si>
  <si>
    <t>New Product Name</t>
  </si>
  <si>
    <t>Old Product Name</t>
  </si>
  <si>
    <t>nmSpecializedToolsets</t>
  </si>
  <si>
    <t xml:space="preserve"> Including Specialized Toolsets</t>
  </si>
  <si>
    <t xml:space="preserve">AutoCAD </t>
  </si>
  <si>
    <t>AutoCAD Architecture --&gt; AutoCAD - including specialized toolsets</t>
  </si>
  <si>
    <t>AutoCAD Electrical* --&gt; AutoCAD - including specialized toolsets</t>
  </si>
  <si>
    <t>AutoCAD Map 3D --&gt; AutoCAD - including specialized toolsets</t>
  </si>
  <si>
    <t>AutoCAD Mechanical --&gt; AutoCAD - including specialized toolsets</t>
  </si>
  <si>
    <t>AutoCAD Plant 3D* --&gt; AutoCAD - including specialized toolsets</t>
  </si>
  <si>
    <t>Factory Design Suite Standard --&gt; AutoCAD - including specialized toolsets</t>
  </si>
  <si>
    <t>Total Paths</t>
  </si>
  <si>
    <t>AutoCAD Map 3D --&gt; Product Design &amp; Manufacturing Collection</t>
  </si>
  <si>
    <t>AutoCAD Plant 3D* --&gt; Product Design &amp; Manufacturing Collection</t>
  </si>
  <si>
    <t>AutoCAD Raster Design --&gt; Product Design &amp; Manufacturing Collection</t>
  </si>
  <si>
    <t>AutoCAD Raster Design --&gt; AutoCAD - including specialized toolsets</t>
  </si>
  <si>
    <t>Year 5 - Projected Subscription</t>
  </si>
  <si>
    <t>Investimento previsto per l’anno 5</t>
  </si>
  <si>
    <t>Jahr 5 Geplante Investition</t>
  </si>
  <si>
    <t>Investissement prévu en année 5</t>
  </si>
  <si>
    <t>5년차 예상 투자</t>
  </si>
  <si>
    <t>5年目 投資額予測</t>
  </si>
  <si>
    <t>第 5 年投資預測</t>
  </si>
  <si>
    <t>第 5 年预期投资</t>
  </si>
  <si>
    <t>Предполагаемые инвестиции в 5-ом году</t>
  </si>
  <si>
    <t>Inversión prevista para año 5</t>
  </si>
  <si>
    <t>Investimento projetado no ano 5</t>
  </si>
  <si>
    <t>Autodesk Arnold</t>
  </si>
  <si>
    <t>Autodesk PowerInspect - Premium</t>
  </si>
  <si>
    <t xml:space="preserve">Autodesk PowerInspect - Standard </t>
  </si>
  <si>
    <t>Autodesk PowerInspect - Ultimate</t>
  </si>
  <si>
    <t>Autodesk PowerMill - Premium</t>
  </si>
  <si>
    <t>Autodesk PowerMill - Standard</t>
  </si>
  <si>
    <t>Autodesk PowerMill - Ultimate</t>
  </si>
  <si>
    <t>Autodesk PowerShape - Premium</t>
  </si>
  <si>
    <t>Autodesk PowerShape - Standard</t>
  </si>
  <si>
    <t>Autodesk PowerShape - Ultimate</t>
  </si>
  <si>
    <t>Autodesk FeatureCAM - Premium</t>
  </si>
  <si>
    <t>Autodesk FeatureCAM - Standard</t>
  </si>
  <si>
    <t>Autodesk FeatureCAM - Ultimate</t>
  </si>
  <si>
    <t>PowerInspect - Premium</t>
  </si>
  <si>
    <t xml:space="preserve">PowerInspect - Standard </t>
  </si>
  <si>
    <t>PowerInspect - Ultimate</t>
  </si>
  <si>
    <t>PowerMill - Premium</t>
  </si>
  <si>
    <t>PowerMill - Standard</t>
  </si>
  <si>
    <t>PowerMill - Ultimate</t>
  </si>
  <si>
    <t>PowerShape - Premium</t>
  </si>
  <si>
    <t>PowerShape - Standard</t>
  </si>
  <si>
    <t>PowerShape - Ultimate</t>
  </si>
  <si>
    <t>FeatureCAM - Premium</t>
  </si>
  <si>
    <t>FeatureCAM - Standard</t>
  </si>
  <si>
    <t>FeatureCAM - Ultimate</t>
  </si>
  <si>
    <t>Arnold</t>
  </si>
  <si>
    <t>CFD Premium (formerly CFD Advanced) --&gt; CFD Premium (formerly CFD Advanced)</t>
  </si>
  <si>
    <t>CFD Premium (formerly CFD Advanced) --&gt; CFD Ultimate (formerly CFD Motion)</t>
  </si>
  <si>
    <t>CFD Ultimate (formerly CFD Motion) --&gt; CFD Ultimate (formerly CFD Motion)</t>
  </si>
  <si>
    <t>Arnold --&gt; Arnold</t>
  </si>
  <si>
    <t>PowerInspect - Premium --&gt; PowerInspect - Premium</t>
  </si>
  <si>
    <t>PowerInspect - Premium --&gt; PowerInspect - Ultimate</t>
  </si>
  <si>
    <t>PowerInspect - Standard  --&gt; PowerInspect - Premium</t>
  </si>
  <si>
    <t xml:space="preserve">PowerInspect - Standard  --&gt; PowerInspect - Standard </t>
  </si>
  <si>
    <t>PowerInspect - Standard  --&gt; PowerInspect - Ultimate</t>
  </si>
  <si>
    <t>PowerInspect - Ultimate --&gt; PowerInspect - Ultimate</t>
  </si>
  <si>
    <t>PowerMill - Premium --&gt; PowerMill - Premium</t>
  </si>
  <si>
    <t>PowerMill - Premium --&gt; PowerMill - Ultimate</t>
  </si>
  <si>
    <t>PowerMill - Standard --&gt; PowerMill - Premium</t>
  </si>
  <si>
    <t>PowerMill - Standard --&gt; PowerMill - Standard</t>
  </si>
  <si>
    <t>PowerMill - Standard --&gt; PowerMill - Ultimate</t>
  </si>
  <si>
    <t>PowerMill - Ultimate --&gt; PowerMill - Ultimate</t>
  </si>
  <si>
    <t>PowerShape - Premium --&gt; PowerShape - Premium</t>
  </si>
  <si>
    <t>PowerShape - Premium --&gt; PowerShape - Ultimate</t>
  </si>
  <si>
    <t>PowerShape - Standard --&gt; PowerShape - Premium</t>
  </si>
  <si>
    <t>PowerShape - Standard --&gt; PowerShape - Standard</t>
  </si>
  <si>
    <t>PowerShape - Standard --&gt; PowerShape - Ultimate</t>
  </si>
  <si>
    <t>PowerShape - Ultimate --&gt; PowerShape - Ultimate</t>
  </si>
  <si>
    <t>FeatureCAM - Premium --&gt; FeatureCAM - Premium</t>
  </si>
  <si>
    <t>FeatureCAM - Premium --&gt; FeatureCAM - Ultimate</t>
  </si>
  <si>
    <t>FeatureCAM - Standard --&gt; FeatureCAM - Premium</t>
  </si>
  <si>
    <t>FeatureCAM - Standard --&gt; FeatureCAM - Standard</t>
  </si>
  <si>
    <t>FeatureCAM - Standard --&gt; FeatureCAM - Ultimate</t>
  </si>
  <si>
    <t>FeatureCAM - Ultimate --&gt; FeatureCAM - Ultimate</t>
  </si>
  <si>
    <t>DataPaths_Tbl_AllPathsMultiUser</t>
  </si>
  <si>
    <t>Year 4</t>
  </si>
  <si>
    <t>Anno 4</t>
  </si>
  <si>
    <t>Jahr 4</t>
  </si>
  <si>
    <t>Année 4</t>
  </si>
  <si>
    <t>4년차</t>
  </si>
  <si>
    <t>4年目</t>
  </si>
  <si>
    <t>第 4 年</t>
  </si>
  <si>
    <t>Год 4</t>
  </si>
  <si>
    <t>Año 4</t>
  </si>
  <si>
    <t>Ano 4</t>
  </si>
  <si>
    <t>Passaggio all’anno 4</t>
  </si>
  <si>
    <t>Umstellung in Jahr 4</t>
  </si>
  <si>
    <t>Transition en année 4</t>
  </si>
  <si>
    <t>4년차에 전환</t>
  </si>
  <si>
    <t>4年目での移行</t>
  </si>
  <si>
    <t>於第 4 年轉換</t>
  </si>
  <si>
    <t>在第 4 年转换</t>
  </si>
  <si>
    <t>Переход в 4-ем году</t>
  </si>
  <si>
    <t>Cambio en año 4</t>
  </si>
  <si>
    <t>Trocar no ano 4</t>
  </si>
  <si>
    <t>Переход в 3-ом году</t>
  </si>
  <si>
    <t>Year 4 - Subscription</t>
  </si>
  <si>
    <t>Switch in Year 4</t>
  </si>
  <si>
    <t>Year 3 - Maintenance</t>
  </si>
  <si>
    <t>AutoCAD MEP --&gt; Architecture Engineering Construction Collection</t>
  </si>
  <si>
    <t>AutoCAD MEP --&gt; Product Design &amp; Manufacturing Collection</t>
  </si>
  <si>
    <t>AutoCAD MEP --&gt; AutoCAD - including specialized toolsets</t>
  </si>
  <si>
    <t>Fabrication CADmep --&gt; Architecture Engineering Construction Collection</t>
  </si>
  <si>
    <t>Fabrication CADmep --&gt; Fabrication CADmep</t>
  </si>
  <si>
    <t>Fabrication CAMduct --&gt; Fabrication CAMduct</t>
  </si>
  <si>
    <t>Fabrication ESTmep --&gt; Fabrication ESTmep</t>
  </si>
  <si>
    <t>Quantity Take Off --&gt; Architecture Engineering Construction Collection</t>
  </si>
  <si>
    <t>Quantity Take Off --&gt; Navisworks Manage*</t>
  </si>
  <si>
    <t>Quantity Take Off --&gt; Navisworks Simulate</t>
  </si>
  <si>
    <t>Structural Bridge Design --&gt; Architecture Engineering Construction Collection</t>
  </si>
  <si>
    <t>7 May 2020 - 6 May 2021</t>
  </si>
  <si>
    <t>7 maggio 2020 – 6 maggio 2021</t>
  </si>
  <si>
    <t>7. Mai 2020 – 6. Mai 2021</t>
  </si>
  <si>
    <t>7 mai 2020 – 6 mai 2021</t>
  </si>
  <si>
    <t>2020년 5월 7일 - 2021년 5월 6일</t>
  </si>
  <si>
    <t>2020年5月7日 - 2021年5月6日</t>
  </si>
  <si>
    <t>2020 年 5 月 7 日 - 2021 年 5 月 6 日</t>
  </si>
  <si>
    <t>7 мая 2020 г. – 6 мая 2021 г.</t>
  </si>
  <si>
    <t>del 7 de mayo de 2020 al 6 de mayo de 2021</t>
  </si>
  <si>
    <t>7. de maio de 2020 a 6 de maio de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</si>
</sst>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_-* #,##0_-;\-* #,##0_-;_-* &quot;-&quot;_-;_-@_-"/>
    <numFmt numFmtId="165" formatCode="_-* #,##0.00_-;\-* #,##0.00_-;_-* &quot;-&quot;??_-;_-@_-"/>
    <numFmt numFmtId="166" formatCode="#,##0.00\ &quot;mk&quot;;[Red]\-#,##0.00\ &quot;mk&quot;"/>
    <numFmt numFmtId="167" formatCode="\ #,##0_);\ \(#,##0\);_(* &quot;-&quot;??_);_(@_)"/>
    <numFmt numFmtId="168" formatCode="#,##0.0_);\(#,##0.0\)"/>
    <numFmt numFmtId="169" formatCode="#,##0,_);\ \(#,##0,\);_(* &quot;-&quot;_);_(@_)"/>
    <numFmt numFmtId="170" formatCode="#,###.##,,_);\ \(#,##0,,\);_(* &quot;-&quot;_);_(@_)"/>
    <numFmt numFmtId="171" formatCode="#,##0,,_);\ \(#,##0,,\);_(* &quot;-&quot;_);_(@_)"/>
    <numFmt numFmtId="172" formatCode="_(* #,##0.0_);_(* \(#,##0.0\);_(* &quot;-&quot;?_);_(@_)"/>
    <numFmt numFmtId="173" formatCode="0%\ \ "/>
    <numFmt numFmtId="174" formatCode="_(&quot;$&quot;\ #,##0,_);_(&quot;$&quot;\ \ \(#,##0,\);_(&quot;$&quot;\ &quot;-&quot;_);_(@_)"/>
    <numFmt numFmtId="175" formatCode="mmm\ dd\ &quot;Year&quot;\ yy"/>
    <numFmt numFmtId="176" formatCode="_([$€-2]* #,##0.00_);_([$€-2]* \(#,##0.00\);_([$€-2]* &quot;-&quot;??_)"/>
    <numFmt numFmtId="177" formatCode="#,###,;\(#,###,\);_(* &quot;-&quot;_);_(@_)"/>
    <numFmt numFmtId="178" formatCode="0.00_)"/>
    <numFmt numFmtId="179" formatCode="0.0%"/>
    <numFmt numFmtId="180" formatCode="&quot;$&quot;#,##0.00"/>
    <numFmt numFmtId="181" formatCode="_(&quot;$&quot;* #,##0_);_(&quot;$&quot;* \(#,##0\);_(&quot;$&quot;* &quot;-&quot;??_);_(@_)"/>
    <numFmt numFmtId="182" formatCode="_(\€* #,##0_);_(\€* \(#,##0\);_(\€&quot;$&quot;* &quot;-&quot;??_);_(@_)"/>
    <numFmt numFmtId="183" formatCode="_(\¥* #,##0_);_(\¥* \(#,##0\);_(\¥* &quot;-&quot;??_);_(@_)"/>
    <numFmt numFmtId="184" formatCode="#,##0;#,##0;&quot;&quot;"/>
    <numFmt numFmtId="185" formatCode="_(\£* #,##0_);_(\£* \(#,##0\);_(\£* &quot;-&quot;??_);_(@_)"/>
    <numFmt numFmtId="186" formatCode="_(* #,##0_);_(* \(#,##0\);_(* &quot;-&quot;??_);_(@_)"/>
    <numFmt numFmtId="187" formatCode="#0.0%;&quot;&quot;;&quot;&quot;"/>
  </numFmts>
  <fonts count="79">
    <font>
      <sz val="11"/>
      <color theme="1"/>
      <name val="Verdana"/>
      <family val="2"/>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1"/>
      <name val="Verdana"/>
      <family val="2"/>
      <scheme val="minor"/>
    </font>
    <font>
      <sz val="11"/>
      <color theme="0"/>
      <name val="Verdana"/>
      <family val="2"/>
    </font>
    <font>
      <b/>
      <sz val="11"/>
      <color theme="1"/>
      <name val="Verdana"/>
      <family val="2"/>
    </font>
    <font>
      <sz val="11"/>
      <color theme="1"/>
      <name val="Verdana"/>
      <family val="2"/>
      <scheme val="minor"/>
    </font>
    <font>
      <sz val="12"/>
      <name val="Verdana"/>
      <family val="2"/>
      <scheme val="minor"/>
    </font>
    <font>
      <b/>
      <sz val="12"/>
      <name val="Verdana"/>
      <family val="2"/>
      <scheme val="minor"/>
    </font>
    <font>
      <sz val="10"/>
      <name val="MS Sans Serif"/>
      <family val="2"/>
    </font>
    <font>
      <sz val="8"/>
      <name val="Arial"/>
      <family val="2"/>
    </font>
    <font>
      <sz val="10"/>
      <name val="Arial Black"/>
      <family val="2"/>
    </font>
    <font>
      <b/>
      <sz val="9"/>
      <name val="Arial"/>
      <family val="2"/>
    </font>
    <font>
      <b/>
      <sz val="8"/>
      <name val="Arial"/>
      <family val="2"/>
    </font>
    <font>
      <sz val="10"/>
      <name val="Arial"/>
      <family val="2"/>
    </font>
    <font>
      <b/>
      <sz val="10"/>
      <name val="Arial"/>
      <family val="2"/>
    </font>
    <font>
      <b/>
      <sz val="12"/>
      <name val="Arial"/>
      <family val="2"/>
    </font>
    <font>
      <b/>
      <sz val="10"/>
      <color indexed="9"/>
      <name val="Arial"/>
      <family val="2"/>
    </font>
    <font>
      <sz val="10"/>
      <name val="Helv"/>
    </font>
    <font>
      <sz val="9"/>
      <name val="Arial Rounded MT Bold"/>
      <family val="2"/>
    </font>
    <font>
      <b/>
      <sz val="10"/>
      <name val="Helv"/>
    </font>
    <font>
      <b/>
      <sz val="18"/>
      <name val="Garamond"/>
      <family val="1"/>
    </font>
    <font>
      <sz val="7"/>
      <name val="Small Fonts"/>
      <family val="2"/>
    </font>
    <font>
      <b/>
      <i/>
      <sz val="16"/>
      <name val="Helv"/>
    </font>
    <font>
      <sz val="12"/>
      <color theme="1"/>
      <name val="Open Sans"/>
      <family val="2"/>
    </font>
    <font>
      <b/>
      <sz val="12"/>
      <name val="Garamond"/>
      <family val="1"/>
    </font>
    <font>
      <sz val="11"/>
      <color theme="1"/>
      <name val="Verdana"/>
      <family val="2"/>
    </font>
    <font>
      <sz val="11"/>
      <name val="Verdana"/>
      <family val="2"/>
    </font>
    <font>
      <sz val="12"/>
      <color theme="1"/>
      <name val="Verdana"/>
      <family val="2"/>
      <scheme val="minor"/>
    </font>
    <font>
      <u/>
      <sz val="11"/>
      <color theme="10"/>
      <name val="Verdana"/>
      <family val="2"/>
      <scheme val="minor"/>
    </font>
    <font>
      <u/>
      <sz val="11"/>
      <color theme="10"/>
      <name val="Verdana"/>
      <family val="2"/>
    </font>
    <font>
      <b/>
      <sz val="11"/>
      <color theme="0"/>
      <name val="Verdana"/>
      <family val="2"/>
    </font>
    <font>
      <b/>
      <sz val="11"/>
      <name val="Verdana"/>
      <family val="2"/>
    </font>
    <font>
      <sz val="14"/>
      <color theme="1"/>
      <name val="Verdana"/>
      <family val="2"/>
    </font>
    <font>
      <sz val="14"/>
      <color theme="0"/>
      <name val="Verdana"/>
      <family val="2"/>
    </font>
    <font>
      <sz val="9"/>
      <color theme="0"/>
      <name val="Verdana"/>
      <family val="2"/>
    </font>
    <font>
      <sz val="12"/>
      <color theme="0"/>
      <name val="Verdana"/>
      <family val="2"/>
    </font>
    <font>
      <i/>
      <sz val="11"/>
      <color theme="1"/>
      <name val="Verdana"/>
      <family val="2"/>
    </font>
    <font>
      <sz val="12"/>
      <color theme="1"/>
      <name val="Verdana"/>
      <family val="2"/>
    </font>
    <font>
      <sz val="14"/>
      <color theme="5"/>
      <name val="Verdana"/>
      <family val="2"/>
    </font>
    <font>
      <sz val="18"/>
      <color theme="4"/>
      <name val="Verdana"/>
      <family val="2"/>
    </font>
    <font>
      <b/>
      <sz val="12"/>
      <color theme="0"/>
      <name val="Verdana"/>
      <family val="2"/>
    </font>
    <font>
      <sz val="12"/>
      <name val="Verdana"/>
      <family val="2"/>
    </font>
    <font>
      <b/>
      <sz val="12"/>
      <color theme="1"/>
      <name val="Verdana"/>
      <family val="2"/>
    </font>
    <font>
      <sz val="12"/>
      <color theme="0" tint="-0.34998626667073579"/>
      <name val="Verdana"/>
      <family val="2"/>
    </font>
    <font>
      <sz val="11"/>
      <color rgb="FFFFFFFF"/>
      <name val="Verdana"/>
      <family val="2"/>
    </font>
    <font>
      <sz val="11"/>
      <color rgb="FF000000"/>
      <name val="Verdana"/>
      <family val="2"/>
    </font>
    <font>
      <sz val="10"/>
      <color theme="1"/>
      <name val="Arial"/>
      <family val="2"/>
    </font>
    <font>
      <b/>
      <sz val="10"/>
      <color theme="1"/>
      <name val="Arial"/>
      <family val="2"/>
    </font>
    <font>
      <sz val="10"/>
      <color rgb="FF000000"/>
      <name val="Calibri"/>
      <family val="2"/>
    </font>
    <font>
      <sz val="10"/>
      <color rgb="FFFF0000"/>
      <name val="Arial"/>
      <family val="2"/>
    </font>
    <font>
      <b/>
      <sz val="12"/>
      <name val="Calibri"/>
      <family val="2"/>
    </font>
    <font>
      <sz val="10"/>
      <color theme="0" tint="-0.499984740745262"/>
      <name val="Arial"/>
      <family val="2"/>
    </font>
    <font>
      <strike/>
      <sz val="10"/>
      <color theme="1"/>
      <name val="Arial"/>
      <family val="2"/>
    </font>
    <font>
      <b/>
      <sz val="12"/>
      <color theme="1"/>
      <name val="Arial"/>
      <family val="2"/>
    </font>
    <font>
      <b/>
      <sz val="9"/>
      <color indexed="81"/>
      <name val="Tahoma"/>
      <family val="2"/>
    </font>
    <font>
      <sz val="9"/>
      <color indexed="81"/>
      <name val="Tahoma"/>
      <family val="2"/>
    </font>
    <font>
      <b/>
      <sz val="11"/>
      <color theme="1"/>
      <name val="Verdana"/>
      <family val="2"/>
      <scheme val="minor"/>
    </font>
    <font>
      <sz val="11"/>
      <color theme="0"/>
      <name val="Verdana"/>
      <family val="2"/>
      <scheme val="minor"/>
    </font>
    <font>
      <sz val="8"/>
      <name val="Arial"/>
      <family val="2"/>
    </font>
    <font>
      <sz val="12"/>
      <color theme="5"/>
      <name val="Verdana"/>
      <family val="2"/>
    </font>
    <font>
      <sz val="12"/>
      <color theme="4"/>
      <name val="Verdana"/>
      <family val="2"/>
    </font>
    <font>
      <i/>
      <sz val="12"/>
      <color theme="1"/>
      <name val="Verdana"/>
      <family val="2"/>
    </font>
    <font>
      <sz val="8"/>
      <name val="Arial"/>
      <family val="2"/>
    </font>
    <font>
      <b/>
      <sz val="11"/>
      <color rgb="FFFFFFFF"/>
      <name val="Verdana"/>
      <family val="2"/>
    </font>
    <font>
      <u/>
      <sz val="10"/>
      <color theme="1"/>
      <name val="Arial"/>
      <family val="2"/>
    </font>
    <font>
      <b/>
      <strike/>
      <sz val="10"/>
      <color theme="1"/>
      <name val="Arial"/>
      <family val="2"/>
    </font>
    <font>
      <b/>
      <sz val="10"/>
      <color theme="3" tint="0.39997558519241921"/>
      <name val="Arial"/>
      <family val="2"/>
    </font>
    <font>
      <b/>
      <sz val="10"/>
      <color rgb="FF7030A0"/>
      <name val="Arial"/>
      <family val="2"/>
    </font>
    <font>
      <b/>
      <sz val="11"/>
      <color theme="5"/>
      <name val="Verdana"/>
      <family val="2"/>
      <scheme val="major"/>
    </font>
  </fonts>
  <fills count="36">
    <fill>
      <patternFill patternType="none"/>
    </fill>
    <fill>
      <patternFill patternType="gray125"/>
    </fill>
    <fill>
      <patternFill patternType="solid">
        <fgColor theme="1"/>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bgColor indexed="64"/>
      </patternFill>
    </fill>
    <fill>
      <patternFill patternType="solid">
        <fgColor indexed="22"/>
        <bgColor indexed="64"/>
      </patternFill>
    </fill>
    <fill>
      <patternFill patternType="lightGray">
        <fgColor indexed="13"/>
        <bgColor indexed="43"/>
      </patternFill>
    </fill>
    <fill>
      <patternFill patternType="solid">
        <fgColor theme="0" tint="-4.9989318521683403E-2"/>
        <bgColor indexed="64"/>
      </patternFill>
    </fill>
    <fill>
      <patternFill patternType="solid">
        <fgColor rgb="FFFFFF00"/>
        <bgColor indexed="64"/>
      </patternFill>
    </fill>
    <fill>
      <patternFill patternType="solid">
        <fgColor indexed="43"/>
        <bgColor indexed="64"/>
      </patternFill>
    </fill>
    <fill>
      <patternFill patternType="solid">
        <fgColor indexed="57"/>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33"/>
        <bgColor indexed="64"/>
      </patternFill>
    </fill>
    <fill>
      <patternFill patternType="solid">
        <fgColor theme="1" tint="0.499984740745262"/>
        <bgColor indexed="64"/>
      </patternFill>
    </fill>
    <fill>
      <patternFill patternType="solid">
        <fgColor rgb="FFFFC000"/>
        <bgColor indexed="64"/>
      </patternFill>
    </fill>
    <fill>
      <patternFill patternType="solid">
        <fgColor rgb="FF7030A0"/>
        <bgColor indexed="64"/>
      </patternFill>
    </fill>
    <fill>
      <patternFill patternType="solid">
        <fgColor rgb="FF00B0F0"/>
        <bgColor indexed="64"/>
      </patternFill>
    </fill>
    <fill>
      <patternFill patternType="solid">
        <fgColor theme="4"/>
        <bgColor indexed="64"/>
      </patternFill>
    </fill>
    <fill>
      <patternFill patternType="solid">
        <fgColor theme="7"/>
        <bgColor indexed="64"/>
      </patternFill>
    </fill>
    <fill>
      <patternFill patternType="solid">
        <fgColor theme="5"/>
        <bgColor indexed="64"/>
      </patternFill>
    </fill>
    <fill>
      <patternFill patternType="solid">
        <fgColor rgb="FFD9D9D9"/>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0" tint="-0.249977111117893"/>
        <bgColor indexed="64"/>
      </patternFill>
    </fill>
    <fill>
      <patternFill patternType="solid">
        <fgColor rgb="FFFF0000"/>
        <bgColor indexed="64"/>
      </patternFill>
    </fill>
    <fill>
      <patternFill patternType="solid">
        <fgColor rgb="FF0AB9F0"/>
        <bgColor indexed="64"/>
      </patternFill>
    </fill>
    <fill>
      <patternFill patternType="solid">
        <fgColor rgb="FF002060"/>
        <bgColor indexed="64"/>
      </patternFill>
    </fill>
    <fill>
      <patternFill patternType="solid">
        <fgColor theme="8"/>
        <bgColor indexed="64"/>
      </patternFill>
    </fill>
    <fill>
      <patternFill patternType="solid">
        <fgColor rgb="FF0070C0"/>
        <bgColor indexed="64"/>
      </patternFill>
    </fill>
    <fill>
      <patternFill patternType="solid">
        <fgColor theme="7" tint="0.59999389629810485"/>
        <bgColor indexed="64"/>
      </patternFill>
    </fill>
    <fill>
      <patternFill patternType="solid">
        <fgColor rgb="FFFFCC66"/>
        <bgColor indexed="64"/>
      </patternFill>
    </fill>
    <fill>
      <patternFill patternType="solid">
        <fgColor rgb="FFFF0000"/>
        <bgColor rgb="FF000000"/>
      </patternFill>
    </fill>
    <fill>
      <patternFill patternType="solid">
        <fgColor theme="9"/>
        <bgColor indexed="64"/>
      </patternFill>
    </fill>
  </fills>
  <borders count="4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8"/>
      </left>
      <right style="medium">
        <color indexed="8"/>
      </right>
      <top style="medium">
        <color indexed="8"/>
      </top>
      <bottom style="medium">
        <color indexed="8"/>
      </bottom>
      <diagonal/>
    </border>
    <border>
      <left style="medium">
        <color indexed="63"/>
      </left>
      <right style="medium">
        <color indexed="9"/>
      </right>
      <top style="medium">
        <color indexed="63"/>
      </top>
      <bottom style="medium">
        <color indexed="9"/>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55"/>
      </right>
      <top style="medium">
        <color indexed="64"/>
      </top>
      <bottom style="medium">
        <color indexed="55"/>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theme="0" tint="-0.34998626667073579"/>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thin">
        <color theme="5"/>
      </bottom>
      <diagonal/>
    </border>
    <border>
      <left/>
      <right/>
      <top/>
      <bottom style="thin">
        <color theme="5"/>
      </bottom>
      <diagonal/>
    </border>
    <border>
      <left/>
      <right style="thin">
        <color theme="5"/>
      </right>
      <top/>
      <bottom style="thin">
        <color theme="5"/>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top/>
      <bottom style="thin">
        <color theme="4"/>
      </bottom>
      <diagonal/>
    </border>
    <border>
      <left/>
      <right style="thin">
        <color theme="4"/>
      </right>
      <top/>
      <bottom style="thin">
        <color theme="4"/>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s>
  <cellStyleXfs count="185">
    <xf numFmtId="0" fontId="0" fillId="0" borderId="0"/>
    <xf numFmtId="0" fontId="15" fillId="0" borderId="0"/>
    <xf numFmtId="1" fontId="18" fillId="0" borderId="0"/>
    <xf numFmtId="0" fontId="19" fillId="6" borderId="0" applyFont="0" applyFill="0" applyBorder="0" applyAlignment="0" applyProtection="0"/>
    <xf numFmtId="0" fontId="19" fillId="6" borderId="0" applyFont="0" applyFill="0" applyBorder="0" applyAlignment="0" applyProtection="0"/>
    <xf numFmtId="0" fontId="20" fillId="7" borderId="11" applyNumberFormat="0" applyFont="0" applyProtection="0"/>
    <xf numFmtId="0" fontId="20" fillId="7" borderId="11" applyNumberFormat="0" applyFont="0" applyProtection="0"/>
    <xf numFmtId="0" fontId="20" fillId="7" borderId="12" applyNumberFormat="0" applyFont="0" applyProtection="0"/>
    <xf numFmtId="0" fontId="20" fillId="7" borderId="12" applyNumberFormat="0" applyFont="0" applyProtection="0"/>
    <xf numFmtId="0" fontId="20" fillId="7" borderId="12" applyFont="0"/>
    <xf numFmtId="0" fontId="20" fillId="7" borderId="12" applyFont="0"/>
    <xf numFmtId="0" fontId="21" fillId="6" borderId="11" applyNumberFormat="0" applyFont="0"/>
    <xf numFmtId="0" fontId="21" fillId="6" borderId="11" applyNumberFormat="0" applyFont="0"/>
    <xf numFmtId="0" fontId="21" fillId="6" borderId="12" applyNumberFormat="0" applyFont="0"/>
    <xf numFmtId="0" fontId="21" fillId="6" borderId="12" applyNumberFormat="0" applyFont="0"/>
    <xf numFmtId="0" fontId="19" fillId="8" borderId="0" applyNumberFormat="0" applyFont="0" applyBorder="0" applyAlignment="0"/>
    <xf numFmtId="0" fontId="19" fillId="8" borderId="0" applyNumberFormat="0" applyFont="0" applyBorder="0" applyAlignment="0"/>
    <xf numFmtId="0" fontId="19" fillId="9" borderId="0" applyNumberFormat="0" applyFont="0" applyBorder="0" applyAlignment="0">
      <protection locked="0"/>
    </xf>
    <xf numFmtId="0" fontId="19" fillId="9" borderId="0" applyNumberFormat="0" applyFont="0" applyBorder="0" applyAlignment="0">
      <protection locked="0"/>
    </xf>
    <xf numFmtId="0" fontId="22" fillId="0" borderId="13">
      <alignment horizontal="center"/>
    </xf>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6" fontId="23" fillId="0" borderId="0"/>
    <xf numFmtId="164" fontId="23"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167" fontId="22" fillId="10" borderId="1" applyFont="0" applyFill="0" applyBorder="0" applyAlignment="0" applyProtection="0">
      <alignment horizontal="center"/>
      <protection locked="0"/>
    </xf>
    <xf numFmtId="167" fontId="22" fillId="10" borderId="1" applyFont="0" applyFill="0" applyBorder="0" applyAlignment="0" applyProtection="0">
      <alignment horizontal="center"/>
      <protection locked="0"/>
    </xf>
    <xf numFmtId="168" fontId="23" fillId="0" borderId="0" applyFont="0" applyFill="0" applyBorder="0" applyAlignment="0" applyProtection="0">
      <alignment horizontal="center"/>
    </xf>
    <xf numFmtId="169" fontId="24" fillId="0" borderId="0" applyFont="0" applyFill="0" applyBorder="0" applyAlignment="0" applyProtection="0"/>
    <xf numFmtId="170" fontId="19" fillId="0" borderId="0" applyFont="0" applyFill="0" applyBorder="0" applyAlignment="0" applyProtection="0"/>
    <xf numFmtId="170" fontId="19" fillId="0" borderId="0" applyFont="0" applyFill="0" applyBorder="0" applyAlignment="0" applyProtection="0"/>
    <xf numFmtId="171" fontId="19" fillId="0" borderId="0" applyFont="0" applyFill="0" applyBorder="0" applyAlignment="0" applyProtection="0"/>
    <xf numFmtId="171" fontId="19" fillId="0" borderId="0" applyFont="0" applyFill="0" applyBorder="0" applyAlignment="0" applyProtection="0"/>
    <xf numFmtId="0" fontId="24" fillId="0" borderId="0" applyFont="0" applyFill="0" applyBorder="0" applyAlignment="0" applyProtection="0"/>
    <xf numFmtId="172" fontId="25" fillId="0" borderId="0" applyFont="0" applyFill="0" applyBorder="0" applyAlignment="0" applyProtection="0"/>
    <xf numFmtId="165" fontId="23"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5"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37" fontId="26" fillId="11" borderId="14" applyFont="0" applyFill="0" applyBorder="0" applyAlignment="0" applyProtection="0">
      <alignment horizontal="centerContinuous" vertical="center"/>
    </xf>
    <xf numFmtId="0" fontId="23" fillId="7" borderId="12" applyFont="0" applyFill="0" applyBorder="0" applyAlignment="0" applyProtection="0">
      <alignment horizontal="center"/>
      <protection locked="0"/>
    </xf>
    <xf numFmtId="0" fontId="23" fillId="7" borderId="12" applyFont="0" applyFill="0" applyBorder="0" applyAlignment="0" applyProtection="0">
      <alignment horizontal="center"/>
      <protection locked="0"/>
    </xf>
    <xf numFmtId="0" fontId="23" fillId="10" borderId="0" applyFont="0" applyFill="0" applyBorder="0" applyAlignment="0" applyProtection="0"/>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23" fillId="6" borderId="0" applyFont="0" applyFill="0" applyBorder="0" applyAlignment="0" applyProtection="0"/>
    <xf numFmtId="0" fontId="23" fillId="7" borderId="12" applyFont="0" applyFill="0" applyBorder="0" applyAlignment="0" applyProtection="0">
      <protection locked="0"/>
    </xf>
    <xf numFmtId="0" fontId="23" fillId="7" borderId="12" applyFont="0" applyFill="0" applyBorder="0" applyAlignment="0" applyProtection="0">
      <protection locked="0"/>
    </xf>
    <xf numFmtId="173" fontId="23" fillId="6" borderId="0" applyFont="0" applyFill="0" applyBorder="0" applyAlignment="0" applyProtection="0"/>
    <xf numFmtId="3" fontId="23" fillId="0" borderId="0" applyFont="0" applyFill="0" applyBorder="0" applyAlignment="0" applyProtection="0"/>
    <xf numFmtId="0" fontId="27" fillId="0" borderId="0"/>
    <xf numFmtId="3" fontId="23" fillId="6" borderId="0" applyFont="0" applyFill="0" applyBorder="0" applyAlignment="0" applyProtection="0">
      <alignment horizontal="center"/>
    </xf>
    <xf numFmtId="0" fontId="27" fillId="0" borderId="0"/>
    <xf numFmtId="0" fontId="23" fillId="0" borderId="0"/>
    <xf numFmtId="0" fontId="27" fillId="0" borderId="0"/>
    <xf numFmtId="0" fontId="27" fillId="0" borderId="0"/>
    <xf numFmtId="174" fontId="25" fillId="12"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4" fillId="7" borderId="12" applyFont="0" applyFill="0" applyBorder="0" applyAlignment="0" applyProtection="0">
      <protection locked="0"/>
    </xf>
    <xf numFmtId="0" fontId="24" fillId="7" borderId="12" applyFont="0" applyFill="0" applyBorder="0" applyAlignment="0" applyProtection="0">
      <protection locked="0"/>
    </xf>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23" fillId="7" borderId="12" applyFont="0" applyFill="0" applyBorder="0" applyAlignment="0" applyProtection="0">
      <protection locked="0"/>
    </xf>
    <xf numFmtId="5" fontId="23" fillId="0" borderId="0" applyFont="0" applyFill="0" applyBorder="0" applyAlignment="0" applyProtection="0"/>
    <xf numFmtId="0" fontId="23" fillId="0" borderId="0" applyFill="0" applyBorder="0" applyAlignment="0" applyProtection="0"/>
    <xf numFmtId="175" fontId="19" fillId="0" borderId="0" applyFont="0" applyFill="0" applyBorder="0" applyAlignment="0" applyProtection="0"/>
    <xf numFmtId="175" fontId="19" fillId="0" borderId="0" applyFont="0" applyFill="0" applyBorder="0" applyAlignment="0" applyProtection="0"/>
    <xf numFmtId="3" fontId="28" fillId="13" borderId="15">
      <alignment horizontal="center" vertical="center"/>
      <protection locked="0"/>
    </xf>
    <xf numFmtId="176" fontId="19" fillId="0" borderId="0" applyFont="0" applyFill="0" applyBorder="0" applyAlignment="0" applyProtection="0"/>
    <xf numFmtId="176" fontId="19" fillId="0" borderId="0" applyFont="0" applyFill="0" applyBorder="0" applyAlignment="0" applyProtection="0"/>
    <xf numFmtId="0" fontId="19" fillId="14" borderId="0" applyFont="0" applyBorder="0" applyAlignment="0" applyProtection="0"/>
    <xf numFmtId="0" fontId="19" fillId="14" borderId="0" applyFont="0" applyBorder="0" applyAlignment="0" applyProtection="0"/>
    <xf numFmtId="0" fontId="19" fillId="15" borderId="0" applyFont="0" applyBorder="0" applyAlignment="0" applyProtection="0"/>
    <xf numFmtId="0" fontId="19" fillId="15" borderId="0" applyFont="0" applyBorder="0" applyAlignment="0" applyProtection="0"/>
    <xf numFmtId="177" fontId="19" fillId="14" borderId="0" applyFont="0" applyBorder="0" applyAlignment="0" applyProtection="0"/>
    <xf numFmtId="2" fontId="23" fillId="0" borderId="0" applyFont="0" applyFill="0" applyBorder="0" applyAlignment="0" applyProtection="0"/>
    <xf numFmtId="0" fontId="27" fillId="0" borderId="0"/>
    <xf numFmtId="12" fontId="29" fillId="0" borderId="16" applyFont="0" applyFill="0" applyBorder="0" applyAlignment="0" applyProtection="0"/>
    <xf numFmtId="38" fontId="19" fillId="6" borderId="0" applyNumberFormat="0" applyBorder="0" applyAlignment="0" applyProtection="0"/>
    <xf numFmtId="38" fontId="19" fillId="6" borderId="0" applyNumberFormat="0" applyBorder="0" applyAlignment="0" applyProtection="0"/>
    <xf numFmtId="10" fontId="19" fillId="13" borderId="17" applyNumberFormat="0" applyBorder="0" applyAlignment="0" applyProtection="0"/>
    <xf numFmtId="10" fontId="19" fillId="13" borderId="17" applyNumberFormat="0" applyBorder="0" applyAlignment="0" applyProtection="0"/>
    <xf numFmtId="0" fontId="30" fillId="10" borderId="12" applyNumberFormat="0" applyFont="0">
      <alignment horizontal="center"/>
      <protection locked="0"/>
    </xf>
    <xf numFmtId="0" fontId="30" fillId="10" borderId="12" applyNumberFormat="0" applyFont="0">
      <alignment horizontal="center"/>
      <protection locked="0"/>
    </xf>
    <xf numFmtId="37" fontId="31" fillId="0" borderId="0"/>
    <xf numFmtId="178" fontId="32" fillId="0" borderId="0"/>
    <xf numFmtId="0" fontId="19" fillId="0" borderId="0"/>
    <xf numFmtId="0" fontId="23" fillId="0" borderId="0"/>
    <xf numFmtId="0" fontId="19" fillId="0" borderId="0"/>
    <xf numFmtId="0" fontId="15" fillId="0" borderId="0"/>
    <xf numFmtId="0" fontId="19" fillId="0" borderId="0"/>
    <xf numFmtId="0" fontId="19" fillId="0" borderId="0"/>
    <xf numFmtId="0" fontId="19" fillId="0" borderId="0"/>
    <xf numFmtId="0" fontId="19" fillId="0" borderId="0"/>
    <xf numFmtId="0" fontId="19" fillId="0" borderId="0"/>
    <xf numFmtId="0" fontId="33" fillId="0" borderId="0"/>
    <xf numFmtId="37" fontId="23" fillId="10" borderId="0" applyFont="0" applyFill="0" applyBorder="0" applyAlignment="0" applyProtection="0">
      <alignment horizontal="center"/>
    </xf>
    <xf numFmtId="0" fontId="27" fillId="0" borderId="0"/>
    <xf numFmtId="0" fontId="27" fillId="0" borderId="0"/>
    <xf numFmtId="179" fontId="34" fillId="13" borderId="0" applyFont="0" applyFill="0" applyBorder="0" applyAlignment="0" applyProtection="0"/>
    <xf numFmtId="10" fontId="27" fillId="0" borderId="0" applyFont="0" applyFill="0" applyBorder="0" applyAlignment="0" applyProtection="0">
      <protection locked="0"/>
    </xf>
    <xf numFmtId="10" fontId="23" fillId="0" borderId="0" applyFont="0" applyFill="0" applyBorder="0" applyAlignment="0" applyProtection="0"/>
    <xf numFmtId="179" fontId="19" fillId="0" borderId="0" applyFont="0" applyFill="0" applyBorder="0" applyAlignment="0" applyProtection="0"/>
    <xf numFmtId="179" fontId="19" fillId="0" borderId="0" applyFont="0" applyFill="0" applyBorder="0" applyAlignment="0" applyProtection="0"/>
    <xf numFmtId="10" fontId="19" fillId="0" borderId="4" applyFont="0" applyFill="0" applyBorder="0" applyAlignment="0" applyProtection="0"/>
    <xf numFmtId="10" fontId="19" fillId="0" borderId="4" applyFont="0" applyFill="0" applyBorder="0" applyAlignment="0" applyProtection="0"/>
    <xf numFmtId="10" fontId="19" fillId="0" borderId="4" applyFont="0" applyFill="0" applyBorder="0" applyAlignment="0" applyProtection="0"/>
    <xf numFmtId="10" fontId="19" fillId="0" borderId="4" applyFont="0" applyFill="0" applyBorder="0" applyAlignment="0" applyProtection="0"/>
    <xf numFmtId="9" fontId="23"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33" fillId="0" borderId="0" applyFont="0" applyFill="0" applyBorder="0" applyAlignment="0" applyProtection="0"/>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23" fillId="7" borderId="12" applyFont="0" applyFill="0" applyBorder="0" applyAlignment="0" applyProtection="0">
      <protection locked="0"/>
    </xf>
    <xf numFmtId="0" fontId="12" fillId="0" borderId="0"/>
    <xf numFmtId="0" fontId="35" fillId="0" borderId="0"/>
    <xf numFmtId="164" fontId="23"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165" fontId="23"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2" fillId="0" borderId="0" applyFont="0" applyFill="0" applyBorder="0" applyAlignment="0" applyProtection="0"/>
    <xf numFmtId="164" fontId="19" fillId="0" borderId="0" applyFont="0" applyFill="0" applyBorder="0" applyAlignment="0" applyProtection="0"/>
    <xf numFmtId="164" fontId="19" fillId="0" borderId="0" applyFont="0" applyFill="0" applyBorder="0" applyAlignment="0" applyProtection="0"/>
    <xf numFmtId="0" fontId="12" fillId="0" borderId="0"/>
    <xf numFmtId="9" fontId="35" fillId="0" borderId="0" applyFont="0" applyFill="0" applyBorder="0" applyAlignment="0" applyProtection="0"/>
    <xf numFmtId="0" fontId="11" fillId="0" borderId="0"/>
    <xf numFmtId="0" fontId="11" fillId="0" borderId="0"/>
    <xf numFmtId="0" fontId="38" fillId="0" borderId="0" applyNumberFormat="0" applyFill="0" applyBorder="0" applyAlignment="0" applyProtection="0"/>
    <xf numFmtId="0" fontId="10" fillId="0" borderId="0"/>
    <xf numFmtId="0" fontId="10" fillId="0" borderId="0"/>
    <xf numFmtId="9" fontId="35" fillId="0" borderId="0" applyFont="0" applyFill="0" applyBorder="0" applyAlignment="0" applyProtection="0"/>
    <xf numFmtId="0" fontId="9" fillId="0" borderId="0"/>
    <xf numFmtId="0" fontId="9" fillId="0" borderId="0"/>
    <xf numFmtId="0" fontId="9" fillId="0" borderId="0"/>
    <xf numFmtId="0" fontId="8" fillId="0" borderId="0"/>
    <xf numFmtId="0" fontId="56" fillId="0" borderId="0"/>
    <xf numFmtId="0" fontId="56" fillId="0" borderId="0"/>
    <xf numFmtId="0" fontId="7" fillId="0" borderId="0"/>
    <xf numFmtId="44" fontId="7" fillId="0" borderId="0" applyFont="0" applyFill="0" applyBorder="0" applyAlignment="0" applyProtection="0"/>
    <xf numFmtId="0" fontId="68" fillId="0" borderId="0"/>
    <xf numFmtId="0" fontId="6" fillId="0" borderId="0"/>
    <xf numFmtId="43" fontId="35" fillId="0" borderId="0" applyFont="0" applyFill="0" applyBorder="0" applyAlignment="0" applyProtection="0"/>
    <xf numFmtId="0" fontId="5" fillId="0" borderId="0"/>
    <xf numFmtId="44" fontId="5" fillId="0" borderId="0" applyFont="0" applyFill="0" applyBorder="0" applyAlignment="0" applyProtection="0"/>
    <xf numFmtId="0" fontId="72" fillId="0" borderId="0"/>
    <xf numFmtId="0" fontId="4" fillId="0" borderId="0"/>
    <xf numFmtId="0" fontId="2" fillId="0" borderId="0"/>
    <xf numFmtId="0" fontId="1" fillId="0" borderId="0"/>
    <xf numFmtId="44" fontId="1" fillId="0" borderId="0" applyFont="0" applyFill="0" applyBorder="0" applyAlignment="0" applyProtection="0"/>
    <xf numFmtId="43" fontId="1" fillId="0" borderId="0" applyFont="0" applyFill="0" applyBorder="0" applyAlignment="0" applyProtection="0"/>
  </cellStyleXfs>
  <cellXfs count="466">
    <xf numFmtId="0" fontId="0" fillId="0" borderId="0" xfId="0"/>
    <xf numFmtId="0" fontId="13" fillId="2" borderId="0" xfId="0" applyFont="1" applyFill="1"/>
    <xf numFmtId="0" fontId="13" fillId="3" borderId="0" xfId="0" applyFont="1" applyFill="1"/>
    <xf numFmtId="0" fontId="13" fillId="3" borderId="0" xfId="0" applyFont="1" applyFill="1" applyAlignment="1">
      <alignment horizontal="center"/>
    </xf>
    <xf numFmtId="0" fontId="14" fillId="0" borderId="0" xfId="0" applyFont="1"/>
    <xf numFmtId="0" fontId="13" fillId="16" borderId="0" xfId="0" applyFont="1" applyFill="1"/>
    <xf numFmtId="0" fontId="35" fillId="0" borderId="0" xfId="0" applyFont="1"/>
    <xf numFmtId="0" fontId="13" fillId="3" borderId="0" xfId="0" applyFont="1" applyFill="1" applyAlignment="1">
      <alignment horizontal="left"/>
    </xf>
    <xf numFmtId="0" fontId="35" fillId="17" borderId="0" xfId="0" applyFont="1" applyFill="1"/>
    <xf numFmtId="0" fontId="36" fillId="0" borderId="0" xfId="0" quotePrefix="1" applyFont="1"/>
    <xf numFmtId="0" fontId="35" fillId="4" borderId="0" xfId="0" applyFont="1" applyFill="1"/>
    <xf numFmtId="0" fontId="13" fillId="18" borderId="0" xfId="0" applyFont="1" applyFill="1"/>
    <xf numFmtId="0" fontId="13" fillId="19" borderId="0" xfId="0" applyFont="1" applyFill="1"/>
    <xf numFmtId="0" fontId="0" fillId="17" borderId="0" xfId="0" applyFill="1" applyAlignment="1">
      <alignment horizontal="center"/>
    </xf>
    <xf numFmtId="0" fontId="13" fillId="19" borderId="0" xfId="0" applyFont="1" applyFill="1" applyAlignment="1">
      <alignment horizontal="center"/>
    </xf>
    <xf numFmtId="0" fontId="0" fillId="4" borderId="0" xfId="0" applyFont="1" applyFill="1" applyAlignment="1">
      <alignment horizontal="center"/>
    </xf>
    <xf numFmtId="0" fontId="0" fillId="0" borderId="0" xfId="0" applyFont="1"/>
    <xf numFmtId="0" fontId="16" fillId="0" borderId="0" xfId="163" applyFont="1" applyFill="1"/>
    <xf numFmtId="0" fontId="37" fillId="0" borderId="0" xfId="141" applyFont="1" applyFill="1"/>
    <xf numFmtId="0" fontId="16" fillId="17" borderId="3" xfId="104" applyFont="1" applyFill="1" applyBorder="1" applyAlignment="1">
      <alignment horizontal="center"/>
    </xf>
    <xf numFmtId="0" fontId="16" fillId="17" borderId="2" xfId="104" applyFont="1" applyFill="1" applyBorder="1" applyAlignment="1">
      <alignment horizontal="center"/>
    </xf>
    <xf numFmtId="0" fontId="36" fillId="17" borderId="1" xfId="141" applyFont="1" applyFill="1" applyBorder="1" applyAlignment="1">
      <alignment horizontal="center"/>
    </xf>
    <xf numFmtId="0" fontId="16" fillId="0" borderId="10" xfId="163" applyFont="1" applyFill="1" applyBorder="1" applyAlignment="1">
      <alignment horizontal="right"/>
    </xf>
    <xf numFmtId="0" fontId="16" fillId="0" borderId="9" xfId="163" applyFont="1" applyFill="1" applyBorder="1" applyAlignment="1">
      <alignment horizontal="right"/>
    </xf>
    <xf numFmtId="0" fontId="16" fillId="0" borderId="8" xfId="163" applyFont="1" applyFill="1" applyBorder="1" applyAlignment="1">
      <alignment horizontal="right"/>
    </xf>
    <xf numFmtId="0" fontId="16" fillId="0" borderId="7" xfId="163" applyFont="1" applyFill="1" applyBorder="1" applyAlignment="1">
      <alignment horizontal="right"/>
    </xf>
    <xf numFmtId="0" fontId="17" fillId="0" borderId="6" xfId="163" applyFont="1" applyFill="1" applyBorder="1" applyAlignment="1">
      <alignment horizontal="center"/>
    </xf>
    <xf numFmtId="0" fontId="17" fillId="0" borderId="4" xfId="163" applyFont="1" applyFill="1" applyBorder="1" applyAlignment="1">
      <alignment horizontal="center"/>
    </xf>
    <xf numFmtId="0" fontId="13" fillId="3" borderId="0" xfId="163" applyFont="1" applyFill="1"/>
    <xf numFmtId="0" fontId="13" fillId="3" borderId="0" xfId="163" applyFont="1" applyFill="1" applyAlignment="1">
      <alignment vertical="center"/>
    </xf>
    <xf numFmtId="0" fontId="40" fillId="3" borderId="0" xfId="163" applyFont="1" applyFill="1" applyAlignment="1">
      <alignment vertical="center"/>
    </xf>
    <xf numFmtId="0" fontId="16" fillId="5" borderId="0" xfId="163" applyFont="1" applyFill="1"/>
    <xf numFmtId="0" fontId="16" fillId="4" borderId="3" xfId="163" applyFont="1" applyFill="1" applyBorder="1"/>
    <xf numFmtId="0" fontId="16" fillId="4" borderId="2" xfId="163" applyFont="1" applyFill="1" applyBorder="1"/>
    <xf numFmtId="0" fontId="16" fillId="4" borderId="1" xfId="163" applyFont="1" applyFill="1" applyBorder="1"/>
    <xf numFmtId="0" fontId="16" fillId="0" borderId="0" xfId="163" applyFont="1" applyFill="1" applyAlignment="1">
      <alignment horizontal="right"/>
    </xf>
    <xf numFmtId="0" fontId="16" fillId="17" borderId="8" xfId="163" applyFont="1" applyFill="1" applyBorder="1" applyAlignment="1">
      <alignment horizontal="center"/>
    </xf>
    <xf numFmtId="0" fontId="16" fillId="4" borderId="0" xfId="163" applyFont="1" applyFill="1" applyBorder="1" applyAlignment="1">
      <alignment horizontal="left"/>
    </xf>
    <xf numFmtId="0" fontId="16" fillId="17" borderId="0" xfId="163" applyFont="1" applyFill="1" applyBorder="1" applyAlignment="1">
      <alignment horizontal="left"/>
    </xf>
    <xf numFmtId="1" fontId="16" fillId="17" borderId="0" xfId="163" applyNumberFormat="1" applyFont="1" applyFill="1" applyBorder="1" applyAlignment="1">
      <alignment horizontal="left"/>
    </xf>
    <xf numFmtId="1" fontId="16" fillId="17" borderId="7" xfId="163" applyNumberFormat="1" applyFont="1" applyFill="1" applyBorder="1" applyAlignment="1">
      <alignment horizontal="center"/>
    </xf>
    <xf numFmtId="0" fontId="16" fillId="0" borderId="6" xfId="163" applyFont="1" applyFill="1" applyBorder="1" applyAlignment="1">
      <alignment horizontal="center"/>
    </xf>
    <xf numFmtId="0" fontId="16" fillId="0" borderId="5" xfId="163" applyFont="1" applyFill="1" applyBorder="1" applyAlignment="1">
      <alignment horizontal="center"/>
    </xf>
    <xf numFmtId="0" fontId="16" fillId="0" borderId="4" xfId="163" applyFont="1" applyFill="1" applyBorder="1" applyAlignment="1">
      <alignment horizontal="center"/>
    </xf>
    <xf numFmtId="0" fontId="13" fillId="3" borderId="0" xfId="163" applyFont="1" applyFill="1" applyAlignment="1">
      <alignment horizontal="center"/>
    </xf>
    <xf numFmtId="0" fontId="13" fillId="3" borderId="0" xfId="163" applyFont="1" applyFill="1" applyAlignment="1">
      <alignment horizontal="left"/>
    </xf>
    <xf numFmtId="0" fontId="16" fillId="17" borderId="3" xfId="163" applyFont="1" applyFill="1" applyBorder="1" applyAlignment="1">
      <alignment horizontal="center"/>
    </xf>
    <xf numFmtId="0" fontId="16" fillId="17" borderId="1" xfId="163" applyFont="1" applyFill="1" applyBorder="1" applyAlignment="1">
      <alignment horizontal="center"/>
    </xf>
    <xf numFmtId="0" fontId="35" fillId="0" borderId="0" xfId="163" applyFont="1"/>
    <xf numFmtId="0" fontId="36" fillId="0" borderId="0" xfId="163" applyFont="1"/>
    <xf numFmtId="1" fontId="41" fillId="0" borderId="0" xfId="163" applyNumberFormat="1" applyFont="1" applyFill="1"/>
    <xf numFmtId="0" fontId="41" fillId="0" borderId="0" xfId="163" applyFont="1" applyFill="1" applyAlignment="1">
      <alignment horizontal="right"/>
    </xf>
    <xf numFmtId="0" fontId="36" fillId="0" borderId="0" xfId="163" applyFont="1" applyFill="1"/>
    <xf numFmtId="0" fontId="36" fillId="0" borderId="0" xfId="163" quotePrefix="1" applyFont="1"/>
    <xf numFmtId="0" fontId="13" fillId="19" borderId="0" xfId="163" applyFont="1" applyFill="1"/>
    <xf numFmtId="0" fontId="13" fillId="18" borderId="0" xfId="163" applyFont="1" applyFill="1"/>
    <xf numFmtId="0" fontId="35" fillId="4" borderId="0" xfId="163" applyFont="1" applyFill="1"/>
    <xf numFmtId="0" fontId="35" fillId="17" borderId="0" xfId="163" applyFont="1" applyFill="1"/>
    <xf numFmtId="0" fontId="41" fillId="0" borderId="0" xfId="163" applyFont="1"/>
    <xf numFmtId="0" fontId="14" fillId="0" borderId="0" xfId="163" applyFont="1"/>
    <xf numFmtId="0" fontId="35" fillId="0" borderId="0" xfId="164" applyFont="1"/>
    <xf numFmtId="0" fontId="39" fillId="0" borderId="0" xfId="162" applyFont="1" applyAlignment="1">
      <alignment horizontal="center" vertical="center"/>
    </xf>
    <xf numFmtId="0" fontId="39" fillId="0" borderId="0" xfId="162" applyFont="1" applyAlignment="1">
      <alignment horizontal="left" vertical="center"/>
    </xf>
    <xf numFmtId="0" fontId="35" fillId="0" borderId="0" xfId="164" applyFont="1" applyFill="1" applyBorder="1"/>
    <xf numFmtId="0" fontId="13" fillId="2" borderId="0" xfId="163" applyFont="1" applyFill="1"/>
    <xf numFmtId="0" fontId="40" fillId="2" borderId="0" xfId="163" applyFont="1" applyFill="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center"/>
    </xf>
    <xf numFmtId="0" fontId="13" fillId="2" borderId="0" xfId="0" applyFont="1" applyFill="1" applyAlignment="1">
      <alignment horizontal="center" vertical="center"/>
    </xf>
    <xf numFmtId="0" fontId="13" fillId="3" borderId="0" xfId="0" applyFont="1" applyFill="1" applyAlignment="1">
      <alignment horizontal="center" vertical="center"/>
    </xf>
    <xf numFmtId="0" fontId="13" fillId="2" borderId="0" xfId="0" applyFont="1" applyFill="1" applyAlignment="1">
      <alignment horizontal="left" vertical="center"/>
    </xf>
    <xf numFmtId="0" fontId="0" fillId="4" borderId="0" xfId="0" applyFill="1" applyAlignment="1">
      <alignment horizontal="center" vertical="center"/>
    </xf>
    <xf numFmtId="0" fontId="0" fillId="0" borderId="0" xfId="0" applyFill="1" applyAlignment="1">
      <alignment horizontal="center" vertical="center"/>
    </xf>
    <xf numFmtId="0" fontId="0" fillId="17" borderId="0" xfId="0" applyFill="1" applyAlignment="1">
      <alignment horizontal="center" vertical="center"/>
    </xf>
    <xf numFmtId="0" fontId="13" fillId="19" borderId="0" xfId="0" applyFont="1" applyFill="1" applyAlignment="1">
      <alignment horizontal="center" vertical="center"/>
    </xf>
    <xf numFmtId="0" fontId="42" fillId="3" borderId="0" xfId="0" applyFont="1" applyFill="1" applyAlignment="1">
      <alignment horizontal="center" vertical="center"/>
    </xf>
    <xf numFmtId="0" fontId="43" fillId="3" borderId="0" xfId="0" applyFont="1" applyFill="1" applyAlignment="1">
      <alignment horizontal="center" vertical="center"/>
    </xf>
    <xf numFmtId="0" fontId="44" fillId="3" borderId="0" xfId="0" applyFont="1" applyFill="1" applyAlignment="1">
      <alignment horizontal="center" vertical="center" wrapText="1"/>
    </xf>
    <xf numFmtId="0" fontId="42" fillId="3" borderId="0" xfId="0" applyFont="1" applyFill="1" applyAlignment="1">
      <alignment horizontal="left" vertical="center"/>
    </xf>
    <xf numFmtId="0" fontId="45" fillId="2" borderId="0" xfId="0" applyFont="1" applyFill="1" applyAlignment="1">
      <alignment horizontal="center" vertical="center" wrapText="1"/>
    </xf>
    <xf numFmtId="0" fontId="46" fillId="0" borderId="0" xfId="0" applyFont="1" applyAlignment="1">
      <alignment horizontal="left" vertical="center"/>
    </xf>
    <xf numFmtId="0" fontId="41" fillId="0" borderId="0" xfId="0" applyFont="1"/>
    <xf numFmtId="0" fontId="35" fillId="0" borderId="0" xfId="166" applyFont="1"/>
    <xf numFmtId="0" fontId="35" fillId="0" borderId="0" xfId="166" applyFont="1" applyFill="1" applyBorder="1"/>
    <xf numFmtId="0" fontId="43" fillId="2" borderId="0" xfId="0" applyFont="1" applyFill="1" applyAlignment="1">
      <alignment horizontal="center" vertical="center"/>
    </xf>
    <xf numFmtId="0" fontId="43" fillId="2" borderId="0" xfId="0" applyFont="1" applyFill="1" applyAlignment="1">
      <alignment horizontal="left" vertical="center"/>
    </xf>
    <xf numFmtId="0" fontId="0" fillId="0" borderId="0" xfId="0" applyFill="1"/>
    <xf numFmtId="9" fontId="45" fillId="21" borderId="0" xfId="165" applyFont="1" applyFill="1" applyAlignment="1" applyProtection="1">
      <alignment horizontal="center" vertical="center"/>
      <protection locked="0"/>
    </xf>
    <xf numFmtId="0" fontId="0" fillId="17" borderId="0" xfId="0" applyFill="1"/>
    <xf numFmtId="0" fontId="0" fillId="4" borderId="0" xfId="0" applyFill="1"/>
    <xf numFmtId="3" fontId="0" fillId="17" borderId="0" xfId="0" applyNumberFormat="1" applyFill="1" applyAlignment="1">
      <alignment horizontal="center"/>
    </xf>
    <xf numFmtId="0" fontId="47" fillId="0" borderId="0" xfId="112" applyFont="1" applyFill="1"/>
    <xf numFmtId="0" fontId="47" fillId="5" borderId="0" xfId="112" applyFont="1" applyFill="1"/>
    <xf numFmtId="0" fontId="47" fillId="5" borderId="19" xfId="112" applyFont="1" applyFill="1" applyBorder="1"/>
    <xf numFmtId="0" fontId="47" fillId="5" borderId="19" xfId="112" applyFont="1" applyFill="1" applyBorder="1" applyAlignment="1">
      <alignment horizontal="left"/>
    </xf>
    <xf numFmtId="0" fontId="47" fillId="5" borderId="20" xfId="112" applyFont="1" applyFill="1" applyBorder="1"/>
    <xf numFmtId="0" fontId="47" fillId="5" borderId="20" xfId="112" applyFont="1" applyFill="1" applyBorder="1" applyAlignment="1">
      <alignment horizontal="left"/>
    </xf>
    <xf numFmtId="0" fontId="47" fillId="5" borderId="13" xfId="112" applyFont="1" applyFill="1" applyBorder="1"/>
    <xf numFmtId="0" fontId="47" fillId="5" borderId="13" xfId="112" applyFont="1" applyFill="1" applyBorder="1" applyAlignment="1">
      <alignment horizontal="left"/>
    </xf>
    <xf numFmtId="0" fontId="47" fillId="0" borderId="0" xfId="112" applyFont="1" applyFill="1" applyAlignment="1">
      <alignment horizontal="left"/>
    </xf>
    <xf numFmtId="0" fontId="47" fillId="4" borderId="17" xfId="112" applyFont="1" applyFill="1" applyBorder="1"/>
    <xf numFmtId="0" fontId="45" fillId="2" borderId="0" xfId="112" applyFont="1" applyFill="1"/>
    <xf numFmtId="0" fontId="50" fillId="2" borderId="0" xfId="112" applyFont="1" applyFill="1"/>
    <xf numFmtId="0" fontId="51" fillId="0" borderId="0" xfId="112" applyFont="1" applyFill="1"/>
    <xf numFmtId="0" fontId="53" fillId="0" borderId="0" xfId="112" applyFont="1" applyFill="1"/>
    <xf numFmtId="0" fontId="47" fillId="4" borderId="19" xfId="112" applyFont="1" applyFill="1" applyBorder="1" applyAlignment="1">
      <alignment horizontal="center"/>
    </xf>
    <xf numFmtId="0" fontId="45" fillId="19" borderId="19" xfId="112" applyFont="1" applyFill="1" applyBorder="1" applyAlignment="1">
      <alignment horizontal="center"/>
    </xf>
    <xf numFmtId="0" fontId="47" fillId="17" borderId="19" xfId="112" applyFont="1" applyFill="1" applyBorder="1"/>
    <xf numFmtId="0" fontId="47" fillId="4" borderId="20" xfId="112" applyFont="1" applyFill="1" applyBorder="1" applyAlignment="1">
      <alignment horizontal="center"/>
    </xf>
    <xf numFmtId="0" fontId="45" fillId="19" borderId="20" xfId="112" applyFont="1" applyFill="1" applyBorder="1" applyAlignment="1">
      <alignment horizontal="center"/>
    </xf>
    <xf numFmtId="0" fontId="47" fillId="17" borderId="20" xfId="112" applyFont="1" applyFill="1" applyBorder="1"/>
    <xf numFmtId="0" fontId="47" fillId="4" borderId="13" xfId="112" applyFont="1" applyFill="1" applyBorder="1" applyAlignment="1">
      <alignment horizontal="center"/>
    </xf>
    <xf numFmtId="0" fontId="45" fillId="19" borderId="13" xfId="112" applyFont="1" applyFill="1" applyBorder="1" applyAlignment="1">
      <alignment horizontal="center"/>
    </xf>
    <xf numFmtId="0" fontId="47" fillId="17" borderId="13" xfId="112" applyFont="1" applyFill="1" applyBorder="1"/>
    <xf numFmtId="0" fontId="52" fillId="0" borderId="0" xfId="112" applyFont="1" applyFill="1"/>
    <xf numFmtId="0" fontId="47" fillId="17" borderId="17" xfId="112" applyFont="1" applyFill="1" applyBorder="1" applyAlignment="1">
      <alignment horizontal="center"/>
    </xf>
    <xf numFmtId="0" fontId="47" fillId="4" borderId="0" xfId="112" applyFont="1" applyFill="1" applyAlignment="1"/>
    <xf numFmtId="0" fontId="47" fillId="0" borderId="0" xfId="112" applyFont="1" applyFill="1" applyAlignment="1"/>
    <xf numFmtId="0" fontId="35" fillId="0" borderId="0" xfId="112" applyFont="1"/>
    <xf numFmtId="0" fontId="36" fillId="0" borderId="0" xfId="112" quotePrefix="1" applyFont="1"/>
    <xf numFmtId="0" fontId="13" fillId="19" borderId="0" xfId="112" applyFont="1" applyFill="1"/>
    <xf numFmtId="0" fontId="13" fillId="18" borderId="0" xfId="112" applyFont="1" applyFill="1"/>
    <xf numFmtId="0" fontId="35" fillId="4" borderId="0" xfId="112" applyFont="1" applyFill="1"/>
    <xf numFmtId="0" fontId="35" fillId="17" borderId="0" xfId="112" applyFont="1" applyFill="1"/>
    <xf numFmtId="0" fontId="41" fillId="0" borderId="0" xfId="112" applyFont="1"/>
    <xf numFmtId="0" fontId="14" fillId="0" borderId="0" xfId="112" applyFont="1"/>
    <xf numFmtId="0" fontId="13" fillId="3" borderId="0" xfId="112" applyFont="1" applyFill="1"/>
    <xf numFmtId="0" fontId="13" fillId="3" borderId="0" xfId="112" applyFont="1" applyFill="1" applyAlignment="1">
      <alignment horizontal="center"/>
    </xf>
    <xf numFmtId="0" fontId="13" fillId="3" borderId="0" xfId="112" applyFont="1" applyFill="1" applyAlignment="1">
      <alignment horizontal="left"/>
    </xf>
    <xf numFmtId="0" fontId="35" fillId="0" borderId="0" xfId="169" applyFont="1"/>
    <xf numFmtId="0" fontId="35" fillId="0" borderId="0" xfId="169" applyFont="1" applyFill="1" applyBorder="1"/>
    <xf numFmtId="0" fontId="13" fillId="2" borderId="0" xfId="112" applyFont="1" applyFill="1"/>
    <xf numFmtId="0" fontId="40" fillId="2" borderId="0" xfId="112" applyFont="1" applyFill="1"/>
    <xf numFmtId="0" fontId="54" fillId="19" borderId="0" xfId="0" applyFont="1" applyFill="1" applyAlignment="1">
      <alignment horizontal="center" vertical="center"/>
    </xf>
    <xf numFmtId="0" fontId="55" fillId="23" borderId="0" xfId="0" applyFont="1" applyFill="1" applyAlignment="1">
      <alignment horizontal="center" vertical="center"/>
    </xf>
    <xf numFmtId="0" fontId="55" fillId="17" borderId="0" xfId="0" applyFont="1" applyFill="1" applyAlignment="1">
      <alignment horizontal="center" vertical="center"/>
    </xf>
    <xf numFmtId="0" fontId="56" fillId="0" borderId="0" xfId="170"/>
    <xf numFmtId="0" fontId="56" fillId="0" borderId="0" xfId="170" applyFill="1"/>
    <xf numFmtId="0" fontId="56" fillId="0" borderId="17" xfId="170" applyBorder="1"/>
    <xf numFmtId="0" fontId="61" fillId="3" borderId="0" xfId="170" applyFont="1" applyFill="1"/>
    <xf numFmtId="0" fontId="56" fillId="3" borderId="0" xfId="170" applyFill="1"/>
    <xf numFmtId="0" fontId="0" fillId="0" borderId="0" xfId="170" applyFont="1" applyFill="1"/>
    <xf numFmtId="0" fontId="57" fillId="0" borderId="0" xfId="170" applyFont="1" applyFill="1" applyAlignment="1">
      <alignment horizontal="center" vertical="center"/>
    </xf>
    <xf numFmtId="0" fontId="56" fillId="0" borderId="0" xfId="170" applyFont="1"/>
    <xf numFmtId="0" fontId="0" fillId="0" borderId="0" xfId="0" applyAlignment="1">
      <alignment vertical="center"/>
    </xf>
    <xf numFmtId="0" fontId="14" fillId="0" borderId="0" xfId="0" applyFont="1" applyAlignment="1">
      <alignment vertical="center"/>
    </xf>
    <xf numFmtId="0" fontId="0" fillId="4" borderId="17" xfId="0" applyFill="1" applyBorder="1" applyAlignment="1">
      <alignment vertical="center"/>
    </xf>
    <xf numFmtId="0" fontId="13" fillId="3" borderId="0" xfId="0" applyFont="1" applyFill="1" applyAlignment="1">
      <alignment horizontal="left" vertical="center"/>
    </xf>
    <xf numFmtId="0" fontId="13" fillId="3" borderId="0" xfId="0" applyFont="1" applyFill="1" applyAlignment="1">
      <alignment vertical="center"/>
    </xf>
    <xf numFmtId="0" fontId="0" fillId="17" borderId="17" xfId="0" applyFill="1" applyBorder="1" applyAlignment="1">
      <alignment vertical="center"/>
    </xf>
    <xf numFmtId="0" fontId="14" fillId="0" borderId="0" xfId="0" applyFont="1" applyAlignment="1">
      <alignment horizontal="center" vertical="center"/>
    </xf>
    <xf numFmtId="9" fontId="45" fillId="21" borderId="0" xfId="165" applyFont="1" applyFill="1" applyAlignment="1" applyProtection="1">
      <alignment horizontal="center" vertical="center" wrapText="1"/>
      <protection locked="0"/>
    </xf>
    <xf numFmtId="1" fontId="45" fillId="21" borderId="0" xfId="165" applyNumberFormat="1" applyFont="1" applyFill="1" applyAlignment="1" applyProtection="1">
      <alignment horizontal="center" vertical="center"/>
      <protection locked="0"/>
    </xf>
    <xf numFmtId="180" fontId="45" fillId="22" borderId="0" xfId="165" applyNumberFormat="1" applyFont="1" applyFill="1" applyAlignment="1" applyProtection="1">
      <alignment horizontal="center" vertical="center"/>
      <protection locked="0"/>
    </xf>
    <xf numFmtId="0" fontId="0" fillId="0" borderId="0" xfId="0" applyFont="1" applyAlignment="1">
      <alignment horizontal="center"/>
    </xf>
    <xf numFmtId="0" fontId="46" fillId="0" borderId="0" xfId="0" applyFont="1"/>
    <xf numFmtId="0" fontId="46" fillId="0" borderId="0" xfId="0" applyFont="1" applyAlignment="1">
      <alignment vertical="center"/>
    </xf>
    <xf numFmtId="0" fontId="14" fillId="0" borderId="0" xfId="0" applyFont="1" applyAlignment="1">
      <alignment horizontal="center" vertical="center" wrapText="1"/>
    </xf>
    <xf numFmtId="0" fontId="47" fillId="5" borderId="0" xfId="0" applyFont="1" applyFill="1" applyAlignment="1" applyProtection="1">
      <alignment vertical="center"/>
    </xf>
    <xf numFmtId="0" fontId="45" fillId="20" borderId="0" xfId="0" applyFont="1" applyFill="1" applyAlignment="1" applyProtection="1">
      <alignment horizontal="left" vertical="center"/>
    </xf>
    <xf numFmtId="0" fontId="47" fillId="20" borderId="0" xfId="0" applyFont="1" applyFill="1" applyAlignment="1" applyProtection="1">
      <alignment vertical="center"/>
    </xf>
    <xf numFmtId="0" fontId="47" fillId="4" borderId="0" xfId="0" applyFont="1" applyFill="1" applyAlignment="1" applyProtection="1">
      <alignment vertical="center"/>
    </xf>
    <xf numFmtId="0" fontId="48" fillId="5" borderId="18" xfId="0" applyFont="1" applyFill="1" applyBorder="1" applyAlignment="1" applyProtection="1">
      <alignment horizontal="left" vertical="center" indent="3"/>
    </xf>
    <xf numFmtId="0" fontId="47" fillId="5" borderId="18" xfId="0" applyFont="1" applyFill="1" applyBorder="1" applyAlignment="1" applyProtection="1">
      <alignment vertical="center"/>
    </xf>
    <xf numFmtId="0" fontId="47" fillId="5" borderId="18" xfId="0" applyFont="1" applyFill="1" applyBorder="1" applyAlignment="1" applyProtection="1">
      <alignment horizontal="center" vertical="center"/>
    </xf>
    <xf numFmtId="0" fontId="47" fillId="4" borderId="18" xfId="0" applyFont="1" applyFill="1" applyBorder="1" applyAlignment="1" applyProtection="1">
      <alignment horizontal="center" vertical="center"/>
    </xf>
    <xf numFmtId="1" fontId="47" fillId="5" borderId="0" xfId="0" applyNumberFormat="1" applyFont="1" applyFill="1" applyAlignment="1" applyProtection="1">
      <alignment vertical="center"/>
    </xf>
    <xf numFmtId="0" fontId="59" fillId="9" borderId="17" xfId="170" applyFont="1" applyFill="1" applyBorder="1" applyAlignment="1">
      <alignment wrapText="1"/>
    </xf>
    <xf numFmtId="0" fontId="58" fillId="0" borderId="0" xfId="0" applyFont="1" applyAlignment="1">
      <alignment horizontal="center" wrapText="1"/>
    </xf>
    <xf numFmtId="0" fontId="13" fillId="19" borderId="17" xfId="0" applyFont="1" applyFill="1" applyBorder="1" applyAlignment="1">
      <alignment horizontal="left" vertical="center"/>
    </xf>
    <xf numFmtId="0" fontId="13" fillId="19" borderId="19" xfId="0" applyFont="1" applyFill="1" applyBorder="1" applyAlignment="1">
      <alignment horizontal="center" vertical="center"/>
    </xf>
    <xf numFmtId="0" fontId="13" fillId="19" borderId="22" xfId="0" applyFont="1" applyFill="1" applyBorder="1" applyAlignment="1">
      <alignment horizontal="center" vertical="center"/>
    </xf>
    <xf numFmtId="0" fontId="66" fillId="0" borderId="4" xfId="172" applyFont="1" applyBorder="1"/>
    <xf numFmtId="0" fontId="66" fillId="0" borderId="0" xfId="172" applyFont="1"/>
    <xf numFmtId="0" fontId="66" fillId="0" borderId="0" xfId="172" applyFont="1" applyBorder="1" applyAlignment="1">
      <alignment horizontal="center"/>
    </xf>
    <xf numFmtId="0" fontId="66" fillId="0" borderId="8" xfId="172" applyFont="1" applyBorder="1" applyAlignment="1">
      <alignment horizontal="center"/>
    </xf>
    <xf numFmtId="0" fontId="66" fillId="0" borderId="7" xfId="172" applyFont="1" applyBorder="1" applyAlignment="1">
      <alignment vertical="top"/>
    </xf>
    <xf numFmtId="0" fontId="66" fillId="0" borderId="7" xfId="172" applyFont="1" applyFill="1" applyBorder="1" applyAlignment="1">
      <alignment horizontal="center"/>
    </xf>
    <xf numFmtId="0" fontId="66" fillId="0" borderId="8" xfId="172" applyFont="1" applyFill="1" applyBorder="1" applyAlignment="1">
      <alignment horizontal="center"/>
    </xf>
    <xf numFmtId="0" fontId="66" fillId="0" borderId="7" xfId="172" applyFont="1" applyBorder="1" applyAlignment="1">
      <alignment horizontal="center"/>
    </xf>
    <xf numFmtId="0" fontId="66" fillId="0" borderId="6" xfId="172" applyFont="1" applyBorder="1"/>
    <xf numFmtId="0" fontId="66" fillId="0" borderId="7" xfId="172" applyFont="1" applyBorder="1"/>
    <xf numFmtId="0" fontId="66" fillId="0" borderId="8" xfId="172" applyFont="1" applyBorder="1"/>
    <xf numFmtId="181" fontId="35" fillId="9" borderId="23" xfId="173" applyNumberFormat="1" applyFont="1" applyFill="1" applyBorder="1"/>
    <xf numFmtId="181" fontId="35" fillId="9" borderId="24" xfId="173" applyNumberFormat="1" applyFont="1" applyFill="1" applyBorder="1"/>
    <xf numFmtId="182" fontId="35" fillId="9" borderId="23" xfId="173" applyNumberFormat="1" applyFont="1" applyFill="1" applyBorder="1"/>
    <xf numFmtId="182" fontId="7" fillId="9" borderId="17" xfId="172" applyNumberFormat="1" applyFont="1" applyFill="1" applyBorder="1"/>
    <xf numFmtId="182" fontId="7" fillId="9" borderId="24" xfId="172" applyNumberFormat="1" applyFont="1" applyFill="1" applyBorder="1"/>
    <xf numFmtId="182" fontId="35" fillId="9" borderId="17" xfId="173" applyNumberFormat="1" applyFont="1" applyFill="1" applyBorder="1"/>
    <xf numFmtId="182" fontId="35" fillId="9" borderId="24" xfId="173" applyNumberFormat="1" applyFont="1" applyFill="1" applyBorder="1"/>
    <xf numFmtId="0" fontId="7" fillId="0" borderId="0" xfId="172" applyFont="1"/>
    <xf numFmtId="182" fontId="7" fillId="9" borderId="23" xfId="172" applyNumberFormat="1" applyFont="1" applyFill="1" applyBorder="1"/>
    <xf numFmtId="183" fontId="35" fillId="9" borderId="23" xfId="173" applyNumberFormat="1" applyFont="1" applyFill="1" applyBorder="1"/>
    <xf numFmtId="183" fontId="7" fillId="9" borderId="17" xfId="172" applyNumberFormat="1" applyFont="1" applyFill="1" applyBorder="1"/>
    <xf numFmtId="183" fontId="7" fillId="9" borderId="24" xfId="172" applyNumberFormat="1" applyFont="1" applyFill="1" applyBorder="1"/>
    <xf numFmtId="183" fontId="35" fillId="9" borderId="17" xfId="173" applyNumberFormat="1" applyFont="1" applyFill="1" applyBorder="1"/>
    <xf numFmtId="183" fontId="35" fillId="9" borderId="24" xfId="173" applyNumberFormat="1" applyFont="1" applyFill="1" applyBorder="1"/>
    <xf numFmtId="183" fontId="7" fillId="9" borderId="23" xfId="172" applyNumberFormat="1" applyFont="1" applyFill="1" applyBorder="1"/>
    <xf numFmtId="181" fontId="35" fillId="9" borderId="17" xfId="173" applyNumberFormat="1" applyFont="1" applyFill="1" applyBorder="1"/>
    <xf numFmtId="181" fontId="7" fillId="9" borderId="17" xfId="173" applyNumberFormat="1" applyFont="1" applyFill="1" applyBorder="1"/>
    <xf numFmtId="181" fontId="7" fillId="9" borderId="24" xfId="173" applyNumberFormat="1" applyFont="1" applyFill="1" applyBorder="1"/>
    <xf numFmtId="0" fontId="7" fillId="0" borderId="0" xfId="172" applyFont="1" applyBorder="1"/>
    <xf numFmtId="0" fontId="7" fillId="9" borderId="23" xfId="172" applyFont="1" applyFill="1" applyBorder="1"/>
    <xf numFmtId="0" fontId="7" fillId="9" borderId="17" xfId="172" applyFont="1" applyFill="1" applyBorder="1"/>
    <xf numFmtId="0" fontId="7" fillId="9" borderId="24" xfId="172" applyFont="1" applyFill="1" applyBorder="1"/>
    <xf numFmtId="0" fontId="45" fillId="2" borderId="0" xfId="0" applyFont="1" applyFill="1" applyAlignment="1">
      <alignment horizontal="left" vertical="center"/>
    </xf>
    <xf numFmtId="181" fontId="13" fillId="19" borderId="24" xfId="173" applyNumberFormat="1" applyFont="1" applyFill="1" applyBorder="1"/>
    <xf numFmtId="0" fontId="46" fillId="0" borderId="0" xfId="0" applyFont="1" applyAlignment="1">
      <alignment horizontal="center"/>
    </xf>
    <xf numFmtId="0" fontId="0" fillId="27" borderId="0" xfId="0" applyFill="1"/>
    <xf numFmtId="3" fontId="13" fillId="19" borderId="0" xfId="0" applyNumberFormat="1" applyFont="1" applyFill="1"/>
    <xf numFmtId="3" fontId="0" fillId="0" borderId="0" xfId="0" applyNumberFormat="1"/>
    <xf numFmtId="3" fontId="13" fillId="27" borderId="0" xfId="0" applyNumberFormat="1" applyFont="1" applyFill="1"/>
    <xf numFmtId="3" fontId="0" fillId="26" borderId="0" xfId="0" applyNumberFormat="1" applyFont="1" applyFill="1"/>
    <xf numFmtId="3" fontId="0" fillId="26" borderId="0" xfId="0" applyNumberFormat="1" applyFont="1" applyFill="1" applyAlignment="1">
      <alignment horizontal="center"/>
    </xf>
    <xf numFmtId="3" fontId="13" fillId="19" borderId="0" xfId="0" applyNumberFormat="1" applyFont="1" applyFill="1" applyAlignment="1">
      <alignment horizontal="right"/>
    </xf>
    <xf numFmtId="0" fontId="36" fillId="0" borderId="0" xfId="174" applyFont="1"/>
    <xf numFmtId="0" fontId="36" fillId="3" borderId="0" xfId="174" applyFont="1" applyFill="1"/>
    <xf numFmtId="0" fontId="36" fillId="0" borderId="0" xfId="103" applyFont="1"/>
    <xf numFmtId="0" fontId="35" fillId="4" borderId="0" xfId="103" applyFont="1" applyFill="1" applyAlignment="1">
      <alignment horizontal="center"/>
    </xf>
    <xf numFmtId="0" fontId="13" fillId="3" borderId="0" xfId="103" applyFont="1" applyFill="1"/>
    <xf numFmtId="0" fontId="13" fillId="3" borderId="0" xfId="103" applyFont="1" applyFill="1" applyAlignment="1">
      <alignment vertical="center"/>
    </xf>
    <xf numFmtId="0" fontId="40" fillId="3" borderId="0" xfId="103" applyFont="1" applyFill="1" applyAlignment="1">
      <alignment vertical="center"/>
    </xf>
    <xf numFmtId="1" fontId="41" fillId="0" borderId="0" xfId="103" applyNumberFormat="1" applyFont="1" applyFill="1"/>
    <xf numFmtId="0" fontId="41" fillId="0" borderId="0" xfId="103" applyFont="1" applyFill="1" applyAlignment="1">
      <alignment horizontal="right"/>
    </xf>
    <xf numFmtId="0" fontId="36" fillId="3" borderId="0" xfId="103" applyFont="1" applyFill="1"/>
    <xf numFmtId="0" fontId="36" fillId="0" borderId="0" xfId="103" applyFont="1" applyFill="1"/>
    <xf numFmtId="0" fontId="36" fillId="17" borderId="0" xfId="174" applyFont="1" applyFill="1" applyAlignment="1">
      <alignment horizontal="center"/>
    </xf>
    <xf numFmtId="0" fontId="13" fillId="3" borderId="0" xfId="174" applyFont="1" applyFill="1"/>
    <xf numFmtId="0" fontId="13" fillId="3" borderId="0" xfId="174" applyFont="1" applyFill="1" applyAlignment="1">
      <alignment horizontal="center"/>
    </xf>
    <xf numFmtId="0" fontId="13" fillId="3" borderId="0" xfId="174" applyFont="1" applyFill="1" applyAlignment="1">
      <alignment horizontal="left"/>
    </xf>
    <xf numFmtId="0" fontId="35" fillId="0" borderId="0" xfId="174" applyFont="1"/>
    <xf numFmtId="0" fontId="35" fillId="3" borderId="0" xfId="174" applyFont="1" applyFill="1"/>
    <xf numFmtId="0" fontId="13" fillId="3" borderId="0" xfId="174" applyFont="1" applyFill="1" applyAlignment="1">
      <alignment vertical="center"/>
    </xf>
    <xf numFmtId="0" fontId="40" fillId="3" borderId="0" xfId="174" applyFont="1" applyFill="1" applyAlignment="1">
      <alignment vertical="center"/>
    </xf>
    <xf numFmtId="1" fontId="41" fillId="0" borderId="0" xfId="174" applyNumberFormat="1" applyFont="1" applyFill="1"/>
    <xf numFmtId="0" fontId="41" fillId="0" borderId="0" xfId="174" applyFont="1" applyFill="1" applyAlignment="1">
      <alignment horizontal="right"/>
    </xf>
    <xf numFmtId="0" fontId="36" fillId="0" borderId="0" xfId="174" applyFont="1" applyFill="1"/>
    <xf numFmtId="0" fontId="36" fillId="0" borderId="0" xfId="174" applyFont="1" applyFill="1" applyAlignment="1">
      <alignment horizontal="left"/>
    </xf>
    <xf numFmtId="0" fontId="36" fillId="28" borderId="0" xfId="174" applyFont="1" applyFill="1"/>
    <xf numFmtId="0" fontId="36" fillId="0" borderId="0" xfId="174" quotePrefix="1" applyFont="1"/>
    <xf numFmtId="0" fontId="13" fillId="19" borderId="0" xfId="174" applyFont="1" applyFill="1"/>
    <xf numFmtId="0" fontId="13" fillId="18" borderId="0" xfId="174" applyFont="1" applyFill="1"/>
    <xf numFmtId="0" fontId="35" fillId="4" borderId="0" xfId="174" applyFont="1" applyFill="1"/>
    <xf numFmtId="0" fontId="35" fillId="17" borderId="0" xfId="174" applyFont="1" applyFill="1"/>
    <xf numFmtId="0" fontId="41" fillId="0" borderId="0" xfId="174" applyFont="1"/>
    <xf numFmtId="0" fontId="14" fillId="0" borderId="0" xfId="174" applyFont="1"/>
    <xf numFmtId="0" fontId="35" fillId="0" borderId="0" xfId="175" applyFont="1"/>
    <xf numFmtId="0" fontId="35" fillId="0" borderId="0" xfId="175" applyFont="1" applyFill="1" applyBorder="1"/>
    <xf numFmtId="0" fontId="13" fillId="2" borderId="0" xfId="174" applyFont="1" applyFill="1"/>
    <xf numFmtId="0" fontId="40" fillId="2" borderId="0" xfId="174" applyFont="1" applyFill="1"/>
    <xf numFmtId="9" fontId="0" fillId="17" borderId="0" xfId="0" applyNumberFormat="1" applyFill="1"/>
    <xf numFmtId="0" fontId="47" fillId="5" borderId="25" xfId="0" applyFont="1" applyFill="1" applyBorder="1" applyAlignment="1" applyProtection="1">
      <alignment vertical="center"/>
    </xf>
    <xf numFmtId="0" fontId="47" fillId="5" borderId="26" xfId="0" applyFont="1" applyFill="1" applyBorder="1" applyAlignment="1" applyProtection="1">
      <alignment vertical="center"/>
    </xf>
    <xf numFmtId="0" fontId="47" fillId="4" borderId="26" xfId="0" applyFont="1" applyFill="1" applyBorder="1" applyAlignment="1" applyProtection="1">
      <alignment vertical="center"/>
    </xf>
    <xf numFmtId="0" fontId="47" fillId="5" borderId="27" xfId="0" applyFont="1" applyFill="1" applyBorder="1" applyAlignment="1" applyProtection="1">
      <alignment vertical="center"/>
    </xf>
    <xf numFmtId="0" fontId="47" fillId="5" borderId="28" xfId="0" applyFont="1" applyFill="1" applyBorder="1" applyAlignment="1" applyProtection="1">
      <alignment vertical="center"/>
    </xf>
    <xf numFmtId="0" fontId="47" fillId="5" borderId="0" xfId="0" applyFont="1" applyFill="1" applyBorder="1" applyAlignment="1" applyProtection="1">
      <alignment vertical="center"/>
    </xf>
    <xf numFmtId="184" fontId="47" fillId="4" borderId="0" xfId="0" applyNumberFormat="1" applyFont="1" applyFill="1" applyBorder="1" applyAlignment="1" applyProtection="1">
      <alignment horizontal="right" vertical="center"/>
    </xf>
    <xf numFmtId="0" fontId="47" fillId="5" borderId="29" xfId="0" applyFont="1" applyFill="1" applyBorder="1" applyAlignment="1" applyProtection="1">
      <alignment vertical="center"/>
    </xf>
    <xf numFmtId="0" fontId="47" fillId="5" borderId="0" xfId="0" applyFont="1" applyFill="1" applyBorder="1" applyAlignment="1" applyProtection="1">
      <alignment horizontal="left" vertical="center" indent="2"/>
    </xf>
    <xf numFmtId="184" fontId="47" fillId="5" borderId="0" xfId="0" applyNumberFormat="1" applyFont="1" applyFill="1" applyBorder="1" applyAlignment="1" applyProtection="1">
      <alignment horizontal="right" vertical="center"/>
    </xf>
    <xf numFmtId="0" fontId="47" fillId="5" borderId="0" xfId="0" applyFont="1" applyFill="1" applyBorder="1" applyAlignment="1" applyProtection="1">
      <alignment horizontal="right" vertical="center"/>
    </xf>
    <xf numFmtId="0" fontId="52" fillId="5" borderId="0" xfId="0" applyFont="1" applyFill="1" applyBorder="1" applyAlignment="1" applyProtection="1">
      <alignment horizontal="left" vertical="center" indent="2"/>
    </xf>
    <xf numFmtId="184" fontId="52" fillId="5" borderId="0" xfId="0" applyNumberFormat="1" applyFont="1" applyFill="1" applyBorder="1" applyAlignment="1" applyProtection="1">
      <alignment horizontal="right" vertical="center"/>
    </xf>
    <xf numFmtId="0" fontId="52" fillId="5" borderId="0" xfId="0" applyFont="1" applyFill="1" applyBorder="1" applyAlignment="1" applyProtection="1">
      <alignment vertical="center"/>
    </xf>
    <xf numFmtId="184" fontId="52" fillId="4" borderId="0" xfId="0" applyNumberFormat="1" applyFont="1" applyFill="1" applyBorder="1" applyAlignment="1" applyProtection="1">
      <alignment horizontal="right" vertical="center"/>
    </xf>
    <xf numFmtId="184" fontId="47" fillId="5" borderId="0" xfId="0" applyNumberFormat="1" applyFont="1" applyFill="1" applyBorder="1" applyAlignment="1" applyProtection="1">
      <alignment vertical="center"/>
    </xf>
    <xf numFmtId="184" fontId="47" fillId="4" borderId="0" xfId="0" applyNumberFormat="1" applyFont="1" applyFill="1" applyBorder="1" applyAlignment="1" applyProtection="1">
      <alignment vertical="center"/>
    </xf>
    <xf numFmtId="0" fontId="52" fillId="5" borderId="0" xfId="0" applyFont="1" applyFill="1" applyBorder="1" applyAlignment="1" applyProtection="1">
      <alignment horizontal="right" vertical="center"/>
    </xf>
    <xf numFmtId="0" fontId="47" fillId="5" borderId="30" xfId="0" applyFont="1" applyFill="1" applyBorder="1" applyAlignment="1" applyProtection="1">
      <alignment vertical="center"/>
    </xf>
    <xf numFmtId="0" fontId="47" fillId="5" borderId="31" xfId="0" applyFont="1" applyFill="1" applyBorder="1" applyAlignment="1" applyProtection="1">
      <alignment vertical="center"/>
    </xf>
    <xf numFmtId="0" fontId="47" fillId="4" borderId="31" xfId="0" applyFont="1" applyFill="1" applyBorder="1" applyAlignment="1" applyProtection="1">
      <alignment vertical="center"/>
    </xf>
    <xf numFmtId="0" fontId="47" fillId="5" borderId="32" xfId="0" applyFont="1" applyFill="1" applyBorder="1" applyAlignment="1" applyProtection="1">
      <alignment vertical="center"/>
    </xf>
    <xf numFmtId="0" fontId="47" fillId="5" borderId="0" xfId="0" applyFont="1" applyFill="1" applyBorder="1" applyAlignment="1" applyProtection="1">
      <alignment horizontal="left" vertical="center"/>
    </xf>
    <xf numFmtId="0" fontId="47" fillId="4" borderId="0" xfId="0" applyFont="1" applyFill="1" applyBorder="1" applyAlignment="1" applyProtection="1">
      <alignment vertical="center"/>
    </xf>
    <xf numFmtId="0" fontId="69" fillId="5" borderId="0" xfId="0" applyFont="1" applyFill="1" applyAlignment="1" applyProtection="1">
      <alignment vertical="center"/>
    </xf>
    <xf numFmtId="0" fontId="47" fillId="5" borderId="33" xfId="0" applyFont="1" applyFill="1" applyBorder="1" applyAlignment="1" applyProtection="1">
      <alignment vertical="center"/>
    </xf>
    <xf numFmtId="0" fontId="47" fillId="5" borderId="34" xfId="0" applyFont="1" applyFill="1" applyBorder="1" applyAlignment="1" applyProtection="1">
      <alignment vertical="center"/>
    </xf>
    <xf numFmtId="0" fontId="47" fillId="4" borderId="34" xfId="0" applyFont="1" applyFill="1" applyBorder="1" applyAlignment="1" applyProtection="1">
      <alignment vertical="center"/>
    </xf>
    <xf numFmtId="0" fontId="47" fillId="5" borderId="35" xfId="0" applyFont="1" applyFill="1" applyBorder="1" applyAlignment="1" applyProtection="1">
      <alignment vertical="center"/>
    </xf>
    <xf numFmtId="0" fontId="47" fillId="5" borderId="36" xfId="0" applyFont="1" applyFill="1" applyBorder="1" applyAlignment="1" applyProtection="1">
      <alignment vertical="center"/>
    </xf>
    <xf numFmtId="0" fontId="47" fillId="5" borderId="37" xfId="0" applyFont="1" applyFill="1" applyBorder="1" applyAlignment="1" applyProtection="1">
      <alignment vertical="center"/>
    </xf>
    <xf numFmtId="0" fontId="47" fillId="5" borderId="38" xfId="0" applyFont="1" applyFill="1" applyBorder="1" applyAlignment="1" applyProtection="1">
      <alignment vertical="center"/>
    </xf>
    <xf numFmtId="0" fontId="47" fillId="5" borderId="39" xfId="0" applyFont="1" applyFill="1" applyBorder="1" applyAlignment="1" applyProtection="1">
      <alignment vertical="center"/>
    </xf>
    <xf numFmtId="0" fontId="47" fillId="4" borderId="39" xfId="0" applyFont="1" applyFill="1" applyBorder="1" applyAlignment="1" applyProtection="1">
      <alignment vertical="center"/>
    </xf>
    <xf numFmtId="0" fontId="47" fillId="5" borderId="40" xfId="0" applyFont="1" applyFill="1" applyBorder="1" applyAlignment="1" applyProtection="1">
      <alignment vertical="center"/>
    </xf>
    <xf numFmtId="0" fontId="47" fillId="5" borderId="0" xfId="0" applyFont="1" applyFill="1" applyBorder="1" applyAlignment="1" applyProtection="1">
      <alignment horizontal="center" vertical="center"/>
    </xf>
    <xf numFmtId="0" fontId="35" fillId="4" borderId="0" xfId="0" applyFont="1" applyFill="1" applyAlignment="1">
      <alignment horizontal="center"/>
    </xf>
    <xf numFmtId="0" fontId="38" fillId="0" borderId="0" xfId="162" applyAlignment="1">
      <alignment horizontal="left" vertical="center"/>
    </xf>
    <xf numFmtId="0" fontId="35" fillId="9" borderId="0" xfId="163" applyFont="1" applyFill="1"/>
    <xf numFmtId="0" fontId="13" fillId="27" borderId="0" xfId="163" applyFont="1" applyFill="1"/>
    <xf numFmtId="0" fontId="13" fillId="29" borderId="0" xfId="163" applyFont="1" applyFill="1"/>
    <xf numFmtId="185" fontId="35" fillId="9" borderId="23" xfId="173" applyNumberFormat="1" applyFont="1" applyFill="1" applyBorder="1"/>
    <xf numFmtId="185" fontId="7" fillId="9" borderId="17" xfId="172" applyNumberFormat="1" applyFont="1" applyFill="1" applyBorder="1"/>
    <xf numFmtId="185" fontId="7" fillId="9" borderId="24" xfId="172" applyNumberFormat="1" applyFont="1" applyFill="1" applyBorder="1"/>
    <xf numFmtId="185" fontId="35" fillId="9" borderId="17" xfId="173" applyNumberFormat="1" applyFont="1" applyFill="1" applyBorder="1"/>
    <xf numFmtId="185" fontId="35" fillId="9" borderId="24" xfId="173" applyNumberFormat="1" applyFont="1" applyFill="1" applyBorder="1"/>
    <xf numFmtId="185" fontId="7" fillId="9" borderId="17" xfId="173" applyNumberFormat="1" applyFont="1" applyFill="1" applyBorder="1"/>
    <xf numFmtId="185" fontId="7" fillId="9" borderId="24" xfId="173" applyNumberFormat="1" applyFont="1" applyFill="1" applyBorder="1"/>
    <xf numFmtId="185" fontId="7" fillId="9" borderId="23" xfId="172" applyNumberFormat="1" applyFont="1" applyFill="1" applyBorder="1"/>
    <xf numFmtId="3" fontId="13" fillId="19" borderId="0" xfId="0" applyNumberFormat="1" applyFont="1" applyFill="1" applyAlignment="1">
      <alignment horizontal="center"/>
    </xf>
    <xf numFmtId="0" fontId="35" fillId="0" borderId="0" xfId="0" applyFont="1" applyAlignment="1">
      <alignment horizontal="center"/>
    </xf>
    <xf numFmtId="0" fontId="49" fillId="5" borderId="0" xfId="0" applyFont="1" applyFill="1" applyAlignment="1" applyProtection="1">
      <alignment vertical="center"/>
    </xf>
    <xf numFmtId="0" fontId="70" fillId="5" borderId="0" xfId="0" applyFont="1" applyFill="1" applyAlignment="1" applyProtection="1">
      <alignment horizontal="right" vertical="center"/>
    </xf>
    <xf numFmtId="0" fontId="71" fillId="5" borderId="0" xfId="0" applyFont="1" applyFill="1" applyBorder="1" applyAlignment="1" applyProtection="1">
      <alignment horizontal="left" vertical="center" indent="3"/>
    </xf>
    <xf numFmtId="186" fontId="13" fillId="19" borderId="0" xfId="176" applyNumberFormat="1" applyFont="1" applyFill="1" applyBorder="1" applyAlignment="1" applyProtection="1">
      <alignment horizontal="right" vertical="center"/>
    </xf>
    <xf numFmtId="186" fontId="35" fillId="0" borderId="0" xfId="176" applyNumberFormat="1" applyFont="1"/>
    <xf numFmtId="186" fontId="13" fillId="3" borderId="0" xfId="176" applyNumberFormat="1" applyFont="1" applyFill="1"/>
    <xf numFmtId="186" fontId="13" fillId="3" borderId="0" xfId="176" applyNumberFormat="1" applyFont="1" applyFill="1" applyAlignment="1">
      <alignment horizontal="center"/>
    </xf>
    <xf numFmtId="186" fontId="0" fillId="0" borderId="0" xfId="176" applyNumberFormat="1" applyFont="1"/>
    <xf numFmtId="186" fontId="0" fillId="17" borderId="0" xfId="176" applyNumberFormat="1" applyFont="1" applyFill="1"/>
    <xf numFmtId="186" fontId="0" fillId="17" borderId="0" xfId="0" applyNumberFormat="1" applyFill="1"/>
    <xf numFmtId="0" fontId="36" fillId="0" borderId="0" xfId="179" applyFont="1"/>
    <xf numFmtId="0" fontId="36" fillId="3" borderId="0" xfId="179" applyFont="1" applyFill="1"/>
    <xf numFmtId="0" fontId="35" fillId="17" borderId="0" xfId="179" applyFont="1" applyFill="1" applyAlignment="1">
      <alignment horizontal="center"/>
    </xf>
    <xf numFmtId="0" fontId="13" fillId="3" borderId="0" xfId="179" applyFont="1" applyFill="1"/>
    <xf numFmtId="0" fontId="13" fillId="3" borderId="0" xfId="179" applyFont="1" applyFill="1" applyAlignment="1">
      <alignment horizontal="left"/>
    </xf>
    <xf numFmtId="0" fontId="13" fillId="3" borderId="0" xfId="179" applyFont="1" applyFill="1" applyAlignment="1">
      <alignment horizontal="center"/>
    </xf>
    <xf numFmtId="0" fontId="35" fillId="0" borderId="0" xfId="179" applyFont="1"/>
    <xf numFmtId="0" fontId="35" fillId="3" borderId="0" xfId="179" applyFont="1" applyFill="1"/>
    <xf numFmtId="0" fontId="13" fillId="3" borderId="0" xfId="179" applyFont="1" applyFill="1" applyAlignment="1">
      <alignment vertical="center"/>
    </xf>
    <xf numFmtId="0" fontId="40" fillId="3" borderId="0" xfId="179" applyFont="1" applyFill="1" applyAlignment="1">
      <alignment vertical="center"/>
    </xf>
    <xf numFmtId="1" fontId="41" fillId="0" borderId="0" xfId="179" applyNumberFormat="1" applyFont="1" applyFill="1"/>
    <xf numFmtId="0" fontId="41" fillId="0" borderId="0" xfId="179" applyFont="1" applyFill="1" applyAlignment="1">
      <alignment horizontal="right"/>
    </xf>
    <xf numFmtId="0" fontId="36" fillId="0" borderId="0" xfId="179" applyFont="1" applyFill="1"/>
    <xf numFmtId="0" fontId="36" fillId="0" borderId="0" xfId="179" quotePrefix="1" applyFont="1"/>
    <xf numFmtId="0" fontId="13" fillId="19" borderId="0" xfId="179" applyFont="1" applyFill="1"/>
    <xf numFmtId="0" fontId="13" fillId="18" borderId="0" xfId="179" applyFont="1" applyFill="1"/>
    <xf numFmtId="0" fontId="35" fillId="4" borderId="0" xfId="179" applyFont="1" applyFill="1"/>
    <xf numFmtId="0" fontId="35" fillId="17" borderId="0" xfId="179" applyFont="1" applyFill="1"/>
    <xf numFmtId="0" fontId="41" fillId="0" borderId="0" xfId="179" applyFont="1"/>
    <xf numFmtId="0" fontId="14" fillId="0" borderId="0" xfId="179" applyFont="1"/>
    <xf numFmtId="0" fontId="35" fillId="0" borderId="0" xfId="180" applyFont="1"/>
    <xf numFmtId="0" fontId="35" fillId="0" borderId="0" xfId="180" applyFont="1" applyFill="1" applyBorder="1"/>
    <xf numFmtId="0" fontId="13" fillId="2" borderId="0" xfId="179" applyFont="1" applyFill="1"/>
    <xf numFmtId="0" fontId="40" fillId="2" borderId="0" xfId="179" applyFont="1" applyFill="1"/>
    <xf numFmtId="0" fontId="35" fillId="17" borderId="0" xfId="179" applyNumberFormat="1" applyFont="1" applyFill="1" applyAlignment="1">
      <alignment horizontal="center"/>
    </xf>
    <xf numFmtId="0" fontId="36" fillId="0" borderId="0" xfId="179" applyNumberFormat="1" applyFont="1"/>
    <xf numFmtId="0" fontId="13" fillId="18" borderId="0" xfId="179" applyFont="1" applyFill="1" applyAlignment="1">
      <alignment horizontal="center"/>
    </xf>
    <xf numFmtId="0" fontId="36" fillId="0" borderId="0" xfId="179" applyNumberFormat="1" applyFont="1" applyAlignment="1">
      <alignment horizontal="center"/>
    </xf>
    <xf numFmtId="0" fontId="40" fillId="30" borderId="0" xfId="0" applyFont="1" applyFill="1" applyAlignment="1">
      <alignment horizontal="left"/>
    </xf>
    <xf numFmtId="0" fontId="40" fillId="30" borderId="0" xfId="0" applyFont="1" applyFill="1"/>
    <xf numFmtId="0" fontId="40" fillId="30" borderId="0" xfId="0" applyFont="1" applyFill="1" applyAlignment="1">
      <alignment horizontal="center"/>
    </xf>
    <xf numFmtId="0" fontId="0" fillId="31" borderId="0" xfId="0" applyFill="1"/>
    <xf numFmtId="0" fontId="73" fillId="31" borderId="0" xfId="0" applyFont="1" applyFill="1"/>
    <xf numFmtId="7" fontId="0" fillId="0" borderId="0" xfId="0" applyNumberFormat="1"/>
    <xf numFmtId="22" fontId="0" fillId="0" borderId="0" xfId="0" applyNumberFormat="1"/>
    <xf numFmtId="0" fontId="52" fillId="5" borderId="0" xfId="0" applyFont="1" applyFill="1" applyBorder="1" applyAlignment="1" applyProtection="1">
      <alignment horizontal="left" vertical="center" indent="3"/>
    </xf>
    <xf numFmtId="187" fontId="52" fillId="5" borderId="0" xfId="0" applyNumberFormat="1" applyFont="1" applyFill="1" applyAlignment="1" applyProtection="1">
      <alignment vertical="center"/>
    </xf>
    <xf numFmtId="187" fontId="47" fillId="5" borderId="0" xfId="0" applyNumberFormat="1" applyFont="1" applyFill="1" applyBorder="1" applyAlignment="1" applyProtection="1">
      <alignment vertical="center"/>
    </xf>
    <xf numFmtId="187" fontId="52" fillId="4" borderId="0" xfId="0" applyNumberFormat="1" applyFont="1" applyFill="1" applyBorder="1" applyAlignment="1" applyProtection="1">
      <alignment vertical="center"/>
    </xf>
    <xf numFmtId="187" fontId="52" fillId="5" borderId="0" xfId="0" applyNumberFormat="1" applyFont="1" applyFill="1" applyBorder="1" applyAlignment="1" applyProtection="1">
      <alignment vertical="center"/>
    </xf>
    <xf numFmtId="0" fontId="0" fillId="17" borderId="17" xfId="0" applyFill="1" applyBorder="1" applyAlignment="1">
      <alignment wrapText="1"/>
    </xf>
    <xf numFmtId="0" fontId="0" fillId="0" borderId="17" xfId="0" applyBorder="1" applyAlignment="1">
      <alignment wrapText="1"/>
    </xf>
    <xf numFmtId="0" fontId="63" fillId="0" borderId="0" xfId="171" applyFont="1"/>
    <xf numFmtId="0" fontId="63" fillId="0" borderId="0" xfId="170" applyFont="1" applyBorder="1"/>
    <xf numFmtId="0" fontId="0" fillId="0" borderId="0" xfId="170" quotePrefix="1" applyFont="1" applyBorder="1"/>
    <xf numFmtId="0" fontId="75" fillId="0" borderId="0" xfId="170" applyFont="1" applyFill="1" applyAlignment="1">
      <alignment horizontal="center" vertical="center"/>
    </xf>
    <xf numFmtId="0" fontId="62" fillId="0" borderId="0" xfId="170" applyFont="1"/>
    <xf numFmtId="0" fontId="62" fillId="0" borderId="0" xfId="170" applyFont="1" applyFill="1"/>
    <xf numFmtId="0" fontId="56" fillId="0" borderId="0" xfId="170" quotePrefix="1" applyFont="1" applyAlignment="1"/>
    <xf numFmtId="0" fontId="0" fillId="0" borderId="0" xfId="170" quotePrefix="1" applyFont="1" applyFill="1" applyBorder="1" applyAlignment="1">
      <alignment horizontal="left"/>
    </xf>
    <xf numFmtId="0" fontId="63" fillId="0" borderId="0" xfId="170" applyFont="1"/>
    <xf numFmtId="0" fontId="56" fillId="0" borderId="0" xfId="170" applyBorder="1"/>
    <xf numFmtId="181" fontId="13" fillId="19" borderId="21" xfId="173" applyNumberFormat="1" applyFont="1" applyFill="1" applyBorder="1"/>
    <xf numFmtId="0" fontId="7" fillId="4" borderId="0" xfId="172" applyFont="1" applyFill="1"/>
    <xf numFmtId="0" fontId="13" fillId="18" borderId="17" xfId="0" applyFont="1" applyFill="1" applyBorder="1" applyAlignment="1">
      <alignment horizontal="left" vertical="center"/>
    </xf>
    <xf numFmtId="181" fontId="0" fillId="9" borderId="17" xfId="173" applyNumberFormat="1" applyFont="1" applyFill="1" applyBorder="1"/>
    <xf numFmtId="181" fontId="0" fillId="9" borderId="23" xfId="173" applyNumberFormat="1" applyFont="1" applyFill="1" applyBorder="1"/>
    <xf numFmtId="0" fontId="58" fillId="4" borderId="41" xfId="170" applyFont="1" applyFill="1" applyBorder="1" applyAlignment="1">
      <alignment vertical="center"/>
    </xf>
    <xf numFmtId="0" fontId="57" fillId="24" borderId="42" xfId="170" applyFont="1" applyFill="1" applyBorder="1" applyAlignment="1">
      <alignment horizontal="center" vertical="center"/>
    </xf>
    <xf numFmtId="0" fontId="56" fillId="0" borderId="42" xfId="170" applyBorder="1"/>
    <xf numFmtId="0" fontId="0" fillId="0" borderId="42" xfId="170" applyFont="1" applyFill="1" applyBorder="1" applyAlignment="1">
      <alignment horizontal="center"/>
    </xf>
    <xf numFmtId="0" fontId="56" fillId="9" borderId="0" xfId="170" applyFill="1"/>
    <xf numFmtId="0" fontId="58" fillId="9" borderId="41" xfId="170" applyFont="1" applyFill="1" applyBorder="1" applyAlignment="1">
      <alignment vertical="center"/>
    </xf>
    <xf numFmtId="0" fontId="57" fillId="9" borderId="42" xfId="170" applyFont="1" applyFill="1" applyBorder="1" applyAlignment="1">
      <alignment horizontal="center" vertical="center"/>
    </xf>
    <xf numFmtId="0" fontId="56" fillId="9" borderId="42" xfId="170" applyFill="1" applyBorder="1"/>
    <xf numFmtId="0" fontId="0" fillId="9" borderId="42" xfId="170" applyFont="1" applyFill="1" applyBorder="1" applyAlignment="1">
      <alignment horizontal="center"/>
    </xf>
    <xf numFmtId="0" fontId="57" fillId="0" borderId="42" xfId="170" applyFont="1" applyFill="1" applyBorder="1" applyAlignment="1">
      <alignment horizontal="center" vertical="center"/>
    </xf>
    <xf numFmtId="0" fontId="57" fillId="32" borderId="42" xfId="170" applyFont="1" applyFill="1" applyBorder="1" applyAlignment="1">
      <alignment horizontal="center" vertical="center"/>
    </xf>
    <xf numFmtId="0" fontId="57" fillId="0" borderId="42" xfId="170" applyFont="1" applyFill="1" applyBorder="1" applyAlignment="1">
      <alignment horizontal="center" vertical="center" wrapText="1"/>
    </xf>
    <xf numFmtId="0" fontId="56" fillId="0" borderId="42" xfId="170" applyFill="1" applyBorder="1"/>
    <xf numFmtId="0" fontId="0" fillId="0" borderId="42" xfId="170" applyFont="1" applyFill="1" applyBorder="1"/>
    <xf numFmtId="6" fontId="0" fillId="0" borderId="42" xfId="170" applyNumberFormat="1" applyFont="1" applyFill="1" applyBorder="1" applyAlignment="1">
      <alignment wrapText="1"/>
    </xf>
    <xf numFmtId="0" fontId="57" fillId="33" borderId="42" xfId="170" applyFont="1" applyFill="1" applyBorder="1" applyAlignment="1">
      <alignment horizontal="center" vertical="center"/>
    </xf>
    <xf numFmtId="0" fontId="0" fillId="0" borderId="42" xfId="170" applyFont="1" applyBorder="1" applyAlignment="1">
      <alignment horizontal="center"/>
    </xf>
    <xf numFmtId="0" fontId="60" fillId="25" borderId="43" xfId="170" applyFont="1" applyFill="1" applyBorder="1" applyAlignment="1" applyProtection="1">
      <alignment horizontal="center" vertical="center" wrapText="1"/>
    </xf>
    <xf numFmtId="181" fontId="35" fillId="9" borderId="42" xfId="173" applyNumberFormat="1" applyFont="1" applyFill="1" applyBorder="1"/>
    <xf numFmtId="182" fontId="3" fillId="9" borderId="24" xfId="172" applyNumberFormat="1" applyFont="1" applyFill="1" applyBorder="1"/>
    <xf numFmtId="182" fontId="35" fillId="9" borderId="42" xfId="173" applyNumberFormat="1" applyFont="1" applyFill="1" applyBorder="1"/>
    <xf numFmtId="183" fontId="35" fillId="9" borderId="42" xfId="173" applyNumberFormat="1" applyFont="1" applyFill="1" applyBorder="1"/>
    <xf numFmtId="185" fontId="3" fillId="9" borderId="24" xfId="173" applyNumberFormat="1" applyFont="1" applyFill="1" applyBorder="1"/>
    <xf numFmtId="185" fontId="35" fillId="9" borderId="42" xfId="173" applyNumberFormat="1" applyFont="1" applyFill="1" applyBorder="1"/>
    <xf numFmtId="0" fontId="60" fillId="34" borderId="43" xfId="170" applyFont="1" applyFill="1" applyBorder="1" applyAlignment="1" applyProtection="1">
      <alignment horizontal="center" vertical="center" wrapText="1"/>
    </xf>
    <xf numFmtId="181" fontId="7" fillId="9" borderId="42" xfId="173" applyNumberFormat="1" applyFont="1" applyFill="1" applyBorder="1"/>
    <xf numFmtId="181" fontId="35" fillId="35" borderId="24" xfId="173" applyNumberFormat="1" applyFont="1" applyFill="1" applyBorder="1"/>
    <xf numFmtId="181" fontId="35" fillId="22" borderId="23" xfId="173" applyNumberFormat="1" applyFont="1" applyFill="1" applyBorder="1"/>
    <xf numFmtId="181" fontId="3" fillId="9" borderId="17" xfId="173" applyNumberFormat="1" applyFont="1" applyFill="1" applyBorder="1"/>
    <xf numFmtId="181" fontId="35" fillId="22" borderId="24" xfId="173" applyNumberFormat="1" applyFont="1" applyFill="1" applyBorder="1"/>
    <xf numFmtId="181" fontId="35" fillId="22" borderId="17" xfId="173" applyNumberFormat="1" applyFont="1" applyFill="1" applyBorder="1"/>
    <xf numFmtId="181" fontId="35" fillId="22" borderId="42" xfId="173" applyNumberFormat="1" applyFont="1" applyFill="1" applyBorder="1"/>
    <xf numFmtId="182" fontId="3" fillId="9" borderId="17" xfId="172" applyNumberFormat="1" applyFont="1" applyFill="1" applyBorder="1"/>
    <xf numFmtId="182" fontId="7" fillId="9" borderId="42" xfId="172" applyNumberFormat="1" applyFont="1" applyFill="1" applyBorder="1"/>
    <xf numFmtId="182" fontId="35" fillId="22" borderId="24" xfId="173" applyNumberFormat="1" applyFont="1" applyFill="1" applyBorder="1"/>
    <xf numFmtId="182" fontId="35" fillId="22" borderId="23" xfId="173" applyNumberFormat="1" applyFont="1" applyFill="1" applyBorder="1"/>
    <xf numFmtId="183" fontId="35" fillId="22" borderId="23" xfId="173" applyNumberFormat="1" applyFont="1" applyFill="1" applyBorder="1"/>
    <xf numFmtId="183" fontId="35" fillId="22" borderId="24" xfId="173" applyNumberFormat="1" applyFont="1" applyFill="1" applyBorder="1"/>
    <xf numFmtId="185" fontId="3" fillId="9" borderId="17" xfId="173" applyNumberFormat="1" applyFont="1" applyFill="1" applyBorder="1"/>
    <xf numFmtId="185" fontId="7" fillId="9" borderId="42" xfId="173" applyNumberFormat="1" applyFont="1" applyFill="1" applyBorder="1"/>
    <xf numFmtId="185" fontId="35" fillId="22" borderId="24" xfId="173" applyNumberFormat="1" applyFont="1" applyFill="1" applyBorder="1"/>
    <xf numFmtId="185" fontId="35" fillId="22" borderId="23" xfId="173" applyNumberFormat="1" applyFont="1" applyFill="1" applyBorder="1"/>
    <xf numFmtId="0" fontId="13" fillId="18" borderId="17" xfId="0" applyFont="1" applyFill="1" applyBorder="1" applyAlignment="1">
      <alignment vertical="center"/>
    </xf>
    <xf numFmtId="0" fontId="40" fillId="3" borderId="0" xfId="0" applyFont="1" applyFill="1" applyAlignment="1">
      <alignment horizontal="left" vertical="center"/>
    </xf>
    <xf numFmtId="0" fontId="7" fillId="4" borderId="0" xfId="172" applyFont="1" applyFill="1" applyBorder="1"/>
    <xf numFmtId="0" fontId="0" fillId="0" borderId="0" xfId="0" applyBorder="1"/>
    <xf numFmtId="181" fontId="35" fillId="9" borderId="44" xfId="173" applyNumberFormat="1" applyFont="1" applyFill="1" applyBorder="1"/>
    <xf numFmtId="181" fontId="13" fillId="19" borderId="45" xfId="173" applyNumberFormat="1" applyFont="1" applyFill="1" applyBorder="1"/>
    <xf numFmtId="181" fontId="7" fillId="9" borderId="13" xfId="173" applyNumberFormat="1" applyFont="1" applyFill="1" applyBorder="1"/>
    <xf numFmtId="181" fontId="7" fillId="9" borderId="45" xfId="173" applyNumberFormat="1" applyFont="1" applyFill="1" applyBorder="1"/>
    <xf numFmtId="181" fontId="35" fillId="9" borderId="13" xfId="173" applyNumberFormat="1" applyFont="1" applyFill="1" applyBorder="1"/>
    <xf numFmtId="181" fontId="35" fillId="9" borderId="45" xfId="173" applyNumberFormat="1" applyFont="1" applyFill="1" applyBorder="1"/>
    <xf numFmtId="181" fontId="35" fillId="22" borderId="45" xfId="173" applyNumberFormat="1" applyFont="1" applyFill="1" applyBorder="1"/>
    <xf numFmtId="181" fontId="13" fillId="19" borderId="42" xfId="173" applyNumberFormat="1" applyFont="1" applyFill="1" applyBorder="1"/>
    <xf numFmtId="0" fontId="7" fillId="9" borderId="42" xfId="172" applyFont="1" applyFill="1" applyBorder="1"/>
    <xf numFmtId="3" fontId="13" fillId="19" borderId="42" xfId="173" applyNumberFormat="1" applyFont="1" applyFill="1" applyBorder="1"/>
    <xf numFmtId="3" fontId="67" fillId="19" borderId="42" xfId="172" applyNumberFormat="1" applyFont="1" applyFill="1" applyBorder="1"/>
    <xf numFmtId="3" fontId="67" fillId="19" borderId="42" xfId="173" applyNumberFormat="1" applyFont="1" applyFill="1" applyBorder="1"/>
    <xf numFmtId="181" fontId="13" fillId="19" borderId="46" xfId="173" applyNumberFormat="1" applyFont="1" applyFill="1" applyBorder="1"/>
    <xf numFmtId="181" fontId="35" fillId="9" borderId="43" xfId="173" applyNumberFormat="1" applyFont="1" applyFill="1" applyBorder="1"/>
    <xf numFmtId="181" fontId="7" fillId="9" borderId="43" xfId="173" applyNumberFormat="1" applyFont="1" applyFill="1" applyBorder="1"/>
    <xf numFmtId="181" fontId="35" fillId="22" borderId="43" xfId="173" applyNumberFormat="1" applyFont="1" applyFill="1" applyBorder="1"/>
    <xf numFmtId="185" fontId="35" fillId="9" borderId="44" xfId="173" applyNumberFormat="1" applyFont="1" applyFill="1" applyBorder="1"/>
    <xf numFmtId="185" fontId="7" fillId="9" borderId="43" xfId="173" applyNumberFormat="1" applyFont="1" applyFill="1" applyBorder="1"/>
    <xf numFmtId="185" fontId="7" fillId="9" borderId="45" xfId="173" applyNumberFormat="1" applyFont="1" applyFill="1" applyBorder="1"/>
    <xf numFmtId="185" fontId="35" fillId="9" borderId="43" xfId="173" applyNumberFormat="1" applyFont="1" applyFill="1" applyBorder="1"/>
    <xf numFmtId="185" fontId="35" fillId="9" borderId="45" xfId="173" applyNumberFormat="1" applyFont="1" applyFill="1" applyBorder="1"/>
    <xf numFmtId="185" fontId="35" fillId="22" borderId="45" xfId="173" applyNumberFormat="1" applyFont="1" applyFill="1" applyBorder="1"/>
    <xf numFmtId="185" fontId="7" fillId="9" borderId="42" xfId="172" applyNumberFormat="1" applyFont="1" applyFill="1" applyBorder="1"/>
    <xf numFmtId="183" fontId="35" fillId="9" borderId="44" xfId="173" applyNumberFormat="1" applyFont="1" applyFill="1" applyBorder="1"/>
    <xf numFmtId="183" fontId="35" fillId="9" borderId="43" xfId="173" applyNumberFormat="1" applyFont="1" applyFill="1" applyBorder="1"/>
    <xf numFmtId="183" fontId="35" fillId="9" borderId="45" xfId="173" applyNumberFormat="1" applyFont="1" applyFill="1" applyBorder="1"/>
    <xf numFmtId="183" fontId="35" fillId="22" borderId="45" xfId="173" applyNumberFormat="1" applyFont="1" applyFill="1" applyBorder="1"/>
    <xf numFmtId="183" fontId="7" fillId="9" borderId="42" xfId="172" applyNumberFormat="1" applyFont="1" applyFill="1" applyBorder="1"/>
    <xf numFmtId="181" fontId="35" fillId="22" borderId="41" xfId="173" applyNumberFormat="1" applyFont="1" applyFill="1" applyBorder="1"/>
    <xf numFmtId="181" fontId="35" fillId="9" borderId="41" xfId="173" applyNumberFormat="1" applyFont="1" applyFill="1" applyBorder="1"/>
    <xf numFmtId="182" fontId="35" fillId="9" borderId="44" xfId="173" applyNumberFormat="1" applyFont="1" applyFill="1" applyBorder="1"/>
    <xf numFmtId="182" fontId="7" fillId="9" borderId="43" xfId="172" applyNumberFormat="1" applyFont="1" applyFill="1" applyBorder="1"/>
    <xf numFmtId="182" fontId="7" fillId="9" borderId="45" xfId="172" applyNumberFormat="1" applyFont="1" applyFill="1" applyBorder="1"/>
    <xf numFmtId="182" fontId="35" fillId="9" borderId="43" xfId="173" applyNumberFormat="1" applyFont="1" applyFill="1" applyBorder="1"/>
    <xf numFmtId="182" fontId="35" fillId="9" borderId="45" xfId="173" applyNumberFormat="1" applyFont="1" applyFill="1" applyBorder="1"/>
    <xf numFmtId="182" fontId="35" fillId="22" borderId="45" xfId="173" applyNumberFormat="1" applyFont="1" applyFill="1" applyBorder="1"/>
    <xf numFmtId="182" fontId="35" fillId="22" borderId="42" xfId="173" applyNumberFormat="1" applyFont="1" applyFill="1" applyBorder="1"/>
    <xf numFmtId="183" fontId="35" fillId="22" borderId="41" xfId="173" applyNumberFormat="1" applyFont="1" applyFill="1" applyBorder="1"/>
    <xf numFmtId="183" fontId="35" fillId="9" borderId="41" xfId="173" applyNumberFormat="1" applyFont="1" applyFill="1" applyBorder="1"/>
    <xf numFmtId="185" fontId="35" fillId="22" borderId="41" xfId="173" applyNumberFormat="1" applyFont="1" applyFill="1" applyBorder="1"/>
    <xf numFmtId="185" fontId="35" fillId="9" borderId="41" xfId="173" applyNumberFormat="1" applyFont="1" applyFill="1" applyBorder="1"/>
    <xf numFmtId="181" fontId="0" fillId="0" borderId="0" xfId="0" applyNumberFormat="1"/>
    <xf numFmtId="181" fontId="13" fillId="18" borderId="24" xfId="173" applyNumberFormat="1" applyFont="1" applyFill="1" applyBorder="1"/>
    <xf numFmtId="0" fontId="78" fillId="4" borderId="0" xfId="170" applyFont="1" applyFill="1" applyAlignment="1">
      <alignment horizontal="center" vertical="center"/>
    </xf>
    <xf numFmtId="9" fontId="0" fillId="0" borderId="0" xfId="0" applyNumberFormat="1"/>
    <xf numFmtId="10" fontId="0" fillId="0" borderId="0" xfId="0" applyNumberFormat="1"/>
    <xf numFmtId="0" fontId="49" fillId="5" borderId="0" xfId="0" applyFont="1" applyFill="1" applyAlignment="1" applyProtection="1">
      <alignment horizontal="left" vertical="center" indent="4"/>
    </xf>
    <xf numFmtId="0" fontId="66" fillId="0" borderId="5" xfId="172" applyFont="1" applyBorder="1" applyAlignment="1">
      <alignment horizontal="center"/>
    </xf>
    <xf numFmtId="0" fontId="66" fillId="0" borderId="6" xfId="172" applyFont="1" applyBorder="1" applyAlignment="1">
      <alignment horizontal="center"/>
    </xf>
    <xf numFmtId="0" fontId="66" fillId="0" borderId="4" xfId="172" applyFont="1" applyBorder="1" applyAlignment="1">
      <alignment horizontal="center"/>
    </xf>
  </cellXfs>
  <cellStyles count="185">
    <cellStyle name="0" xfId="2"/>
    <cellStyle name="000" xfId="3"/>
    <cellStyle name="000 2" xfId="4"/>
    <cellStyle name="3_D" xfId="5"/>
    <cellStyle name="3_D 2" xfId="6"/>
    <cellStyle name="3_D_BTS_DTK" xfId="7"/>
    <cellStyle name="3_D_BTS_DTK 2" xfId="8"/>
    <cellStyle name="3_D_Tool" xfId="9"/>
    <cellStyle name="3_D_Tool 2" xfId="10"/>
    <cellStyle name="3_DNoColor" xfId="11"/>
    <cellStyle name="3_DNoColor 2" xfId="12"/>
    <cellStyle name="3_DNoColor_BTS_DTK" xfId="13"/>
    <cellStyle name="3_DNoColor_BTS_DTK 2" xfId="14"/>
    <cellStyle name="CellLock" xfId="15"/>
    <cellStyle name="CellLock 2" xfId="16"/>
    <cellStyle name="CellUnlock" xfId="17"/>
    <cellStyle name="CellUnlock 2" xfId="18"/>
    <cellStyle name="Column_Title" xfId="19"/>
    <cellStyle name="Comma" xfId="176" builtinId="3"/>
    <cellStyle name="Comma  - Style1" xfId="20"/>
    <cellStyle name="Comma  - Style2" xfId="21"/>
    <cellStyle name="Comma  - Style3" xfId="22"/>
    <cellStyle name="Comma  - Style4" xfId="23"/>
    <cellStyle name="Comma  - Style5" xfId="24"/>
    <cellStyle name="Comma  - Style6" xfId="25"/>
    <cellStyle name="Comma  - Style7" xfId="26"/>
    <cellStyle name="Comma  - Style8" xfId="27"/>
    <cellStyle name="Comma [0] 2" xfId="28"/>
    <cellStyle name="Comma [0] 2 2" xfId="142"/>
    <cellStyle name="Comma [0] 3" xfId="29"/>
    <cellStyle name="Comma [0] 3 2" xfId="30"/>
    <cellStyle name="Comma [0] 3 2 2" xfId="143"/>
    <cellStyle name="Comma [0] 3 3" xfId="144"/>
    <cellStyle name="Comma [0] Centered" xfId="31"/>
    <cellStyle name="Comma [0] Centered 2" xfId="32"/>
    <cellStyle name="Comma 0" xfId="33"/>
    <cellStyle name="Comma 000" xfId="34"/>
    <cellStyle name="Comma 000,0" xfId="35"/>
    <cellStyle name="Comma 000,0 2" xfId="36"/>
    <cellStyle name="Comma 000,000" xfId="37"/>
    <cellStyle name="Comma 000,000 2" xfId="38"/>
    <cellStyle name="Comma 000_Toyota_Dealer_Sim.2004Jul28" xfId="39"/>
    <cellStyle name="Comma 1" xfId="40"/>
    <cellStyle name="Comma 2" xfId="41"/>
    <cellStyle name="Comma 2 2" xfId="145"/>
    <cellStyle name="Comma 3" xfId="42"/>
    <cellStyle name="Comma 3 2" xfId="43"/>
    <cellStyle name="Comma 3 2 2" xfId="146"/>
    <cellStyle name="Comma 3 3" xfId="147"/>
    <cellStyle name="Comma 4" xfId="44"/>
    <cellStyle name="Comma 4 2" xfId="45"/>
    <cellStyle name="Comma 4 2 2" xfId="148"/>
    <cellStyle name="Comma 4 3" xfId="149"/>
    <cellStyle name="Comma 5" xfId="46"/>
    <cellStyle name="Comma 5 2" xfId="47"/>
    <cellStyle name="Comma 5 2 2" xfId="150"/>
    <cellStyle name="Comma 5 3" xfId="151"/>
    <cellStyle name="Comma 6" xfId="48"/>
    <cellStyle name="Comma 6 2" xfId="49"/>
    <cellStyle name="Comma 6 2 2" xfId="152"/>
    <cellStyle name="Comma 6 3" xfId="153"/>
    <cellStyle name="Comma 7" xfId="50"/>
    <cellStyle name="Comma 7 2" xfId="154"/>
    <cellStyle name="Comma 8" xfId="51"/>
    <cellStyle name="Comma 8 2" xfId="155"/>
    <cellStyle name="Comma 9" xfId="184"/>
    <cellStyle name="Comma Centered" xfId="52"/>
    <cellStyle name="Comma Centered 2" xfId="53"/>
    <cellStyle name="Comma Centered 2 2" xfId="156"/>
    <cellStyle name="Comma Centered 3" xfId="157"/>
    <cellStyle name="Comma, Centered" xfId="54"/>
    <cellStyle name="Comma, No Dec" xfId="55"/>
    <cellStyle name="Comma, No Dec 2" xfId="56"/>
    <cellStyle name="Comma, No Dec No 0" xfId="57"/>
    <cellStyle name="Comma, Pos" xfId="58"/>
    <cellStyle name="Comma, Pos 2" xfId="59"/>
    <cellStyle name="Comma, Pos, No Dec" xfId="60"/>
    <cellStyle name="Comma, Pos, No Dec, No 0" xfId="61"/>
    <cellStyle name="Comma, Pos, No Dec, No 0 2" xfId="62"/>
    <cellStyle name="Comma, Pos, No Dec_BarclaysFeedbacks" xfId="63"/>
    <cellStyle name="Comma0" xfId="64"/>
    <cellStyle name="Comma0 - Style4" xfId="65"/>
    <cellStyle name="Comma000" xfId="66"/>
    <cellStyle name="Comma1 - Style1" xfId="67"/>
    <cellStyle name="ContentsHyperlink" xfId="68"/>
    <cellStyle name="Curren - Style2" xfId="69"/>
    <cellStyle name="Curren - Style5" xfId="70"/>
    <cellStyle name="Currency [0] (000)" xfId="71"/>
    <cellStyle name="Currency 2" xfId="72"/>
    <cellStyle name="Currency 2 2" xfId="73"/>
    <cellStyle name="Currency 3" xfId="173"/>
    <cellStyle name="Currency 4" xfId="178"/>
    <cellStyle name="Currency 5" xfId="183"/>
    <cellStyle name="Currency, No Dec" xfId="74"/>
    <cellStyle name="Currency, No Dec 2" xfId="75"/>
    <cellStyle name="Currency, Pos, 2 Dec" xfId="76"/>
    <cellStyle name="Currency, Pos, 2 Dec 2" xfId="77"/>
    <cellStyle name="Currency, Pos, No Dec" xfId="78"/>
    <cellStyle name="Currency, Pos, No Dec 2" xfId="79"/>
    <cellStyle name="Currency0" xfId="80"/>
    <cellStyle name="Date" xfId="81"/>
    <cellStyle name="DateTTM" xfId="82"/>
    <cellStyle name="DateTTM 2" xfId="83"/>
    <cellStyle name="Decision" xfId="84"/>
    <cellStyle name="Euro" xfId="85"/>
    <cellStyle name="Euro 2" xfId="86"/>
    <cellStyle name="Feedback000" xfId="87"/>
    <cellStyle name="Feedback000 2" xfId="88"/>
    <cellStyle name="Feedback000,000" xfId="89"/>
    <cellStyle name="Feedback000,000 2" xfId="90"/>
    <cellStyle name="Feedback000_Autodesk_SW_BAFeedbacks" xfId="91"/>
    <cellStyle name="Fixed" xfId="92"/>
    <cellStyle name="Fixed3 - Style3" xfId="93"/>
    <cellStyle name="Fraction (1)" xfId="94"/>
    <cellStyle name="Grey" xfId="95"/>
    <cellStyle name="Grey 2" xfId="96"/>
    <cellStyle name="Hyperlink" xfId="162" builtinId="8"/>
    <cellStyle name="Input [yellow]" xfId="97"/>
    <cellStyle name="Input [yellow] 2" xfId="98"/>
    <cellStyle name="InputBox" xfId="99"/>
    <cellStyle name="InputBox 2" xfId="100"/>
    <cellStyle name="no dec" xfId="101"/>
    <cellStyle name="Normal" xfId="0" builtinId="0"/>
    <cellStyle name="Normal - Style1" xfId="102"/>
    <cellStyle name="Normal 10" xfId="160"/>
    <cellStyle name="Normal 11" xfId="163"/>
    <cellStyle name="Normal 11 2" xfId="168"/>
    <cellStyle name="Normal 12" xfId="167"/>
    <cellStyle name="Normal 13" xfId="172"/>
    <cellStyle name="Normal 14" xfId="174"/>
    <cellStyle name="Normal 15" xfId="161"/>
    <cellStyle name="Normal 15 12" xfId="164"/>
    <cellStyle name="Normal 15 12 2" xfId="166"/>
    <cellStyle name="Normal 15 12 3" xfId="169"/>
    <cellStyle name="Normal 15 12 4" xfId="175"/>
    <cellStyle name="Normal 15 12 5" xfId="180"/>
    <cellStyle name="Normal 16" xfId="177"/>
    <cellStyle name="Normal 17" xfId="179"/>
    <cellStyle name="Normal 18" xfId="182"/>
    <cellStyle name="Normal 2" xfId="1"/>
    <cellStyle name="Normal 2 2" xfId="103"/>
    <cellStyle name="Normal 2 3" xfId="158"/>
    <cellStyle name="Normal 3" xfId="104"/>
    <cellStyle name="Normal 4" xfId="105"/>
    <cellStyle name="Normal 4 2" xfId="106"/>
    <cellStyle name="Normal 42" xfId="170"/>
    <cellStyle name="Normal 5" xfId="107"/>
    <cellStyle name="Normal 5 2" xfId="108"/>
    <cellStyle name="Normal 6" xfId="109"/>
    <cellStyle name="Normal 6 2" xfId="110"/>
    <cellStyle name="Normal 6 3" xfId="171"/>
    <cellStyle name="Normal 7" xfId="111"/>
    <cellStyle name="Normal 7 8" xfId="181"/>
    <cellStyle name="Normal 8" xfId="112"/>
    <cellStyle name="Normal 9" xfId="140"/>
    <cellStyle name="Normal 9 2" xfId="141"/>
    <cellStyle name="Number [0]" xfId="113"/>
    <cellStyle name="Percen - Style2" xfId="114"/>
    <cellStyle name="Percen - Style3" xfId="115"/>
    <cellStyle name="Percent" xfId="165" builtinId="5"/>
    <cellStyle name="Percent (1)" xfId="116"/>
    <cellStyle name="Percent (2)" xfId="117"/>
    <cellStyle name="Percent [2]" xfId="118"/>
    <cellStyle name="Percent 0" xfId="119"/>
    <cellStyle name="Percent 0 2" xfId="120"/>
    <cellStyle name="Percent 00" xfId="121"/>
    <cellStyle name="Percent 00 2" xfId="122"/>
    <cellStyle name="Percent 00 2 2" xfId="123"/>
    <cellStyle name="Percent 00 3" xfId="124"/>
    <cellStyle name="Percent 2" xfId="125"/>
    <cellStyle name="Percent 3" xfId="126"/>
    <cellStyle name="Percent 3 2" xfId="127"/>
    <cellStyle name="Percent 4" xfId="128"/>
    <cellStyle name="Percent 4 2" xfId="129"/>
    <cellStyle name="Percent 5" xfId="130"/>
    <cellStyle name="Percent 5 2" xfId="131"/>
    <cellStyle name="Percent 6" xfId="132"/>
    <cellStyle name="Percent 6 2" xfId="133"/>
    <cellStyle name="Percent 7" xfId="134"/>
    <cellStyle name="Percent 8" xfId="135"/>
    <cellStyle name="Percent 9" xfId="159"/>
    <cellStyle name="Percent, Pos" xfId="136"/>
    <cellStyle name="Percent, Pos 2" xfId="137"/>
    <cellStyle name="Percent, Pos, No 0" xfId="138"/>
    <cellStyle name="Percent, Pos, No 0 2" xfId="139"/>
  </cellStyles>
  <dxfs count="1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numFmt numFmtId="188" formatCode="&quot;$&quot;#,##0;;&quot;&quot;"/>
    </dxf>
    <dxf>
      <numFmt numFmtId="189" formatCode="#,##0\ [$€-407];;&quot;&quot;"/>
    </dxf>
    <dxf>
      <numFmt numFmtId="190" formatCode="[$¥-411]#,##0;;&quot;&quot;"/>
    </dxf>
    <dxf>
      <numFmt numFmtId="191" formatCode="[$£-809]#,##0;;&quot;&quot;"/>
    </dxf>
    <dxf>
      <fill>
        <patternFill>
          <bgColor rgb="FFCCCCCC"/>
        </patternFill>
      </fill>
    </dxf>
    <dxf>
      <fill>
        <patternFill>
          <bgColor rgb="FFCCCCCC"/>
        </patternFill>
      </fill>
    </dxf>
    <dxf>
      <fill>
        <patternFill>
          <bgColor rgb="FFCCCCCC"/>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Charts!$A$28</c:f>
          <c:strCache>
            <c:ptCount val="1"/>
            <c:pt idx="0">
              <c:v>Maintenance to Subscription Analysis - Product 4</c:v>
            </c:pt>
          </c:strCache>
        </c:strRef>
      </c:tx>
      <c:layout>
        <c:manualLayout>
          <c:xMode val="edge"/>
          <c:yMode val="edge"/>
          <c:x val="0.24308097955645455"/>
          <c:y val="1.2232415902140673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7222969080084499E-2"/>
          <c:y val="0.20833333333333334"/>
          <c:w val="0.67435192706174873"/>
          <c:h val="0.63234616506270047"/>
        </c:manualLayout>
      </c:layout>
      <c:lineChart>
        <c:grouping val="standard"/>
        <c:varyColors val="0"/>
        <c:ser>
          <c:idx val="0"/>
          <c:order val="0"/>
          <c:tx>
            <c:strRef>
              <c:f>Charts!$E$30</c:f>
              <c:strCache>
                <c:ptCount val="1"/>
                <c:pt idx="0">
                  <c:v> Investment to Switch </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Charts!$D$31:$D$33</c15:sqref>
                  </c15:fullRef>
                </c:ext>
              </c:extLst>
              <c:f>Charts!$D$31:$D$32</c:f>
              <c:strCache>
                <c:ptCount val="2"/>
                <c:pt idx="0">
                  <c:v>Switch in Year 2</c:v>
                </c:pt>
                <c:pt idx="1">
                  <c:v>Switch in Year 3</c:v>
                </c:pt>
              </c:strCache>
            </c:strRef>
          </c:cat>
          <c:val>
            <c:numRef>
              <c:extLst>
                <c:ext xmlns:c15="http://schemas.microsoft.com/office/drawing/2012/chart" uri="{02D57815-91ED-43cb-92C2-25804820EDAC}">
                  <c15:fullRef>
                    <c15:sqref>Charts!$E$31:$E$33</c15:sqref>
                  </c15:fullRef>
                </c:ext>
              </c:extLst>
              <c:f>Charts!$E$31:$E$32</c:f>
              <c:numCache>
                <c:formatCode>_(* #,##0_);_(* \(#,##0\);_(* "-"??_);_(@_)</c:formatCode>
                <c:ptCount val="2"/>
                <c:pt idx="0">
                  <c:v>0</c:v>
                </c:pt>
                <c:pt idx="1">
                  <c:v>0</c:v>
                </c:pt>
              </c:numCache>
            </c:numRef>
          </c:val>
          <c:smooth val="0"/>
          <c:extLst>
            <c:ext xmlns:c16="http://schemas.microsoft.com/office/drawing/2014/chart" uri="{C3380CC4-5D6E-409C-BE32-E72D297353CC}">
              <c16:uniqueId val="{00000000-56D3-49F5-B6E4-B6FC68B7460D}"/>
            </c:ext>
          </c:extLst>
        </c:ser>
        <c:ser>
          <c:idx val="1"/>
          <c:order val="1"/>
          <c:tx>
            <c:strRef>
              <c:f>Charts!$F$30</c:f>
              <c:strCache>
                <c:ptCount val="1"/>
                <c:pt idx="0">
                  <c:v> Discount off New SRP </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Charts!$D$31:$D$33</c15:sqref>
                  </c15:fullRef>
                </c:ext>
              </c:extLst>
              <c:f>Charts!$D$31:$D$32</c:f>
              <c:strCache>
                <c:ptCount val="2"/>
                <c:pt idx="0">
                  <c:v>Switch in Year 2</c:v>
                </c:pt>
                <c:pt idx="1">
                  <c:v>Switch in Year 3</c:v>
                </c:pt>
              </c:strCache>
            </c:strRef>
          </c:cat>
          <c:val>
            <c:numRef>
              <c:extLst>
                <c:ext xmlns:c15="http://schemas.microsoft.com/office/drawing/2012/chart" uri="{02D57815-91ED-43cb-92C2-25804820EDAC}">
                  <c15:fullRef>
                    <c15:sqref>Charts!$F$31:$F$33</c15:sqref>
                  </c15:fullRef>
                </c:ext>
              </c:extLst>
              <c:f>Charts!$F$31:$F$32</c:f>
              <c:numCache>
                <c:formatCode>_(* #,##0_);_(* \(#,##0\);_(* "-"??_);_(@_)</c:formatCode>
                <c:ptCount val="2"/>
                <c:pt idx="0">
                  <c:v>0</c:v>
                </c:pt>
                <c:pt idx="1">
                  <c:v>0</c:v>
                </c:pt>
              </c:numCache>
            </c:numRef>
          </c:val>
          <c:smooth val="0"/>
          <c:extLst>
            <c:ext xmlns:c16="http://schemas.microsoft.com/office/drawing/2014/chart" uri="{C3380CC4-5D6E-409C-BE32-E72D297353CC}">
              <c16:uniqueId val="{00000001-56D3-49F5-B6E4-B6FC68B7460D}"/>
            </c:ext>
          </c:extLst>
        </c:ser>
        <c:ser>
          <c:idx val="2"/>
          <c:order val="2"/>
          <c:tx>
            <c:strRef>
              <c:f>Charts!$G$30</c:f>
              <c:strCache>
                <c:ptCount val="1"/>
                <c:pt idx="0">
                  <c:v> Discount off Staying on Maintenance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Charts!$D$31:$D$33</c15:sqref>
                  </c15:fullRef>
                </c:ext>
              </c:extLst>
              <c:f>Charts!$D$31:$D$32</c:f>
              <c:strCache>
                <c:ptCount val="2"/>
                <c:pt idx="0">
                  <c:v>Switch in Year 2</c:v>
                </c:pt>
                <c:pt idx="1">
                  <c:v>Switch in Year 3</c:v>
                </c:pt>
              </c:strCache>
            </c:strRef>
          </c:cat>
          <c:val>
            <c:numRef>
              <c:extLst>
                <c:ext xmlns:c15="http://schemas.microsoft.com/office/drawing/2012/chart" uri="{02D57815-91ED-43cb-92C2-25804820EDAC}">
                  <c15:fullRef>
                    <c15:sqref>Charts!$G$31:$G$33</c15:sqref>
                  </c15:fullRef>
                </c:ext>
              </c:extLst>
              <c:f>Charts!$G$31:$G$32</c:f>
              <c:numCache>
                <c:formatCode>_(* #,##0_);_(* \(#,##0\);_(* "-"??_);_(@_)</c:formatCode>
                <c:ptCount val="2"/>
                <c:pt idx="0">
                  <c:v>0</c:v>
                </c:pt>
                <c:pt idx="1">
                  <c:v>0</c:v>
                </c:pt>
              </c:numCache>
            </c:numRef>
          </c:val>
          <c:smooth val="0"/>
          <c:extLst>
            <c:ext xmlns:c16="http://schemas.microsoft.com/office/drawing/2014/chart" uri="{C3380CC4-5D6E-409C-BE32-E72D297353CC}">
              <c16:uniqueId val="{00000004-56D3-49F5-B6E4-B6FC68B7460D}"/>
            </c:ext>
          </c:extLst>
        </c:ser>
        <c:dLbls>
          <c:showLegendKey val="0"/>
          <c:showVal val="0"/>
          <c:showCatName val="0"/>
          <c:showSerName val="0"/>
          <c:showPercent val="0"/>
          <c:showBubbleSize val="0"/>
        </c:dLbls>
        <c:marker val="1"/>
        <c:smooth val="0"/>
        <c:axId val="156122496"/>
        <c:axId val="156122888"/>
      </c:lineChart>
      <c:catAx>
        <c:axId val="156122496"/>
        <c:scaling>
          <c:orientation val="minMax"/>
        </c:scaling>
        <c:delete val="0"/>
        <c:axPos val="b"/>
        <c:title>
          <c:tx>
            <c:strRef>
              <c:f>Charts!$E$3</c:f>
              <c:strCache>
                <c:ptCount val="1"/>
              </c:strCache>
            </c:strRef>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2888"/>
        <c:crosses val="autoZero"/>
        <c:auto val="1"/>
        <c:lblAlgn val="ctr"/>
        <c:lblOffset val="100"/>
        <c:noMultiLvlLbl val="0"/>
      </c:catAx>
      <c:valAx>
        <c:axId val="1561228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2496"/>
        <c:crosses val="autoZero"/>
        <c:crossBetween val="between"/>
      </c:valAx>
      <c:spPr>
        <a:noFill/>
        <a:ln>
          <a:noFill/>
        </a:ln>
        <a:effectLst/>
      </c:spPr>
    </c:plotArea>
    <c:legend>
      <c:legendPos val="r"/>
      <c:layout>
        <c:manualLayout>
          <c:xMode val="edge"/>
          <c:yMode val="edge"/>
          <c:x val="0.70437273191665117"/>
          <c:y val="0.20394274245131128"/>
          <c:w val="0.29047928278381957"/>
          <c:h val="0.6400041171324172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Charts!$A$21</c:f>
          <c:strCache>
            <c:ptCount val="1"/>
            <c:pt idx="0">
              <c:v>Maintenance to Subscription Analysis - Product 3</c:v>
            </c:pt>
          </c:strCache>
        </c:strRef>
      </c:tx>
      <c:layout>
        <c:manualLayout>
          <c:xMode val="edge"/>
          <c:yMode val="edge"/>
          <c:x val="0.24308097955645455"/>
          <c:y val="1.2232415902140673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7222969080084499E-2"/>
          <c:y val="0.20833333333333334"/>
          <c:w val="0.67435192706174873"/>
          <c:h val="0.63234616506270047"/>
        </c:manualLayout>
      </c:layout>
      <c:lineChart>
        <c:grouping val="standard"/>
        <c:varyColors val="0"/>
        <c:ser>
          <c:idx val="0"/>
          <c:order val="0"/>
          <c:tx>
            <c:strRef>
              <c:f>Charts!$E$23</c:f>
              <c:strCache>
                <c:ptCount val="1"/>
                <c:pt idx="0">
                  <c:v> Investment to Switch </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Charts!$D$24:$D$26</c15:sqref>
                  </c15:fullRef>
                </c:ext>
              </c:extLst>
              <c:f>Charts!$D$24:$D$25</c:f>
              <c:strCache>
                <c:ptCount val="2"/>
                <c:pt idx="0">
                  <c:v>Switch in Year 2</c:v>
                </c:pt>
                <c:pt idx="1">
                  <c:v>Switch in Year 3</c:v>
                </c:pt>
              </c:strCache>
            </c:strRef>
          </c:cat>
          <c:val>
            <c:numRef>
              <c:extLst>
                <c:ext xmlns:c15="http://schemas.microsoft.com/office/drawing/2012/chart" uri="{02D57815-91ED-43cb-92C2-25804820EDAC}">
                  <c15:fullRef>
                    <c15:sqref>Charts!$E$24:$E$26</c15:sqref>
                  </c15:fullRef>
                </c:ext>
              </c:extLst>
              <c:f>Charts!$E$24:$E$25</c:f>
              <c:numCache>
                <c:formatCode>_(* #,##0_);_(* \(#,##0\);_(* "-"??_);_(@_)</c:formatCode>
                <c:ptCount val="2"/>
                <c:pt idx="0">
                  <c:v>0</c:v>
                </c:pt>
                <c:pt idx="1">
                  <c:v>0</c:v>
                </c:pt>
              </c:numCache>
            </c:numRef>
          </c:val>
          <c:smooth val="0"/>
          <c:extLst>
            <c:ext xmlns:c16="http://schemas.microsoft.com/office/drawing/2014/chart" uri="{C3380CC4-5D6E-409C-BE32-E72D297353CC}">
              <c16:uniqueId val="{00000000-C1E1-4A09-8688-C0D2F4B0D63F}"/>
            </c:ext>
          </c:extLst>
        </c:ser>
        <c:ser>
          <c:idx val="1"/>
          <c:order val="1"/>
          <c:tx>
            <c:strRef>
              <c:f>Charts!$F$23</c:f>
              <c:strCache>
                <c:ptCount val="1"/>
                <c:pt idx="0">
                  <c:v> Discount off New SRP </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Charts!$D$24:$D$26</c15:sqref>
                  </c15:fullRef>
                </c:ext>
              </c:extLst>
              <c:f>Charts!$D$24:$D$25</c:f>
              <c:strCache>
                <c:ptCount val="2"/>
                <c:pt idx="0">
                  <c:v>Switch in Year 2</c:v>
                </c:pt>
                <c:pt idx="1">
                  <c:v>Switch in Year 3</c:v>
                </c:pt>
              </c:strCache>
            </c:strRef>
          </c:cat>
          <c:val>
            <c:numRef>
              <c:extLst>
                <c:ext xmlns:c15="http://schemas.microsoft.com/office/drawing/2012/chart" uri="{02D57815-91ED-43cb-92C2-25804820EDAC}">
                  <c15:fullRef>
                    <c15:sqref>Charts!$F$24:$F$26</c15:sqref>
                  </c15:fullRef>
                </c:ext>
              </c:extLst>
              <c:f>Charts!$F$24:$F$25</c:f>
              <c:numCache>
                <c:formatCode>_(* #,##0_);_(* \(#,##0\);_(* "-"??_);_(@_)</c:formatCode>
                <c:ptCount val="2"/>
                <c:pt idx="0">
                  <c:v>0</c:v>
                </c:pt>
                <c:pt idx="1">
                  <c:v>0</c:v>
                </c:pt>
              </c:numCache>
            </c:numRef>
          </c:val>
          <c:smooth val="0"/>
          <c:extLst>
            <c:ext xmlns:c16="http://schemas.microsoft.com/office/drawing/2014/chart" uri="{C3380CC4-5D6E-409C-BE32-E72D297353CC}">
              <c16:uniqueId val="{00000001-C1E1-4A09-8688-C0D2F4B0D63F}"/>
            </c:ext>
          </c:extLst>
        </c:ser>
        <c:ser>
          <c:idx val="2"/>
          <c:order val="2"/>
          <c:tx>
            <c:strRef>
              <c:f>Charts!$G$23</c:f>
              <c:strCache>
                <c:ptCount val="1"/>
                <c:pt idx="0">
                  <c:v> Discount off Staying on Maintenance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Charts!$D$24:$D$26</c15:sqref>
                  </c15:fullRef>
                </c:ext>
              </c:extLst>
              <c:f>Charts!$D$24:$D$25</c:f>
              <c:strCache>
                <c:ptCount val="2"/>
                <c:pt idx="0">
                  <c:v>Switch in Year 2</c:v>
                </c:pt>
                <c:pt idx="1">
                  <c:v>Switch in Year 3</c:v>
                </c:pt>
              </c:strCache>
            </c:strRef>
          </c:cat>
          <c:val>
            <c:numRef>
              <c:extLst>
                <c:ext xmlns:c15="http://schemas.microsoft.com/office/drawing/2012/chart" uri="{02D57815-91ED-43cb-92C2-25804820EDAC}">
                  <c15:fullRef>
                    <c15:sqref>Charts!$G$24:$G$26</c15:sqref>
                  </c15:fullRef>
                </c:ext>
              </c:extLst>
              <c:f>Charts!$G$24:$G$25</c:f>
              <c:numCache>
                <c:formatCode>_(* #,##0_);_(* \(#,##0\);_(* "-"??_);_(@_)</c:formatCode>
                <c:ptCount val="2"/>
                <c:pt idx="0">
                  <c:v>0</c:v>
                </c:pt>
                <c:pt idx="1">
                  <c:v>0</c:v>
                </c:pt>
              </c:numCache>
            </c:numRef>
          </c:val>
          <c:smooth val="0"/>
          <c:extLst>
            <c:ext xmlns:c16="http://schemas.microsoft.com/office/drawing/2014/chart" uri="{C3380CC4-5D6E-409C-BE32-E72D297353CC}">
              <c16:uniqueId val="{00000004-C1E1-4A09-8688-C0D2F4B0D63F}"/>
            </c:ext>
          </c:extLst>
        </c:ser>
        <c:dLbls>
          <c:showLegendKey val="0"/>
          <c:showVal val="0"/>
          <c:showCatName val="0"/>
          <c:showSerName val="0"/>
          <c:showPercent val="0"/>
          <c:showBubbleSize val="0"/>
        </c:dLbls>
        <c:marker val="1"/>
        <c:smooth val="0"/>
        <c:axId val="156125632"/>
        <c:axId val="156124456"/>
      </c:lineChart>
      <c:catAx>
        <c:axId val="156125632"/>
        <c:scaling>
          <c:orientation val="minMax"/>
        </c:scaling>
        <c:delete val="0"/>
        <c:axPos val="b"/>
        <c:title>
          <c:tx>
            <c:strRef>
              <c:f>Charts!$E$3</c:f>
              <c:strCache>
                <c:ptCount val="1"/>
              </c:strCache>
            </c:strRef>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4456"/>
        <c:crosses val="autoZero"/>
        <c:auto val="1"/>
        <c:lblAlgn val="ctr"/>
        <c:lblOffset val="100"/>
        <c:noMultiLvlLbl val="0"/>
      </c:catAx>
      <c:valAx>
        <c:axId val="15612445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5632"/>
        <c:crosses val="autoZero"/>
        <c:crossBetween val="between"/>
      </c:valAx>
      <c:spPr>
        <a:noFill/>
        <a:ln>
          <a:noFill/>
        </a:ln>
        <a:effectLst/>
      </c:spPr>
    </c:plotArea>
    <c:legend>
      <c:legendPos val="r"/>
      <c:layout>
        <c:manualLayout>
          <c:xMode val="edge"/>
          <c:yMode val="edge"/>
          <c:x val="0.70437273191665117"/>
          <c:y val="0.21141239697978928"/>
          <c:w val="0.29562726808334883"/>
          <c:h val="0.63610607497592209"/>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Charts!$A$14</c:f>
          <c:strCache>
            <c:ptCount val="1"/>
            <c:pt idx="0">
              <c:v>Maintenance to Subscription Analysis - Product 2</c:v>
            </c:pt>
          </c:strCache>
        </c:strRef>
      </c:tx>
      <c:layout>
        <c:manualLayout>
          <c:xMode val="edge"/>
          <c:yMode val="edge"/>
          <c:x val="0.24308097955645455"/>
          <c:y val="1.2232415902140673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7222969080084499E-2"/>
          <c:y val="0.20833333333333334"/>
          <c:w val="0.67435192706174873"/>
          <c:h val="0.63234616506270047"/>
        </c:manualLayout>
      </c:layout>
      <c:lineChart>
        <c:grouping val="standard"/>
        <c:varyColors val="0"/>
        <c:ser>
          <c:idx val="0"/>
          <c:order val="0"/>
          <c:tx>
            <c:strRef>
              <c:f>Charts!$E$16</c:f>
              <c:strCache>
                <c:ptCount val="1"/>
                <c:pt idx="0">
                  <c:v> Investment to Switch </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Charts!$D$17:$D$19</c15:sqref>
                  </c15:fullRef>
                </c:ext>
              </c:extLst>
              <c:f>Charts!$D$17:$D$18</c:f>
              <c:strCache>
                <c:ptCount val="2"/>
                <c:pt idx="0">
                  <c:v>Switch in Year 2</c:v>
                </c:pt>
                <c:pt idx="1">
                  <c:v>Switch in Year 3</c:v>
                </c:pt>
              </c:strCache>
            </c:strRef>
          </c:cat>
          <c:val>
            <c:numRef>
              <c:extLst>
                <c:ext xmlns:c15="http://schemas.microsoft.com/office/drawing/2012/chart" uri="{02D57815-91ED-43cb-92C2-25804820EDAC}">
                  <c15:fullRef>
                    <c15:sqref>Charts!$E$17:$E$19</c15:sqref>
                  </c15:fullRef>
                </c:ext>
              </c:extLst>
              <c:f>Charts!$E$17:$E$18</c:f>
              <c:numCache>
                <c:formatCode>_(* #,##0_);_(* \(#,##0\);_(* "-"??_);_(@_)</c:formatCode>
                <c:ptCount val="2"/>
                <c:pt idx="0">
                  <c:v>0</c:v>
                </c:pt>
                <c:pt idx="1">
                  <c:v>0</c:v>
                </c:pt>
              </c:numCache>
            </c:numRef>
          </c:val>
          <c:smooth val="0"/>
          <c:extLst>
            <c:ext xmlns:c16="http://schemas.microsoft.com/office/drawing/2014/chart" uri="{C3380CC4-5D6E-409C-BE32-E72D297353CC}">
              <c16:uniqueId val="{00000000-91A8-4BAE-BBEE-4915AB50167B}"/>
            </c:ext>
          </c:extLst>
        </c:ser>
        <c:ser>
          <c:idx val="1"/>
          <c:order val="1"/>
          <c:tx>
            <c:strRef>
              <c:f>Charts!$F$16</c:f>
              <c:strCache>
                <c:ptCount val="1"/>
                <c:pt idx="0">
                  <c:v> Discount off New SRP </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Charts!$D$17:$D$19</c15:sqref>
                  </c15:fullRef>
                </c:ext>
              </c:extLst>
              <c:f>Charts!$D$17:$D$18</c:f>
              <c:strCache>
                <c:ptCount val="2"/>
                <c:pt idx="0">
                  <c:v>Switch in Year 2</c:v>
                </c:pt>
                <c:pt idx="1">
                  <c:v>Switch in Year 3</c:v>
                </c:pt>
              </c:strCache>
            </c:strRef>
          </c:cat>
          <c:val>
            <c:numRef>
              <c:extLst>
                <c:ext xmlns:c15="http://schemas.microsoft.com/office/drawing/2012/chart" uri="{02D57815-91ED-43cb-92C2-25804820EDAC}">
                  <c15:fullRef>
                    <c15:sqref>Charts!$F$17:$F$19</c15:sqref>
                  </c15:fullRef>
                </c:ext>
              </c:extLst>
              <c:f>Charts!$F$17:$F$18</c:f>
              <c:numCache>
                <c:formatCode>_(* #,##0_);_(* \(#,##0\);_(* "-"??_);_(@_)</c:formatCode>
                <c:ptCount val="2"/>
                <c:pt idx="0">
                  <c:v>0</c:v>
                </c:pt>
                <c:pt idx="1">
                  <c:v>0</c:v>
                </c:pt>
              </c:numCache>
            </c:numRef>
          </c:val>
          <c:smooth val="0"/>
          <c:extLst>
            <c:ext xmlns:c16="http://schemas.microsoft.com/office/drawing/2014/chart" uri="{C3380CC4-5D6E-409C-BE32-E72D297353CC}">
              <c16:uniqueId val="{00000001-91A8-4BAE-BBEE-4915AB50167B}"/>
            </c:ext>
          </c:extLst>
        </c:ser>
        <c:ser>
          <c:idx val="2"/>
          <c:order val="2"/>
          <c:tx>
            <c:strRef>
              <c:f>Charts!$G$16</c:f>
              <c:strCache>
                <c:ptCount val="1"/>
                <c:pt idx="0">
                  <c:v> Discount off Staying on Maintenance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Charts!$D$17:$D$19</c15:sqref>
                  </c15:fullRef>
                </c:ext>
              </c:extLst>
              <c:f>Charts!$D$17:$D$18</c:f>
              <c:strCache>
                <c:ptCount val="2"/>
                <c:pt idx="0">
                  <c:v>Switch in Year 2</c:v>
                </c:pt>
                <c:pt idx="1">
                  <c:v>Switch in Year 3</c:v>
                </c:pt>
              </c:strCache>
            </c:strRef>
          </c:cat>
          <c:val>
            <c:numRef>
              <c:extLst>
                <c:ext xmlns:c15="http://schemas.microsoft.com/office/drawing/2012/chart" uri="{02D57815-91ED-43cb-92C2-25804820EDAC}">
                  <c15:fullRef>
                    <c15:sqref>Charts!$G$17:$G$19</c15:sqref>
                  </c15:fullRef>
                </c:ext>
              </c:extLst>
              <c:f>Charts!$G$17:$G$18</c:f>
              <c:numCache>
                <c:formatCode>_(* #,##0_);_(* \(#,##0\);_(* "-"??_);_(@_)</c:formatCode>
                <c:ptCount val="2"/>
                <c:pt idx="0">
                  <c:v>0</c:v>
                </c:pt>
                <c:pt idx="1">
                  <c:v>0</c:v>
                </c:pt>
              </c:numCache>
            </c:numRef>
          </c:val>
          <c:smooth val="0"/>
          <c:extLst>
            <c:ext xmlns:c16="http://schemas.microsoft.com/office/drawing/2014/chart" uri="{C3380CC4-5D6E-409C-BE32-E72D297353CC}">
              <c16:uniqueId val="{00000004-91A8-4BAE-BBEE-4915AB50167B}"/>
            </c:ext>
          </c:extLst>
        </c:ser>
        <c:dLbls>
          <c:showLegendKey val="0"/>
          <c:showVal val="0"/>
          <c:showCatName val="0"/>
          <c:showSerName val="0"/>
          <c:showPercent val="0"/>
          <c:showBubbleSize val="0"/>
        </c:dLbls>
        <c:marker val="1"/>
        <c:smooth val="0"/>
        <c:axId val="156129160"/>
        <c:axId val="156125240"/>
      </c:lineChart>
      <c:catAx>
        <c:axId val="156129160"/>
        <c:scaling>
          <c:orientation val="minMax"/>
        </c:scaling>
        <c:delete val="0"/>
        <c:axPos val="b"/>
        <c:title>
          <c:tx>
            <c:strRef>
              <c:f>Charts!$E$3</c:f>
              <c:strCache>
                <c:ptCount val="1"/>
              </c:strCache>
            </c:strRef>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5240"/>
        <c:crosses val="autoZero"/>
        <c:auto val="1"/>
        <c:lblAlgn val="ctr"/>
        <c:lblOffset val="100"/>
        <c:noMultiLvlLbl val="0"/>
      </c:catAx>
      <c:valAx>
        <c:axId val="15612524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9160"/>
        <c:crosses val="autoZero"/>
        <c:crossBetween val="between"/>
      </c:valAx>
      <c:spPr>
        <a:noFill/>
        <a:ln>
          <a:noFill/>
        </a:ln>
        <a:effectLst/>
      </c:spPr>
    </c:plotArea>
    <c:legend>
      <c:legendPos val="r"/>
      <c:layout>
        <c:manualLayout>
          <c:xMode val="edge"/>
          <c:yMode val="edge"/>
          <c:x val="0.70437273191665117"/>
          <c:y val="0.21141239697978928"/>
          <c:w val="0.29562726808334883"/>
          <c:h val="0.63610607497592209"/>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Charts!$A$7</c:f>
          <c:strCache>
            <c:ptCount val="1"/>
            <c:pt idx="0">
              <c:v>Maintenance to Subscription Analysis - Product 1</c:v>
            </c:pt>
          </c:strCache>
        </c:strRef>
      </c:tx>
      <c:layout>
        <c:manualLayout>
          <c:xMode val="edge"/>
          <c:yMode val="edge"/>
          <c:x val="0.24308097955645455"/>
          <c:y val="1.2232415902140673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7222969080084499E-2"/>
          <c:y val="0.20833333333333334"/>
          <c:w val="0.67435192706174873"/>
          <c:h val="0.63234616506270047"/>
        </c:manualLayout>
      </c:layout>
      <c:lineChart>
        <c:grouping val="standard"/>
        <c:varyColors val="0"/>
        <c:ser>
          <c:idx val="0"/>
          <c:order val="0"/>
          <c:tx>
            <c:strRef>
              <c:f>Charts!$E$9</c:f>
              <c:strCache>
                <c:ptCount val="1"/>
                <c:pt idx="0">
                  <c:v>Investment to Switch</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Charts!$D$10:$D$12</c15:sqref>
                  </c15:fullRef>
                </c:ext>
              </c:extLst>
              <c:f>Charts!$D$10:$D$11</c:f>
              <c:strCache>
                <c:ptCount val="2"/>
                <c:pt idx="0">
                  <c:v>Switch in Year 2</c:v>
                </c:pt>
                <c:pt idx="1">
                  <c:v>Switch in Year 3</c:v>
                </c:pt>
              </c:strCache>
            </c:strRef>
          </c:cat>
          <c:val>
            <c:numRef>
              <c:extLst>
                <c:ext xmlns:c15="http://schemas.microsoft.com/office/drawing/2012/chart" uri="{02D57815-91ED-43cb-92C2-25804820EDAC}">
                  <c15:fullRef>
                    <c15:sqref>Charts!$E$10:$E$12</c15:sqref>
                  </c15:fullRef>
                </c:ext>
              </c:extLst>
              <c:f>Charts!$E$10:$E$11</c:f>
              <c:numCache>
                <c:formatCode>_(* #,##0_);_(* \(#,##0\);_(* "-"??_);_(@_)</c:formatCode>
                <c:ptCount val="2"/>
                <c:pt idx="0">
                  <c:v>0</c:v>
                </c:pt>
                <c:pt idx="1">
                  <c:v>0</c:v>
                </c:pt>
              </c:numCache>
            </c:numRef>
          </c:val>
          <c:smooth val="0"/>
          <c:extLst>
            <c:ext xmlns:c16="http://schemas.microsoft.com/office/drawing/2014/chart" uri="{C3380CC4-5D6E-409C-BE32-E72D297353CC}">
              <c16:uniqueId val="{00000000-2131-4313-97AC-82AEEBD050D2}"/>
            </c:ext>
          </c:extLst>
        </c:ser>
        <c:ser>
          <c:idx val="1"/>
          <c:order val="1"/>
          <c:tx>
            <c:strRef>
              <c:f>Charts!$F$9</c:f>
              <c:strCache>
                <c:ptCount val="1"/>
                <c:pt idx="0">
                  <c:v>Discount off New SRP</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Charts!$D$10:$D$12</c15:sqref>
                  </c15:fullRef>
                </c:ext>
              </c:extLst>
              <c:f>Charts!$D$10:$D$11</c:f>
              <c:strCache>
                <c:ptCount val="2"/>
                <c:pt idx="0">
                  <c:v>Switch in Year 2</c:v>
                </c:pt>
                <c:pt idx="1">
                  <c:v>Switch in Year 3</c:v>
                </c:pt>
              </c:strCache>
            </c:strRef>
          </c:cat>
          <c:val>
            <c:numRef>
              <c:extLst>
                <c:ext xmlns:c15="http://schemas.microsoft.com/office/drawing/2012/chart" uri="{02D57815-91ED-43cb-92C2-25804820EDAC}">
                  <c15:fullRef>
                    <c15:sqref>Charts!$F$10:$F$12</c15:sqref>
                  </c15:fullRef>
                </c:ext>
              </c:extLst>
              <c:f>Charts!$F$10:$F$11</c:f>
              <c:numCache>
                <c:formatCode>_(* #,##0_);_(* \(#,##0\);_(* "-"??_);_(@_)</c:formatCode>
                <c:ptCount val="2"/>
                <c:pt idx="0">
                  <c:v>0</c:v>
                </c:pt>
                <c:pt idx="1">
                  <c:v>0</c:v>
                </c:pt>
              </c:numCache>
            </c:numRef>
          </c:val>
          <c:smooth val="0"/>
          <c:extLst>
            <c:ext xmlns:c16="http://schemas.microsoft.com/office/drawing/2014/chart" uri="{C3380CC4-5D6E-409C-BE32-E72D297353CC}">
              <c16:uniqueId val="{00000001-2131-4313-97AC-82AEEBD050D2}"/>
            </c:ext>
          </c:extLst>
        </c:ser>
        <c:ser>
          <c:idx val="2"/>
          <c:order val="2"/>
          <c:tx>
            <c:strRef>
              <c:f>Charts!$G$9</c:f>
              <c:strCache>
                <c:ptCount val="1"/>
                <c:pt idx="0">
                  <c:v>Discount off Staying on Maintenance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Charts!$D$10:$D$12</c15:sqref>
                  </c15:fullRef>
                </c:ext>
              </c:extLst>
              <c:f>Charts!$D$10:$D$11</c:f>
              <c:strCache>
                <c:ptCount val="2"/>
                <c:pt idx="0">
                  <c:v>Switch in Year 2</c:v>
                </c:pt>
                <c:pt idx="1">
                  <c:v>Switch in Year 3</c:v>
                </c:pt>
              </c:strCache>
            </c:strRef>
          </c:cat>
          <c:val>
            <c:numRef>
              <c:extLst>
                <c:ext xmlns:c15="http://schemas.microsoft.com/office/drawing/2012/chart" uri="{02D57815-91ED-43cb-92C2-25804820EDAC}">
                  <c15:fullRef>
                    <c15:sqref>Charts!$G$10:$G$12</c15:sqref>
                  </c15:fullRef>
                </c:ext>
              </c:extLst>
              <c:f>Charts!$G$10:$G$11</c:f>
              <c:numCache>
                <c:formatCode>_(* #,##0_);_(* \(#,##0\);_(* "-"??_);_(@_)</c:formatCode>
                <c:ptCount val="2"/>
                <c:pt idx="0">
                  <c:v>0</c:v>
                </c:pt>
                <c:pt idx="1">
                  <c:v>0</c:v>
                </c:pt>
              </c:numCache>
            </c:numRef>
          </c:val>
          <c:smooth val="0"/>
          <c:extLst>
            <c:ext xmlns:c16="http://schemas.microsoft.com/office/drawing/2014/chart" uri="{C3380CC4-5D6E-409C-BE32-E72D297353CC}">
              <c16:uniqueId val="{00000004-2131-4313-97AC-82AEEBD050D2}"/>
            </c:ext>
          </c:extLst>
        </c:ser>
        <c:dLbls>
          <c:showLegendKey val="0"/>
          <c:showVal val="0"/>
          <c:showCatName val="0"/>
          <c:showSerName val="0"/>
          <c:showPercent val="0"/>
          <c:showBubbleSize val="0"/>
        </c:dLbls>
        <c:marker val="1"/>
        <c:smooth val="0"/>
        <c:axId val="156126416"/>
        <c:axId val="156128376"/>
      </c:lineChart>
      <c:catAx>
        <c:axId val="156126416"/>
        <c:scaling>
          <c:orientation val="minMax"/>
        </c:scaling>
        <c:delete val="0"/>
        <c:axPos val="b"/>
        <c:title>
          <c:tx>
            <c:strRef>
              <c:f>Charts!$E$3</c:f>
              <c:strCache>
                <c:ptCount val="1"/>
              </c:strCache>
            </c:strRef>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8376"/>
        <c:crosses val="autoZero"/>
        <c:auto val="1"/>
        <c:lblAlgn val="ctr"/>
        <c:lblOffset val="100"/>
        <c:noMultiLvlLbl val="0"/>
      </c:catAx>
      <c:valAx>
        <c:axId val="15612837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6416"/>
        <c:crosses val="autoZero"/>
        <c:crossBetween val="between"/>
      </c:valAx>
      <c:spPr>
        <a:noFill/>
        <a:ln>
          <a:noFill/>
        </a:ln>
        <a:effectLst/>
      </c:spPr>
    </c:plotArea>
    <c:legend>
      <c:legendPos val="r"/>
      <c:layout>
        <c:manualLayout>
          <c:xMode val="edge"/>
          <c:yMode val="edge"/>
          <c:x val="0.70437273191665117"/>
          <c:y val="0.2042851547724833"/>
          <c:w val="0.28878316343824489"/>
          <c:h val="0.64561981755035946"/>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Charts!$A$63</c:f>
          <c:strCache>
            <c:ptCount val="1"/>
            <c:pt idx="0">
              <c:v>Maintenance to Subscription Analysis - Total</c:v>
            </c:pt>
          </c:strCache>
        </c:strRef>
      </c:tx>
      <c:layout>
        <c:manualLayout>
          <c:xMode val="edge"/>
          <c:yMode val="edge"/>
          <c:x val="0.24308097955645455"/>
          <c:y val="1.2232415902140673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1.7222969080084499E-2"/>
          <c:y val="0.20833333333333334"/>
          <c:w val="0.67435192706174873"/>
          <c:h val="0.63234616506270047"/>
        </c:manualLayout>
      </c:layout>
      <c:lineChart>
        <c:grouping val="standard"/>
        <c:varyColors val="0"/>
        <c:ser>
          <c:idx val="1"/>
          <c:order val="1"/>
          <c:tx>
            <c:strRef>
              <c:f>Charts!$F$65</c:f>
              <c:strCache>
                <c:ptCount val="1"/>
                <c:pt idx="0">
                  <c:v> Discount off New SRP </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Charts!$D$66:$D$68</c15:sqref>
                  </c15:fullRef>
                </c:ext>
              </c:extLst>
              <c:f>Charts!$D$66:$D$67</c:f>
              <c:strCache>
                <c:ptCount val="2"/>
                <c:pt idx="0">
                  <c:v>Switch in Year 2</c:v>
                </c:pt>
                <c:pt idx="1">
                  <c:v>Switch in Year 3</c:v>
                </c:pt>
              </c:strCache>
            </c:strRef>
          </c:cat>
          <c:val>
            <c:numRef>
              <c:extLst>
                <c:ext xmlns:c15="http://schemas.microsoft.com/office/drawing/2012/chart" uri="{02D57815-91ED-43cb-92C2-25804820EDAC}">
                  <c15:fullRef>
                    <c15:sqref>Charts!$F$66:$F$68</c15:sqref>
                  </c15:fullRef>
                </c:ext>
              </c:extLst>
              <c:f>Charts!$F$66:$F$67</c:f>
              <c:numCache>
                <c:formatCode>_(* #,##0_);_(* \(#,##0\);_(* "-"??_);_(@_)</c:formatCode>
                <c:ptCount val="2"/>
                <c:pt idx="0">
                  <c:v>0</c:v>
                </c:pt>
                <c:pt idx="1">
                  <c:v>0</c:v>
                </c:pt>
              </c:numCache>
            </c:numRef>
          </c:val>
          <c:smooth val="0"/>
          <c:extLst>
            <c:ext xmlns:c16="http://schemas.microsoft.com/office/drawing/2014/chart" uri="{C3380CC4-5D6E-409C-BE32-E72D297353CC}">
              <c16:uniqueId val="{00000001-B3C1-4CE9-930E-F5DE2B9E3EB5}"/>
            </c:ext>
          </c:extLst>
        </c:ser>
        <c:ser>
          <c:idx val="2"/>
          <c:order val="2"/>
          <c:tx>
            <c:strRef>
              <c:f>Charts!$G$65</c:f>
              <c:strCache>
                <c:ptCount val="1"/>
                <c:pt idx="0">
                  <c:v> Discount off Staying on Maintenance </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Charts!$D$66:$D$68</c15:sqref>
                  </c15:fullRef>
                </c:ext>
              </c:extLst>
              <c:f>Charts!$D$66:$D$67</c:f>
              <c:strCache>
                <c:ptCount val="2"/>
                <c:pt idx="0">
                  <c:v>Switch in Year 2</c:v>
                </c:pt>
                <c:pt idx="1">
                  <c:v>Switch in Year 3</c:v>
                </c:pt>
              </c:strCache>
            </c:strRef>
          </c:cat>
          <c:val>
            <c:numRef>
              <c:extLst>
                <c:ext xmlns:c15="http://schemas.microsoft.com/office/drawing/2012/chart" uri="{02D57815-91ED-43cb-92C2-25804820EDAC}">
                  <c15:fullRef>
                    <c15:sqref>Charts!$G$66:$G$68</c15:sqref>
                  </c15:fullRef>
                </c:ext>
              </c:extLst>
              <c:f>Charts!$G$66:$G$67</c:f>
              <c:numCache>
                <c:formatCode>_(* #,##0_);_(* \(#,##0\);_(* "-"??_);_(@_)</c:formatCode>
                <c:ptCount val="2"/>
                <c:pt idx="0">
                  <c:v>0</c:v>
                </c:pt>
                <c:pt idx="1">
                  <c:v>0</c:v>
                </c:pt>
              </c:numCache>
            </c:numRef>
          </c:val>
          <c:smooth val="0"/>
          <c:extLst>
            <c:ext xmlns:c16="http://schemas.microsoft.com/office/drawing/2014/chart" uri="{C3380CC4-5D6E-409C-BE32-E72D297353CC}">
              <c16:uniqueId val="{00000004-B3C1-4CE9-930E-F5DE2B9E3EB5}"/>
            </c:ext>
          </c:extLst>
        </c:ser>
        <c:dLbls>
          <c:showLegendKey val="0"/>
          <c:showVal val="0"/>
          <c:showCatName val="0"/>
          <c:showSerName val="0"/>
          <c:showPercent val="0"/>
          <c:showBubbleSize val="0"/>
        </c:dLbls>
        <c:marker val="1"/>
        <c:smooth val="0"/>
        <c:axId val="490837240"/>
        <c:axId val="490833320"/>
        <c:extLst>
          <c:ext xmlns:c15="http://schemas.microsoft.com/office/drawing/2012/chart" uri="{02D57815-91ED-43cb-92C2-25804820EDAC}">
            <c15:filteredLineSeries>
              <c15:ser>
                <c:idx val="0"/>
                <c:order val="0"/>
                <c:tx>
                  <c:strRef>
                    <c:extLst>
                      <c:ext uri="{02D57815-91ED-43cb-92C2-25804820EDAC}">
                        <c15:formulaRef>
                          <c15:sqref>Charts!$E$65</c15:sqref>
                        </c15:formulaRef>
                      </c:ext>
                    </c:extLst>
                    <c:strCache>
                      <c:ptCount val="1"/>
                      <c:pt idx="0">
                        <c:v> Investment to Switch </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b"/>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Charts!$D$66:$D$68</c15:sqref>
                        </c15:fullRef>
                        <c15:formulaRef>
                          <c15:sqref>Charts!$D$66:$D$67</c15:sqref>
                        </c15:formulaRef>
                      </c:ext>
                    </c:extLst>
                    <c:strCache>
                      <c:ptCount val="2"/>
                      <c:pt idx="0">
                        <c:v>Switch in Year 2</c:v>
                      </c:pt>
                      <c:pt idx="1">
                        <c:v>Switch in Year 3</c:v>
                      </c:pt>
                    </c:strCache>
                  </c:strRef>
                </c:cat>
                <c:val>
                  <c:numRef>
                    <c:extLst>
                      <c:ext uri="{02D57815-91ED-43cb-92C2-25804820EDAC}">
                        <c15:fullRef>
                          <c15:sqref>Charts!$E$66:$E$68</c15:sqref>
                        </c15:fullRef>
                        <c15:formulaRef>
                          <c15:sqref>Charts!$E$66:$E$67</c15:sqref>
                        </c15:formulaRef>
                      </c:ext>
                    </c:extLst>
                    <c:numCache>
                      <c:formatCode>_(* #,##0_);_(* \(#,##0\);_(* "-"??_);_(@_)</c:formatCode>
                      <c:ptCount val="2"/>
                      <c:pt idx="0">
                        <c:v>0</c:v>
                      </c:pt>
                      <c:pt idx="1">
                        <c:v>0</c:v>
                      </c:pt>
                    </c:numCache>
                  </c:numRef>
                </c:val>
                <c:smooth val="0"/>
                <c:extLst>
                  <c:ext xmlns:c16="http://schemas.microsoft.com/office/drawing/2014/chart" uri="{C3380CC4-5D6E-409C-BE32-E72D297353CC}">
                    <c16:uniqueId val="{00000000-B3C1-4CE9-930E-F5DE2B9E3EB5}"/>
                  </c:ext>
                </c:extLst>
              </c15:ser>
            </c15:filteredLineSeries>
          </c:ext>
        </c:extLst>
      </c:lineChart>
      <c:catAx>
        <c:axId val="490837240"/>
        <c:scaling>
          <c:orientation val="minMax"/>
        </c:scaling>
        <c:delete val="0"/>
        <c:axPos val="b"/>
        <c:title>
          <c:tx>
            <c:strRef>
              <c:f>Charts!$E$3</c:f>
              <c:strCache>
                <c:ptCount val="1"/>
              </c:strCache>
            </c:strRef>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3320"/>
        <c:crosses val="autoZero"/>
        <c:auto val="1"/>
        <c:lblAlgn val="ctr"/>
        <c:lblOffset val="100"/>
        <c:noMultiLvlLbl val="0"/>
      </c:catAx>
      <c:valAx>
        <c:axId val="490833320"/>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7240"/>
        <c:crosses val="autoZero"/>
        <c:crossBetween val="between"/>
      </c:valAx>
      <c:spPr>
        <a:noFill/>
        <a:ln>
          <a:noFill/>
        </a:ln>
        <a:effectLst/>
      </c:spPr>
    </c:plotArea>
    <c:legend>
      <c:legendPos val="r"/>
      <c:layout>
        <c:manualLayout>
          <c:xMode val="edge"/>
          <c:yMode val="edge"/>
          <c:x val="0.70437273191665117"/>
          <c:y val="0.20020791518707221"/>
          <c:w val="0.29562726808334883"/>
          <c:h val="0.64731055676863924"/>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Charts!$A$72</c:f>
          <c:strCache>
            <c:ptCount val="1"/>
            <c:pt idx="0">
              <c:v>Maintenance to Subscription Analysis - Product 1</c:v>
            </c:pt>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Charts!$E$74</c:f>
              <c:strCache>
                <c:ptCount val="1"/>
                <c:pt idx="0">
                  <c:v>Year 2</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Charts!$D$75:$D$79</c15:sqref>
                  </c15:fullRef>
                </c:ext>
              </c:extLst>
              <c:f>(Charts!$D$75:$D$76,Charts!$D$78)</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Charts!$E$75:$E$79</c15:sqref>
                  </c15:fullRef>
                </c:ext>
              </c:extLst>
              <c:f>(Charts!$E$75:$E$76,Charts!$E$78)</c:f>
              <c:numCache>
                <c:formatCode>_(* #,##0_);_(* \(#,##0\);_(*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0-84B4-4A9E-9139-3C9FB6D7FF10}"/>
            </c:ext>
          </c:extLst>
        </c:ser>
        <c:ser>
          <c:idx val="1"/>
          <c:order val="1"/>
          <c:tx>
            <c:strRef>
              <c:f>Charts!$F$74</c:f>
              <c:strCache>
                <c:ptCount val="1"/>
                <c:pt idx="0">
                  <c:v>Year 3</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Charts!$D$75:$D$79</c15:sqref>
                  </c15:fullRef>
                </c:ext>
              </c:extLst>
              <c:f>(Charts!$D$75:$D$76,Charts!$D$78)</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Charts!$F$75:$F$79</c15:sqref>
                  </c15:fullRef>
                </c:ext>
              </c:extLst>
              <c:f>(Charts!$F$75:$F$76,Charts!$F$78)</c:f>
              <c:numCache>
                <c:formatCode>_(* #,##0_);_(* \(#,##0\);_(* "-"??_);_(@_)</c:formatCode>
                <c:ptCount val="3"/>
                <c:pt idx="0">
                  <c:v>0</c:v>
                </c:pt>
                <c:pt idx="1">
                  <c:v>0</c:v>
                </c:pt>
                <c:pt idx="2">
                  <c:v>0</c:v>
                </c:pt>
              </c:numCache>
            </c:numRef>
          </c:val>
          <c:extLst>
            <c:ext xmlns:c16="http://schemas.microsoft.com/office/drawing/2014/chart" uri="{C3380CC4-5D6E-409C-BE32-E72D297353CC}">
              <c16:uniqueId val="{00000001-84B4-4A9E-9139-3C9FB6D7FF10}"/>
            </c:ext>
          </c:extLst>
        </c:ser>
        <c:ser>
          <c:idx val="2"/>
          <c:order val="2"/>
          <c:tx>
            <c:strRef>
              <c:f>Charts!$G$74</c:f>
              <c:strCache>
                <c:ptCount val="1"/>
                <c:pt idx="0">
                  <c:v>Year 4</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Charts!$D$75:$D$79</c15:sqref>
                  </c15:fullRef>
                </c:ext>
              </c:extLst>
              <c:f>(Charts!$D$75:$D$76,Charts!$D$78)</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Charts!$G$75:$G$79</c15:sqref>
                  </c15:fullRef>
                </c:ext>
              </c:extLst>
              <c:f>(Charts!$G$75:$G$76,Charts!$G$78)</c:f>
              <c:numCache>
                <c:formatCode>_(* #,##0_);_(* \(#,##0\);_(* "-"??_);_(@_)</c:formatCode>
                <c:ptCount val="3"/>
                <c:pt idx="0">
                  <c:v>0</c:v>
                </c:pt>
                <c:pt idx="1">
                  <c:v>0</c:v>
                </c:pt>
                <c:pt idx="2">
                  <c:v>0</c:v>
                </c:pt>
              </c:numCache>
            </c:numRef>
          </c:val>
          <c:extLst>
            <c:ext xmlns:c16="http://schemas.microsoft.com/office/drawing/2014/chart" uri="{C3380CC4-5D6E-409C-BE32-E72D297353CC}">
              <c16:uniqueId val="{00000002-84B4-4A9E-9139-3C9FB6D7FF10}"/>
            </c:ext>
          </c:extLst>
        </c:ser>
        <c:dLbls>
          <c:showLegendKey val="0"/>
          <c:showVal val="0"/>
          <c:showCatName val="0"/>
          <c:showSerName val="0"/>
          <c:showPercent val="0"/>
          <c:showBubbleSize val="0"/>
        </c:dLbls>
        <c:gapWidth val="150"/>
        <c:overlap val="100"/>
        <c:axId val="490838416"/>
        <c:axId val="490836456"/>
        <c:extLst/>
      </c:barChart>
      <c:barChart>
        <c:barDir val="col"/>
        <c:grouping val="stacked"/>
        <c:varyColors val="0"/>
        <c:ser>
          <c:idx val="3"/>
          <c:order val="3"/>
          <c:tx>
            <c:strRef>
              <c:f>Charts!$H$74</c:f>
              <c:strCache>
                <c:ptCount val="1"/>
                <c:pt idx="0">
                  <c:v>Total</c:v>
                </c:pt>
              </c:strCache>
            </c:strRef>
          </c:tx>
          <c:spPr>
            <a:noFill/>
            <a:ln>
              <a:noFill/>
            </a:ln>
            <a:effectLst/>
          </c:spPr>
          <c:invertIfNegative val="0"/>
          <c:cat>
            <c:numRef>
              <c:extLst>
                <c:ext xmlns:c15="http://schemas.microsoft.com/office/drawing/2012/chart" uri="{02D57815-91ED-43cb-92C2-25804820EDAC}">
                  <c15:fullRef>
                    <c15:sqref>Charts!$H$75:$H$79</c15:sqref>
                  </c15:fullRef>
                </c:ext>
              </c:extLst>
              <c:f>(Charts!$H$75:$H$76,Charts!$H$78)</c:f>
              <c:numCache>
                <c:formatCode>_(* #,##0_);_(* \(#,##0\);_(* "-"??_);_(@_)</c:formatCode>
                <c:ptCount val="3"/>
                <c:pt idx="0">
                  <c:v>0</c:v>
                </c:pt>
                <c:pt idx="1">
                  <c:v>0</c:v>
                </c:pt>
                <c:pt idx="2">
                  <c:v>0</c:v>
                </c:pt>
              </c:numCache>
            </c:numRef>
          </c:cat>
          <c:val>
            <c:numRef>
              <c:extLst>
                <c:ext xmlns:c15="http://schemas.microsoft.com/office/drawing/2012/chart" uri="{02D57815-91ED-43cb-92C2-25804820EDAC}">
                  <c15:fullRef>
                    <c15:sqref>Charts!$H$75:$H$79</c15:sqref>
                  </c15:fullRef>
                </c:ext>
              </c:extLst>
              <c:f>(Charts!$H$75:$H$76,Charts!$H$78)</c:f>
              <c:numCache>
                <c:formatCode>_(* #,##0_);_(* \(#,##0\);_(* "-"??_);_(@_)</c:formatCode>
                <c:ptCount val="3"/>
                <c:pt idx="0">
                  <c:v>0</c:v>
                </c:pt>
                <c:pt idx="1">
                  <c:v>0</c:v>
                </c:pt>
                <c:pt idx="2">
                  <c:v>0</c:v>
                </c:pt>
              </c:numCache>
            </c:numRef>
          </c:val>
          <c:extLst>
            <c:ext xmlns:c16="http://schemas.microsoft.com/office/drawing/2014/chart" uri="{C3380CC4-5D6E-409C-BE32-E72D297353CC}">
              <c16:uniqueId val="{00000003-84B4-4A9E-9139-3C9FB6D7FF10}"/>
            </c:ext>
          </c:extLst>
        </c:ser>
        <c:dLbls>
          <c:showLegendKey val="0"/>
          <c:showVal val="0"/>
          <c:showCatName val="0"/>
          <c:showSerName val="0"/>
          <c:showPercent val="0"/>
          <c:showBubbleSize val="0"/>
        </c:dLbls>
        <c:gapWidth val="150"/>
        <c:overlap val="100"/>
        <c:axId val="490834104"/>
        <c:axId val="490833712"/>
      </c:barChart>
      <c:catAx>
        <c:axId val="49083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6456"/>
        <c:crosses val="autoZero"/>
        <c:auto val="1"/>
        <c:lblAlgn val="ctr"/>
        <c:lblOffset val="100"/>
        <c:noMultiLvlLbl val="0"/>
      </c:catAx>
      <c:valAx>
        <c:axId val="49083645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8416"/>
        <c:crosses val="autoZero"/>
        <c:crossBetween val="between"/>
      </c:valAx>
      <c:valAx>
        <c:axId val="490833712"/>
        <c:scaling>
          <c:orientation val="minMax"/>
        </c:scaling>
        <c:delete val="0"/>
        <c:axPos val="r"/>
        <c:numFmt formatCode="_(* #,##0_);_(* \(#,##0\);_(* &quot;-&quot;??_);_(@_)" sourceLinked="1"/>
        <c:majorTickMark val="out"/>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4104"/>
        <c:crosses val="max"/>
        <c:crossBetween val="between"/>
      </c:valAx>
      <c:catAx>
        <c:axId val="490834104"/>
        <c:scaling>
          <c:orientation val="minMax"/>
        </c:scaling>
        <c:delete val="0"/>
        <c:axPos val="t"/>
        <c:numFmt formatCode="_(* #,##0_);_(* \(#,##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3712"/>
        <c:crosses val="max"/>
        <c:auto val="1"/>
        <c:lblAlgn val="ctr"/>
        <c:lblOffset val="100"/>
        <c:noMultiLvlLbl val="0"/>
      </c:catAx>
      <c:spPr>
        <a:noFill/>
        <a:ln>
          <a:noFill/>
        </a:ln>
        <a:effectLst/>
      </c:spPr>
    </c:plotArea>
    <c:legend>
      <c:legendPos val="r"/>
      <c:legendEntry>
        <c:idx val="3"/>
        <c:delete val="1"/>
      </c:legendEntry>
      <c:layout>
        <c:manualLayout>
          <c:xMode val="edge"/>
          <c:yMode val="edge"/>
          <c:x val="0.94575850943533257"/>
          <c:y val="0.38687022455526393"/>
          <c:w val="4.969470387796926E-2"/>
          <c:h val="0.31401049868766406"/>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Charts!$A$81</c:f>
          <c:strCache>
            <c:ptCount val="1"/>
            <c:pt idx="0">
              <c:v>Maintenance to Subscription Analysis - Product 2</c:v>
            </c:pt>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Charts!$E$83</c:f>
              <c:strCache>
                <c:ptCount val="1"/>
                <c:pt idx="0">
                  <c:v>Year 2</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Charts!$D$84:$D$88</c15:sqref>
                  </c15:fullRef>
                </c:ext>
              </c:extLst>
              <c:f>(Charts!$D$84:$D$85,Charts!$D$87)</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Charts!$E$84:$E$88</c15:sqref>
                  </c15:fullRef>
                </c:ext>
              </c:extLst>
              <c:f>(Charts!$E$84:$E$85,Charts!$E$87)</c:f>
              <c:numCache>
                <c:formatCode>_(* #,##0_);_(* \(#,##0\);_(*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0-4401-4561-AACB-2A641BD92D7F}"/>
            </c:ext>
          </c:extLst>
        </c:ser>
        <c:ser>
          <c:idx val="1"/>
          <c:order val="1"/>
          <c:tx>
            <c:strRef>
              <c:f>Charts!$F$83</c:f>
              <c:strCache>
                <c:ptCount val="1"/>
                <c:pt idx="0">
                  <c:v>Year 3</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Charts!$D$84:$D$88</c15:sqref>
                  </c15:fullRef>
                </c:ext>
              </c:extLst>
              <c:f>(Charts!$D$84:$D$85,Charts!$D$87)</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Charts!$F$84:$F$88</c15:sqref>
                  </c15:fullRef>
                </c:ext>
              </c:extLst>
              <c:f>(Charts!$F$84:$F$85,Charts!$F$87)</c:f>
              <c:numCache>
                <c:formatCode>_(* #,##0_);_(* \(#,##0\);_(* "-"??_);_(@_)</c:formatCode>
                <c:ptCount val="3"/>
                <c:pt idx="0">
                  <c:v>0</c:v>
                </c:pt>
                <c:pt idx="1">
                  <c:v>0</c:v>
                </c:pt>
                <c:pt idx="2">
                  <c:v>0</c:v>
                </c:pt>
              </c:numCache>
            </c:numRef>
          </c:val>
          <c:extLst>
            <c:ext xmlns:c16="http://schemas.microsoft.com/office/drawing/2014/chart" uri="{C3380CC4-5D6E-409C-BE32-E72D297353CC}">
              <c16:uniqueId val="{00000001-4401-4561-AACB-2A641BD92D7F}"/>
            </c:ext>
          </c:extLst>
        </c:ser>
        <c:ser>
          <c:idx val="2"/>
          <c:order val="2"/>
          <c:tx>
            <c:strRef>
              <c:f>Charts!$G$83</c:f>
              <c:strCache>
                <c:ptCount val="1"/>
                <c:pt idx="0">
                  <c:v>Year 4</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Charts!$D$84:$D$88</c15:sqref>
                  </c15:fullRef>
                </c:ext>
              </c:extLst>
              <c:f>(Charts!$D$84:$D$85,Charts!$D$87)</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Charts!$G$84:$G$88</c15:sqref>
                  </c15:fullRef>
                </c:ext>
              </c:extLst>
              <c:f>(Charts!$G$84:$G$85,Charts!$G$87)</c:f>
              <c:numCache>
                <c:formatCode>_(* #,##0_);_(* \(#,##0\);_(* "-"??_);_(@_)</c:formatCode>
                <c:ptCount val="3"/>
                <c:pt idx="0">
                  <c:v>0</c:v>
                </c:pt>
                <c:pt idx="1">
                  <c:v>0</c:v>
                </c:pt>
                <c:pt idx="2">
                  <c:v>0</c:v>
                </c:pt>
              </c:numCache>
            </c:numRef>
          </c:val>
          <c:extLst>
            <c:ext xmlns:c16="http://schemas.microsoft.com/office/drawing/2014/chart" uri="{C3380CC4-5D6E-409C-BE32-E72D297353CC}">
              <c16:uniqueId val="{00000002-4401-4561-AACB-2A641BD92D7F}"/>
            </c:ext>
          </c:extLst>
        </c:ser>
        <c:dLbls>
          <c:showLegendKey val="0"/>
          <c:showVal val="0"/>
          <c:showCatName val="0"/>
          <c:showSerName val="0"/>
          <c:showPercent val="0"/>
          <c:showBubbleSize val="0"/>
        </c:dLbls>
        <c:gapWidth val="150"/>
        <c:overlap val="100"/>
        <c:axId val="490836064"/>
        <c:axId val="490834888"/>
        <c:extLst/>
      </c:barChart>
      <c:barChart>
        <c:barDir val="col"/>
        <c:grouping val="stacked"/>
        <c:varyColors val="0"/>
        <c:ser>
          <c:idx val="3"/>
          <c:order val="3"/>
          <c:tx>
            <c:strRef>
              <c:f>Charts!$H$83</c:f>
              <c:strCache>
                <c:ptCount val="1"/>
                <c:pt idx="0">
                  <c:v>Total</c:v>
                </c:pt>
              </c:strCache>
            </c:strRef>
          </c:tx>
          <c:spPr>
            <a:noFill/>
            <a:ln>
              <a:noFill/>
            </a:ln>
            <a:effectLst/>
          </c:spPr>
          <c:invertIfNegative val="0"/>
          <c:cat>
            <c:numRef>
              <c:extLst>
                <c:ext xmlns:c15="http://schemas.microsoft.com/office/drawing/2012/chart" uri="{02D57815-91ED-43cb-92C2-25804820EDAC}">
                  <c15:fullRef>
                    <c15:sqref>Charts!$H$84:$H$88</c15:sqref>
                  </c15:fullRef>
                </c:ext>
              </c:extLst>
              <c:f>(Charts!$H$84:$H$85,Charts!$H$87)</c:f>
              <c:numCache>
                <c:formatCode>_(* #,##0_);_(* \(#,##0\);_(* "-"??_);_(@_)</c:formatCode>
                <c:ptCount val="3"/>
                <c:pt idx="0">
                  <c:v>0</c:v>
                </c:pt>
                <c:pt idx="1">
                  <c:v>0</c:v>
                </c:pt>
                <c:pt idx="2">
                  <c:v>0</c:v>
                </c:pt>
              </c:numCache>
            </c:numRef>
          </c:cat>
          <c:val>
            <c:numRef>
              <c:extLst>
                <c:ext xmlns:c15="http://schemas.microsoft.com/office/drawing/2012/chart" uri="{02D57815-91ED-43cb-92C2-25804820EDAC}">
                  <c15:fullRef>
                    <c15:sqref>Charts!$H$84:$H$88</c15:sqref>
                  </c15:fullRef>
                </c:ext>
              </c:extLst>
              <c:f>(Charts!$H$84:$H$85,Charts!$H$87)</c:f>
              <c:numCache>
                <c:formatCode>_(* #,##0_);_(* \(#,##0\);_(* "-"??_);_(@_)</c:formatCode>
                <c:ptCount val="3"/>
                <c:pt idx="0">
                  <c:v>0</c:v>
                </c:pt>
                <c:pt idx="1">
                  <c:v>0</c:v>
                </c:pt>
                <c:pt idx="2">
                  <c:v>0</c:v>
                </c:pt>
              </c:numCache>
            </c:numRef>
          </c:val>
          <c:extLst>
            <c:ext xmlns:c16="http://schemas.microsoft.com/office/drawing/2014/chart" uri="{C3380CC4-5D6E-409C-BE32-E72D297353CC}">
              <c16:uniqueId val="{00000003-4401-4561-AACB-2A641BD92D7F}"/>
            </c:ext>
          </c:extLst>
        </c:ser>
        <c:dLbls>
          <c:showLegendKey val="0"/>
          <c:showVal val="0"/>
          <c:showCatName val="0"/>
          <c:showSerName val="0"/>
          <c:showPercent val="0"/>
          <c:showBubbleSize val="0"/>
        </c:dLbls>
        <c:gapWidth val="150"/>
        <c:overlap val="100"/>
        <c:axId val="490835280"/>
        <c:axId val="490832144"/>
      </c:barChart>
      <c:catAx>
        <c:axId val="49083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4888"/>
        <c:crosses val="autoZero"/>
        <c:auto val="1"/>
        <c:lblAlgn val="ctr"/>
        <c:lblOffset val="100"/>
        <c:noMultiLvlLbl val="0"/>
      </c:catAx>
      <c:valAx>
        <c:axId val="4908348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6064"/>
        <c:crosses val="autoZero"/>
        <c:crossBetween val="between"/>
      </c:valAx>
      <c:valAx>
        <c:axId val="490832144"/>
        <c:scaling>
          <c:orientation val="minMax"/>
        </c:scaling>
        <c:delete val="0"/>
        <c:axPos val="r"/>
        <c:numFmt formatCode="_(* #,##0_);_(* \(#,##0\);_(* &quot;-&quot;??_);_(@_)" sourceLinked="1"/>
        <c:majorTickMark val="out"/>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5280"/>
        <c:crosses val="max"/>
        <c:crossBetween val="between"/>
      </c:valAx>
      <c:catAx>
        <c:axId val="490835280"/>
        <c:scaling>
          <c:orientation val="minMax"/>
        </c:scaling>
        <c:delete val="0"/>
        <c:axPos val="t"/>
        <c:numFmt formatCode="_(* #,##0_);_(* \(#,##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2144"/>
        <c:crosses val="max"/>
        <c:auto val="1"/>
        <c:lblAlgn val="ctr"/>
        <c:lblOffset val="100"/>
        <c:noMultiLvlLbl val="0"/>
      </c:catAx>
      <c:spPr>
        <a:noFill/>
        <a:ln>
          <a:noFill/>
        </a:ln>
        <a:effectLst/>
      </c:spPr>
    </c:plotArea>
    <c:legend>
      <c:legendPos val="r"/>
      <c:legendEntry>
        <c:idx val="3"/>
        <c:delete val="1"/>
      </c:legendEntry>
      <c:layout>
        <c:manualLayout>
          <c:xMode val="edge"/>
          <c:yMode val="edge"/>
          <c:x val="0.94575850943533257"/>
          <c:y val="0.40909238871760911"/>
          <c:w val="4.5203148003014171E-2"/>
          <c:h val="0.31030680499514518"/>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Charts!$A$90</c:f>
          <c:strCache>
            <c:ptCount val="1"/>
            <c:pt idx="0">
              <c:v>Maintenance to Subscription Analysis - Product 3</c:v>
            </c:pt>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Charts!$E$92</c:f>
              <c:strCache>
                <c:ptCount val="1"/>
                <c:pt idx="0">
                  <c:v>Year 2</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Charts!$D$93:$D$97</c15:sqref>
                  </c15:fullRef>
                </c:ext>
              </c:extLst>
              <c:f>(Charts!$D$93:$D$94,Charts!$D$96)</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Charts!$E$93:$E$97</c15:sqref>
                  </c15:fullRef>
                </c:ext>
              </c:extLst>
              <c:f>(Charts!$E$93:$E$94,Charts!$E$96)</c:f>
              <c:numCache>
                <c:formatCode>_(* #,##0_);_(* \(#,##0\);_(*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0-C5B9-4190-96A3-3E46700C37FB}"/>
            </c:ext>
          </c:extLst>
        </c:ser>
        <c:ser>
          <c:idx val="1"/>
          <c:order val="1"/>
          <c:tx>
            <c:strRef>
              <c:f>Charts!$F$92</c:f>
              <c:strCache>
                <c:ptCount val="1"/>
                <c:pt idx="0">
                  <c:v>Year 3</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Charts!$D$93:$D$97</c15:sqref>
                  </c15:fullRef>
                </c:ext>
              </c:extLst>
              <c:f>(Charts!$D$93:$D$94,Charts!$D$96)</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Charts!$F$93:$F$97</c15:sqref>
                  </c15:fullRef>
                </c:ext>
              </c:extLst>
              <c:f>(Charts!$F$93:$F$94,Charts!$F$96)</c:f>
              <c:numCache>
                <c:formatCode>_(* #,##0_);_(* \(#,##0\);_(* "-"??_);_(@_)</c:formatCode>
                <c:ptCount val="3"/>
                <c:pt idx="0">
                  <c:v>0</c:v>
                </c:pt>
                <c:pt idx="1">
                  <c:v>0</c:v>
                </c:pt>
                <c:pt idx="2">
                  <c:v>0</c:v>
                </c:pt>
              </c:numCache>
            </c:numRef>
          </c:val>
          <c:extLst>
            <c:ext xmlns:c16="http://schemas.microsoft.com/office/drawing/2014/chart" uri="{C3380CC4-5D6E-409C-BE32-E72D297353CC}">
              <c16:uniqueId val="{00000001-C5B9-4190-96A3-3E46700C37FB}"/>
            </c:ext>
          </c:extLst>
        </c:ser>
        <c:ser>
          <c:idx val="2"/>
          <c:order val="2"/>
          <c:tx>
            <c:strRef>
              <c:f>Charts!$G$92</c:f>
              <c:strCache>
                <c:ptCount val="1"/>
                <c:pt idx="0">
                  <c:v>Year 4</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Charts!$D$93:$D$97</c15:sqref>
                  </c15:fullRef>
                </c:ext>
              </c:extLst>
              <c:f>(Charts!$D$93:$D$94,Charts!$D$96)</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Charts!$G$93:$G$97</c15:sqref>
                  </c15:fullRef>
                </c:ext>
              </c:extLst>
              <c:f>(Charts!$G$93:$G$94,Charts!$G$96)</c:f>
              <c:numCache>
                <c:formatCode>_(* #,##0_);_(* \(#,##0\);_(* "-"??_);_(@_)</c:formatCode>
                <c:ptCount val="3"/>
                <c:pt idx="0">
                  <c:v>0</c:v>
                </c:pt>
                <c:pt idx="1">
                  <c:v>0</c:v>
                </c:pt>
                <c:pt idx="2">
                  <c:v>0</c:v>
                </c:pt>
              </c:numCache>
            </c:numRef>
          </c:val>
          <c:extLst>
            <c:ext xmlns:c16="http://schemas.microsoft.com/office/drawing/2014/chart" uri="{C3380CC4-5D6E-409C-BE32-E72D297353CC}">
              <c16:uniqueId val="{00000002-C5B9-4190-96A3-3E46700C37FB}"/>
            </c:ext>
          </c:extLst>
        </c:ser>
        <c:dLbls>
          <c:showLegendKey val="0"/>
          <c:showVal val="0"/>
          <c:showCatName val="0"/>
          <c:showSerName val="0"/>
          <c:showPercent val="0"/>
          <c:showBubbleSize val="0"/>
        </c:dLbls>
        <c:gapWidth val="150"/>
        <c:overlap val="100"/>
        <c:axId val="490834496"/>
        <c:axId val="490835672"/>
        <c:extLst/>
      </c:barChart>
      <c:barChart>
        <c:barDir val="col"/>
        <c:grouping val="stacked"/>
        <c:varyColors val="0"/>
        <c:ser>
          <c:idx val="3"/>
          <c:order val="3"/>
          <c:tx>
            <c:strRef>
              <c:f>Charts!$H$92</c:f>
              <c:strCache>
                <c:ptCount val="1"/>
                <c:pt idx="0">
                  <c:v>Total</c:v>
                </c:pt>
              </c:strCache>
            </c:strRef>
          </c:tx>
          <c:spPr>
            <a:noFill/>
            <a:ln>
              <a:noFill/>
            </a:ln>
            <a:effectLst/>
          </c:spPr>
          <c:invertIfNegative val="0"/>
          <c:cat>
            <c:numRef>
              <c:extLst>
                <c:ext xmlns:c15="http://schemas.microsoft.com/office/drawing/2012/chart" uri="{02D57815-91ED-43cb-92C2-25804820EDAC}">
                  <c15:fullRef>
                    <c15:sqref>Charts!$H$93:$H$97</c15:sqref>
                  </c15:fullRef>
                </c:ext>
              </c:extLst>
              <c:f>(Charts!$H$93:$H$94,Charts!$H$96)</c:f>
              <c:numCache>
                <c:formatCode>_(* #,##0_);_(* \(#,##0\);_(* "-"??_);_(@_)</c:formatCode>
                <c:ptCount val="3"/>
                <c:pt idx="0">
                  <c:v>0</c:v>
                </c:pt>
                <c:pt idx="1">
                  <c:v>0</c:v>
                </c:pt>
                <c:pt idx="2">
                  <c:v>0</c:v>
                </c:pt>
              </c:numCache>
            </c:numRef>
          </c:cat>
          <c:val>
            <c:numRef>
              <c:extLst>
                <c:ext xmlns:c15="http://schemas.microsoft.com/office/drawing/2012/chart" uri="{02D57815-91ED-43cb-92C2-25804820EDAC}">
                  <c15:fullRef>
                    <c15:sqref>Charts!$H$93:$H$97</c15:sqref>
                  </c15:fullRef>
                </c:ext>
              </c:extLst>
              <c:f>(Charts!$H$93:$H$94,Charts!$H$96)</c:f>
              <c:numCache>
                <c:formatCode>_(* #,##0_);_(* \(#,##0\);_(* "-"??_);_(@_)</c:formatCode>
                <c:ptCount val="3"/>
                <c:pt idx="0">
                  <c:v>0</c:v>
                </c:pt>
                <c:pt idx="1">
                  <c:v>0</c:v>
                </c:pt>
                <c:pt idx="2">
                  <c:v>0</c:v>
                </c:pt>
              </c:numCache>
            </c:numRef>
          </c:val>
          <c:extLst>
            <c:ext xmlns:c16="http://schemas.microsoft.com/office/drawing/2014/chart" uri="{C3380CC4-5D6E-409C-BE32-E72D297353CC}">
              <c16:uniqueId val="{00000003-C5B9-4190-96A3-3E46700C37FB}"/>
            </c:ext>
          </c:extLst>
        </c:ser>
        <c:dLbls>
          <c:showLegendKey val="0"/>
          <c:showVal val="0"/>
          <c:showCatName val="0"/>
          <c:showSerName val="0"/>
          <c:showPercent val="0"/>
          <c:showBubbleSize val="0"/>
        </c:dLbls>
        <c:gapWidth val="150"/>
        <c:overlap val="100"/>
        <c:axId val="490838024"/>
        <c:axId val="490836848"/>
      </c:barChart>
      <c:catAx>
        <c:axId val="49083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5672"/>
        <c:crosses val="autoZero"/>
        <c:auto val="1"/>
        <c:lblAlgn val="ctr"/>
        <c:lblOffset val="100"/>
        <c:noMultiLvlLbl val="0"/>
      </c:catAx>
      <c:valAx>
        <c:axId val="49083567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4496"/>
        <c:crosses val="autoZero"/>
        <c:crossBetween val="between"/>
      </c:valAx>
      <c:valAx>
        <c:axId val="490836848"/>
        <c:scaling>
          <c:orientation val="minMax"/>
        </c:scaling>
        <c:delete val="0"/>
        <c:axPos val="r"/>
        <c:numFmt formatCode="_(* #,##0_);_(* \(#,##0\);_(* &quot;-&quot;??_);_(@_)" sourceLinked="1"/>
        <c:majorTickMark val="out"/>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8024"/>
        <c:crosses val="max"/>
        <c:crossBetween val="between"/>
      </c:valAx>
      <c:catAx>
        <c:axId val="490838024"/>
        <c:scaling>
          <c:orientation val="minMax"/>
        </c:scaling>
        <c:delete val="0"/>
        <c:axPos val="t"/>
        <c:numFmt formatCode="_(* #,##0_);_(* \(#,##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6848"/>
        <c:crosses val="max"/>
        <c:auto val="1"/>
        <c:lblAlgn val="ctr"/>
        <c:lblOffset val="100"/>
        <c:noMultiLvlLbl val="0"/>
      </c:catAx>
      <c:spPr>
        <a:noFill/>
        <a:ln>
          <a:noFill/>
        </a:ln>
        <a:effectLst/>
      </c:spPr>
    </c:plotArea>
    <c:legend>
      <c:legendPos val="r"/>
      <c:legendEntry>
        <c:idx val="3"/>
        <c:delete val="1"/>
      </c:legendEntry>
      <c:layout>
        <c:manualLayout>
          <c:xMode val="edge"/>
          <c:yMode val="edge"/>
          <c:x val="0.9442613241436808"/>
          <c:y val="0.40909238871760911"/>
          <c:w val="4.6700333294665872E-2"/>
          <c:h val="0.31030680499514518"/>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Charts!$A$99</c:f>
          <c:strCache>
            <c:ptCount val="1"/>
            <c:pt idx="0">
              <c:v>Maintenance to Subscription Analysis - Product 4</c:v>
            </c:pt>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Charts!$E$101</c:f>
              <c:strCache>
                <c:ptCount val="1"/>
                <c:pt idx="0">
                  <c:v>Year 2</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Charts!$D$102:$D$106</c15:sqref>
                  </c15:fullRef>
                </c:ext>
              </c:extLst>
              <c:f>(Charts!$D$102:$D$103,Charts!$D$105)</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Charts!$E$102:$E$106</c15:sqref>
                  </c15:fullRef>
                </c:ext>
              </c:extLst>
              <c:f>(Charts!$E$102:$E$103,Charts!$E$105)</c:f>
              <c:numCache>
                <c:formatCode>_(* #,##0_);_(* \(#,##0\);_(*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0-E7B4-4A8A-B778-473CD69491E2}"/>
            </c:ext>
          </c:extLst>
        </c:ser>
        <c:ser>
          <c:idx val="1"/>
          <c:order val="1"/>
          <c:tx>
            <c:strRef>
              <c:f>Charts!$F$101</c:f>
              <c:strCache>
                <c:ptCount val="1"/>
                <c:pt idx="0">
                  <c:v>Year 3</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Charts!$D$102:$D$106</c15:sqref>
                  </c15:fullRef>
                </c:ext>
              </c:extLst>
              <c:f>(Charts!$D$102:$D$103,Charts!$D$105)</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Charts!$F$102:$F$106</c15:sqref>
                  </c15:fullRef>
                </c:ext>
              </c:extLst>
              <c:f>(Charts!$F$102:$F$103,Charts!$F$105)</c:f>
              <c:numCache>
                <c:formatCode>_(* #,##0_);_(* \(#,##0\);_(* "-"??_);_(@_)</c:formatCode>
                <c:ptCount val="3"/>
                <c:pt idx="0">
                  <c:v>0</c:v>
                </c:pt>
                <c:pt idx="1">
                  <c:v>0</c:v>
                </c:pt>
                <c:pt idx="2">
                  <c:v>0</c:v>
                </c:pt>
              </c:numCache>
            </c:numRef>
          </c:val>
          <c:extLst>
            <c:ext xmlns:c16="http://schemas.microsoft.com/office/drawing/2014/chart" uri="{C3380CC4-5D6E-409C-BE32-E72D297353CC}">
              <c16:uniqueId val="{00000001-E7B4-4A8A-B778-473CD69491E2}"/>
            </c:ext>
          </c:extLst>
        </c:ser>
        <c:ser>
          <c:idx val="2"/>
          <c:order val="2"/>
          <c:tx>
            <c:strRef>
              <c:f>Charts!$G$101</c:f>
              <c:strCache>
                <c:ptCount val="1"/>
                <c:pt idx="0">
                  <c:v>Year 4</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Charts!$D$102:$D$106</c15:sqref>
                  </c15:fullRef>
                </c:ext>
              </c:extLst>
              <c:f>(Charts!$D$102:$D$103,Charts!$D$105)</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Charts!$G$102:$G$106</c15:sqref>
                  </c15:fullRef>
                </c:ext>
              </c:extLst>
              <c:f>(Charts!$G$102:$G$103,Charts!$G$105)</c:f>
              <c:numCache>
                <c:formatCode>_(* #,##0_);_(* \(#,##0\);_(* "-"??_);_(@_)</c:formatCode>
                <c:ptCount val="3"/>
                <c:pt idx="0">
                  <c:v>0</c:v>
                </c:pt>
                <c:pt idx="1">
                  <c:v>0</c:v>
                </c:pt>
                <c:pt idx="2">
                  <c:v>0</c:v>
                </c:pt>
              </c:numCache>
            </c:numRef>
          </c:val>
          <c:extLst>
            <c:ext xmlns:c16="http://schemas.microsoft.com/office/drawing/2014/chart" uri="{C3380CC4-5D6E-409C-BE32-E72D297353CC}">
              <c16:uniqueId val="{00000002-E7B4-4A8A-B778-473CD69491E2}"/>
            </c:ext>
          </c:extLst>
        </c:ser>
        <c:dLbls>
          <c:showLegendKey val="0"/>
          <c:showVal val="0"/>
          <c:showCatName val="0"/>
          <c:showSerName val="0"/>
          <c:showPercent val="0"/>
          <c:showBubbleSize val="0"/>
        </c:dLbls>
        <c:gapWidth val="150"/>
        <c:overlap val="100"/>
        <c:axId val="490837632"/>
        <c:axId val="490831752"/>
        <c:extLst/>
      </c:barChart>
      <c:barChart>
        <c:barDir val="col"/>
        <c:grouping val="stacked"/>
        <c:varyColors val="0"/>
        <c:ser>
          <c:idx val="3"/>
          <c:order val="3"/>
          <c:tx>
            <c:strRef>
              <c:f>Charts!$H$101</c:f>
              <c:strCache>
                <c:ptCount val="1"/>
                <c:pt idx="0">
                  <c:v>Total</c:v>
                </c:pt>
              </c:strCache>
            </c:strRef>
          </c:tx>
          <c:spPr>
            <a:noFill/>
            <a:ln>
              <a:noFill/>
            </a:ln>
            <a:effectLst/>
          </c:spPr>
          <c:invertIfNegative val="0"/>
          <c:cat>
            <c:numRef>
              <c:extLst>
                <c:ext xmlns:c15="http://schemas.microsoft.com/office/drawing/2012/chart" uri="{02D57815-91ED-43cb-92C2-25804820EDAC}">
                  <c15:fullRef>
                    <c15:sqref>Charts!$H$102:$H$106</c15:sqref>
                  </c15:fullRef>
                </c:ext>
              </c:extLst>
              <c:f>(Charts!$H$102:$H$103,Charts!$H$105)</c:f>
              <c:numCache>
                <c:formatCode>_(* #,##0_);_(* \(#,##0\);_(* "-"??_);_(@_)</c:formatCode>
                <c:ptCount val="3"/>
                <c:pt idx="0">
                  <c:v>0</c:v>
                </c:pt>
                <c:pt idx="1">
                  <c:v>0</c:v>
                </c:pt>
                <c:pt idx="2">
                  <c:v>0</c:v>
                </c:pt>
              </c:numCache>
            </c:numRef>
          </c:cat>
          <c:val>
            <c:numRef>
              <c:extLst>
                <c:ext xmlns:c15="http://schemas.microsoft.com/office/drawing/2012/chart" uri="{02D57815-91ED-43cb-92C2-25804820EDAC}">
                  <c15:fullRef>
                    <c15:sqref>Charts!$H$102:$H$106</c15:sqref>
                  </c15:fullRef>
                </c:ext>
              </c:extLst>
              <c:f>(Charts!$H$102:$H$103,Charts!$H$105)</c:f>
              <c:numCache>
                <c:formatCode>_(* #,##0_);_(* \(#,##0\);_(* "-"??_);_(@_)</c:formatCode>
                <c:ptCount val="3"/>
                <c:pt idx="0">
                  <c:v>0</c:v>
                </c:pt>
                <c:pt idx="1">
                  <c:v>0</c:v>
                </c:pt>
                <c:pt idx="2">
                  <c:v>0</c:v>
                </c:pt>
              </c:numCache>
            </c:numRef>
          </c:val>
          <c:extLst>
            <c:ext xmlns:c16="http://schemas.microsoft.com/office/drawing/2014/chart" uri="{C3380CC4-5D6E-409C-BE32-E72D297353CC}">
              <c16:uniqueId val="{00000003-E7B4-4A8A-B778-473CD69491E2}"/>
            </c:ext>
          </c:extLst>
        </c:ser>
        <c:dLbls>
          <c:showLegendKey val="0"/>
          <c:showVal val="0"/>
          <c:showCatName val="0"/>
          <c:showSerName val="0"/>
          <c:showPercent val="0"/>
          <c:showBubbleSize val="0"/>
        </c:dLbls>
        <c:gapWidth val="150"/>
        <c:overlap val="100"/>
        <c:axId val="156129552"/>
        <c:axId val="156128768"/>
      </c:barChart>
      <c:catAx>
        <c:axId val="49083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1752"/>
        <c:crosses val="autoZero"/>
        <c:auto val="1"/>
        <c:lblAlgn val="ctr"/>
        <c:lblOffset val="100"/>
        <c:noMultiLvlLbl val="0"/>
      </c:catAx>
      <c:valAx>
        <c:axId val="4908317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0837632"/>
        <c:crosses val="autoZero"/>
        <c:crossBetween val="between"/>
      </c:valAx>
      <c:valAx>
        <c:axId val="156128768"/>
        <c:scaling>
          <c:orientation val="minMax"/>
        </c:scaling>
        <c:delete val="0"/>
        <c:axPos val="r"/>
        <c:numFmt formatCode="_(* #,##0_);_(* \(#,##0\);_(* &quot;-&quot;??_);_(@_)" sourceLinked="1"/>
        <c:majorTickMark val="out"/>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9552"/>
        <c:crosses val="max"/>
        <c:crossBetween val="between"/>
      </c:valAx>
      <c:catAx>
        <c:axId val="156129552"/>
        <c:scaling>
          <c:orientation val="minMax"/>
        </c:scaling>
        <c:delete val="0"/>
        <c:axPos val="t"/>
        <c:numFmt formatCode="_(* #,##0_);_(* \(#,##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56128768"/>
        <c:crosses val="max"/>
        <c:auto val="1"/>
        <c:lblAlgn val="ctr"/>
        <c:lblOffset val="100"/>
        <c:noMultiLvlLbl val="0"/>
      </c:catAx>
      <c:spPr>
        <a:noFill/>
        <a:ln>
          <a:noFill/>
        </a:ln>
        <a:effectLst/>
      </c:spPr>
    </c:plotArea>
    <c:legend>
      <c:legendPos val="r"/>
      <c:legendEntry>
        <c:idx val="3"/>
        <c:delete val="1"/>
      </c:legendEntry>
      <c:layout>
        <c:manualLayout>
          <c:xMode val="edge"/>
          <c:yMode val="edge"/>
          <c:x val="0.94500991678950674"/>
          <c:y val="0.40909238871760911"/>
          <c:w val="4.5951740648840021E-2"/>
          <c:h val="0.31030680499514518"/>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Charts!$A$144</c:f>
          <c:strCache>
            <c:ptCount val="1"/>
            <c:pt idx="0">
              <c:v>Maintenance to Subscription Analysis - Total</c:v>
            </c:pt>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Charts!$E$146</c:f>
              <c:strCache>
                <c:ptCount val="1"/>
                <c:pt idx="0">
                  <c:v>Year 2</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Charts!$D$147:$D$151</c15:sqref>
                  </c15:fullRef>
                </c:ext>
              </c:extLst>
              <c:f>(Charts!$D$147:$D$148,Charts!$D$150)</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Charts!$E$147:$E$151</c15:sqref>
                  </c15:fullRef>
                </c:ext>
              </c:extLst>
              <c:f>(Charts!$E$147:$E$148,Charts!$E$150)</c:f>
              <c:numCache>
                <c:formatCode>_(* #,##0_);_(* \(#,##0\);_(* "-"??_);_(@_)</c:formatCode>
                <c:ptCount val="3"/>
                <c:pt idx="0">
                  <c:v>0</c:v>
                </c:pt>
                <c:pt idx="1">
                  <c:v>0</c:v>
                </c:pt>
                <c:pt idx="2">
                  <c:v>0</c:v>
                </c:pt>
              </c:numCache>
            </c:numRef>
          </c:val>
          <c:extLst xmlns:c15="http://schemas.microsoft.com/office/drawing/2012/chart">
            <c:ext xmlns:c16="http://schemas.microsoft.com/office/drawing/2014/chart" uri="{C3380CC4-5D6E-409C-BE32-E72D297353CC}">
              <c16:uniqueId val="{00000000-22AB-468B-A5CE-AAAFF569C156}"/>
            </c:ext>
          </c:extLst>
        </c:ser>
        <c:ser>
          <c:idx val="1"/>
          <c:order val="1"/>
          <c:tx>
            <c:strRef>
              <c:f>Charts!$F$146</c:f>
              <c:strCache>
                <c:ptCount val="1"/>
                <c:pt idx="0">
                  <c:v>Year 3</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Charts!$D$147:$D$151</c15:sqref>
                  </c15:fullRef>
                </c:ext>
              </c:extLst>
              <c:f>(Charts!$D$147:$D$148,Charts!$D$150)</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Charts!$F$147:$F$151</c15:sqref>
                  </c15:fullRef>
                </c:ext>
              </c:extLst>
              <c:f>(Charts!$F$147:$F$148,Charts!$F$150)</c:f>
              <c:numCache>
                <c:formatCode>_(* #,##0_);_(* \(#,##0\);_(* "-"??_);_(@_)</c:formatCode>
                <c:ptCount val="3"/>
                <c:pt idx="0">
                  <c:v>0</c:v>
                </c:pt>
                <c:pt idx="1">
                  <c:v>0</c:v>
                </c:pt>
                <c:pt idx="2">
                  <c:v>0</c:v>
                </c:pt>
              </c:numCache>
            </c:numRef>
          </c:val>
          <c:extLst>
            <c:ext xmlns:c16="http://schemas.microsoft.com/office/drawing/2014/chart" uri="{C3380CC4-5D6E-409C-BE32-E72D297353CC}">
              <c16:uniqueId val="{00000001-22AB-468B-A5CE-AAAFF569C156}"/>
            </c:ext>
          </c:extLst>
        </c:ser>
        <c:ser>
          <c:idx val="2"/>
          <c:order val="2"/>
          <c:tx>
            <c:strRef>
              <c:f>Charts!$G$146</c:f>
              <c:strCache>
                <c:ptCount val="1"/>
                <c:pt idx="0">
                  <c:v>Year 4</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Charts!$D$147:$D$151</c15:sqref>
                  </c15:fullRef>
                </c:ext>
              </c:extLst>
              <c:f>(Charts!$D$147:$D$148,Charts!$D$150)</c:f>
              <c:strCache>
                <c:ptCount val="3"/>
                <c:pt idx="0">
                  <c:v>Switch in Year 2</c:v>
                </c:pt>
                <c:pt idx="1">
                  <c:v>Switch in Year 3</c:v>
                </c:pt>
                <c:pt idx="2">
                  <c:v>Stay on Maintenance</c:v>
                </c:pt>
              </c:strCache>
            </c:strRef>
          </c:cat>
          <c:val>
            <c:numRef>
              <c:extLst>
                <c:ext xmlns:c15="http://schemas.microsoft.com/office/drawing/2012/chart" uri="{02D57815-91ED-43cb-92C2-25804820EDAC}">
                  <c15:fullRef>
                    <c15:sqref>Charts!$G$147:$G$151</c15:sqref>
                  </c15:fullRef>
                </c:ext>
              </c:extLst>
              <c:f>(Charts!$G$147:$G$148,Charts!$G$150)</c:f>
              <c:numCache>
                <c:formatCode>_(* #,##0_);_(* \(#,##0\);_(* "-"??_);_(@_)</c:formatCode>
                <c:ptCount val="3"/>
                <c:pt idx="0">
                  <c:v>0</c:v>
                </c:pt>
                <c:pt idx="1">
                  <c:v>0</c:v>
                </c:pt>
                <c:pt idx="2">
                  <c:v>0</c:v>
                </c:pt>
              </c:numCache>
            </c:numRef>
          </c:val>
          <c:extLst>
            <c:ext xmlns:c16="http://schemas.microsoft.com/office/drawing/2014/chart" uri="{C3380CC4-5D6E-409C-BE32-E72D297353CC}">
              <c16:uniqueId val="{00000002-22AB-468B-A5CE-AAAFF569C156}"/>
            </c:ext>
          </c:extLst>
        </c:ser>
        <c:dLbls>
          <c:showLegendKey val="0"/>
          <c:showVal val="0"/>
          <c:showCatName val="0"/>
          <c:showSerName val="0"/>
          <c:showPercent val="0"/>
          <c:showBubbleSize val="0"/>
        </c:dLbls>
        <c:gapWidth val="150"/>
        <c:overlap val="100"/>
        <c:axId val="492279728"/>
        <c:axId val="492284432"/>
        <c:extLst/>
      </c:barChart>
      <c:barChart>
        <c:barDir val="col"/>
        <c:grouping val="stacked"/>
        <c:varyColors val="0"/>
        <c:ser>
          <c:idx val="3"/>
          <c:order val="3"/>
          <c:tx>
            <c:strRef>
              <c:f>Charts!$H$146</c:f>
              <c:strCache>
                <c:ptCount val="1"/>
                <c:pt idx="0">
                  <c:v>Total</c:v>
                </c:pt>
              </c:strCache>
            </c:strRef>
          </c:tx>
          <c:spPr>
            <a:noFill/>
            <a:ln>
              <a:noFill/>
            </a:ln>
            <a:effectLst/>
          </c:spPr>
          <c:invertIfNegative val="0"/>
          <c:cat>
            <c:numRef>
              <c:extLst>
                <c:ext xmlns:c15="http://schemas.microsoft.com/office/drawing/2012/chart" uri="{02D57815-91ED-43cb-92C2-25804820EDAC}">
                  <c15:fullRef>
                    <c15:sqref>Charts!$H$147:$H$151</c15:sqref>
                  </c15:fullRef>
                </c:ext>
              </c:extLst>
              <c:f>(Charts!$H$147:$H$148,Charts!$H$150)</c:f>
              <c:numCache>
                <c:formatCode>_(* #,##0_);_(* \(#,##0\);_(* "-"??_);_(@_)</c:formatCode>
                <c:ptCount val="3"/>
                <c:pt idx="0">
                  <c:v>0</c:v>
                </c:pt>
                <c:pt idx="1">
                  <c:v>0</c:v>
                </c:pt>
                <c:pt idx="2">
                  <c:v>0</c:v>
                </c:pt>
              </c:numCache>
            </c:numRef>
          </c:cat>
          <c:val>
            <c:numRef>
              <c:extLst>
                <c:ext xmlns:c15="http://schemas.microsoft.com/office/drawing/2012/chart" uri="{02D57815-91ED-43cb-92C2-25804820EDAC}">
                  <c15:fullRef>
                    <c15:sqref>Charts!$H$147:$H$151</c15:sqref>
                  </c15:fullRef>
                </c:ext>
              </c:extLst>
              <c:f>(Charts!$H$147:$H$148,Charts!$H$150)</c:f>
              <c:numCache>
                <c:formatCode>_(* #,##0_);_(* \(#,##0\);_(* "-"??_);_(@_)</c:formatCode>
                <c:ptCount val="3"/>
                <c:pt idx="0">
                  <c:v>0</c:v>
                </c:pt>
                <c:pt idx="1">
                  <c:v>0</c:v>
                </c:pt>
                <c:pt idx="2">
                  <c:v>0</c:v>
                </c:pt>
              </c:numCache>
            </c:numRef>
          </c:val>
          <c:extLst>
            <c:ext xmlns:c16="http://schemas.microsoft.com/office/drawing/2014/chart" uri="{C3380CC4-5D6E-409C-BE32-E72D297353CC}">
              <c16:uniqueId val="{00000003-22AB-468B-A5CE-AAAFF569C156}"/>
            </c:ext>
          </c:extLst>
        </c:ser>
        <c:dLbls>
          <c:showLegendKey val="0"/>
          <c:showVal val="0"/>
          <c:showCatName val="0"/>
          <c:showSerName val="0"/>
          <c:showPercent val="0"/>
          <c:showBubbleSize val="0"/>
        </c:dLbls>
        <c:gapWidth val="150"/>
        <c:overlap val="100"/>
        <c:axId val="492284040"/>
        <c:axId val="492283256"/>
      </c:barChart>
      <c:catAx>
        <c:axId val="49227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2284432"/>
        <c:crosses val="autoZero"/>
        <c:auto val="1"/>
        <c:lblAlgn val="ctr"/>
        <c:lblOffset val="100"/>
        <c:noMultiLvlLbl val="0"/>
      </c:catAx>
      <c:valAx>
        <c:axId val="49228443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2279728"/>
        <c:crosses val="autoZero"/>
        <c:crossBetween val="between"/>
      </c:valAx>
      <c:valAx>
        <c:axId val="492283256"/>
        <c:scaling>
          <c:orientation val="minMax"/>
        </c:scaling>
        <c:delete val="0"/>
        <c:axPos val="r"/>
        <c:numFmt formatCode="_(* #,##0_);_(* \(#,##0\);_(* &quot;-&quot;??_);_(@_)" sourceLinked="1"/>
        <c:majorTickMark val="out"/>
        <c:minorTickMark val="none"/>
        <c:tickLblPos val="none"/>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2284040"/>
        <c:crosses val="max"/>
        <c:crossBetween val="between"/>
      </c:valAx>
      <c:catAx>
        <c:axId val="492284040"/>
        <c:scaling>
          <c:orientation val="minMax"/>
        </c:scaling>
        <c:delete val="0"/>
        <c:axPos val="t"/>
        <c:numFmt formatCode="_(* #,##0_);_(* \(#,##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492283256"/>
        <c:crosses val="max"/>
        <c:auto val="1"/>
        <c:lblAlgn val="ctr"/>
        <c:lblOffset val="100"/>
        <c:noMultiLvlLbl val="0"/>
      </c:catAx>
      <c:spPr>
        <a:noFill/>
        <a:ln>
          <a:noFill/>
        </a:ln>
        <a:effectLst/>
      </c:spPr>
    </c:plotArea>
    <c:legend>
      <c:legendPos val="r"/>
      <c:legendEntry>
        <c:idx val="3"/>
        <c:delete val="1"/>
      </c:legendEntry>
      <c:layout>
        <c:manualLayout>
          <c:xMode val="edge"/>
          <c:yMode val="edge"/>
          <c:x val="0.94800428737280995"/>
          <c:y val="0.40909238871760911"/>
          <c:w val="4.2957370065536633E-2"/>
          <c:h val="0.31030680499514518"/>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3" Type="http://schemas.openxmlformats.org/officeDocument/2006/relationships/image" Target="../media/image3.jpeg"/><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2.jpeg"/><Relationship Id="rId16" Type="http://schemas.openxmlformats.org/officeDocument/2006/relationships/chart" Target="../charts/chart10.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chart" Target="../charts/chart9.xml"/><Relationship Id="rId10" Type="http://schemas.openxmlformats.org/officeDocument/2006/relationships/chart" Target="../charts/chart4.xml"/><Relationship Id="rId4" Type="http://schemas.openxmlformats.org/officeDocument/2006/relationships/image" Target="../media/image4.jpg"/><Relationship Id="rId9" Type="http://schemas.openxmlformats.org/officeDocument/2006/relationships/chart" Target="../charts/chart3.xml"/><Relationship Id="rId14"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2</xdr:col>
      <xdr:colOff>28575</xdr:colOff>
      <xdr:row>137</xdr:row>
      <xdr:rowOff>85725</xdr:rowOff>
    </xdr:from>
    <xdr:ext cx="645928" cy="228600"/>
    <xdr:pic>
      <xdr:nvPicPr>
        <xdr:cNvPr id="11" name="Picture 10">
          <a:extLst>
            <a:ext uri="{FF2B5EF4-FFF2-40B4-BE49-F238E27FC236}">
              <a16:creationId xmlns:a16="http://schemas.microsoft.com/office/drawing/2014/main" id="{00000000-0008-0000-0800-00000B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7828" b="32390"/>
        <a:stretch/>
      </xdr:blipFill>
      <xdr:spPr>
        <a:xfrm>
          <a:off x="1704975" y="4248150"/>
          <a:ext cx="645928" cy="228600"/>
        </a:xfrm>
        <a:prstGeom prst="rect">
          <a:avLst/>
        </a:prstGeom>
      </xdr:spPr>
    </xdr:pic>
    <xdr:clientData/>
  </xdr:oneCellAnchor>
  <xdr:twoCellAnchor editAs="oneCell">
    <xdr:from>
      <xdr:col>1</xdr:col>
      <xdr:colOff>142875</xdr:colOff>
      <xdr:row>10</xdr:row>
      <xdr:rowOff>38100</xdr:rowOff>
    </xdr:from>
    <xdr:to>
      <xdr:col>2</xdr:col>
      <xdr:colOff>388408</xdr:colOff>
      <xdr:row>11</xdr:row>
      <xdr:rowOff>28575</xdr:rowOff>
    </xdr:to>
    <xdr:pic>
      <xdr:nvPicPr>
        <xdr:cNvPr id="22" name="Picture 21">
          <a:extLst>
            <a:ext uri="{FF2B5EF4-FFF2-40B4-BE49-F238E27FC236}">
              <a16:creationId xmlns:a16="http://schemas.microsoft.com/office/drawing/2014/main" id="{0343C810-82E3-4A0B-A0A0-5F103914F3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4800" y="2409825"/>
          <a:ext cx="407458" cy="266700"/>
        </a:xfrm>
        <a:prstGeom prst="rect">
          <a:avLst/>
        </a:prstGeom>
      </xdr:spPr>
    </xdr:pic>
    <xdr:clientData/>
  </xdr:twoCellAnchor>
  <xdr:twoCellAnchor editAs="oneCell">
    <xdr:from>
      <xdr:col>1</xdr:col>
      <xdr:colOff>145458</xdr:colOff>
      <xdr:row>25</xdr:row>
      <xdr:rowOff>19050</xdr:rowOff>
    </xdr:from>
    <xdr:to>
      <xdr:col>2</xdr:col>
      <xdr:colOff>328674</xdr:colOff>
      <xdr:row>26</xdr:row>
      <xdr:rowOff>9525</xdr:rowOff>
    </xdr:to>
    <xdr:pic>
      <xdr:nvPicPr>
        <xdr:cNvPr id="23" name="Picture 22">
          <a:extLst>
            <a:ext uri="{FF2B5EF4-FFF2-40B4-BE49-F238E27FC236}">
              <a16:creationId xmlns:a16="http://schemas.microsoft.com/office/drawing/2014/main" id="{44F4D8D7-7051-4800-A916-D4CBE17A01C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7383" y="5343525"/>
          <a:ext cx="345141" cy="266700"/>
        </a:xfrm>
        <a:prstGeom prst="rect">
          <a:avLst/>
        </a:prstGeom>
      </xdr:spPr>
    </xdr:pic>
    <xdr:clientData/>
  </xdr:twoCellAnchor>
  <xdr:twoCellAnchor editAs="absolute">
    <xdr:from>
      <xdr:col>1</xdr:col>
      <xdr:colOff>123825</xdr:colOff>
      <xdr:row>0</xdr:row>
      <xdr:rowOff>28575</xdr:rowOff>
    </xdr:from>
    <xdr:to>
      <xdr:col>2</xdr:col>
      <xdr:colOff>457200</xdr:colOff>
      <xdr:row>2</xdr:row>
      <xdr:rowOff>209550</xdr:rowOff>
    </xdr:to>
    <xdr:pic>
      <xdr:nvPicPr>
        <xdr:cNvPr id="24" name="Picture 23">
          <a:extLst>
            <a:ext uri="{FF2B5EF4-FFF2-40B4-BE49-F238E27FC236}">
              <a16:creationId xmlns:a16="http://schemas.microsoft.com/office/drawing/2014/main" id="{F13CC68B-F60A-4884-88EC-23F4811450B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85750" y="28575"/>
          <a:ext cx="495300" cy="495300"/>
        </a:xfrm>
        <a:prstGeom prst="rect">
          <a:avLst/>
        </a:prstGeom>
      </xdr:spPr>
    </xdr:pic>
    <xdr:clientData/>
  </xdr:twoCellAnchor>
  <xdr:twoCellAnchor>
    <xdr:from>
      <xdr:col>4</xdr:col>
      <xdr:colOff>742950</xdr:colOff>
      <xdr:row>13</xdr:row>
      <xdr:rowOff>86175</xdr:rowOff>
    </xdr:from>
    <xdr:to>
      <xdr:col>4</xdr:col>
      <xdr:colOff>834390</xdr:colOff>
      <xdr:row>13</xdr:row>
      <xdr:rowOff>177615</xdr:rowOff>
    </xdr:to>
    <xdr:sp macro="[0]!btnLevel.btnLevel" textlink="">
      <xdr:nvSpPr>
        <xdr:cNvPr id="7" name="btnLevelS1B1">
          <a:extLst>
            <a:ext uri="{FF2B5EF4-FFF2-40B4-BE49-F238E27FC236}">
              <a16:creationId xmlns:a16="http://schemas.microsoft.com/office/drawing/2014/main" id="{9A85A654-5B40-428B-B812-C4987A29EF52}"/>
            </a:ext>
          </a:extLst>
        </xdr:cNvPr>
        <xdr:cNvSpPr/>
      </xdr:nvSpPr>
      <xdr:spPr>
        <a:xfrm>
          <a:off x="3390900" y="33913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990600</xdr:colOff>
      <xdr:row>13</xdr:row>
      <xdr:rowOff>86175</xdr:rowOff>
    </xdr:from>
    <xdr:to>
      <xdr:col>4</xdr:col>
      <xdr:colOff>1082040</xdr:colOff>
      <xdr:row>13</xdr:row>
      <xdr:rowOff>177615</xdr:rowOff>
    </xdr:to>
    <xdr:sp macro="[0]!btnLevel.btnLevel" textlink="">
      <xdr:nvSpPr>
        <xdr:cNvPr id="8" name="btnLevelS1B2">
          <a:extLst>
            <a:ext uri="{FF2B5EF4-FFF2-40B4-BE49-F238E27FC236}">
              <a16:creationId xmlns:a16="http://schemas.microsoft.com/office/drawing/2014/main" id="{3678B86D-5ECA-4B58-A19A-74FACD2985FB}"/>
            </a:ext>
          </a:extLst>
        </xdr:cNvPr>
        <xdr:cNvSpPr/>
      </xdr:nvSpPr>
      <xdr:spPr>
        <a:xfrm>
          <a:off x="3638550" y="33913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781050</xdr:colOff>
      <xdr:row>13</xdr:row>
      <xdr:rowOff>86175</xdr:rowOff>
    </xdr:from>
    <xdr:to>
      <xdr:col>6</xdr:col>
      <xdr:colOff>872490</xdr:colOff>
      <xdr:row>13</xdr:row>
      <xdr:rowOff>177615</xdr:rowOff>
    </xdr:to>
    <xdr:sp macro="[0]!btnLevel.btnLevel" textlink="">
      <xdr:nvSpPr>
        <xdr:cNvPr id="9" name="btnLevelS2B1">
          <a:extLst>
            <a:ext uri="{FF2B5EF4-FFF2-40B4-BE49-F238E27FC236}">
              <a16:creationId xmlns:a16="http://schemas.microsoft.com/office/drawing/2014/main" id="{C7C9CF52-FAE5-4EE1-A1D9-482C1853892D}"/>
            </a:ext>
          </a:extLst>
        </xdr:cNvPr>
        <xdr:cNvSpPr/>
      </xdr:nvSpPr>
      <xdr:spPr>
        <a:xfrm>
          <a:off x="5562600" y="33913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1039906</xdr:colOff>
      <xdr:row>13</xdr:row>
      <xdr:rowOff>86175</xdr:rowOff>
    </xdr:from>
    <xdr:to>
      <xdr:col>6</xdr:col>
      <xdr:colOff>1131346</xdr:colOff>
      <xdr:row>13</xdr:row>
      <xdr:rowOff>177615</xdr:rowOff>
    </xdr:to>
    <xdr:sp macro="[0]!btnLevel.btnLevel" textlink="">
      <xdr:nvSpPr>
        <xdr:cNvPr id="10" name="btnLevelS2B2">
          <a:extLst>
            <a:ext uri="{FF2B5EF4-FFF2-40B4-BE49-F238E27FC236}">
              <a16:creationId xmlns:a16="http://schemas.microsoft.com/office/drawing/2014/main" id="{75A9184D-5CC0-4427-9AC8-BA9DA5E47C1F}"/>
            </a:ext>
          </a:extLst>
        </xdr:cNvPr>
        <xdr:cNvSpPr/>
      </xdr:nvSpPr>
      <xdr:spPr>
        <a:xfrm>
          <a:off x="5821456" y="33913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790575</xdr:colOff>
      <xdr:row>13</xdr:row>
      <xdr:rowOff>86175</xdr:rowOff>
    </xdr:from>
    <xdr:to>
      <xdr:col>8</xdr:col>
      <xdr:colOff>882015</xdr:colOff>
      <xdr:row>13</xdr:row>
      <xdr:rowOff>177615</xdr:rowOff>
    </xdr:to>
    <xdr:sp macro="[0]!btnLevel.btnLevel" textlink="">
      <xdr:nvSpPr>
        <xdr:cNvPr id="12" name="btnLevelS3B1">
          <a:extLst>
            <a:ext uri="{FF2B5EF4-FFF2-40B4-BE49-F238E27FC236}">
              <a16:creationId xmlns:a16="http://schemas.microsoft.com/office/drawing/2014/main" id="{5519CAD9-A004-4242-BACF-4385CF024DD1}"/>
            </a:ext>
          </a:extLst>
        </xdr:cNvPr>
        <xdr:cNvSpPr/>
      </xdr:nvSpPr>
      <xdr:spPr>
        <a:xfrm>
          <a:off x="7705725" y="33913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1038225</xdr:colOff>
      <xdr:row>13</xdr:row>
      <xdr:rowOff>86175</xdr:rowOff>
    </xdr:from>
    <xdr:to>
      <xdr:col>8</xdr:col>
      <xdr:colOff>1129665</xdr:colOff>
      <xdr:row>13</xdr:row>
      <xdr:rowOff>177615</xdr:rowOff>
    </xdr:to>
    <xdr:sp macro="[0]!btnLevel.btnLevel" textlink="">
      <xdr:nvSpPr>
        <xdr:cNvPr id="13" name="btnLevelS3B2">
          <a:extLst>
            <a:ext uri="{FF2B5EF4-FFF2-40B4-BE49-F238E27FC236}">
              <a16:creationId xmlns:a16="http://schemas.microsoft.com/office/drawing/2014/main" id="{D110C971-C43C-4694-BC39-E2C5E245635E}"/>
            </a:ext>
          </a:extLst>
        </xdr:cNvPr>
        <xdr:cNvSpPr/>
      </xdr:nvSpPr>
      <xdr:spPr>
        <a:xfrm>
          <a:off x="7953375" y="33913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790575</xdr:colOff>
      <xdr:row>13</xdr:row>
      <xdr:rowOff>86175</xdr:rowOff>
    </xdr:from>
    <xdr:to>
      <xdr:col>10</xdr:col>
      <xdr:colOff>882015</xdr:colOff>
      <xdr:row>13</xdr:row>
      <xdr:rowOff>177615</xdr:rowOff>
    </xdr:to>
    <xdr:sp macro="[0]!btnLevel.btnLevel" textlink="">
      <xdr:nvSpPr>
        <xdr:cNvPr id="14" name="btnLevelS4B1">
          <a:extLst>
            <a:ext uri="{FF2B5EF4-FFF2-40B4-BE49-F238E27FC236}">
              <a16:creationId xmlns:a16="http://schemas.microsoft.com/office/drawing/2014/main" id="{BC98078C-CC0E-4D0B-9B3F-4E20EBA03D5A}"/>
            </a:ext>
          </a:extLst>
        </xdr:cNvPr>
        <xdr:cNvSpPr/>
      </xdr:nvSpPr>
      <xdr:spPr>
        <a:xfrm>
          <a:off x="9839325" y="33913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1038225</xdr:colOff>
      <xdr:row>13</xdr:row>
      <xdr:rowOff>86175</xdr:rowOff>
    </xdr:from>
    <xdr:to>
      <xdr:col>10</xdr:col>
      <xdr:colOff>1129665</xdr:colOff>
      <xdr:row>13</xdr:row>
      <xdr:rowOff>177615</xdr:rowOff>
    </xdr:to>
    <xdr:sp macro="[0]!btnLevel.btnLevel" textlink="">
      <xdr:nvSpPr>
        <xdr:cNvPr id="15" name="btnLevelS4B2">
          <a:extLst>
            <a:ext uri="{FF2B5EF4-FFF2-40B4-BE49-F238E27FC236}">
              <a16:creationId xmlns:a16="http://schemas.microsoft.com/office/drawing/2014/main" id="{2AFCC49B-5664-49FB-86F8-5B10A844C6F6}"/>
            </a:ext>
          </a:extLst>
        </xdr:cNvPr>
        <xdr:cNvSpPr/>
      </xdr:nvSpPr>
      <xdr:spPr>
        <a:xfrm>
          <a:off x="10086975" y="33913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1904</xdr:colOff>
      <xdr:row>13</xdr:row>
      <xdr:rowOff>0</xdr:rowOff>
    </xdr:from>
    <xdr:ext cx="657225" cy="263790"/>
    <xdr:sp macro="" textlink="nmSLM">
      <xdr:nvSpPr>
        <xdr:cNvPr id="2" name="TextBox 1">
          <a:extLst>
            <a:ext uri="{FF2B5EF4-FFF2-40B4-BE49-F238E27FC236}">
              <a16:creationId xmlns:a16="http://schemas.microsoft.com/office/drawing/2014/main" id="{F4B0C9C2-DF24-49B5-9AF2-A742FF97884B}"/>
            </a:ext>
          </a:extLst>
        </xdr:cNvPr>
        <xdr:cNvSpPr txBox="1"/>
      </xdr:nvSpPr>
      <xdr:spPr>
        <a:xfrm>
          <a:off x="2668904"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4</xdr:col>
      <xdr:colOff>1343025</xdr:colOff>
      <xdr:row>13</xdr:row>
      <xdr:rowOff>0</xdr:rowOff>
    </xdr:from>
    <xdr:ext cx="590550" cy="263790"/>
    <xdr:sp macro="" textlink="nmNLM">
      <xdr:nvSpPr>
        <xdr:cNvPr id="17" name="TextBox 16">
          <a:extLst>
            <a:ext uri="{FF2B5EF4-FFF2-40B4-BE49-F238E27FC236}">
              <a16:creationId xmlns:a16="http://schemas.microsoft.com/office/drawing/2014/main" id="{E784C491-3CB0-4763-83F9-FB7EA67BCF5E}"/>
            </a:ext>
          </a:extLst>
        </xdr:cNvPr>
        <xdr:cNvSpPr txBox="1"/>
      </xdr:nvSpPr>
      <xdr:spPr>
        <a:xfrm>
          <a:off x="401002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oneCellAnchor>
    <xdr:from>
      <xdr:col>5</xdr:col>
      <xdr:colOff>142874</xdr:colOff>
      <xdr:row>13</xdr:row>
      <xdr:rowOff>0</xdr:rowOff>
    </xdr:from>
    <xdr:ext cx="657225" cy="263790"/>
    <xdr:sp macro="" textlink="nmSLM">
      <xdr:nvSpPr>
        <xdr:cNvPr id="20" name="TextBox 19">
          <a:extLst>
            <a:ext uri="{FF2B5EF4-FFF2-40B4-BE49-F238E27FC236}">
              <a16:creationId xmlns:a16="http://schemas.microsoft.com/office/drawing/2014/main" id="{0AED3187-7F84-4E37-B3D2-B2B0079D5C5A}"/>
            </a:ext>
          </a:extLst>
        </xdr:cNvPr>
        <xdr:cNvSpPr txBox="1"/>
      </xdr:nvSpPr>
      <xdr:spPr>
        <a:xfrm>
          <a:off x="4786312"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6</xdr:col>
      <xdr:colOff>1333500</xdr:colOff>
      <xdr:row>13</xdr:row>
      <xdr:rowOff>0</xdr:rowOff>
    </xdr:from>
    <xdr:ext cx="590550" cy="263790"/>
    <xdr:sp macro="" textlink="nmNLM">
      <xdr:nvSpPr>
        <xdr:cNvPr id="21" name="TextBox 20">
          <a:extLst>
            <a:ext uri="{FF2B5EF4-FFF2-40B4-BE49-F238E27FC236}">
              <a16:creationId xmlns:a16="http://schemas.microsoft.com/office/drawing/2014/main" id="{FC68A865-417C-4F7F-98FE-A0675B021473}"/>
            </a:ext>
          </a:extLst>
        </xdr:cNvPr>
        <xdr:cNvSpPr txBox="1"/>
      </xdr:nvSpPr>
      <xdr:spPr>
        <a:xfrm>
          <a:off x="614362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oneCellAnchor>
    <xdr:from>
      <xdr:col>8</xdr:col>
      <xdr:colOff>1904</xdr:colOff>
      <xdr:row>13</xdr:row>
      <xdr:rowOff>0</xdr:rowOff>
    </xdr:from>
    <xdr:ext cx="657225" cy="263790"/>
    <xdr:sp macro="" textlink="nmSLM">
      <xdr:nvSpPr>
        <xdr:cNvPr id="25" name="TextBox 24">
          <a:extLst>
            <a:ext uri="{FF2B5EF4-FFF2-40B4-BE49-F238E27FC236}">
              <a16:creationId xmlns:a16="http://schemas.microsoft.com/office/drawing/2014/main" id="{5B517789-0935-4618-A789-8C74090EFC36}"/>
            </a:ext>
          </a:extLst>
        </xdr:cNvPr>
        <xdr:cNvSpPr txBox="1"/>
      </xdr:nvSpPr>
      <xdr:spPr>
        <a:xfrm>
          <a:off x="6955154"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8</xdr:col>
      <xdr:colOff>1343025</xdr:colOff>
      <xdr:row>13</xdr:row>
      <xdr:rowOff>0</xdr:rowOff>
    </xdr:from>
    <xdr:ext cx="590550" cy="263790"/>
    <xdr:sp macro="" textlink="nmNLM">
      <xdr:nvSpPr>
        <xdr:cNvPr id="26" name="TextBox 25">
          <a:extLst>
            <a:ext uri="{FF2B5EF4-FFF2-40B4-BE49-F238E27FC236}">
              <a16:creationId xmlns:a16="http://schemas.microsoft.com/office/drawing/2014/main" id="{66910A68-C687-4D32-A4FC-3757375EA8B8}"/>
            </a:ext>
          </a:extLst>
        </xdr:cNvPr>
        <xdr:cNvSpPr txBox="1"/>
      </xdr:nvSpPr>
      <xdr:spPr>
        <a:xfrm>
          <a:off x="829627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oneCellAnchor>
    <xdr:from>
      <xdr:col>10</xdr:col>
      <xdr:colOff>1904</xdr:colOff>
      <xdr:row>13</xdr:row>
      <xdr:rowOff>0</xdr:rowOff>
    </xdr:from>
    <xdr:ext cx="657225" cy="263790"/>
    <xdr:sp macro="" textlink="nmSLM">
      <xdr:nvSpPr>
        <xdr:cNvPr id="27" name="TextBox 26">
          <a:extLst>
            <a:ext uri="{FF2B5EF4-FFF2-40B4-BE49-F238E27FC236}">
              <a16:creationId xmlns:a16="http://schemas.microsoft.com/office/drawing/2014/main" id="{40AD4FE2-E32C-4B17-AEA7-B728D775D5E3}"/>
            </a:ext>
          </a:extLst>
        </xdr:cNvPr>
        <xdr:cNvSpPr txBox="1"/>
      </xdr:nvSpPr>
      <xdr:spPr>
        <a:xfrm>
          <a:off x="9098279"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10</xdr:col>
      <xdr:colOff>1343025</xdr:colOff>
      <xdr:row>13</xdr:row>
      <xdr:rowOff>0</xdr:rowOff>
    </xdr:from>
    <xdr:ext cx="590550" cy="263790"/>
    <xdr:sp macro="" textlink="nmNLM">
      <xdr:nvSpPr>
        <xdr:cNvPr id="28" name="TextBox 27">
          <a:extLst>
            <a:ext uri="{FF2B5EF4-FFF2-40B4-BE49-F238E27FC236}">
              <a16:creationId xmlns:a16="http://schemas.microsoft.com/office/drawing/2014/main" id="{70C0735C-9F77-4968-A9C0-9272B2B2B1CD}"/>
            </a:ext>
          </a:extLst>
        </xdr:cNvPr>
        <xdr:cNvSpPr txBox="1"/>
      </xdr:nvSpPr>
      <xdr:spPr>
        <a:xfrm>
          <a:off x="10439400"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twoCellAnchor>
    <xdr:from>
      <xdr:col>10</xdr:col>
      <xdr:colOff>885825</xdr:colOff>
      <xdr:row>1</xdr:row>
      <xdr:rowOff>6303</xdr:rowOff>
    </xdr:from>
    <xdr:to>
      <xdr:col>11</xdr:col>
      <xdr:colOff>5715</xdr:colOff>
      <xdr:row>3</xdr:row>
      <xdr:rowOff>31920</xdr:rowOff>
    </xdr:to>
    <xdr:grpSp>
      <xdr:nvGrpSpPr>
        <xdr:cNvPr id="6" name="Group 5">
          <a:extLst>
            <a:ext uri="{FF2B5EF4-FFF2-40B4-BE49-F238E27FC236}">
              <a16:creationId xmlns:a16="http://schemas.microsoft.com/office/drawing/2014/main" id="{85E7294B-386A-4A56-95DE-90A899EBC785}"/>
            </a:ext>
          </a:extLst>
        </xdr:cNvPr>
        <xdr:cNvGrpSpPr/>
      </xdr:nvGrpSpPr>
      <xdr:grpSpPr>
        <a:xfrm>
          <a:off x="9906560" y="84744"/>
          <a:ext cx="1092126" cy="496264"/>
          <a:chOff x="8772525" y="139653"/>
          <a:chExt cx="876300" cy="501899"/>
        </a:xfrm>
      </xdr:grpSpPr>
      <xdr:pic macro="[0]!DecResetToolDecs_Caller">
        <xdr:nvPicPr>
          <xdr:cNvPr id="4" name="Picture 3">
            <a:extLst>
              <a:ext uri="{FF2B5EF4-FFF2-40B4-BE49-F238E27FC236}">
                <a16:creationId xmlns:a16="http://schemas.microsoft.com/office/drawing/2014/main" id="{7DB6B548-899D-4771-8708-23F4B114A05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74461" y="139653"/>
            <a:ext cx="272428" cy="274904"/>
          </a:xfrm>
          <a:prstGeom prst="rect">
            <a:avLst/>
          </a:prstGeom>
        </xdr:spPr>
      </xdr:pic>
      <xdr:sp macro="[0]!DecResetToolDecs_Caller" textlink="nmReset">
        <xdr:nvSpPr>
          <xdr:cNvPr id="5" name="TextBox 4">
            <a:extLst>
              <a:ext uri="{FF2B5EF4-FFF2-40B4-BE49-F238E27FC236}">
                <a16:creationId xmlns:a16="http://schemas.microsoft.com/office/drawing/2014/main" id="{5FBB2D38-B9B1-4707-94C9-B62454892D75}"/>
              </a:ext>
            </a:extLst>
          </xdr:cNvPr>
          <xdr:cNvSpPr txBox="1"/>
        </xdr:nvSpPr>
        <xdr:spPr>
          <a:xfrm>
            <a:off x="8772525" y="390525"/>
            <a:ext cx="876300" cy="251027"/>
          </a:xfrm>
          <a:prstGeom prst="rect">
            <a:avLst/>
          </a:prstGeom>
          <a:noFill/>
          <a:ln>
            <a:noFill/>
          </a:ln>
        </xdr:spPr>
        <xdr:txBody>
          <a:bodyPr vertOverflow="clip" horzOverflow="clip" wrap="square" rtlCol="0" anchor="t">
            <a:spAutoFit/>
          </a:bodyPr>
          <a:lstStyle/>
          <a:p>
            <a:pPr algn="ctr"/>
            <a:fld id="{606608F9-C1FD-419A-B4A8-9332FABBAB36}" type="TxLink">
              <a:rPr lang="en-US" altLang="ko-KR" sz="1000" b="0" i="0" u="none" strike="noStrike" dirty="0">
                <a:solidFill>
                  <a:schemeClr val="accent4"/>
                </a:solidFill>
                <a:latin typeface="Verdana"/>
                <a:ea typeface="Verdana"/>
                <a:cs typeface="Verdana"/>
              </a:rPr>
              <a:pPr algn="ctr"/>
              <a:t>Reset</a:t>
            </a:fld>
            <a:endParaRPr lang="en-US" sz="1050" dirty="0">
              <a:solidFill>
                <a:schemeClr val="accent4"/>
              </a:solidFill>
            </a:endParaRPr>
          </a:p>
        </xdr:txBody>
      </xdr:sp>
    </xdr:grpSp>
    <xdr:clientData/>
  </xdr:twoCellAnchor>
  <xdr:oneCellAnchor>
    <xdr:from>
      <xdr:col>2</xdr:col>
      <xdr:colOff>22753</xdr:colOff>
      <xdr:row>69</xdr:row>
      <xdr:rowOff>38100</xdr:rowOff>
    </xdr:from>
    <xdr:ext cx="266700" cy="266700"/>
    <xdr:pic>
      <xdr:nvPicPr>
        <xdr:cNvPr id="32" name="Picture 31">
          <a:extLst>
            <a:ext uri="{FF2B5EF4-FFF2-40B4-BE49-F238E27FC236}">
              <a16:creationId xmlns:a16="http://schemas.microsoft.com/office/drawing/2014/main" id="{F796407A-8C79-443A-B4C8-FB5F5FAC4CA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6603" y="15611475"/>
          <a:ext cx="266700" cy="266700"/>
        </a:xfrm>
        <a:prstGeom prst="rect">
          <a:avLst/>
        </a:prstGeom>
      </xdr:spPr>
    </xdr:pic>
    <xdr:clientData/>
  </xdr:oneCellAnchor>
  <xdr:twoCellAnchor>
    <xdr:from>
      <xdr:col>1</xdr:col>
      <xdr:colOff>123824</xdr:colOff>
      <xdr:row>111</xdr:row>
      <xdr:rowOff>0</xdr:rowOff>
    </xdr:from>
    <xdr:to>
      <xdr:col>8</xdr:col>
      <xdr:colOff>1800225</xdr:colOff>
      <xdr:row>123</xdr:row>
      <xdr:rowOff>85725</xdr:rowOff>
    </xdr:to>
    <xdr:graphicFrame macro="">
      <xdr:nvGraphicFramePr>
        <xdr:cNvPr id="33" name="Chart 32">
          <a:extLst>
            <a:ext uri="{FF2B5EF4-FFF2-40B4-BE49-F238E27FC236}">
              <a16:creationId xmlns:a16="http://schemas.microsoft.com/office/drawing/2014/main" id="{41DFAA3B-02F8-4376-A6C6-9D1C44E40F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123824</xdr:colOff>
      <xdr:row>98</xdr:row>
      <xdr:rowOff>0</xdr:rowOff>
    </xdr:from>
    <xdr:to>
      <xdr:col>8</xdr:col>
      <xdr:colOff>1800225</xdr:colOff>
      <xdr:row>110</xdr:row>
      <xdr:rowOff>85725</xdr:rowOff>
    </xdr:to>
    <xdr:graphicFrame macro="">
      <xdr:nvGraphicFramePr>
        <xdr:cNvPr id="34" name="Chart 33">
          <a:extLst>
            <a:ext uri="{FF2B5EF4-FFF2-40B4-BE49-F238E27FC236}">
              <a16:creationId xmlns:a16="http://schemas.microsoft.com/office/drawing/2014/main" id="{EEB5E757-3BDC-4912-B1C6-B0090F994B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123824</xdr:colOff>
      <xdr:row>85</xdr:row>
      <xdr:rowOff>0</xdr:rowOff>
    </xdr:from>
    <xdr:to>
      <xdr:col>8</xdr:col>
      <xdr:colOff>1800225</xdr:colOff>
      <xdr:row>97</xdr:row>
      <xdr:rowOff>85725</xdr:rowOff>
    </xdr:to>
    <xdr:graphicFrame macro="">
      <xdr:nvGraphicFramePr>
        <xdr:cNvPr id="35" name="Chart 34">
          <a:extLst>
            <a:ext uri="{FF2B5EF4-FFF2-40B4-BE49-F238E27FC236}">
              <a16:creationId xmlns:a16="http://schemas.microsoft.com/office/drawing/2014/main" id="{C9195A6E-8533-45BF-91FD-99F4E2AD68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123824</xdr:colOff>
      <xdr:row>71</xdr:row>
      <xdr:rowOff>247649</xdr:rowOff>
    </xdr:from>
    <xdr:to>
      <xdr:col>8</xdr:col>
      <xdr:colOff>1800225</xdr:colOff>
      <xdr:row>84</xdr:row>
      <xdr:rowOff>85725</xdr:rowOff>
    </xdr:to>
    <xdr:graphicFrame macro="">
      <xdr:nvGraphicFramePr>
        <xdr:cNvPr id="36" name="Chart 35">
          <a:extLst>
            <a:ext uri="{FF2B5EF4-FFF2-40B4-BE49-F238E27FC236}">
              <a16:creationId xmlns:a16="http://schemas.microsoft.com/office/drawing/2014/main" id="{FC959B00-A0EE-4E9E-99BB-E0512F997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123824</xdr:colOff>
      <xdr:row>124</xdr:row>
      <xdr:rowOff>0</xdr:rowOff>
    </xdr:from>
    <xdr:to>
      <xdr:col>8</xdr:col>
      <xdr:colOff>1800225</xdr:colOff>
      <xdr:row>136</xdr:row>
      <xdr:rowOff>85725</xdr:rowOff>
    </xdr:to>
    <xdr:graphicFrame macro="">
      <xdr:nvGraphicFramePr>
        <xdr:cNvPr id="37" name="Chart 36">
          <a:extLst>
            <a:ext uri="{FF2B5EF4-FFF2-40B4-BE49-F238E27FC236}">
              <a16:creationId xmlns:a16="http://schemas.microsoft.com/office/drawing/2014/main" id="{E7956E1A-AC53-4F1B-B51B-3C07EF07C4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1533192</xdr:colOff>
      <xdr:row>16</xdr:row>
      <xdr:rowOff>16812</xdr:rowOff>
    </xdr:from>
    <xdr:to>
      <xdr:col>4</xdr:col>
      <xdr:colOff>1765935</xdr:colOff>
      <xdr:row>16</xdr:row>
      <xdr:rowOff>249555</xdr:rowOff>
    </xdr:to>
    <xdr:sp macro="[0]!btnPlus" textlink="">
      <xdr:nvSpPr>
        <xdr:cNvPr id="53" name="btnPlus_Dec1">
          <a:extLst>
            <a:ext uri="{FF2B5EF4-FFF2-40B4-BE49-F238E27FC236}">
              <a16:creationId xmlns:a16="http://schemas.microsoft.com/office/drawing/2014/main" id="{3EEBFEEC-1B91-414E-9CE2-DB2B95292433}"/>
            </a:ext>
          </a:extLst>
        </xdr:cNvPr>
        <xdr:cNvSpPr>
          <a:spLocks noChangeAspect="1"/>
        </xdr:cNvSpPr>
      </xdr:nvSpPr>
      <xdr:spPr bwMode="auto">
        <a:xfrm>
          <a:off x="4181142" y="37315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110491</xdr:colOff>
      <xdr:row>16</xdr:row>
      <xdr:rowOff>3</xdr:rowOff>
    </xdr:from>
    <xdr:to>
      <xdr:col>4</xdr:col>
      <xdr:colOff>365760</xdr:colOff>
      <xdr:row>16</xdr:row>
      <xdr:rowOff>255272</xdr:rowOff>
    </xdr:to>
    <xdr:sp macro="[0]!btnMinus" textlink="">
      <xdr:nvSpPr>
        <xdr:cNvPr id="54" name="btnMinus_Dec1">
          <a:extLst>
            <a:ext uri="{FF2B5EF4-FFF2-40B4-BE49-F238E27FC236}">
              <a16:creationId xmlns:a16="http://schemas.microsoft.com/office/drawing/2014/main" id="{F7F83960-4ACF-45F9-9CC8-55794ED27588}"/>
            </a:ext>
          </a:extLst>
        </xdr:cNvPr>
        <xdr:cNvSpPr>
          <a:spLocks noChangeAspect="1"/>
        </xdr:cNvSpPr>
      </xdr:nvSpPr>
      <xdr:spPr bwMode="auto">
        <a:xfrm>
          <a:off x="2758441" y="3714753"/>
          <a:ext cx="255269" cy="255269"/>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1569554</xdr:colOff>
      <xdr:row>16</xdr:row>
      <xdr:rowOff>16812</xdr:rowOff>
    </xdr:from>
    <xdr:to>
      <xdr:col>6</xdr:col>
      <xdr:colOff>1802297</xdr:colOff>
      <xdr:row>16</xdr:row>
      <xdr:rowOff>249555</xdr:rowOff>
    </xdr:to>
    <xdr:sp macro="[0]!btnPlus" textlink="">
      <xdr:nvSpPr>
        <xdr:cNvPr id="55" name="btnPlus_Dec2">
          <a:extLst>
            <a:ext uri="{FF2B5EF4-FFF2-40B4-BE49-F238E27FC236}">
              <a16:creationId xmlns:a16="http://schemas.microsoft.com/office/drawing/2014/main" id="{750A0970-33B0-4CDB-B396-D5A5ED989C8F}"/>
            </a:ext>
          </a:extLst>
        </xdr:cNvPr>
        <xdr:cNvSpPr>
          <a:spLocks noChangeAspect="1"/>
        </xdr:cNvSpPr>
      </xdr:nvSpPr>
      <xdr:spPr bwMode="auto">
        <a:xfrm>
          <a:off x="6351104" y="37315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159854</xdr:colOff>
      <xdr:row>16</xdr:row>
      <xdr:rowOff>3</xdr:rowOff>
    </xdr:from>
    <xdr:to>
      <xdr:col>6</xdr:col>
      <xdr:colOff>415123</xdr:colOff>
      <xdr:row>16</xdr:row>
      <xdr:rowOff>255273</xdr:rowOff>
    </xdr:to>
    <xdr:sp macro="[0]!btnMinus" textlink="">
      <xdr:nvSpPr>
        <xdr:cNvPr id="56" name="btnMinus_Dec2">
          <a:extLst>
            <a:ext uri="{FF2B5EF4-FFF2-40B4-BE49-F238E27FC236}">
              <a16:creationId xmlns:a16="http://schemas.microsoft.com/office/drawing/2014/main" id="{3C4197ED-B3FD-4273-A40D-4B4E23DEF37C}"/>
            </a:ext>
          </a:extLst>
        </xdr:cNvPr>
        <xdr:cNvSpPr>
          <a:spLocks noChangeAspect="1"/>
        </xdr:cNvSpPr>
      </xdr:nvSpPr>
      <xdr:spPr bwMode="auto">
        <a:xfrm>
          <a:off x="4941404" y="3714753"/>
          <a:ext cx="255269" cy="255270"/>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1533192</xdr:colOff>
      <xdr:row>16</xdr:row>
      <xdr:rowOff>16812</xdr:rowOff>
    </xdr:from>
    <xdr:to>
      <xdr:col>8</xdr:col>
      <xdr:colOff>1765935</xdr:colOff>
      <xdr:row>16</xdr:row>
      <xdr:rowOff>249555</xdr:rowOff>
    </xdr:to>
    <xdr:sp macro="[0]!btnPlus" textlink="">
      <xdr:nvSpPr>
        <xdr:cNvPr id="57" name="btnPlus_Dec3">
          <a:extLst>
            <a:ext uri="{FF2B5EF4-FFF2-40B4-BE49-F238E27FC236}">
              <a16:creationId xmlns:a16="http://schemas.microsoft.com/office/drawing/2014/main" id="{D4CD9E45-491F-4BCF-81F0-0DFFDFFC5907}"/>
            </a:ext>
          </a:extLst>
        </xdr:cNvPr>
        <xdr:cNvSpPr>
          <a:spLocks noChangeAspect="1"/>
        </xdr:cNvSpPr>
      </xdr:nvSpPr>
      <xdr:spPr bwMode="auto">
        <a:xfrm>
          <a:off x="8448342" y="37315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120016</xdr:colOff>
      <xdr:row>16</xdr:row>
      <xdr:rowOff>3</xdr:rowOff>
    </xdr:from>
    <xdr:to>
      <xdr:col>8</xdr:col>
      <xdr:colOff>375285</xdr:colOff>
      <xdr:row>16</xdr:row>
      <xdr:rowOff>255272</xdr:rowOff>
    </xdr:to>
    <xdr:sp macro="[0]!btnMinus" textlink="">
      <xdr:nvSpPr>
        <xdr:cNvPr id="58" name="btnMinus_Dec3">
          <a:extLst>
            <a:ext uri="{FF2B5EF4-FFF2-40B4-BE49-F238E27FC236}">
              <a16:creationId xmlns:a16="http://schemas.microsoft.com/office/drawing/2014/main" id="{EE6247F9-0ACF-421D-ABCF-293C8D003A5C}"/>
            </a:ext>
          </a:extLst>
        </xdr:cNvPr>
        <xdr:cNvSpPr>
          <a:spLocks noChangeAspect="1"/>
        </xdr:cNvSpPr>
      </xdr:nvSpPr>
      <xdr:spPr bwMode="auto">
        <a:xfrm>
          <a:off x="7035166" y="3714753"/>
          <a:ext cx="255269" cy="255269"/>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1533192</xdr:colOff>
      <xdr:row>16</xdr:row>
      <xdr:rowOff>16812</xdr:rowOff>
    </xdr:from>
    <xdr:to>
      <xdr:col>10</xdr:col>
      <xdr:colOff>1765935</xdr:colOff>
      <xdr:row>16</xdr:row>
      <xdr:rowOff>249555</xdr:rowOff>
    </xdr:to>
    <xdr:sp macro="[0]!btnPlus" textlink="">
      <xdr:nvSpPr>
        <xdr:cNvPr id="59" name="btnPlus_Dec4">
          <a:extLst>
            <a:ext uri="{FF2B5EF4-FFF2-40B4-BE49-F238E27FC236}">
              <a16:creationId xmlns:a16="http://schemas.microsoft.com/office/drawing/2014/main" id="{56D2F35B-27B3-4DC8-9275-AF04D00C87AD}"/>
            </a:ext>
          </a:extLst>
        </xdr:cNvPr>
        <xdr:cNvSpPr>
          <a:spLocks noChangeAspect="1"/>
        </xdr:cNvSpPr>
      </xdr:nvSpPr>
      <xdr:spPr bwMode="auto">
        <a:xfrm>
          <a:off x="10581942" y="37315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110491</xdr:colOff>
      <xdr:row>16</xdr:row>
      <xdr:rowOff>3</xdr:rowOff>
    </xdr:from>
    <xdr:to>
      <xdr:col>10</xdr:col>
      <xdr:colOff>365760</xdr:colOff>
      <xdr:row>16</xdr:row>
      <xdr:rowOff>255272</xdr:rowOff>
    </xdr:to>
    <xdr:sp macro="[0]!btnMinus" textlink="">
      <xdr:nvSpPr>
        <xdr:cNvPr id="60" name="btnMinus_Dec4">
          <a:extLst>
            <a:ext uri="{FF2B5EF4-FFF2-40B4-BE49-F238E27FC236}">
              <a16:creationId xmlns:a16="http://schemas.microsoft.com/office/drawing/2014/main" id="{BEC918D2-35F6-469F-A59E-464BAA417370}"/>
            </a:ext>
          </a:extLst>
        </xdr:cNvPr>
        <xdr:cNvSpPr>
          <a:spLocks noChangeAspect="1"/>
        </xdr:cNvSpPr>
      </xdr:nvSpPr>
      <xdr:spPr bwMode="auto">
        <a:xfrm>
          <a:off x="9159241" y="3714753"/>
          <a:ext cx="255269" cy="255269"/>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419099</xdr:colOff>
      <xdr:row>6</xdr:row>
      <xdr:rowOff>76199</xdr:rowOff>
    </xdr:from>
    <xdr:to>
      <xdr:col>10</xdr:col>
      <xdr:colOff>1724025</xdr:colOff>
      <xdr:row>9</xdr:row>
      <xdr:rowOff>76200</xdr:rowOff>
    </xdr:to>
    <xdr:grpSp>
      <xdr:nvGrpSpPr>
        <xdr:cNvPr id="31" name="Group 30">
          <a:extLst>
            <a:ext uri="{FF2B5EF4-FFF2-40B4-BE49-F238E27FC236}">
              <a16:creationId xmlns:a16="http://schemas.microsoft.com/office/drawing/2014/main" id="{03B56823-05D1-440D-BD62-D2BC524ED3F1}"/>
            </a:ext>
          </a:extLst>
        </xdr:cNvPr>
        <xdr:cNvGrpSpPr/>
      </xdr:nvGrpSpPr>
      <xdr:grpSpPr>
        <a:xfrm>
          <a:off x="7310717" y="1364875"/>
          <a:ext cx="3434043" cy="616325"/>
          <a:chOff x="7600949" y="1228313"/>
          <a:chExt cx="3438526" cy="607425"/>
        </a:xfrm>
      </xdr:grpSpPr>
      <xdr:sp macro="" textlink="">
        <xdr:nvSpPr>
          <xdr:cNvPr id="3" name="Rectangle 2">
            <a:extLst>
              <a:ext uri="{FF2B5EF4-FFF2-40B4-BE49-F238E27FC236}">
                <a16:creationId xmlns:a16="http://schemas.microsoft.com/office/drawing/2014/main" id="{4593C8CC-8324-45DE-A94D-4ED713DE41B1}"/>
              </a:ext>
            </a:extLst>
          </xdr:cNvPr>
          <xdr:cNvSpPr/>
        </xdr:nvSpPr>
        <xdr:spPr>
          <a:xfrm>
            <a:off x="7600949" y="1228313"/>
            <a:ext cx="3419475" cy="607425"/>
          </a:xfrm>
          <a:prstGeom prst="rect">
            <a:avLst/>
          </a:prstGeom>
          <a:solidFill>
            <a:schemeClr val="bg1"/>
          </a:solidFill>
          <a:ln w="6350">
            <a:solidFill>
              <a:schemeClr val="accent2"/>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9" name="Group 28">
            <a:extLst>
              <a:ext uri="{FF2B5EF4-FFF2-40B4-BE49-F238E27FC236}">
                <a16:creationId xmlns:a16="http://schemas.microsoft.com/office/drawing/2014/main" id="{9E6DCE81-D342-4E2B-BF9A-C2270E322DF9}"/>
              </a:ext>
            </a:extLst>
          </xdr:cNvPr>
          <xdr:cNvGrpSpPr/>
        </xdr:nvGrpSpPr>
        <xdr:grpSpPr>
          <a:xfrm>
            <a:off x="7772401" y="1282658"/>
            <a:ext cx="3267074" cy="263790"/>
            <a:chOff x="7572376" y="1320758"/>
            <a:chExt cx="3267074" cy="263790"/>
          </a:xfrm>
        </xdr:grpSpPr>
        <xdr:sp macro="" textlink="nmYr1">
          <xdr:nvSpPr>
            <xdr:cNvPr id="43" name="TextBox 42">
              <a:extLst>
                <a:ext uri="{FF2B5EF4-FFF2-40B4-BE49-F238E27FC236}">
                  <a16:creationId xmlns:a16="http://schemas.microsoft.com/office/drawing/2014/main" id="{E45D2C34-C057-4241-9B86-54C06E0E0EA4}"/>
                </a:ext>
              </a:extLst>
            </xdr:cNvPr>
            <xdr:cNvSpPr txBox="1"/>
          </xdr:nvSpPr>
          <xdr:spPr>
            <a:xfrm>
              <a:off x="7572376" y="1323259"/>
              <a:ext cx="666750" cy="258805"/>
            </a:xfrm>
            <a:prstGeom prst="rect">
              <a:avLst/>
            </a:prstGeom>
            <a:noFill/>
            <a:ln>
              <a:noFill/>
            </a:ln>
          </xdr:spPr>
          <xdr:txBody>
            <a:bodyPr vertOverflow="clip" horzOverflow="clip" wrap="square" rtlCol="0" anchor="ctr">
              <a:spAutoFit/>
            </a:bodyPr>
            <a:lstStyle/>
            <a:p>
              <a:fld id="{BB9E52A5-3B3D-4087-8FC5-2E5D6C98C656}" type="TxLink">
                <a:rPr lang="en-US" altLang="ja-JP" sz="1100" b="0" i="0" u="none" strike="noStrike" dirty="0">
                  <a:solidFill>
                    <a:srgbClr val="000000"/>
                  </a:solidFill>
                  <a:latin typeface="Verdana"/>
                  <a:ea typeface="Verdana"/>
                  <a:cs typeface="Verdana"/>
                </a:rPr>
                <a:pPr/>
                <a:t>Year 2</a:t>
              </a:fld>
              <a:endParaRPr lang="en-US" sz="1200" b="1" dirty="0"/>
            </a:p>
          </xdr:txBody>
        </xdr:sp>
        <xdr:sp macro="" textlink="nmFY1_Def">
          <xdr:nvSpPr>
            <xdr:cNvPr id="44" name="TextBox 43">
              <a:extLst>
                <a:ext uri="{FF2B5EF4-FFF2-40B4-BE49-F238E27FC236}">
                  <a16:creationId xmlns:a16="http://schemas.microsoft.com/office/drawing/2014/main" id="{71B3690C-C847-4AC2-804C-1990457B2361}"/>
                </a:ext>
              </a:extLst>
            </xdr:cNvPr>
            <xdr:cNvSpPr txBox="1"/>
          </xdr:nvSpPr>
          <xdr:spPr>
            <a:xfrm>
              <a:off x="8572501" y="1323251"/>
              <a:ext cx="2266949" cy="258805"/>
            </a:xfrm>
            <a:prstGeom prst="rect">
              <a:avLst/>
            </a:prstGeom>
            <a:noFill/>
            <a:ln>
              <a:noFill/>
            </a:ln>
          </xdr:spPr>
          <xdr:txBody>
            <a:bodyPr vertOverflow="clip" horzOverflow="clip" wrap="square" rtlCol="0" anchor="ctr">
              <a:spAutoFit/>
            </a:bodyPr>
            <a:lstStyle/>
            <a:p>
              <a:fld id="{9E4A88DE-D233-47B4-8ACF-A9334886B191}" type="TxLink">
                <a:rPr lang="en-US" sz="1100" b="0" i="0" u="none" strike="noStrike" dirty="0">
                  <a:solidFill>
                    <a:srgbClr val="000000"/>
                  </a:solidFill>
                  <a:latin typeface="Verdana"/>
                  <a:ea typeface="Verdana"/>
                  <a:cs typeface="Verdana"/>
                </a:rPr>
                <a:t>7 May 2018 - 6 May 2019</a:t>
              </a:fld>
              <a:endParaRPr lang="en-US" sz="1200" b="1" dirty="0"/>
            </a:p>
          </xdr:txBody>
        </xdr:sp>
        <xdr:sp macro="" textlink="">
          <xdr:nvSpPr>
            <xdr:cNvPr id="45" name="TextBox 44">
              <a:extLst>
                <a:ext uri="{FF2B5EF4-FFF2-40B4-BE49-F238E27FC236}">
                  <a16:creationId xmlns:a16="http://schemas.microsoft.com/office/drawing/2014/main" id="{F9224E0D-FFEC-4C96-A6DC-0AEE85F6710C}"/>
                </a:ext>
              </a:extLst>
            </xdr:cNvPr>
            <xdr:cNvSpPr txBox="1"/>
          </xdr:nvSpPr>
          <xdr:spPr>
            <a:xfrm>
              <a:off x="8277226" y="1320758"/>
              <a:ext cx="257174" cy="263790"/>
            </a:xfrm>
            <a:prstGeom prst="rect">
              <a:avLst/>
            </a:prstGeom>
            <a:noFill/>
            <a:ln>
              <a:noFill/>
            </a:ln>
          </xdr:spPr>
          <xdr:txBody>
            <a:bodyPr vertOverflow="clip" horzOverflow="clip" wrap="square" rtlCol="0" anchor="ctr">
              <a:spAutoFit/>
            </a:bodyPr>
            <a:lstStyle/>
            <a:p>
              <a:r>
                <a:rPr lang="en-US" sz="1100" b="0" i="0" u="none" strike="noStrike" dirty="0">
                  <a:solidFill>
                    <a:srgbClr val="000000"/>
                  </a:solidFill>
                  <a:latin typeface="Verdana"/>
                  <a:ea typeface="Verdana"/>
                  <a:cs typeface="Verdana"/>
                </a:rPr>
                <a:t>=</a:t>
              </a:r>
            </a:p>
          </xdr:txBody>
        </xdr:sp>
      </xdr:grpSp>
      <xdr:grpSp>
        <xdr:nvGrpSpPr>
          <xdr:cNvPr id="19" name="Group 18">
            <a:extLst>
              <a:ext uri="{FF2B5EF4-FFF2-40B4-BE49-F238E27FC236}">
                <a16:creationId xmlns:a16="http://schemas.microsoft.com/office/drawing/2014/main" id="{F4A49B11-4939-4C46-AABC-34C62EC6334C}"/>
              </a:ext>
            </a:extLst>
          </xdr:cNvPr>
          <xdr:cNvGrpSpPr/>
        </xdr:nvGrpSpPr>
        <xdr:grpSpPr>
          <a:xfrm>
            <a:off x="7772401" y="1530307"/>
            <a:ext cx="3267074" cy="263790"/>
            <a:chOff x="7572376" y="1616032"/>
            <a:chExt cx="3267074" cy="263790"/>
          </a:xfrm>
        </xdr:grpSpPr>
        <xdr:sp macro="" textlink="nmYr2">
          <xdr:nvSpPr>
            <xdr:cNvPr id="50" name="TextBox 49">
              <a:extLst>
                <a:ext uri="{FF2B5EF4-FFF2-40B4-BE49-F238E27FC236}">
                  <a16:creationId xmlns:a16="http://schemas.microsoft.com/office/drawing/2014/main" id="{D5007DC0-C452-41BF-B998-EC76EBDBEF14}"/>
                </a:ext>
              </a:extLst>
            </xdr:cNvPr>
            <xdr:cNvSpPr txBox="1"/>
          </xdr:nvSpPr>
          <xdr:spPr>
            <a:xfrm>
              <a:off x="7572376" y="1618533"/>
              <a:ext cx="666750" cy="258805"/>
            </a:xfrm>
            <a:prstGeom prst="rect">
              <a:avLst/>
            </a:prstGeom>
            <a:noFill/>
            <a:ln>
              <a:noFill/>
            </a:ln>
          </xdr:spPr>
          <xdr:txBody>
            <a:bodyPr vertOverflow="clip" horzOverflow="clip" wrap="square" rtlCol="0" anchor="ctr">
              <a:spAutoFit/>
            </a:bodyPr>
            <a:lstStyle/>
            <a:p>
              <a:fld id="{06C46DC7-9F4B-431B-A967-03C57B81D333}" type="TxLink">
                <a:rPr lang="en-US" altLang="ja-JP" sz="1100" b="0" i="0" u="none" strike="noStrike" dirty="0">
                  <a:solidFill>
                    <a:srgbClr val="000000"/>
                  </a:solidFill>
                  <a:latin typeface="Verdana"/>
                  <a:ea typeface="Verdana"/>
                  <a:cs typeface="Verdana"/>
                </a:rPr>
                <a:pPr/>
                <a:t>Year 3</a:t>
              </a:fld>
              <a:endParaRPr lang="en-US" sz="1200" b="1" dirty="0"/>
            </a:p>
          </xdr:txBody>
        </xdr:sp>
        <xdr:sp macro="" textlink="nmFY2_Def">
          <xdr:nvSpPr>
            <xdr:cNvPr id="51" name="TextBox 50">
              <a:extLst>
                <a:ext uri="{FF2B5EF4-FFF2-40B4-BE49-F238E27FC236}">
                  <a16:creationId xmlns:a16="http://schemas.microsoft.com/office/drawing/2014/main" id="{732DB9A0-E15D-4A09-A138-D43729B1E262}"/>
                </a:ext>
              </a:extLst>
            </xdr:cNvPr>
            <xdr:cNvSpPr txBox="1"/>
          </xdr:nvSpPr>
          <xdr:spPr>
            <a:xfrm>
              <a:off x="8572501" y="1618527"/>
              <a:ext cx="2266949" cy="258805"/>
            </a:xfrm>
            <a:prstGeom prst="rect">
              <a:avLst/>
            </a:prstGeom>
            <a:noFill/>
            <a:ln>
              <a:noFill/>
            </a:ln>
          </xdr:spPr>
          <xdr:txBody>
            <a:bodyPr vertOverflow="clip" horzOverflow="clip" wrap="square" rtlCol="0" anchor="ctr">
              <a:spAutoFit/>
            </a:bodyPr>
            <a:lstStyle/>
            <a:p>
              <a:fld id="{1B783B82-FCA5-40AA-BAFE-56FA57A25757}" type="TxLink">
                <a:rPr lang="en-US" sz="1100" b="0" i="0" u="none" strike="noStrike" dirty="0">
                  <a:solidFill>
                    <a:srgbClr val="000000"/>
                  </a:solidFill>
                  <a:latin typeface="Verdana"/>
                  <a:ea typeface="Verdana"/>
                  <a:cs typeface="Verdana"/>
                </a:rPr>
                <a:t>7 May 2019 - 6 May 2020</a:t>
              </a:fld>
              <a:endParaRPr lang="en-US" sz="1200" b="1" dirty="0"/>
            </a:p>
          </xdr:txBody>
        </xdr:sp>
        <xdr:sp macro="" textlink="">
          <xdr:nvSpPr>
            <xdr:cNvPr id="52" name="TextBox 51">
              <a:extLst>
                <a:ext uri="{FF2B5EF4-FFF2-40B4-BE49-F238E27FC236}">
                  <a16:creationId xmlns:a16="http://schemas.microsoft.com/office/drawing/2014/main" id="{4169B6CD-D395-4FF8-81DE-A4BFCF9B2F83}"/>
                </a:ext>
              </a:extLst>
            </xdr:cNvPr>
            <xdr:cNvSpPr txBox="1"/>
          </xdr:nvSpPr>
          <xdr:spPr>
            <a:xfrm>
              <a:off x="8277226" y="1616032"/>
              <a:ext cx="257174" cy="263790"/>
            </a:xfrm>
            <a:prstGeom prst="rect">
              <a:avLst/>
            </a:prstGeom>
            <a:noFill/>
            <a:ln>
              <a:noFill/>
            </a:ln>
          </xdr:spPr>
          <xdr:txBody>
            <a:bodyPr vertOverflow="clip" horzOverflow="clip" wrap="square" rtlCol="0" anchor="ctr">
              <a:spAutoFit/>
            </a:bodyPr>
            <a:lstStyle/>
            <a:p>
              <a:r>
                <a:rPr lang="en-US" sz="1100" b="0" i="0" u="none" strike="noStrike" dirty="0">
                  <a:solidFill>
                    <a:srgbClr val="000000"/>
                  </a:solidFill>
                  <a:latin typeface="Verdana"/>
                  <a:ea typeface="Verdana"/>
                  <a:cs typeface="Verdana"/>
                </a:rPr>
                <a:t>=</a:t>
              </a:r>
            </a:p>
          </xdr:txBody>
        </xdr:sp>
      </xdr:grpSp>
    </xdr:grpSp>
    <xdr:clientData/>
  </xdr:twoCellAnchor>
  <xdr:twoCellAnchor>
    <xdr:from>
      <xdr:col>8</xdr:col>
      <xdr:colOff>409575</xdr:colOff>
      <xdr:row>5</xdr:row>
      <xdr:rowOff>9525</xdr:rowOff>
    </xdr:from>
    <xdr:to>
      <xdr:col>10</xdr:col>
      <xdr:colOff>1714500</xdr:colOff>
      <xdr:row>6</xdr:row>
      <xdr:rowOff>76200</xdr:rowOff>
    </xdr:to>
    <xdr:sp macro="" textlink="nmLegend">
      <xdr:nvSpPr>
        <xdr:cNvPr id="61" name="TextBox 60">
          <a:extLst>
            <a:ext uri="{FF2B5EF4-FFF2-40B4-BE49-F238E27FC236}">
              <a16:creationId xmlns:a16="http://schemas.microsoft.com/office/drawing/2014/main" id="{867100B6-D149-4F77-943C-31C56A39FF2B}"/>
            </a:ext>
          </a:extLst>
        </xdr:cNvPr>
        <xdr:cNvSpPr txBox="1"/>
      </xdr:nvSpPr>
      <xdr:spPr>
        <a:xfrm>
          <a:off x="7324725" y="1057275"/>
          <a:ext cx="3438525" cy="314325"/>
        </a:xfrm>
        <a:prstGeom prst="rect">
          <a:avLst/>
        </a:prstGeom>
        <a:solidFill>
          <a:schemeClr val="bg1"/>
        </a:solidFill>
        <a:ln>
          <a:noFill/>
        </a:ln>
      </xdr:spPr>
      <xdr:txBody>
        <a:bodyPr vertOverflow="clip" horzOverflow="clip" wrap="square" rtlCol="0" anchor="ctr">
          <a:noAutofit/>
        </a:bodyPr>
        <a:lstStyle/>
        <a:p>
          <a:fld id="{3C054DA2-F565-44EE-AE48-95CCF8511B23}" type="TxLink">
            <a:rPr lang="en-US" altLang="ko-KR" sz="1100" b="1" i="0" u="none" strike="noStrike" dirty="0">
              <a:solidFill>
                <a:srgbClr val="000000"/>
              </a:solidFill>
              <a:latin typeface="Verdana"/>
              <a:ea typeface="Verdana"/>
              <a:cs typeface="Verdana"/>
            </a:rPr>
            <a:pPr/>
            <a:t>Important: Read before using</a:t>
          </a:fld>
          <a:endParaRPr lang="en-US" sz="1200" b="1" dirty="0"/>
        </a:p>
      </xdr:txBody>
    </xdr:sp>
    <xdr:clientData/>
  </xdr:twoCellAnchor>
  <xdr:twoCellAnchor>
    <xdr:from>
      <xdr:col>8</xdr:col>
      <xdr:colOff>1866900</xdr:colOff>
      <xdr:row>71</xdr:row>
      <xdr:rowOff>247649</xdr:rowOff>
    </xdr:from>
    <xdr:to>
      <xdr:col>27</xdr:col>
      <xdr:colOff>658368</xdr:colOff>
      <xdr:row>84</xdr:row>
      <xdr:rowOff>85724</xdr:rowOff>
    </xdr:to>
    <xdr:graphicFrame macro="">
      <xdr:nvGraphicFramePr>
        <xdr:cNvPr id="62" name="Chart 61">
          <a:extLst>
            <a:ext uri="{FF2B5EF4-FFF2-40B4-BE49-F238E27FC236}">
              <a16:creationId xmlns:a16="http://schemas.microsoft.com/office/drawing/2014/main" id="{29BC5482-287D-4DB6-8474-E871D3096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1866900</xdr:colOff>
      <xdr:row>85</xdr:row>
      <xdr:rowOff>0</xdr:rowOff>
    </xdr:from>
    <xdr:to>
      <xdr:col>27</xdr:col>
      <xdr:colOff>658368</xdr:colOff>
      <xdr:row>97</xdr:row>
      <xdr:rowOff>114300</xdr:rowOff>
    </xdr:to>
    <xdr:graphicFrame macro="">
      <xdr:nvGraphicFramePr>
        <xdr:cNvPr id="63" name="Chart 62">
          <a:extLst>
            <a:ext uri="{FF2B5EF4-FFF2-40B4-BE49-F238E27FC236}">
              <a16:creationId xmlns:a16="http://schemas.microsoft.com/office/drawing/2014/main" id="{5FC0A6AF-A1EB-421D-B8C0-CCADA2AAA9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1866900</xdr:colOff>
      <xdr:row>98</xdr:row>
      <xdr:rowOff>0</xdr:rowOff>
    </xdr:from>
    <xdr:to>
      <xdr:col>27</xdr:col>
      <xdr:colOff>658368</xdr:colOff>
      <xdr:row>110</xdr:row>
      <xdr:rowOff>114300</xdr:rowOff>
    </xdr:to>
    <xdr:graphicFrame macro="">
      <xdr:nvGraphicFramePr>
        <xdr:cNvPr id="64" name="Chart 63">
          <a:extLst>
            <a:ext uri="{FF2B5EF4-FFF2-40B4-BE49-F238E27FC236}">
              <a16:creationId xmlns:a16="http://schemas.microsoft.com/office/drawing/2014/main" id="{B55A5C9F-E9AF-4436-933E-2D4F7AFF31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1866900</xdr:colOff>
      <xdr:row>111</xdr:row>
      <xdr:rowOff>0</xdr:rowOff>
    </xdr:from>
    <xdr:to>
      <xdr:col>27</xdr:col>
      <xdr:colOff>658368</xdr:colOff>
      <xdr:row>123</xdr:row>
      <xdr:rowOff>114300</xdr:rowOff>
    </xdr:to>
    <xdr:graphicFrame macro="">
      <xdr:nvGraphicFramePr>
        <xdr:cNvPr id="65" name="Chart 64">
          <a:extLst>
            <a:ext uri="{FF2B5EF4-FFF2-40B4-BE49-F238E27FC236}">
              <a16:creationId xmlns:a16="http://schemas.microsoft.com/office/drawing/2014/main" id="{5A3AC995-F99A-4C45-B2EE-96C4D078AB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1866900</xdr:colOff>
      <xdr:row>124</xdr:row>
      <xdr:rowOff>0</xdr:rowOff>
    </xdr:from>
    <xdr:to>
      <xdr:col>27</xdr:col>
      <xdr:colOff>658368</xdr:colOff>
      <xdr:row>136</xdr:row>
      <xdr:rowOff>114300</xdr:rowOff>
    </xdr:to>
    <xdr:graphicFrame macro="">
      <xdr:nvGraphicFramePr>
        <xdr:cNvPr id="66" name="Chart 65">
          <a:extLst>
            <a:ext uri="{FF2B5EF4-FFF2-40B4-BE49-F238E27FC236}">
              <a16:creationId xmlns:a16="http://schemas.microsoft.com/office/drawing/2014/main" id="{5DF2B529-8E49-485C-A109-9CE60D7852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495300</xdr:colOff>
      <xdr:row>9</xdr:row>
      <xdr:rowOff>76201</xdr:rowOff>
    </xdr:from>
    <xdr:to>
      <xdr:col>4</xdr:col>
      <xdr:colOff>1552575</xdr:colOff>
      <xdr:row>9</xdr:row>
      <xdr:rowOff>295275</xdr:rowOff>
    </xdr:to>
    <xdr:sp macro="[0]!DecResetToolDecs_Localize" textlink="">
      <xdr:nvSpPr>
        <xdr:cNvPr id="18" name="Rectangle: Rounded Corners 17">
          <a:extLst>
            <a:ext uri="{FF2B5EF4-FFF2-40B4-BE49-F238E27FC236}">
              <a16:creationId xmlns:a16="http://schemas.microsoft.com/office/drawing/2014/main" id="{117E062C-5E78-481C-A82E-3219511E403F}"/>
            </a:ext>
          </a:extLst>
        </xdr:cNvPr>
        <xdr:cNvSpPr/>
      </xdr:nvSpPr>
      <xdr:spPr>
        <a:xfrm>
          <a:off x="3143250" y="1990726"/>
          <a:ext cx="1057275" cy="219074"/>
        </a:xfrm>
        <a:prstGeom prst="roundRect">
          <a:avLst/>
        </a:prstGeom>
        <a:solidFill>
          <a:schemeClr val="accent1"/>
        </a:solidFill>
        <a:ln w="6350">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Apply</a:t>
          </a:r>
        </a:p>
      </xdr:txBody>
    </xdr:sp>
    <xdr:clientData/>
  </xdr:twoCellAnchor>
  <xdr:twoCellAnchor>
    <xdr:from>
      <xdr:col>12</xdr:col>
      <xdr:colOff>790575</xdr:colOff>
      <xdr:row>13</xdr:row>
      <xdr:rowOff>86175</xdr:rowOff>
    </xdr:from>
    <xdr:to>
      <xdr:col>12</xdr:col>
      <xdr:colOff>882015</xdr:colOff>
      <xdr:row>13</xdr:row>
      <xdr:rowOff>177615</xdr:rowOff>
    </xdr:to>
    <xdr:sp macro="[0]!btnLevel.btnLevel" textlink="">
      <xdr:nvSpPr>
        <xdr:cNvPr id="67" name="btnLevelS5B1">
          <a:extLst>
            <a:ext uri="{FF2B5EF4-FFF2-40B4-BE49-F238E27FC236}">
              <a16:creationId xmlns:a16="http://schemas.microsoft.com/office/drawing/2014/main" id="{F0F8F5C4-9058-4CB4-8DE9-3B17777C6212}"/>
            </a:ext>
          </a:extLst>
        </xdr:cNvPr>
        <xdr:cNvSpPr/>
      </xdr:nvSpPr>
      <xdr:spPr>
        <a:xfrm>
          <a:off x="7705725" y="33532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1038225</xdr:colOff>
      <xdr:row>13</xdr:row>
      <xdr:rowOff>86175</xdr:rowOff>
    </xdr:from>
    <xdr:to>
      <xdr:col>12</xdr:col>
      <xdr:colOff>1129665</xdr:colOff>
      <xdr:row>13</xdr:row>
      <xdr:rowOff>177615</xdr:rowOff>
    </xdr:to>
    <xdr:sp macro="[0]!btnLevel.btnLevel" textlink="">
      <xdr:nvSpPr>
        <xdr:cNvPr id="68" name="btnLevelS5B2">
          <a:extLst>
            <a:ext uri="{FF2B5EF4-FFF2-40B4-BE49-F238E27FC236}">
              <a16:creationId xmlns:a16="http://schemas.microsoft.com/office/drawing/2014/main" id="{98E1D675-E105-488A-B7E5-D026C43B1655}"/>
            </a:ext>
          </a:extLst>
        </xdr:cNvPr>
        <xdr:cNvSpPr/>
      </xdr:nvSpPr>
      <xdr:spPr>
        <a:xfrm>
          <a:off x="7953375" y="33532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12</xdr:col>
      <xdr:colOff>1904</xdr:colOff>
      <xdr:row>13</xdr:row>
      <xdr:rowOff>0</xdr:rowOff>
    </xdr:from>
    <xdr:ext cx="657225" cy="263790"/>
    <xdr:sp macro="" textlink="nmSLM">
      <xdr:nvSpPr>
        <xdr:cNvPr id="69" name="TextBox 68">
          <a:extLst>
            <a:ext uri="{FF2B5EF4-FFF2-40B4-BE49-F238E27FC236}">
              <a16:creationId xmlns:a16="http://schemas.microsoft.com/office/drawing/2014/main" id="{C51F828D-3F48-4858-B5E6-D7E493E8E2AE}"/>
            </a:ext>
          </a:extLst>
        </xdr:cNvPr>
        <xdr:cNvSpPr txBox="1"/>
      </xdr:nvSpPr>
      <xdr:spPr>
        <a:xfrm>
          <a:off x="11241404"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12</xdr:col>
      <xdr:colOff>1343025</xdr:colOff>
      <xdr:row>13</xdr:row>
      <xdr:rowOff>0</xdr:rowOff>
    </xdr:from>
    <xdr:ext cx="590550" cy="263790"/>
    <xdr:sp macro="" textlink="nmNLM">
      <xdr:nvSpPr>
        <xdr:cNvPr id="70" name="TextBox 69">
          <a:extLst>
            <a:ext uri="{FF2B5EF4-FFF2-40B4-BE49-F238E27FC236}">
              <a16:creationId xmlns:a16="http://schemas.microsoft.com/office/drawing/2014/main" id="{29EB087D-7B34-4FC2-A0F4-E358159EEEAF}"/>
            </a:ext>
          </a:extLst>
        </xdr:cNvPr>
        <xdr:cNvSpPr txBox="1"/>
      </xdr:nvSpPr>
      <xdr:spPr>
        <a:xfrm>
          <a:off x="1258252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twoCellAnchor>
    <xdr:from>
      <xdr:col>12</xdr:col>
      <xdr:colOff>1533192</xdr:colOff>
      <xdr:row>16</xdr:row>
      <xdr:rowOff>16812</xdr:rowOff>
    </xdr:from>
    <xdr:to>
      <xdr:col>12</xdr:col>
      <xdr:colOff>1765935</xdr:colOff>
      <xdr:row>16</xdr:row>
      <xdr:rowOff>249555</xdr:rowOff>
    </xdr:to>
    <xdr:sp macro="[0]!btnPlus" textlink="">
      <xdr:nvSpPr>
        <xdr:cNvPr id="71" name="btnPlus_Dec5">
          <a:extLst>
            <a:ext uri="{FF2B5EF4-FFF2-40B4-BE49-F238E27FC236}">
              <a16:creationId xmlns:a16="http://schemas.microsoft.com/office/drawing/2014/main" id="{AE728BB0-A919-4D5F-9649-D2C1CB5FFBFD}"/>
            </a:ext>
          </a:extLst>
        </xdr:cNvPr>
        <xdr:cNvSpPr>
          <a:spLocks noChangeAspect="1"/>
        </xdr:cNvSpPr>
      </xdr:nvSpPr>
      <xdr:spPr bwMode="auto">
        <a:xfrm>
          <a:off x="8448342" y="38077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120016</xdr:colOff>
      <xdr:row>16</xdr:row>
      <xdr:rowOff>3</xdr:rowOff>
    </xdr:from>
    <xdr:to>
      <xdr:col>12</xdr:col>
      <xdr:colOff>375285</xdr:colOff>
      <xdr:row>16</xdr:row>
      <xdr:rowOff>255272</xdr:rowOff>
    </xdr:to>
    <xdr:sp macro="[0]!btnMinus" textlink="">
      <xdr:nvSpPr>
        <xdr:cNvPr id="72" name="btnMinus_Dec5">
          <a:extLst>
            <a:ext uri="{FF2B5EF4-FFF2-40B4-BE49-F238E27FC236}">
              <a16:creationId xmlns:a16="http://schemas.microsoft.com/office/drawing/2014/main" id="{12AA2BA5-3365-412E-8D82-0BAF9D40D1C8}"/>
            </a:ext>
          </a:extLst>
        </xdr:cNvPr>
        <xdr:cNvSpPr>
          <a:spLocks noChangeAspect="1"/>
        </xdr:cNvSpPr>
      </xdr:nvSpPr>
      <xdr:spPr bwMode="auto">
        <a:xfrm>
          <a:off x="7035166" y="3790953"/>
          <a:ext cx="255269" cy="255269"/>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781050</xdr:colOff>
      <xdr:row>13</xdr:row>
      <xdr:rowOff>86175</xdr:rowOff>
    </xdr:from>
    <xdr:to>
      <xdr:col>14</xdr:col>
      <xdr:colOff>872490</xdr:colOff>
      <xdr:row>13</xdr:row>
      <xdr:rowOff>177615</xdr:rowOff>
    </xdr:to>
    <xdr:sp macro="[0]!btnLevel.btnLevel" textlink="">
      <xdr:nvSpPr>
        <xdr:cNvPr id="73" name="btnLevelS6B1">
          <a:extLst>
            <a:ext uri="{FF2B5EF4-FFF2-40B4-BE49-F238E27FC236}">
              <a16:creationId xmlns:a16="http://schemas.microsoft.com/office/drawing/2014/main" id="{07681893-C554-4B3B-8F7F-774BF72F416C}"/>
            </a:ext>
          </a:extLst>
        </xdr:cNvPr>
        <xdr:cNvSpPr/>
      </xdr:nvSpPr>
      <xdr:spPr>
        <a:xfrm>
          <a:off x="5562600" y="33532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1039906</xdr:colOff>
      <xdr:row>13</xdr:row>
      <xdr:rowOff>86175</xdr:rowOff>
    </xdr:from>
    <xdr:to>
      <xdr:col>14</xdr:col>
      <xdr:colOff>1131346</xdr:colOff>
      <xdr:row>13</xdr:row>
      <xdr:rowOff>177615</xdr:rowOff>
    </xdr:to>
    <xdr:sp macro="[0]!btnLevel.btnLevel" textlink="">
      <xdr:nvSpPr>
        <xdr:cNvPr id="74" name="btnLevelS6B2">
          <a:extLst>
            <a:ext uri="{FF2B5EF4-FFF2-40B4-BE49-F238E27FC236}">
              <a16:creationId xmlns:a16="http://schemas.microsoft.com/office/drawing/2014/main" id="{2F35200C-98E1-4F4A-B745-053CFBEAC70F}"/>
            </a:ext>
          </a:extLst>
        </xdr:cNvPr>
        <xdr:cNvSpPr/>
      </xdr:nvSpPr>
      <xdr:spPr>
        <a:xfrm>
          <a:off x="5821456" y="33532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142874</xdr:colOff>
      <xdr:row>13</xdr:row>
      <xdr:rowOff>0</xdr:rowOff>
    </xdr:from>
    <xdr:ext cx="657225" cy="263790"/>
    <xdr:sp macro="" textlink="nmSLM">
      <xdr:nvSpPr>
        <xdr:cNvPr id="75" name="TextBox 74">
          <a:extLst>
            <a:ext uri="{FF2B5EF4-FFF2-40B4-BE49-F238E27FC236}">
              <a16:creationId xmlns:a16="http://schemas.microsoft.com/office/drawing/2014/main" id="{767A4388-F618-4B9E-B2F5-0D9EB49517A9}"/>
            </a:ext>
          </a:extLst>
        </xdr:cNvPr>
        <xdr:cNvSpPr txBox="1"/>
      </xdr:nvSpPr>
      <xdr:spPr>
        <a:xfrm>
          <a:off x="13358812"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14</xdr:col>
      <xdr:colOff>1333500</xdr:colOff>
      <xdr:row>13</xdr:row>
      <xdr:rowOff>0</xdr:rowOff>
    </xdr:from>
    <xdr:ext cx="590550" cy="263790"/>
    <xdr:sp macro="" textlink="nmNLM">
      <xdr:nvSpPr>
        <xdr:cNvPr id="76" name="TextBox 75">
          <a:extLst>
            <a:ext uri="{FF2B5EF4-FFF2-40B4-BE49-F238E27FC236}">
              <a16:creationId xmlns:a16="http://schemas.microsoft.com/office/drawing/2014/main" id="{EB2F37E8-3C4C-48C6-A5BF-45CF3ABB69AB}"/>
            </a:ext>
          </a:extLst>
        </xdr:cNvPr>
        <xdr:cNvSpPr txBox="1"/>
      </xdr:nvSpPr>
      <xdr:spPr>
        <a:xfrm>
          <a:off x="1471612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twoCellAnchor>
    <xdr:from>
      <xdr:col>14</xdr:col>
      <xdr:colOff>1569554</xdr:colOff>
      <xdr:row>16</xdr:row>
      <xdr:rowOff>16812</xdr:rowOff>
    </xdr:from>
    <xdr:to>
      <xdr:col>14</xdr:col>
      <xdr:colOff>1802297</xdr:colOff>
      <xdr:row>16</xdr:row>
      <xdr:rowOff>249555</xdr:rowOff>
    </xdr:to>
    <xdr:sp macro="[0]!btnPlus" textlink="">
      <xdr:nvSpPr>
        <xdr:cNvPr id="78" name="btnPlus_Dec6">
          <a:extLst>
            <a:ext uri="{FF2B5EF4-FFF2-40B4-BE49-F238E27FC236}">
              <a16:creationId xmlns:a16="http://schemas.microsoft.com/office/drawing/2014/main" id="{8184921A-DF62-48EF-9FC0-11296A235CBD}"/>
            </a:ext>
          </a:extLst>
        </xdr:cNvPr>
        <xdr:cNvSpPr>
          <a:spLocks noChangeAspect="1"/>
        </xdr:cNvSpPr>
      </xdr:nvSpPr>
      <xdr:spPr bwMode="auto">
        <a:xfrm>
          <a:off x="6351104" y="38077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159854</xdr:colOff>
      <xdr:row>16</xdr:row>
      <xdr:rowOff>3</xdr:rowOff>
    </xdr:from>
    <xdr:to>
      <xdr:col>14</xdr:col>
      <xdr:colOff>415123</xdr:colOff>
      <xdr:row>16</xdr:row>
      <xdr:rowOff>255273</xdr:rowOff>
    </xdr:to>
    <xdr:sp macro="[0]!btnMinus" textlink="">
      <xdr:nvSpPr>
        <xdr:cNvPr id="79" name="btnMinus_Dec6">
          <a:extLst>
            <a:ext uri="{FF2B5EF4-FFF2-40B4-BE49-F238E27FC236}">
              <a16:creationId xmlns:a16="http://schemas.microsoft.com/office/drawing/2014/main" id="{B6D7549B-25F4-4592-9131-33930C6E83DF}"/>
            </a:ext>
          </a:extLst>
        </xdr:cNvPr>
        <xdr:cNvSpPr>
          <a:spLocks noChangeAspect="1"/>
        </xdr:cNvSpPr>
      </xdr:nvSpPr>
      <xdr:spPr bwMode="auto">
        <a:xfrm>
          <a:off x="4941404" y="3790953"/>
          <a:ext cx="255269" cy="255270"/>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790575</xdr:colOff>
      <xdr:row>13</xdr:row>
      <xdr:rowOff>86175</xdr:rowOff>
    </xdr:from>
    <xdr:to>
      <xdr:col>16</xdr:col>
      <xdr:colOff>882015</xdr:colOff>
      <xdr:row>13</xdr:row>
      <xdr:rowOff>177615</xdr:rowOff>
    </xdr:to>
    <xdr:sp macro="[0]!btnLevel.btnLevel" textlink="">
      <xdr:nvSpPr>
        <xdr:cNvPr id="80" name="btnLevelS7B1">
          <a:extLst>
            <a:ext uri="{FF2B5EF4-FFF2-40B4-BE49-F238E27FC236}">
              <a16:creationId xmlns:a16="http://schemas.microsoft.com/office/drawing/2014/main" id="{B53399E6-91F7-4E2C-B654-804879394486}"/>
            </a:ext>
          </a:extLst>
        </xdr:cNvPr>
        <xdr:cNvSpPr/>
      </xdr:nvSpPr>
      <xdr:spPr>
        <a:xfrm>
          <a:off x="11972925" y="33532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1038225</xdr:colOff>
      <xdr:row>13</xdr:row>
      <xdr:rowOff>86175</xdr:rowOff>
    </xdr:from>
    <xdr:to>
      <xdr:col>16</xdr:col>
      <xdr:colOff>1129665</xdr:colOff>
      <xdr:row>13</xdr:row>
      <xdr:rowOff>177615</xdr:rowOff>
    </xdr:to>
    <xdr:sp macro="[0]!btnLevel.btnLevel" textlink="">
      <xdr:nvSpPr>
        <xdr:cNvPr id="81" name="btnLevelS7B2">
          <a:extLst>
            <a:ext uri="{FF2B5EF4-FFF2-40B4-BE49-F238E27FC236}">
              <a16:creationId xmlns:a16="http://schemas.microsoft.com/office/drawing/2014/main" id="{3E66E202-E099-408C-A3D2-B24F76B08C41}"/>
            </a:ext>
          </a:extLst>
        </xdr:cNvPr>
        <xdr:cNvSpPr/>
      </xdr:nvSpPr>
      <xdr:spPr>
        <a:xfrm>
          <a:off x="12220575" y="33532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1904</xdr:colOff>
      <xdr:row>13</xdr:row>
      <xdr:rowOff>0</xdr:rowOff>
    </xdr:from>
    <xdr:ext cx="657225" cy="263790"/>
    <xdr:sp macro="" textlink="nmSLM">
      <xdr:nvSpPr>
        <xdr:cNvPr id="82" name="TextBox 81">
          <a:extLst>
            <a:ext uri="{FF2B5EF4-FFF2-40B4-BE49-F238E27FC236}">
              <a16:creationId xmlns:a16="http://schemas.microsoft.com/office/drawing/2014/main" id="{EE15DC45-0F0D-41B8-8E9E-E0DE28833335}"/>
            </a:ext>
          </a:extLst>
        </xdr:cNvPr>
        <xdr:cNvSpPr txBox="1"/>
      </xdr:nvSpPr>
      <xdr:spPr>
        <a:xfrm>
          <a:off x="15527654"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16</xdr:col>
      <xdr:colOff>1343025</xdr:colOff>
      <xdr:row>13</xdr:row>
      <xdr:rowOff>0</xdr:rowOff>
    </xdr:from>
    <xdr:ext cx="590550" cy="263790"/>
    <xdr:sp macro="" textlink="nmNLM">
      <xdr:nvSpPr>
        <xdr:cNvPr id="83" name="TextBox 82">
          <a:extLst>
            <a:ext uri="{FF2B5EF4-FFF2-40B4-BE49-F238E27FC236}">
              <a16:creationId xmlns:a16="http://schemas.microsoft.com/office/drawing/2014/main" id="{2937E439-E42B-4CDA-AFBB-9E55A4BE368B}"/>
            </a:ext>
          </a:extLst>
        </xdr:cNvPr>
        <xdr:cNvSpPr txBox="1"/>
      </xdr:nvSpPr>
      <xdr:spPr>
        <a:xfrm>
          <a:off x="1686877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twoCellAnchor>
    <xdr:from>
      <xdr:col>16</xdr:col>
      <xdr:colOff>1533192</xdr:colOff>
      <xdr:row>16</xdr:row>
      <xdr:rowOff>16812</xdr:rowOff>
    </xdr:from>
    <xdr:to>
      <xdr:col>16</xdr:col>
      <xdr:colOff>1765935</xdr:colOff>
      <xdr:row>16</xdr:row>
      <xdr:rowOff>249555</xdr:rowOff>
    </xdr:to>
    <xdr:sp macro="[0]!btnPlus" textlink="">
      <xdr:nvSpPr>
        <xdr:cNvPr id="84" name="btnPlus_Dec7">
          <a:extLst>
            <a:ext uri="{FF2B5EF4-FFF2-40B4-BE49-F238E27FC236}">
              <a16:creationId xmlns:a16="http://schemas.microsoft.com/office/drawing/2014/main" id="{7E1D78DE-7801-44D0-A506-DB7F42E0CCD9}"/>
            </a:ext>
          </a:extLst>
        </xdr:cNvPr>
        <xdr:cNvSpPr>
          <a:spLocks noChangeAspect="1"/>
        </xdr:cNvSpPr>
      </xdr:nvSpPr>
      <xdr:spPr bwMode="auto">
        <a:xfrm>
          <a:off x="12715542" y="38077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120016</xdr:colOff>
      <xdr:row>16</xdr:row>
      <xdr:rowOff>3</xdr:rowOff>
    </xdr:from>
    <xdr:to>
      <xdr:col>16</xdr:col>
      <xdr:colOff>375285</xdr:colOff>
      <xdr:row>16</xdr:row>
      <xdr:rowOff>255272</xdr:rowOff>
    </xdr:to>
    <xdr:sp macro="[0]!btnMinus" textlink="">
      <xdr:nvSpPr>
        <xdr:cNvPr id="85" name="btnMinus_Dec7">
          <a:extLst>
            <a:ext uri="{FF2B5EF4-FFF2-40B4-BE49-F238E27FC236}">
              <a16:creationId xmlns:a16="http://schemas.microsoft.com/office/drawing/2014/main" id="{8E88DC19-0AC8-4CAC-A0F3-A09A4FA04E51}"/>
            </a:ext>
          </a:extLst>
        </xdr:cNvPr>
        <xdr:cNvSpPr>
          <a:spLocks noChangeAspect="1"/>
        </xdr:cNvSpPr>
      </xdr:nvSpPr>
      <xdr:spPr bwMode="auto">
        <a:xfrm>
          <a:off x="11302366" y="3790953"/>
          <a:ext cx="255269" cy="255269"/>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781050</xdr:colOff>
      <xdr:row>13</xdr:row>
      <xdr:rowOff>86175</xdr:rowOff>
    </xdr:from>
    <xdr:to>
      <xdr:col>18</xdr:col>
      <xdr:colOff>872490</xdr:colOff>
      <xdr:row>13</xdr:row>
      <xdr:rowOff>177615</xdr:rowOff>
    </xdr:to>
    <xdr:sp macro="[0]!btnLevel.btnLevel" textlink="">
      <xdr:nvSpPr>
        <xdr:cNvPr id="86" name="btnLevelS8B1">
          <a:extLst>
            <a:ext uri="{FF2B5EF4-FFF2-40B4-BE49-F238E27FC236}">
              <a16:creationId xmlns:a16="http://schemas.microsoft.com/office/drawing/2014/main" id="{486C2BF4-D180-4B32-827D-DAB7F3202606}"/>
            </a:ext>
          </a:extLst>
        </xdr:cNvPr>
        <xdr:cNvSpPr/>
      </xdr:nvSpPr>
      <xdr:spPr>
        <a:xfrm>
          <a:off x="14097000" y="3353250"/>
          <a:ext cx="91440" cy="91440"/>
        </a:xfrm>
        <a:prstGeom prst="ellipse">
          <a:avLst/>
        </a:prstGeom>
        <a:solidFill>
          <a:srgbClr val="0AB9F0"/>
        </a:solidFill>
        <a:ln>
          <a:solidFill>
            <a:srgbClr val="0AB9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1039906</xdr:colOff>
      <xdr:row>13</xdr:row>
      <xdr:rowOff>86175</xdr:rowOff>
    </xdr:from>
    <xdr:to>
      <xdr:col>18</xdr:col>
      <xdr:colOff>1131346</xdr:colOff>
      <xdr:row>13</xdr:row>
      <xdr:rowOff>177615</xdr:rowOff>
    </xdr:to>
    <xdr:sp macro="[0]!btnLevel.btnLevel" textlink="">
      <xdr:nvSpPr>
        <xdr:cNvPr id="87" name="btnLevelS8B2">
          <a:extLst>
            <a:ext uri="{FF2B5EF4-FFF2-40B4-BE49-F238E27FC236}">
              <a16:creationId xmlns:a16="http://schemas.microsoft.com/office/drawing/2014/main" id="{9C961EB3-9040-4CF6-B150-E4AF291F8319}"/>
            </a:ext>
          </a:extLst>
        </xdr:cNvPr>
        <xdr:cNvSpPr/>
      </xdr:nvSpPr>
      <xdr:spPr>
        <a:xfrm>
          <a:off x="14355856" y="3353250"/>
          <a:ext cx="91440" cy="91440"/>
        </a:xfrm>
        <a:prstGeom prst="ellipse">
          <a:avLst/>
        </a:prstGeom>
        <a:solidFill>
          <a:srgbClr val="808080"/>
        </a:solidFill>
        <a:ln>
          <a:solidFill>
            <a:srgbClr val="80808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17</xdr:col>
      <xdr:colOff>142874</xdr:colOff>
      <xdr:row>13</xdr:row>
      <xdr:rowOff>0</xdr:rowOff>
    </xdr:from>
    <xdr:ext cx="657225" cy="263790"/>
    <xdr:sp macro="" textlink="nmSLM">
      <xdr:nvSpPr>
        <xdr:cNvPr id="88" name="TextBox 87">
          <a:extLst>
            <a:ext uri="{FF2B5EF4-FFF2-40B4-BE49-F238E27FC236}">
              <a16:creationId xmlns:a16="http://schemas.microsoft.com/office/drawing/2014/main" id="{DF967939-6592-4946-BD99-4AF8FA43AF26}"/>
            </a:ext>
          </a:extLst>
        </xdr:cNvPr>
        <xdr:cNvSpPr txBox="1"/>
      </xdr:nvSpPr>
      <xdr:spPr>
        <a:xfrm>
          <a:off x="17645062" y="3262313"/>
          <a:ext cx="657225" cy="263790"/>
        </a:xfrm>
        <a:prstGeom prst="rect">
          <a:avLst/>
        </a:prstGeom>
        <a:noFill/>
        <a:ln>
          <a:noFill/>
        </a:ln>
      </xdr:spPr>
      <xdr:txBody>
        <a:bodyPr vertOverflow="clip" horzOverflow="clip" wrap="square" rtlCol="0" anchor="t">
          <a:spAutoFit/>
        </a:bodyPr>
        <a:lstStyle/>
        <a:p>
          <a:pPr algn="r"/>
          <a:fld id="{6A981C03-DD18-4F4A-9DD9-AFF80E904DA9}" type="TxLink">
            <a:rPr lang="en-US" altLang="ko-KR" sz="1100" b="0" i="0" u="none" strike="noStrike" dirty="0">
              <a:solidFill>
                <a:srgbClr val="000000"/>
              </a:solidFill>
              <a:latin typeface="Verdana"/>
              <a:ea typeface="Verdana"/>
              <a:cs typeface="Verdana"/>
            </a:rPr>
            <a:pPr algn="r"/>
            <a:t>Single</a:t>
          </a:fld>
          <a:endParaRPr lang="en-US" sz="1200" dirty="0"/>
        </a:p>
      </xdr:txBody>
    </xdr:sp>
    <xdr:clientData/>
  </xdr:oneCellAnchor>
  <xdr:oneCellAnchor>
    <xdr:from>
      <xdr:col>18</xdr:col>
      <xdr:colOff>1333500</xdr:colOff>
      <xdr:row>13</xdr:row>
      <xdr:rowOff>0</xdr:rowOff>
    </xdr:from>
    <xdr:ext cx="590550" cy="263790"/>
    <xdr:sp macro="" textlink="nmNLM">
      <xdr:nvSpPr>
        <xdr:cNvPr id="89" name="TextBox 88">
          <a:extLst>
            <a:ext uri="{FF2B5EF4-FFF2-40B4-BE49-F238E27FC236}">
              <a16:creationId xmlns:a16="http://schemas.microsoft.com/office/drawing/2014/main" id="{4755375C-8A91-4DBC-A0B7-2654DF81FF57}"/>
            </a:ext>
          </a:extLst>
        </xdr:cNvPr>
        <xdr:cNvSpPr txBox="1"/>
      </xdr:nvSpPr>
      <xdr:spPr>
        <a:xfrm>
          <a:off x="19002375" y="3262313"/>
          <a:ext cx="590550" cy="263790"/>
        </a:xfrm>
        <a:prstGeom prst="rect">
          <a:avLst/>
        </a:prstGeom>
        <a:noFill/>
        <a:ln>
          <a:noFill/>
        </a:ln>
      </xdr:spPr>
      <xdr:txBody>
        <a:bodyPr vertOverflow="clip" horzOverflow="clip" wrap="square" rtlCol="0" anchor="t">
          <a:spAutoFit/>
        </a:bodyPr>
        <a:lstStyle/>
        <a:p>
          <a:fld id="{0AB5130F-BC1E-413F-A561-DC1B2D6E1F23}" type="TxLink">
            <a:rPr lang="en-US" altLang="ko-KR" sz="1100" b="0" i="0" u="none" strike="noStrike" dirty="0">
              <a:solidFill>
                <a:srgbClr val="000000"/>
              </a:solidFill>
              <a:latin typeface="Verdana"/>
              <a:ea typeface="Verdana"/>
              <a:cs typeface="Verdana"/>
            </a:rPr>
            <a:pPr/>
            <a:t>Multi</a:t>
          </a:fld>
          <a:endParaRPr lang="en-US" sz="1200" dirty="0"/>
        </a:p>
      </xdr:txBody>
    </xdr:sp>
    <xdr:clientData/>
  </xdr:oneCellAnchor>
  <xdr:twoCellAnchor>
    <xdr:from>
      <xdr:col>18</xdr:col>
      <xdr:colOff>1569554</xdr:colOff>
      <xdr:row>16</xdr:row>
      <xdr:rowOff>16812</xdr:rowOff>
    </xdr:from>
    <xdr:to>
      <xdr:col>18</xdr:col>
      <xdr:colOff>1802297</xdr:colOff>
      <xdr:row>16</xdr:row>
      <xdr:rowOff>249555</xdr:rowOff>
    </xdr:to>
    <xdr:sp macro="[0]!btnPlus" textlink="">
      <xdr:nvSpPr>
        <xdr:cNvPr id="90" name="btnPlus_Dec8">
          <a:extLst>
            <a:ext uri="{FF2B5EF4-FFF2-40B4-BE49-F238E27FC236}">
              <a16:creationId xmlns:a16="http://schemas.microsoft.com/office/drawing/2014/main" id="{74DDAE12-2A06-4E10-8716-B8FD7F384111}"/>
            </a:ext>
          </a:extLst>
        </xdr:cNvPr>
        <xdr:cNvSpPr>
          <a:spLocks noChangeAspect="1"/>
        </xdr:cNvSpPr>
      </xdr:nvSpPr>
      <xdr:spPr bwMode="auto">
        <a:xfrm>
          <a:off x="14885504" y="3807762"/>
          <a:ext cx="232743" cy="232743"/>
        </a:xfrm>
        <a:prstGeom prst="mathPl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159854</xdr:colOff>
      <xdr:row>16</xdr:row>
      <xdr:rowOff>3</xdr:rowOff>
    </xdr:from>
    <xdr:to>
      <xdr:col>18</xdr:col>
      <xdr:colOff>415123</xdr:colOff>
      <xdr:row>16</xdr:row>
      <xdr:rowOff>255273</xdr:rowOff>
    </xdr:to>
    <xdr:sp macro="[0]!btnMinus" textlink="">
      <xdr:nvSpPr>
        <xdr:cNvPr id="91" name="btnMinus_Dec8">
          <a:extLst>
            <a:ext uri="{FF2B5EF4-FFF2-40B4-BE49-F238E27FC236}">
              <a16:creationId xmlns:a16="http://schemas.microsoft.com/office/drawing/2014/main" id="{38722AAD-CD61-4443-BB1C-20E209ECACA9}"/>
            </a:ext>
          </a:extLst>
        </xdr:cNvPr>
        <xdr:cNvSpPr>
          <a:spLocks noChangeAspect="1"/>
        </xdr:cNvSpPr>
      </xdr:nvSpPr>
      <xdr:spPr bwMode="auto">
        <a:xfrm>
          <a:off x="13475804" y="3790953"/>
          <a:ext cx="255269" cy="255270"/>
        </a:xfrm>
        <a:prstGeom prst="mathMinus">
          <a:avLst/>
        </a:prstGeom>
        <a:solidFill>
          <a:schemeClr val="accent1"/>
        </a:solidFill>
        <a:ln>
          <a:solidFill>
            <a:schemeClr val="bg1"/>
          </a:solidFill>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20</xdr:row>
      <xdr:rowOff>0</xdr:rowOff>
    </xdr:from>
    <xdr:to>
      <xdr:col>0</xdr:col>
      <xdr:colOff>0</xdr:colOff>
      <xdr:row>20</xdr:row>
      <xdr:rowOff>0</xdr:rowOff>
    </xdr:to>
    <xdr:sp macro="" textlink="">
      <xdr:nvSpPr>
        <xdr:cNvPr id="5" name="Rectangle 4">
          <a:extLst>
            <a:ext uri="{FF2B5EF4-FFF2-40B4-BE49-F238E27FC236}">
              <a16:creationId xmlns:a16="http://schemas.microsoft.com/office/drawing/2014/main" id="{BCCABAA3-EB52-4EA9-B047-51D0C448A4C9}"/>
            </a:ext>
          </a:extLst>
        </xdr:cNvPr>
        <xdr:cNvSpPr/>
      </xdr:nvSpPr>
      <xdr:spPr>
        <a:xfrm>
          <a:off x="0" y="2752725"/>
          <a:ext cx="0" cy="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Click on arrows to see eligible releases</a:t>
          </a:r>
        </a:p>
      </xdr:txBody>
    </xdr:sp>
    <xdr:clientData/>
  </xdr:twoCellAnchor>
  <xdr:twoCellAnchor>
    <xdr:from>
      <xdr:col>1</xdr:col>
      <xdr:colOff>1516591</xdr:colOff>
      <xdr:row>20</xdr:row>
      <xdr:rowOff>97367</xdr:rowOff>
    </xdr:from>
    <xdr:to>
      <xdr:col>1</xdr:col>
      <xdr:colOff>3911177</xdr:colOff>
      <xdr:row>20</xdr:row>
      <xdr:rowOff>904875</xdr:rowOff>
    </xdr:to>
    <xdr:sp macro="" textlink="">
      <xdr:nvSpPr>
        <xdr:cNvPr id="11" name="AutoShape 3">
          <a:extLst>
            <a:ext uri="{FF2B5EF4-FFF2-40B4-BE49-F238E27FC236}">
              <a16:creationId xmlns:a16="http://schemas.microsoft.com/office/drawing/2014/main" id="{F3147C92-8F0C-4A64-A10F-9B1B00CAC9BD}"/>
            </a:ext>
          </a:extLst>
        </xdr:cNvPr>
        <xdr:cNvSpPr>
          <a:spLocks noChangeArrowheads="1"/>
        </xdr:cNvSpPr>
      </xdr:nvSpPr>
      <xdr:spPr bwMode="auto">
        <a:xfrm>
          <a:off x="1516591" y="3212042"/>
          <a:ext cx="2394586" cy="807508"/>
        </a:xfrm>
        <a:prstGeom prst="rightArrow">
          <a:avLst>
            <a:gd name="adj1" fmla="val 50000"/>
            <a:gd name="adj2" fmla="val 88889"/>
          </a:avLst>
        </a:prstGeom>
        <a:solidFill>
          <a:schemeClr val="accent3">
            <a:lumMod val="60000"/>
            <a:lumOff val="40000"/>
          </a:schemeClr>
        </a:solidFill>
        <a:ln w="9525">
          <a:solidFill>
            <a:srgbClr val="000000"/>
          </a:solidFill>
          <a:miter lim="800000"/>
          <a:headEnd/>
          <a:tailEnd/>
        </a:ln>
      </xdr:spPr>
      <xdr:txBody>
        <a:bodyPr vertOverflow="clip" wrap="square" lIns="27432" tIns="22860" rIns="27432" bIns="2286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FF0000"/>
              </a:solidFill>
              <a:effectLst/>
              <a:uLnTx/>
              <a:uFillTx/>
              <a:latin typeface="Arial"/>
              <a:cs typeface="Arial"/>
            </a:rPr>
            <a:t>SUBSCRIPTION </a:t>
          </a:r>
        </a:p>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FF0000"/>
              </a:solidFill>
              <a:effectLst/>
              <a:uLnTx/>
              <a:uFillTx/>
              <a:latin typeface="Arial"/>
              <a:cs typeface="Arial"/>
            </a:rPr>
            <a:t>PRODUCT GOING TO</a:t>
          </a:r>
        </a:p>
      </xdr:txBody>
    </xdr:sp>
    <xdr:clientData/>
  </xdr:twoCellAnchor>
  <xdr:twoCellAnchor>
    <xdr:from>
      <xdr:col>1</xdr:col>
      <xdr:colOff>152397</xdr:colOff>
      <xdr:row>20</xdr:row>
      <xdr:rowOff>74085</xdr:rowOff>
    </xdr:from>
    <xdr:to>
      <xdr:col>1</xdr:col>
      <xdr:colOff>922867</xdr:colOff>
      <xdr:row>20</xdr:row>
      <xdr:rowOff>2235201</xdr:rowOff>
    </xdr:to>
    <xdr:sp macro="" textlink="">
      <xdr:nvSpPr>
        <xdr:cNvPr id="12" name="AutoShape 2">
          <a:extLst>
            <a:ext uri="{FF2B5EF4-FFF2-40B4-BE49-F238E27FC236}">
              <a16:creationId xmlns:a16="http://schemas.microsoft.com/office/drawing/2014/main" id="{C1535AEE-3082-41F0-96D4-6AD817FE488E}"/>
            </a:ext>
          </a:extLst>
        </xdr:cNvPr>
        <xdr:cNvSpPr>
          <a:spLocks noChangeArrowheads="1"/>
        </xdr:cNvSpPr>
      </xdr:nvSpPr>
      <xdr:spPr bwMode="auto">
        <a:xfrm>
          <a:off x="152397" y="3188760"/>
          <a:ext cx="770470" cy="2161116"/>
        </a:xfrm>
        <a:prstGeom prst="downArrow">
          <a:avLst>
            <a:gd name="adj1" fmla="val 50000"/>
            <a:gd name="adj2" fmla="val 82051"/>
          </a:avLst>
        </a:prstGeom>
        <a:solidFill>
          <a:schemeClr val="bg1">
            <a:lumMod val="85000"/>
          </a:schemeClr>
        </a:solidFill>
        <a:ln w="9525">
          <a:solidFill>
            <a:srgbClr val="000000"/>
          </a:solidFill>
          <a:miter lim="800000"/>
          <a:headEnd/>
          <a:tailEnd/>
        </a:ln>
      </xdr:spPr>
      <xdr:txBody>
        <a:bodyPr vertOverflow="clip" vert="vert270" wrap="square" lIns="27432" tIns="0" rIns="27432" bIns="22860"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FF0000"/>
              </a:solidFill>
              <a:effectLst/>
              <a:uLnTx/>
              <a:uFillTx/>
              <a:latin typeface="Arial"/>
              <a:cs typeface="Arial"/>
            </a:rPr>
            <a:t>MAINTENANCE PLAN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000" b="1" i="0" u="none" strike="noStrike" kern="0" cap="none" spc="0" normalizeH="0" baseline="0" noProof="0">
              <a:ln>
                <a:noFill/>
              </a:ln>
              <a:solidFill>
                <a:srgbClr val="FF0000"/>
              </a:solidFill>
              <a:effectLst/>
              <a:uLnTx/>
              <a:uFillTx/>
              <a:latin typeface="Arial"/>
              <a:cs typeface="Arial"/>
            </a:rPr>
            <a:t>PRODUCT COMING FROM </a:t>
          </a:r>
        </a:p>
      </xdr:txBody>
    </xdr:sp>
    <xdr:clientData/>
  </xdr:twoCellAnchor>
  <xdr:twoCellAnchor editAs="oneCell">
    <xdr:from>
      <xdr:col>2</xdr:col>
      <xdr:colOff>10584</xdr:colOff>
      <xdr:row>0</xdr:row>
      <xdr:rowOff>143933</xdr:rowOff>
    </xdr:from>
    <xdr:to>
      <xdr:col>3</xdr:col>
      <xdr:colOff>709085</xdr:colOff>
      <xdr:row>3</xdr:row>
      <xdr:rowOff>60059</xdr:rowOff>
    </xdr:to>
    <xdr:sp macro="" textlink="">
      <xdr:nvSpPr>
        <xdr:cNvPr id="13" name="txtConfidential">
          <a:extLst>
            <a:ext uri="{FF2B5EF4-FFF2-40B4-BE49-F238E27FC236}">
              <a16:creationId xmlns:a16="http://schemas.microsoft.com/office/drawing/2014/main" id="{8C2E5638-9225-4AB9-AA86-5DCBAAA89CD0}"/>
            </a:ext>
          </a:extLst>
        </xdr:cNvPr>
        <xdr:cNvSpPr txBox="1">
          <a:spLocks noChangeArrowheads="1"/>
        </xdr:cNvSpPr>
      </xdr:nvSpPr>
      <xdr:spPr bwMode="auto">
        <a:xfrm>
          <a:off x="4201584" y="143933"/>
          <a:ext cx="2270126" cy="604308"/>
        </a:xfrm>
        <a:prstGeom prst="rect">
          <a:avLst/>
        </a:prstGeom>
        <a:solidFill>
          <a:srgbClr val="FFFFFF"/>
        </a:solidFill>
        <a:ln w="19050">
          <a:solidFill>
            <a:srgbClr val="000000"/>
          </a:solidFill>
          <a:miter lim="800000"/>
          <a:headEnd/>
          <a:tailEnd/>
        </a:ln>
      </xdr:spPr>
      <xdr:txBody>
        <a:bodyPr vertOverflow="clip" wrap="square" lIns="91440" tIns="45720" rIns="91440" bIns="45720" anchor="ctr" upright="1"/>
        <a:lstStyle/>
        <a:p>
          <a:pPr algn="l" rtl="0">
            <a:defRPr sz="1000"/>
          </a:pPr>
          <a:r>
            <a:rPr lang="en-US" sz="1000" b="1" i="0" strike="noStrike">
              <a:solidFill>
                <a:srgbClr val="000000"/>
              </a:solidFill>
              <a:latin typeface="Arial"/>
              <a:cs typeface="Arial"/>
            </a:rPr>
            <a:t>Autodesk Confidential Information</a:t>
          </a:r>
        </a:p>
      </xdr:txBody>
    </xdr:sp>
    <xdr:clientData/>
  </xdr:twoCellAnchor>
  <xdr:twoCellAnchor>
    <xdr:from>
      <xdr:col>1</xdr:col>
      <xdr:colOff>76200</xdr:colOff>
      <xdr:row>0</xdr:row>
      <xdr:rowOff>114300</xdr:rowOff>
    </xdr:from>
    <xdr:to>
      <xdr:col>1</xdr:col>
      <xdr:colOff>1890936</xdr:colOff>
      <xdr:row>1</xdr:row>
      <xdr:rowOff>254000</xdr:rowOff>
    </xdr:to>
    <xdr:pic>
      <xdr:nvPicPr>
        <xdr:cNvPr id="14" name="Picture 1" descr="Description: Description: Description: autodesk-logo-rgb-color-logo-black-text-small">
          <a:extLst>
            <a:ext uri="{FF2B5EF4-FFF2-40B4-BE49-F238E27FC236}">
              <a16:creationId xmlns:a16="http://schemas.microsoft.com/office/drawing/2014/main" id="{7F436DE6-B1AF-473A-AD95-3C3EE88CE66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200" y="114300"/>
          <a:ext cx="1814736" cy="3016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utodesk.com/Users/pinonm/Documents/Reference%20Docs/Eligiblity%20Matrix/Strawman%20FY13/FY13-WIP-PP-PublishedPricing-Ver1.06-201112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PLS"/>
      <sheetName val="PCF"/>
      <sheetName val="PLT"/>
      <sheetName val="Reports"/>
      <sheetName val="PL_GV"/>
      <sheetName val="Lists"/>
      <sheetName val="zTemp"/>
      <sheetName val="FilterFY10"/>
      <sheetName val="FilterFY11"/>
      <sheetName val="FilterFY12"/>
      <sheetName val="FilterFY13"/>
      <sheetName val="Geo"/>
      <sheetName val="Product"/>
      <sheetName val="ApprUPGReport"/>
      <sheetName val="ChangeLog"/>
      <sheetName val="Non-ActiveProducts"/>
      <sheetName val="DetailedCountryMapping"/>
      <sheetName val="BySRP_PriceRegion"/>
      <sheetName val="ByProduct"/>
      <sheetName val="CompareTotals"/>
      <sheetName val="PM &amp; Corp Pricing Prod Assg Rpt"/>
      <sheetName val="GRP"/>
      <sheetName val="US_CAN"/>
      <sheetName val="Canada"/>
      <sheetName val="LA (L-2)_B"/>
      <sheetName val="LA (L-2)_M"/>
      <sheetName val="LA (L-3)"/>
      <sheetName val="MainEuro"/>
      <sheetName val="UK_GBP"/>
      <sheetName val="CH_CHF"/>
      <sheetName val="EMEA (L-2)_SA"/>
      <sheetName val="EMEA (L-3)"/>
      <sheetName val="EMEA (L-4)"/>
      <sheetName val="EMEA (L-5)"/>
      <sheetName val="EMEA (L-5)_Russia"/>
      <sheetName val="EMEA (L-6)"/>
      <sheetName val="EMEA (L-7)"/>
      <sheetName val="EMEA (L-9)_GAR"/>
      <sheetName val="JPY"/>
      <sheetName val="JPY_Govt"/>
      <sheetName val="AUS_NZ"/>
      <sheetName val="Korea"/>
      <sheetName val="Korea_Govt"/>
      <sheetName val="APAC (L-0)_Sing"/>
      <sheetName val="APAC (L-2)"/>
      <sheetName val="APAC (L-2)_HKTW"/>
      <sheetName val="APAC (L-5)"/>
      <sheetName val="APAC (L-4)_India"/>
      <sheetName val="APAC (L-10)_China"/>
      <sheetName val="Non-StdProducts"/>
      <sheetName val="ActiveProducts"/>
      <sheetName val="AutoCAD LT"/>
      <sheetName val="NPI-AutoCAD LT"/>
      <sheetName val="AutoCAD LT for Mac"/>
      <sheetName val="NPI-AutoCAD LT for Mac"/>
      <sheetName val="AutoCAD"/>
      <sheetName val="NPI-AutoCAD"/>
      <sheetName val="AutoCAD for Mac"/>
      <sheetName val="NPI-AutoCAD for Mac"/>
      <sheetName val="AutoSketch"/>
      <sheetName val="NPI-AutoSketch"/>
      <sheetName val="AutoCAD Raster Design"/>
      <sheetName val="NPI-AutoCAD Raster Design"/>
      <sheetName val="AutoCAD Mechanical"/>
      <sheetName val="NPI-AutoCAD Mechanical"/>
      <sheetName val="AutoCAD Architecture"/>
      <sheetName val="NPI-AutoCAD Architecture"/>
      <sheetName val="AutoCAD MEP"/>
      <sheetName val="NPI-AutoCAD MEP"/>
      <sheetName val="DSSTD"/>
      <sheetName val="NPI-DSSTD"/>
      <sheetName val="DSPRM"/>
      <sheetName val="NPI-DSPRM"/>
      <sheetName val="DSADV"/>
      <sheetName val="NPI-DSADV"/>
      <sheetName val="Autodesk Showcase"/>
      <sheetName val="NPI-Autodesk Showcase"/>
      <sheetName val="SHOWPRO"/>
      <sheetName val="NPI-SHOWPRO"/>
      <sheetName val="NAVSIM"/>
      <sheetName val="NPI-NAVSIM"/>
      <sheetName val="NAVMAN"/>
      <sheetName val="NPI-NAVMAN"/>
      <sheetName val="Autodesk Quantity Takeoff"/>
      <sheetName val="NPI-Autodesk Quantity Takeoff"/>
      <sheetName val="AutoCAD Revit LT Suite"/>
      <sheetName val="NPI-AutoCAD Revit LT Suite"/>
      <sheetName val="REVIT"/>
      <sheetName val="NPI-REVIT"/>
      <sheetName val="Autodesk Revit Structure"/>
      <sheetName val="NPI-Autodesk Revit Structure"/>
      <sheetName val="REVITS"/>
      <sheetName val="NPI-REVITS"/>
      <sheetName val="REVSU"/>
      <sheetName val="NPI-REVSU"/>
      <sheetName val="AutoCAD Revit MEP Suite"/>
      <sheetName val="NPI-AutoCAD Revit MEP Suite"/>
      <sheetName val="AutoCAD LT Civil Suite"/>
      <sheetName val="NPI-AutoCAD LT Civil Suite"/>
      <sheetName val="AutoCAD Civil 3D"/>
      <sheetName val="NPI-AutoCAD Civil 3D"/>
      <sheetName val="Autodesk Ecotect Analysis"/>
      <sheetName val="NPI-Autodesk Ecotect Analysis"/>
      <sheetName val="AutoCAD Map 3D"/>
      <sheetName val="NPI-AutoCAD Map 3D"/>
      <sheetName val="INFMDR"/>
      <sheetName val="NPI-INFMDR"/>
      <sheetName val="AutoCAD Utility Design"/>
      <sheetName val="NPI-AutoCAD Utility Design"/>
      <sheetName val="LDXSVR"/>
      <sheetName val="NPI-LDXSVR"/>
      <sheetName val="RSA"/>
      <sheetName val="NPI-RSA"/>
      <sheetName val="RSAPRO"/>
      <sheetName val="NPI-RSAPRO"/>
      <sheetName val="AutoCAD P&amp;ID"/>
      <sheetName val="NPI-AutoCAD P&amp;ID"/>
      <sheetName val="AutoCAD Plant 3D"/>
      <sheetName val="NPI-AutoCAD Plant 3D"/>
      <sheetName val="BDSS"/>
      <sheetName val="NPI-BDSS"/>
      <sheetName val="BDSPRM"/>
      <sheetName val="NPI-BDSPRM"/>
      <sheetName val="BDSADV"/>
      <sheetName val="NPI-BDSADV"/>
      <sheetName val="IDSS"/>
      <sheetName val="NPI-IDSS"/>
      <sheetName val="IDSP"/>
      <sheetName val="NPI-IDSP"/>
      <sheetName val="IDSU"/>
      <sheetName val="NPI-IDSU"/>
      <sheetName val="PLTDSS"/>
      <sheetName val="NPI-PLTDSS"/>
      <sheetName val="PDSPRM"/>
      <sheetName val="NPI-PDSPRM"/>
      <sheetName val="PDSADV"/>
      <sheetName val="NPI-PDSADV"/>
      <sheetName val="TRCKIT"/>
      <sheetName val="NPI-TRCKIT"/>
      <sheetName val="RMNTRY"/>
      <sheetName val="NPI-RMNTRY"/>
      <sheetName val="CAMLTE"/>
      <sheetName val="NPI-CAMLTE"/>
      <sheetName val="CADMEP"/>
      <sheetName val="NPI-CADMEP"/>
      <sheetName val="FABMEP"/>
      <sheetName val="NPI-FABMEP"/>
      <sheetName val="ESTMEP"/>
      <sheetName val="NPI-ESTMEP"/>
      <sheetName val="PRFMST"/>
      <sheetName val="NPI-PRFMST"/>
      <sheetName val="CAMDCT"/>
      <sheetName val="NPI-CAMDCT"/>
      <sheetName val="Autodesk 360 Vault Office"/>
      <sheetName val="NPI-Autodesk 360 Vault Office"/>
      <sheetName val="VLTWG"/>
      <sheetName val="NPI-VLTWG"/>
      <sheetName val="VLTC"/>
      <sheetName val="NPI-VLTC"/>
      <sheetName val="VTCAEC"/>
      <sheetName val="NPI-VTCAEC"/>
      <sheetName val="VLTM"/>
      <sheetName val="NPI-VLTM"/>
      <sheetName val="ASMES"/>
      <sheetName val="NPI-ASMES"/>
      <sheetName val="ASPRO"/>
      <sheetName val="NPI-ASPRO"/>
      <sheetName val="AutoCAD Electrical"/>
      <sheetName val="NPI-AutoCAD Electrical"/>
      <sheetName val="AutoCAD Ecscad"/>
      <sheetName val="NPI-AutoCAD Ecscad"/>
      <sheetName val="INVPROSA"/>
      <sheetName val="NPI-INVPROSA"/>
      <sheetName val="MFAD"/>
      <sheetName val="NPI-MFAD"/>
      <sheetName val="MFCD"/>
      <sheetName val="NPI-MFCD"/>
      <sheetName val="MFS"/>
      <sheetName val="NPI-MFS"/>
      <sheetName val="MFAM"/>
      <sheetName val="NPI-MFAM"/>
      <sheetName val="MFAA"/>
      <sheetName val="NPI-MFAA"/>
      <sheetName val="MFIB"/>
      <sheetName val="NPI-MFIB"/>
      <sheetName val="MFIP"/>
      <sheetName val="NPI-MFIP"/>
      <sheetName val="MFIA"/>
      <sheetName val="NPI-MFIA"/>
      <sheetName val="MFDL"/>
      <sheetName val="NPI-MFDL"/>
      <sheetName val="Autodesk Sketchbook Pro"/>
      <sheetName val="NPI-Autodesk Sketchbook Pro"/>
      <sheetName val="ALSK"/>
      <sheetName val="NPI-ALSK"/>
      <sheetName val="Autodesk Alias Design"/>
      <sheetName val="NPI-Autodesk Alias Design"/>
      <sheetName val="Autodesk Alias Surface"/>
      <sheetName val="NPI-Autodesk Alias Surface"/>
      <sheetName val="Autodesk Alias Automotive"/>
      <sheetName val="NPI-Autodesk Alias Automotive"/>
      <sheetName val="DC_UG"/>
      <sheetName val="NPI-DC_UG"/>
      <sheetName val="RTRTCL"/>
      <sheetName val="NPI-RTRTCL"/>
      <sheetName val="OSPRO"/>
      <sheetName val="NPI-OSPRO"/>
      <sheetName val="INVAR"/>
      <sheetName val="NPI-INVAR"/>
      <sheetName val="INVETO"/>
      <sheetName val="NPI-INVETO"/>
      <sheetName val="INTSER"/>
      <sheetName val="NPI-INTSER"/>
      <sheetName val="Autodesk Inventor LT"/>
      <sheetName val="NPI-Autodesk Inventor LT"/>
      <sheetName val="AutoCAD Inventor LT Suite"/>
      <sheetName val="NPI-AutoCAD Inventor LT Suite"/>
      <sheetName val="Autodesk Inventor"/>
      <sheetName val="NPI-Autodesk Inventor"/>
      <sheetName val="INVPUB"/>
      <sheetName val="NPI-INVPUB"/>
      <sheetName val="FDSS"/>
      <sheetName val="NPI-FDSS"/>
      <sheetName val="FDSPRM"/>
      <sheetName val="NPI-FDSPRM"/>
      <sheetName val="FDSADV"/>
      <sheetName val="NPI-FDSADV"/>
      <sheetName val="PDSS"/>
      <sheetName val="NPI-PDSS"/>
      <sheetName val="PDSP"/>
      <sheetName val="NPI-PDSP"/>
      <sheetName val="PDSU"/>
      <sheetName val="NPI-PDSU"/>
      <sheetName val="SCACIS"/>
      <sheetName val="NPI-SCACIS"/>
      <sheetName val="SCFDNX"/>
      <sheetName val="NPI-SCFDNX"/>
      <sheetName val="SCFDP"/>
      <sheetName val="NPI-SCFDP"/>
      <sheetName val="SCPROE"/>
      <sheetName val="NPI-SCPROE"/>
      <sheetName val="Autodesk Simulation CFD"/>
      <sheetName val="NPI-Autodesk Simulation CFD"/>
      <sheetName val="SCDSE"/>
      <sheetName val="NPI-SCDSE"/>
      <sheetName val="SCFDA"/>
      <sheetName val="NPI-SCFDA"/>
      <sheetName val="SCFDM"/>
      <sheetName val="NPI-SCFDM"/>
      <sheetName val="Autodesk Simulation DFM"/>
      <sheetName val="NPI-Autodesk Simulation DFM"/>
      <sheetName val="Autodesk 3DS Max"/>
      <sheetName val="NPI-Autodesk 3DS Max"/>
      <sheetName val="Autodesk 3DS Max Design"/>
      <sheetName val="NPI-Autodesk 3DS Max Design"/>
      <sheetName val="Autodesk Maya"/>
      <sheetName val="NPI-Autodesk Maya"/>
      <sheetName val="MYECS"/>
      <sheetName val="NPI-MYECS"/>
      <sheetName val="MYECSP"/>
      <sheetName val="NPI-MYECSP"/>
      <sheetName val="MXECS"/>
      <sheetName val="NPI-MXECS"/>
      <sheetName val="MXECSP"/>
      <sheetName val="NPI-MXECSP"/>
      <sheetName val="Autodesk Softimage"/>
      <sheetName val="NPI-Autodesk Softimage"/>
      <sheetName val="SIECS"/>
      <sheetName val="NPI-SIECS"/>
      <sheetName val="ENCSU"/>
      <sheetName val="NPI-ENCSU"/>
      <sheetName val="mental ray Standalone"/>
      <sheetName val="NPI-mental ray Standalone"/>
      <sheetName val="Autodesk Smoke for Mac OS"/>
      <sheetName val="NPI-Autodesk Smoke for Mac OS"/>
      <sheetName val="Autodesk MotionBuilder"/>
      <sheetName val="NPI-Autodesk MotionBuilder"/>
      <sheetName val="STCHR"/>
      <sheetName val="NPI-STCHR"/>
      <sheetName val="Autodesk Mudbox"/>
      <sheetName val="NPI-Autodesk Mudbox"/>
      <sheetName val="zSap"/>
      <sheetName val="zAdhoc"/>
      <sheetName val="zNFR"/>
    </sheetNames>
    <sheetDataSet>
      <sheetData sheetId="0"/>
      <sheetData sheetId="1"/>
      <sheetData sheetId="2"/>
      <sheetData sheetId="3"/>
      <sheetData sheetId="4"/>
      <sheetData sheetId="5"/>
      <sheetData sheetId="6">
        <row r="2">
          <cell r="M2" t="str">
            <v>All Products</v>
          </cell>
          <cell r="P2" t="str">
            <v>All License Types</v>
          </cell>
        </row>
        <row r="3">
          <cell r="M3" t="str">
            <v>Top Products</v>
          </cell>
          <cell r="P3" t="str">
            <v>Full Seat</v>
          </cell>
        </row>
        <row r="4">
          <cell r="M4" t="str">
            <v>PSEB</v>
          </cell>
          <cell r="P4" t="str">
            <v>Subscription</v>
          </cell>
        </row>
        <row r="5">
          <cell r="M5" t="str">
            <v>AEC</v>
          </cell>
          <cell r="P5" t="str">
            <v>UPG-XGD-Retro</v>
          </cell>
        </row>
        <row r="6">
          <cell r="M6" t="str">
            <v>MFG</v>
          </cell>
        </row>
        <row r="7">
          <cell r="M7" t="str">
            <v>M&amp;E</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Set>
  </externalBook>
</externalLink>
</file>

<file path=xl/theme/theme1.xml><?xml version="1.0" encoding="utf-8"?>
<a:theme xmlns:a="http://schemas.openxmlformats.org/drawingml/2006/main" name="Theme1">
  <a:themeElements>
    <a:clrScheme name="BTS Colors Final 9-9-15">
      <a:dk1>
        <a:srgbClr val="000000"/>
      </a:dk1>
      <a:lt1>
        <a:srgbClr val="FFFFFF"/>
      </a:lt1>
      <a:dk2>
        <a:srgbClr val="28324B"/>
      </a:dk2>
      <a:lt2>
        <a:srgbClr val="CFCFCF"/>
      </a:lt2>
      <a:accent1>
        <a:srgbClr val="28324B"/>
      </a:accent1>
      <a:accent2>
        <a:srgbClr val="FB054B"/>
      </a:accent2>
      <a:accent3>
        <a:srgbClr val="CDCDCD"/>
      </a:accent3>
      <a:accent4>
        <a:srgbClr val="0AB9F3"/>
      </a:accent4>
      <a:accent5>
        <a:srgbClr val="006EB9"/>
      </a:accent5>
      <a:accent6>
        <a:srgbClr val="FFC300"/>
      </a:accent6>
      <a:hlink>
        <a:srgbClr val="00B9FF"/>
      </a:hlink>
      <a:folHlink>
        <a:srgbClr val="006EB9"/>
      </a:folHlink>
    </a:clrScheme>
    <a:fontScheme name="BTS">
      <a:majorFont>
        <a:latin typeface="Verdana"/>
        <a:ea typeface=""/>
        <a:cs typeface=""/>
      </a:majorFont>
      <a:minorFont>
        <a:latin typeface="Verdana"/>
        <a:ea typeface=""/>
        <a:cs typeface=""/>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6350">
          <a:solidFill>
            <a:srgbClr val="28324B"/>
          </a:solid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lnDef>
      <a:spPr>
        <a:ln w="6350">
          <a:solidFill>
            <a:srgbClr val="28324B"/>
          </a:solidFill>
        </a:ln>
      </a:spPr>
      <a:bodyPr/>
      <a:lstStyle/>
      <a:style>
        <a:lnRef idx="1">
          <a:schemeClr val="accent1"/>
        </a:lnRef>
        <a:fillRef idx="0">
          <a:schemeClr val="accent1"/>
        </a:fillRef>
        <a:effectRef idx="0">
          <a:schemeClr val="accent1"/>
        </a:effectRef>
        <a:fontRef idx="minor">
          <a:schemeClr val="tx1"/>
        </a:fontRef>
      </a:style>
    </a:lnDef>
    <a:txDef>
      <a:spPr>
        <a:noFill/>
        <a:ln>
          <a:solidFill>
            <a:srgbClr val="28324B"/>
          </a:solidFill>
        </a:ln>
      </a:spPr>
      <a:bodyPr wrap="square" rtlCol="0">
        <a:spAutoFit/>
      </a:bodyPr>
      <a:lstStyle>
        <a:defPPr>
          <a:defRPr sz="1200" dirty="0"/>
        </a:defPPr>
      </a:lstStyle>
    </a:txDef>
  </a:objectDefaults>
  <a:extraClrSchemeLst/>
  <a:extLst>
    <a:ext uri="{05A4C25C-085E-4340-85A3-A5531E510DB2}">
      <thm15:themeFamily xmlns:thm15="http://schemas.microsoft.com/office/thememl/2012/main" name="Theme1" id="{2C4D523F-9E93-4452-95EC-51FBAE8A54F9}" vid="{4F29DFF7-7508-4639-9F64-2BE615DAE339}"/>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dam.Aranyos@bts.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ModuleFactory@bts.co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ModuleFactory@bts.com"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ModuleFactory@bts.com"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ModuleFactory@bts.com"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ModuleFactory@bts.com"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mailto:ModuleFactory@bts.com" TargetMode="Externa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I18"/>
  <sheetViews>
    <sheetView workbookViewId="0">
      <selection activeCell="E25" sqref="E25"/>
    </sheetView>
  </sheetViews>
  <sheetFormatPr defaultRowHeight="14.25" customHeight="1"/>
  <cols>
    <col min="1" max="1" width="8.796875" customWidth="1"/>
    <col min="2" max="2" width="2.5" customWidth="1"/>
    <col min="3" max="3" width="2.59765625" customWidth="1"/>
    <col min="4" max="5" width="11" customWidth="1"/>
    <col min="6" max="6" width="22.59765625" bestFit="1" customWidth="1"/>
    <col min="7" max="7" width="21.5" customWidth="1"/>
    <col min="8" max="9" width="11" customWidth="1"/>
    <col min="10" max="12" width="8.796875" customWidth="1"/>
    <col min="14" max="15" width="8.796875" customWidth="1"/>
  </cols>
  <sheetData>
    <row r="1" spans="1:9" ht="14.25" customHeight="1">
      <c r="A1" s="65" t="s">
        <v>594</v>
      </c>
      <c r="B1" s="64"/>
      <c r="C1" s="64"/>
      <c r="D1" s="64"/>
      <c r="E1" s="64"/>
      <c r="F1" s="64"/>
      <c r="G1" s="64"/>
      <c r="H1" s="64"/>
      <c r="I1" s="64"/>
    </row>
    <row r="2" spans="1:9" ht="14.25" customHeight="1">
      <c r="A2" s="60"/>
      <c r="B2" s="60"/>
      <c r="C2" s="63"/>
      <c r="D2" s="63"/>
      <c r="E2" s="63"/>
      <c r="F2" s="63"/>
      <c r="G2" s="63"/>
      <c r="H2" s="60"/>
      <c r="I2" s="63"/>
    </row>
    <row r="3" spans="1:9" ht="14.25" customHeight="1">
      <c r="A3" s="60"/>
      <c r="B3" s="60" t="s">
        <v>109</v>
      </c>
      <c r="C3" s="60"/>
      <c r="D3" s="60"/>
      <c r="E3" s="289" t="s">
        <v>595</v>
      </c>
      <c r="F3" s="60"/>
      <c r="G3" s="61"/>
      <c r="H3" s="60"/>
      <c r="I3" s="61"/>
    </row>
    <row r="4" spans="1:9" ht="14.25" customHeight="1">
      <c r="A4" s="48"/>
      <c r="B4" s="48"/>
      <c r="C4" s="48"/>
      <c r="D4" s="48"/>
      <c r="E4" s="48"/>
      <c r="F4" s="48"/>
      <c r="G4" s="48"/>
      <c r="H4" s="48"/>
      <c r="I4" s="48"/>
    </row>
    <row r="5" spans="1:9" ht="14.25" customHeight="1">
      <c r="A5" s="45"/>
      <c r="B5" s="28" t="s">
        <v>596</v>
      </c>
      <c r="C5" s="28"/>
      <c r="D5" s="28"/>
      <c r="E5" s="28"/>
      <c r="F5" s="28"/>
      <c r="G5" s="44"/>
      <c r="H5" s="44"/>
      <c r="I5" s="44"/>
    </row>
    <row r="6" spans="1:9" ht="14.25" customHeight="1">
      <c r="A6" s="48"/>
      <c r="B6" s="48"/>
      <c r="C6" s="48"/>
      <c r="D6" s="48"/>
      <c r="E6" s="48"/>
      <c r="F6" s="48"/>
      <c r="G6" s="48"/>
      <c r="H6" s="48"/>
      <c r="I6" s="48"/>
    </row>
    <row r="7" spans="1:9" ht="14.25" customHeight="1">
      <c r="A7" s="48"/>
      <c r="B7" s="48"/>
      <c r="C7" s="48"/>
      <c r="D7" s="290"/>
      <c r="E7" s="53" t="s">
        <v>598</v>
      </c>
      <c r="F7" s="48"/>
      <c r="G7" s="48"/>
      <c r="H7" s="48"/>
      <c r="I7" s="48"/>
    </row>
    <row r="8" spans="1:9" ht="14.25" customHeight="1">
      <c r="A8" s="48"/>
      <c r="B8" s="48"/>
      <c r="C8" s="48"/>
      <c r="D8" s="54"/>
      <c r="E8" s="53" t="s">
        <v>599</v>
      </c>
      <c r="F8" s="48"/>
      <c r="G8" s="48"/>
      <c r="H8" s="48"/>
      <c r="I8" s="48"/>
    </row>
    <row r="9" spans="1:9" ht="14.25" customHeight="1">
      <c r="A9" s="48"/>
      <c r="B9" s="48"/>
      <c r="C9" s="48"/>
      <c r="D9" s="292"/>
      <c r="E9" s="53" t="s">
        <v>600</v>
      </c>
      <c r="F9" s="48"/>
      <c r="G9" s="48"/>
      <c r="H9" s="48"/>
      <c r="I9" s="48"/>
    </row>
    <row r="10" spans="1:9" ht="14.25" customHeight="1">
      <c r="A10" s="48"/>
      <c r="B10" s="48"/>
      <c r="C10" s="48"/>
      <c r="D10" s="291"/>
      <c r="E10" s="53" t="s">
        <v>601</v>
      </c>
      <c r="F10" s="48"/>
      <c r="G10" s="48"/>
      <c r="H10" s="48"/>
      <c r="I10" s="48"/>
    </row>
    <row r="11" spans="1:9" ht="14.25" customHeight="1">
      <c r="A11" s="48"/>
      <c r="B11" s="48"/>
      <c r="C11" s="48"/>
      <c r="D11" s="55"/>
      <c r="E11" s="53" t="s">
        <v>602</v>
      </c>
      <c r="F11" s="48"/>
      <c r="G11" s="48"/>
      <c r="H11" s="48"/>
      <c r="I11" s="48"/>
    </row>
    <row r="12" spans="1:9" ht="14.25" customHeight="1">
      <c r="A12" s="48"/>
      <c r="B12" s="48"/>
      <c r="C12" s="48"/>
      <c r="D12" s="48"/>
      <c r="E12" s="48"/>
      <c r="F12" s="48"/>
      <c r="G12" s="48"/>
      <c r="H12" s="48"/>
      <c r="I12" s="48"/>
    </row>
    <row r="13" spans="1:9" ht="14.25" customHeight="1">
      <c r="A13" s="45"/>
      <c r="B13" s="28" t="s">
        <v>597</v>
      </c>
      <c r="C13" s="28"/>
      <c r="D13" s="28"/>
      <c r="E13" s="28"/>
      <c r="F13" s="28"/>
      <c r="G13" s="44"/>
      <c r="H13" s="44"/>
      <c r="I13" s="44"/>
    </row>
    <row r="14" spans="1:9" ht="14.25" customHeight="1">
      <c r="A14" s="48"/>
      <c r="B14" s="48"/>
      <c r="C14" s="48"/>
      <c r="D14" s="48"/>
      <c r="E14" s="48"/>
      <c r="F14" s="48"/>
      <c r="G14" s="48"/>
      <c r="H14" s="48"/>
      <c r="I14" s="48"/>
    </row>
    <row r="15" spans="1:9" ht="14.25" customHeight="1">
      <c r="A15" s="48"/>
      <c r="B15" s="48"/>
      <c r="C15" s="48"/>
      <c r="D15" s="59" t="s">
        <v>107</v>
      </c>
      <c r="E15" s="59"/>
      <c r="F15" s="48"/>
      <c r="G15" s="48"/>
      <c r="H15" s="58" t="s">
        <v>106</v>
      </c>
      <c r="I15" s="48"/>
    </row>
    <row r="16" spans="1:9" ht="14.25" customHeight="1">
      <c r="A16" s="48"/>
      <c r="B16" s="48"/>
      <c r="C16" s="48"/>
      <c r="D16" s="57"/>
      <c r="E16" s="53" t="s">
        <v>98</v>
      </c>
      <c r="F16" s="48"/>
      <c r="G16" s="48"/>
      <c r="H16" s="56"/>
      <c r="I16" s="53" t="s">
        <v>99</v>
      </c>
    </row>
    <row r="17" spans="1:9" ht="14.25" customHeight="1">
      <c r="A17" s="48"/>
      <c r="B17" s="48"/>
      <c r="C17" s="48"/>
      <c r="D17" s="55"/>
      <c r="E17" s="53" t="s">
        <v>97</v>
      </c>
      <c r="F17" s="48"/>
      <c r="G17" s="48"/>
      <c r="H17" s="48"/>
      <c r="I17" s="48"/>
    </row>
    <row r="18" spans="1:9" ht="14.25" customHeight="1">
      <c r="A18" s="48"/>
      <c r="B18" s="48"/>
      <c r="C18" s="48"/>
      <c r="D18" s="54"/>
      <c r="E18" s="53" t="s">
        <v>100</v>
      </c>
      <c r="F18" s="48"/>
      <c r="G18" s="48"/>
      <c r="H18" s="48"/>
      <c r="I18" s="48"/>
    </row>
  </sheetData>
  <hyperlinks>
    <hyperlink ref="E3"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H49"/>
  <sheetViews>
    <sheetView workbookViewId="0">
      <selection activeCell="D17" sqref="D17"/>
    </sheetView>
  </sheetViews>
  <sheetFormatPr defaultRowHeight="14.25" customHeight="1"/>
  <cols>
    <col min="1" max="3" width="4.69921875" customWidth="1"/>
    <col min="4" max="4" width="21.09765625" customWidth="1"/>
  </cols>
  <sheetData>
    <row r="1" spans="1:8" ht="14.25" customHeight="1">
      <c r="A1" s="1" t="s">
        <v>66</v>
      </c>
      <c r="B1" s="1"/>
      <c r="C1" s="1"/>
      <c r="D1" s="1"/>
      <c r="E1" s="1"/>
      <c r="F1" s="1"/>
      <c r="G1" s="1"/>
      <c r="H1" s="1"/>
    </row>
    <row r="3" spans="1:8" ht="14.25" customHeight="1">
      <c r="A3" s="5" t="s">
        <v>77</v>
      </c>
      <c r="B3" s="5"/>
      <c r="C3" s="5"/>
      <c r="D3" s="5"/>
      <c r="E3" s="5"/>
      <c r="F3" s="5"/>
      <c r="G3" s="5"/>
      <c r="H3" s="5"/>
    </row>
    <row r="5" spans="1:8" ht="14.25" customHeight="1">
      <c r="D5" s="13" t="s">
        <v>206</v>
      </c>
      <c r="E5" t="s">
        <v>0</v>
      </c>
      <c r="H5" t="s">
        <v>1</v>
      </c>
    </row>
    <row r="6" spans="1:8" ht="14.25" customHeight="1">
      <c r="D6" s="66"/>
    </row>
    <row r="7" spans="1:8" ht="14.25" customHeight="1">
      <c r="D7" s="13" t="s">
        <v>71</v>
      </c>
      <c r="E7" t="s">
        <v>62</v>
      </c>
      <c r="H7" t="s">
        <v>69</v>
      </c>
    </row>
    <row r="8" spans="1:8" ht="14.25" customHeight="1">
      <c r="D8" s="66"/>
    </row>
    <row r="9" spans="1:8" ht="14.25" customHeight="1">
      <c r="D9" s="13" t="s">
        <v>117</v>
      </c>
      <c r="E9" t="s">
        <v>111</v>
      </c>
      <c r="H9" t="s">
        <v>112</v>
      </c>
    </row>
    <row r="11" spans="1:8" ht="14.25" customHeight="1">
      <c r="A11" s="5" t="s">
        <v>78</v>
      </c>
      <c r="B11" s="5"/>
      <c r="C11" s="5"/>
      <c r="D11" s="5"/>
      <c r="E11" s="5"/>
      <c r="F11" s="5"/>
      <c r="G11" s="5"/>
      <c r="H11" s="5"/>
    </row>
    <row r="13" spans="1:8" ht="14.25" customHeight="1">
      <c r="D13" s="13">
        <v>5</v>
      </c>
      <c r="E13" t="s">
        <v>73</v>
      </c>
      <c r="H13" t="s">
        <v>72</v>
      </c>
    </row>
    <row r="15" spans="1:8" ht="14.25" customHeight="1">
      <c r="A15" s="5" t="s">
        <v>76</v>
      </c>
      <c r="B15" s="5"/>
      <c r="C15" s="5"/>
      <c r="D15" s="5"/>
      <c r="E15" s="5"/>
      <c r="F15" s="5"/>
      <c r="G15" s="5"/>
      <c r="H15" s="5"/>
    </row>
    <row r="17" spans="1:8" ht="14.25" customHeight="1">
      <c r="D17" s="15">
        <v>1</v>
      </c>
      <c r="E17" t="s">
        <v>5</v>
      </c>
    </row>
    <row r="18" spans="1:8" ht="14.25" customHeight="1">
      <c r="D18" s="16"/>
    </row>
    <row r="19" spans="1:8" ht="14.25" customHeight="1">
      <c r="D19" s="15">
        <v>0</v>
      </c>
      <c r="E19" t="s">
        <v>56</v>
      </c>
    </row>
    <row r="20" spans="1:8" ht="14.25" customHeight="1">
      <c r="D20" s="16"/>
    </row>
    <row r="21" spans="1:8" ht="14.25" customHeight="1">
      <c r="D21" s="15">
        <v>1</v>
      </c>
      <c r="E21" t="s">
        <v>57</v>
      </c>
    </row>
    <row r="23" spans="1:8" ht="14.25" customHeight="1">
      <c r="A23" s="5" t="s">
        <v>75</v>
      </c>
      <c r="B23" s="5"/>
      <c r="C23" s="5"/>
      <c r="D23" s="5"/>
      <c r="E23" s="5"/>
      <c r="F23" s="5"/>
      <c r="G23" s="5"/>
      <c r="H23" s="5"/>
    </row>
    <row r="25" spans="1:8" ht="14.25" customHeight="1">
      <c r="D25" s="13" t="s">
        <v>115</v>
      </c>
      <c r="E25" t="s">
        <v>63</v>
      </c>
      <c r="H25" t="s">
        <v>64</v>
      </c>
    </row>
    <row r="26" spans="1:8" ht="14.25" customHeight="1">
      <c r="D26" s="66"/>
      <c r="H26" t="s">
        <v>65</v>
      </c>
    </row>
    <row r="27" spans="1:8" ht="14.25" customHeight="1">
      <c r="D27" s="13" t="s">
        <v>211</v>
      </c>
      <c r="E27" t="s">
        <v>74</v>
      </c>
      <c r="H27" s="4" t="s">
        <v>116</v>
      </c>
    </row>
    <row r="28" spans="1:8" ht="14.25" customHeight="1">
      <c r="D28" s="66"/>
      <c r="H28" s="4" t="s">
        <v>116</v>
      </c>
    </row>
    <row r="29" spans="1:8" ht="14.25" customHeight="1">
      <c r="D29" s="13" t="s">
        <v>55</v>
      </c>
      <c r="E29" t="s">
        <v>53</v>
      </c>
      <c r="H29" t="s">
        <v>68</v>
      </c>
    </row>
    <row r="30" spans="1:8" ht="14.25" customHeight="1">
      <c r="D30" s="66"/>
    </row>
    <row r="31" spans="1:8" ht="14.25" customHeight="1">
      <c r="D31" s="13" t="s">
        <v>58</v>
      </c>
      <c r="E31" t="s">
        <v>59</v>
      </c>
    </row>
    <row r="32" spans="1:8" ht="14.25" customHeight="1">
      <c r="D32" s="66"/>
    </row>
    <row r="33" spans="1:8">
      <c r="D33" s="13" t="s">
        <v>60</v>
      </c>
      <c r="E33" t="s">
        <v>61</v>
      </c>
    </row>
    <row r="35" spans="1:8">
      <c r="A35" s="5" t="s">
        <v>79</v>
      </c>
      <c r="B35" s="5"/>
      <c r="C35" s="5"/>
      <c r="D35" s="5"/>
      <c r="E35" s="5"/>
      <c r="F35" s="5"/>
      <c r="G35" s="5"/>
      <c r="H35" s="5"/>
    </row>
    <row r="37" spans="1:8">
      <c r="D37" s="14" t="s">
        <v>4</v>
      </c>
      <c r="E37" t="s">
        <v>6</v>
      </c>
      <c r="H37" t="s">
        <v>49</v>
      </c>
    </row>
    <row r="39" spans="1:8">
      <c r="D39" s="14">
        <v>1</v>
      </c>
      <c r="E39" t="s">
        <v>48</v>
      </c>
      <c r="H39" t="s">
        <v>50</v>
      </c>
    </row>
    <row r="41" spans="1:8">
      <c r="D41" s="14">
        <f>xxRound</f>
        <v>1</v>
      </c>
      <c r="E41" t="s">
        <v>51</v>
      </c>
      <c r="H41" t="s">
        <v>52</v>
      </c>
    </row>
    <row r="43" spans="1:8">
      <c r="D43" s="14" t="str">
        <f>xxToolPrefix</f>
        <v>tlInput</v>
      </c>
      <c r="E43" t="s">
        <v>70</v>
      </c>
      <c r="H43" t="s">
        <v>2</v>
      </c>
    </row>
    <row r="44" spans="1:8">
      <c r="H44" t="s">
        <v>3</v>
      </c>
    </row>
    <row r="45" spans="1:8">
      <c r="H45" t="s">
        <v>80</v>
      </c>
    </row>
    <row r="46" spans="1:8">
      <c r="H46" s="4" t="s">
        <v>116</v>
      </c>
    </row>
    <row r="47" spans="1:8">
      <c r="D47" s="14" t="str">
        <f>xxToolPrefix</f>
        <v>tlInput</v>
      </c>
      <c r="E47" t="s">
        <v>54</v>
      </c>
      <c r="H47" t="s">
        <v>67</v>
      </c>
    </row>
    <row r="48" spans="1:8">
      <c r="H48" t="s">
        <v>80</v>
      </c>
    </row>
    <row r="49" spans="8:8">
      <c r="H49" s="4" t="s">
        <v>116</v>
      </c>
    </row>
  </sheetData>
  <conditionalFormatting sqref="D29 D27">
    <cfRule type="expression" dxfId="143" priority="3">
      <formula>AND($D$9&lt;&gt;"BA1",$D$9&lt;&gt;"BA2")</formula>
    </cfRule>
  </conditionalFormatting>
  <conditionalFormatting sqref="D43">
    <cfRule type="expression" dxfId="142" priority="2">
      <formula>AND($D$9&lt;&gt;"BA1",$D$9&lt;&gt;"BA2")</formula>
    </cfRule>
  </conditionalFormatting>
  <conditionalFormatting sqref="D47">
    <cfRule type="expression" dxfId="141" priority="1">
      <formula>AND($D$9&lt;&gt;"BA1",$D$9&lt;&gt;"BA2")</formula>
    </cfRule>
  </conditionalFormatting>
  <dataValidations count="1">
    <dataValidation type="list" allowBlank="1" showInputMessage="1" showErrorMessage="1" sqref="D9">
      <formula1>"BA1, BA2, Hybrid, Board, MTM"</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L60"/>
  <sheetViews>
    <sheetView workbookViewId="0">
      <selection activeCell="B37" sqref="B37"/>
    </sheetView>
  </sheetViews>
  <sheetFormatPr defaultColWidth="8.796875" defaultRowHeight="14.25" customHeight="1"/>
  <cols>
    <col min="1" max="1" width="8.796875" customWidth="1"/>
    <col min="2" max="2" width="2.5" customWidth="1"/>
    <col min="3" max="3" width="2.59765625" customWidth="1"/>
    <col min="4" max="5" width="11" customWidth="1"/>
    <col min="6" max="6" width="22.59765625" bestFit="1" customWidth="1"/>
    <col min="7" max="7" width="21.5" customWidth="1"/>
    <col min="8" max="10" width="11" customWidth="1"/>
    <col min="11" max="11" width="16.8984375" customWidth="1"/>
    <col min="12" max="12" width="18.59765625" bestFit="1" customWidth="1"/>
    <col min="14" max="15" width="8.796875" customWidth="1"/>
  </cols>
  <sheetData>
    <row r="1" spans="1:12">
      <c r="A1" s="65" t="s">
        <v>110</v>
      </c>
      <c r="B1" s="64"/>
      <c r="C1" s="64"/>
      <c r="D1" s="64"/>
      <c r="E1" s="64"/>
      <c r="F1" s="64"/>
      <c r="G1" s="64"/>
      <c r="H1" s="64"/>
      <c r="I1" s="64"/>
      <c r="J1" s="64"/>
      <c r="K1" s="64"/>
      <c r="L1" s="64"/>
    </row>
    <row r="2" spans="1:12">
      <c r="A2" s="60"/>
      <c r="B2" s="60"/>
      <c r="C2" s="63"/>
      <c r="D2" s="63"/>
      <c r="E2" s="63"/>
      <c r="F2" s="63"/>
      <c r="G2" s="63"/>
      <c r="H2" s="60"/>
      <c r="I2" s="63"/>
      <c r="J2" s="63"/>
      <c r="K2" s="63"/>
      <c r="L2" s="63"/>
    </row>
    <row r="3" spans="1:12">
      <c r="A3" s="60"/>
      <c r="B3" s="60" t="s">
        <v>109</v>
      </c>
      <c r="C3" s="60"/>
      <c r="D3" s="60"/>
      <c r="E3" s="62" t="s">
        <v>101</v>
      </c>
      <c r="F3" s="60"/>
      <c r="G3" s="61"/>
      <c r="H3" s="60"/>
      <c r="I3" s="61"/>
      <c r="J3" s="61"/>
      <c r="K3" s="61"/>
      <c r="L3" s="61"/>
    </row>
    <row r="4" spans="1:12">
      <c r="A4" s="48"/>
      <c r="B4" s="48"/>
      <c r="C4" s="48"/>
      <c r="D4" s="48"/>
      <c r="E4" s="48"/>
      <c r="F4" s="48"/>
      <c r="G4" s="48"/>
      <c r="H4" s="48"/>
      <c r="I4" s="48"/>
      <c r="J4" s="48"/>
      <c r="K4" s="48"/>
      <c r="L4" s="48"/>
    </row>
    <row r="5" spans="1:12">
      <c r="A5" s="45"/>
      <c r="B5" s="28"/>
      <c r="C5" s="28" t="s">
        <v>108</v>
      </c>
      <c r="D5" s="28"/>
      <c r="E5" s="28"/>
      <c r="F5" s="28"/>
      <c r="G5" s="44"/>
      <c r="H5" s="44"/>
      <c r="I5" s="44"/>
      <c r="J5" s="44"/>
      <c r="K5" s="44"/>
      <c r="L5" s="44"/>
    </row>
    <row r="6" spans="1:12">
      <c r="A6" s="48"/>
      <c r="B6" s="48"/>
      <c r="C6" s="48"/>
      <c r="D6" s="48"/>
      <c r="E6" s="48"/>
      <c r="F6" s="48"/>
      <c r="G6" s="48"/>
      <c r="H6" s="48"/>
      <c r="I6" s="48"/>
      <c r="J6" s="48"/>
      <c r="K6" s="48"/>
      <c r="L6" s="48"/>
    </row>
    <row r="7" spans="1:12">
      <c r="A7" s="48"/>
      <c r="B7" s="48"/>
      <c r="C7" s="48"/>
      <c r="D7" s="48"/>
      <c r="E7" s="59" t="s">
        <v>107</v>
      </c>
      <c r="F7" s="59"/>
      <c r="G7" s="48"/>
      <c r="H7" s="58" t="s">
        <v>106</v>
      </c>
      <c r="I7" s="48"/>
      <c r="J7" s="48"/>
      <c r="K7" s="48"/>
      <c r="L7" s="48"/>
    </row>
    <row r="8" spans="1:12">
      <c r="A8" s="48"/>
      <c r="B8" s="48"/>
      <c r="C8" s="48"/>
      <c r="D8" s="48"/>
      <c r="E8" s="57"/>
      <c r="F8" s="53" t="s">
        <v>98</v>
      </c>
      <c r="G8" s="48"/>
      <c r="H8" s="56"/>
      <c r="I8" s="53" t="s">
        <v>99</v>
      </c>
      <c r="J8" s="48"/>
      <c r="K8" s="48"/>
      <c r="L8" s="48"/>
    </row>
    <row r="9" spans="1:12">
      <c r="A9" s="48"/>
      <c r="B9" s="48"/>
      <c r="C9" s="48"/>
      <c r="D9" s="48"/>
      <c r="E9" s="55"/>
      <c r="F9" s="53" t="s">
        <v>97</v>
      </c>
      <c r="G9" s="48"/>
      <c r="H9" s="48"/>
      <c r="I9" s="48"/>
      <c r="J9" s="48"/>
      <c r="K9" s="48"/>
      <c r="L9" s="48"/>
    </row>
    <row r="10" spans="1:12">
      <c r="A10" s="48"/>
      <c r="B10" s="48"/>
      <c r="C10" s="48"/>
      <c r="D10" s="48"/>
      <c r="E10" s="54"/>
      <c r="F10" s="53" t="s">
        <v>100</v>
      </c>
      <c r="G10" s="48"/>
      <c r="H10" s="48"/>
      <c r="I10" s="48"/>
      <c r="J10" s="48"/>
      <c r="K10" s="48"/>
      <c r="L10" s="48"/>
    </row>
    <row r="11" spans="1:12">
      <c r="A11" s="49"/>
      <c r="B11" s="52"/>
      <c r="C11" s="49"/>
      <c r="D11" s="49"/>
      <c r="E11" s="51"/>
      <c r="F11" s="51"/>
      <c r="G11" s="50"/>
      <c r="H11" s="50"/>
      <c r="I11" s="50"/>
      <c r="J11" s="50"/>
      <c r="K11" s="50"/>
      <c r="L11" s="50"/>
    </row>
    <row r="12" spans="1:12" ht="20.100000000000001" customHeight="1">
      <c r="A12" s="28"/>
      <c r="B12" s="30" t="s">
        <v>105</v>
      </c>
      <c r="C12" s="28"/>
      <c r="D12" s="30"/>
      <c r="E12" s="29"/>
      <c r="F12" s="29"/>
      <c r="G12" s="30"/>
      <c r="H12" s="29"/>
      <c r="I12" s="29"/>
      <c r="J12" s="30"/>
      <c r="K12" s="29"/>
      <c r="L12" s="29"/>
    </row>
    <row r="13" spans="1:12">
      <c r="A13" s="48"/>
      <c r="B13" s="48"/>
      <c r="C13" s="48"/>
      <c r="D13" s="48"/>
      <c r="E13" s="48"/>
      <c r="F13" s="48"/>
      <c r="G13" s="48"/>
      <c r="H13" s="48"/>
      <c r="I13" s="48"/>
      <c r="J13" s="48"/>
      <c r="K13" s="48"/>
      <c r="L13" s="48"/>
    </row>
    <row r="14" spans="1:12">
      <c r="A14" s="45"/>
      <c r="B14" s="28" t="s">
        <v>104</v>
      </c>
      <c r="C14" s="28"/>
      <c r="D14" s="28"/>
      <c r="E14" s="28"/>
      <c r="F14" s="28"/>
      <c r="G14" s="44"/>
      <c r="H14" s="44"/>
      <c r="I14" s="44"/>
      <c r="J14" s="44"/>
      <c r="K14" s="44"/>
      <c r="L14" s="44"/>
    </row>
    <row r="15" spans="1:12" ht="15.75" thickBot="1">
      <c r="A15" s="17"/>
      <c r="B15" s="17"/>
      <c r="C15" s="17"/>
      <c r="D15" s="17"/>
      <c r="E15" s="17"/>
      <c r="F15" s="17"/>
      <c r="G15" s="17"/>
      <c r="H15" s="17"/>
      <c r="I15" s="17"/>
      <c r="J15" s="17"/>
      <c r="K15" s="17"/>
      <c r="L15" s="17"/>
    </row>
    <row r="16" spans="1:12" ht="15">
      <c r="A16" s="17"/>
      <c r="B16" s="17" t="s">
        <v>81</v>
      </c>
      <c r="C16" s="17"/>
      <c r="D16" s="17"/>
      <c r="E16" s="47" t="s">
        <v>82</v>
      </c>
      <c r="F16" s="17" t="s">
        <v>83</v>
      </c>
      <c r="G16" s="17"/>
      <c r="H16" s="17"/>
      <c r="I16" s="17"/>
      <c r="J16" s="17"/>
      <c r="K16" s="17"/>
      <c r="L16" s="17"/>
    </row>
    <row r="17" spans="1:12" ht="15.75" thickBot="1">
      <c r="A17" s="17"/>
      <c r="B17" s="17" t="s">
        <v>7</v>
      </c>
      <c r="C17" s="17"/>
      <c r="D17" s="17"/>
      <c r="E17" s="46" t="b">
        <v>1</v>
      </c>
      <c r="F17" s="17" t="s">
        <v>84</v>
      </c>
      <c r="G17" s="17"/>
      <c r="H17" s="17"/>
      <c r="I17" s="17"/>
      <c r="J17" s="17"/>
      <c r="K17" s="17"/>
      <c r="L17" s="17"/>
    </row>
    <row r="18" spans="1:12" ht="15">
      <c r="A18" s="17"/>
      <c r="B18" s="17"/>
      <c r="C18" s="17"/>
      <c r="D18" s="17"/>
      <c r="E18" s="17"/>
      <c r="F18" s="17"/>
      <c r="G18" s="17"/>
      <c r="H18" s="17"/>
      <c r="I18" s="17"/>
      <c r="J18" s="17"/>
      <c r="K18" s="17"/>
      <c r="L18" s="17"/>
    </row>
    <row r="19" spans="1:12">
      <c r="A19" s="45"/>
      <c r="B19" s="28" t="s">
        <v>85</v>
      </c>
      <c r="C19" s="28"/>
      <c r="D19" s="28"/>
      <c r="E19" s="28"/>
      <c r="F19" s="28"/>
      <c r="G19" s="44"/>
      <c r="H19" s="44"/>
      <c r="I19" s="44"/>
      <c r="J19" s="44"/>
      <c r="K19" s="44"/>
      <c r="L19" s="44"/>
    </row>
    <row r="20" spans="1:12" ht="15.75" thickBot="1">
      <c r="A20" s="17"/>
      <c r="B20" s="17"/>
      <c r="C20" s="17"/>
      <c r="D20" s="17"/>
      <c r="E20" s="17"/>
      <c r="F20" s="17"/>
      <c r="G20" s="17"/>
      <c r="H20" s="17"/>
      <c r="I20" s="17"/>
      <c r="J20" s="17"/>
      <c r="K20" s="17"/>
      <c r="L20" s="17"/>
    </row>
    <row r="21" spans="1:12" ht="15">
      <c r="A21" s="17"/>
      <c r="B21" s="17" t="s">
        <v>14</v>
      </c>
      <c r="C21" s="17"/>
      <c r="D21" s="17"/>
      <c r="E21" s="43" t="s">
        <v>15</v>
      </c>
      <c r="F21" s="42" t="s">
        <v>16</v>
      </c>
      <c r="G21" s="42" t="s">
        <v>45</v>
      </c>
      <c r="H21" s="42" t="s">
        <v>46</v>
      </c>
      <c r="I21" s="42" t="s">
        <v>47</v>
      </c>
      <c r="J21" s="42" t="s">
        <v>86</v>
      </c>
      <c r="K21" s="42" t="s">
        <v>17</v>
      </c>
      <c r="L21" s="41" t="s">
        <v>18</v>
      </c>
    </row>
    <row r="22" spans="1:12" ht="15">
      <c r="A22" s="17"/>
      <c r="B22" s="17"/>
      <c r="C22" s="17"/>
      <c r="D22" s="17"/>
      <c r="E22" s="40">
        <v>1</v>
      </c>
      <c r="F22" s="38" t="s">
        <v>204</v>
      </c>
      <c r="G22" s="39"/>
      <c r="H22" s="38"/>
      <c r="I22" s="38"/>
      <c r="J22" s="38"/>
      <c r="K22" s="37" t="str">
        <f t="shared" ref="K22:K23" si="0">IF(E22=1,IF(G22="","",cnstSingleQuote&amp;G22&amp;cnstSingleQuote),cnstSingleQuote&amp;G22&amp;IF(ISBLANK(H22),"",cnstDoubleQuote&amp;H22&amp;cnstDoubleQuote)&amp;IF(ISBLANK(I22),"",cnstComma&amp;cnstDoubleQuote&amp;I22&amp;cnstDoubleQuote)&amp;IF(ISBLANK(J22),"",cnstComma&amp;cnstDoubleQuote&amp;J22&amp;cnstDoubleQuote)&amp;cnstSingleQuote)</f>
        <v/>
      </c>
      <c r="L22" s="36"/>
    </row>
    <row r="23" spans="1:12" ht="15">
      <c r="A23" s="17"/>
      <c r="B23" s="17"/>
      <c r="C23" s="17"/>
      <c r="D23" s="17"/>
      <c r="E23" s="40">
        <v>2</v>
      </c>
      <c r="F23" s="38" t="s">
        <v>205</v>
      </c>
      <c r="G23" s="39" t="s">
        <v>203</v>
      </c>
      <c r="H23" s="38">
        <v>0</v>
      </c>
      <c r="I23" s="38"/>
      <c r="J23" s="38"/>
      <c r="K23" s="37" t="str">
        <f t="shared" si="0"/>
        <v>'DecResetToolDecs"0"'</v>
      </c>
      <c r="L23" s="36"/>
    </row>
    <row r="24" spans="1:12" ht="15">
      <c r="A24" s="17"/>
      <c r="B24" s="17"/>
      <c r="C24" s="17"/>
      <c r="D24" s="17"/>
      <c r="E24" s="40">
        <v>1</v>
      </c>
      <c r="F24" s="38" t="s">
        <v>113</v>
      </c>
      <c r="G24" s="39"/>
      <c r="H24" s="38"/>
      <c r="I24" s="38"/>
      <c r="J24" s="38"/>
      <c r="K24" s="37" t="str">
        <f t="shared" ref="K24:K25" si="1">IF(E24=1,IF(G24="","",cnstSingleQuote&amp;G24&amp;cnstSingleQuote),cnstSingleQuote&amp;G24&amp;IF(ISBLANK(H24),"",cnstDoubleQuote&amp;H24&amp;cnstDoubleQuote)&amp;IF(ISBLANK(I24),"",cnstComma&amp;cnstDoubleQuote&amp;I24&amp;cnstDoubleQuote)&amp;IF(ISBLANK(J24),"",cnstComma&amp;cnstDoubleQuote&amp;J24&amp;cnstDoubleQuote)&amp;cnstSingleQuote)</f>
        <v/>
      </c>
      <c r="L24" s="36"/>
    </row>
    <row r="25" spans="1:12" ht="15">
      <c r="A25" s="17"/>
      <c r="B25" s="17"/>
      <c r="C25" s="17"/>
      <c r="D25" s="17"/>
      <c r="E25" s="40">
        <v>2</v>
      </c>
      <c r="F25" s="38" t="s">
        <v>241</v>
      </c>
      <c r="G25" s="39" t="s">
        <v>114</v>
      </c>
      <c r="H25" s="38" t="s">
        <v>240</v>
      </c>
      <c r="I25" s="38"/>
      <c r="J25" s="38"/>
      <c r="K25" s="37" t="str">
        <f t="shared" si="1"/>
        <v>'HoodGoToScreen"tlM2S"'</v>
      </c>
      <c r="L25" s="36"/>
    </row>
    <row r="26" spans="1:12" ht="15">
      <c r="A26" s="17"/>
      <c r="B26" s="17"/>
      <c r="C26" s="17"/>
      <c r="D26" s="17"/>
      <c r="E26" s="40">
        <v>1</v>
      </c>
      <c r="F26" s="38" t="s">
        <v>763</v>
      </c>
      <c r="G26" s="39"/>
      <c r="H26" s="38"/>
      <c r="I26" s="38"/>
      <c r="J26" s="38"/>
      <c r="K26" s="37" t="str">
        <f t="shared" ref="K26:K27" si="2">IF(E26=1,IF(G26="","",cnstSingleQuote&amp;G26&amp;cnstSingleQuote),cnstSingleQuote&amp;G26&amp;IF(ISBLANK(H26),"",cnstDoubleQuote&amp;H26&amp;cnstDoubleQuote)&amp;IF(ISBLANK(I26),"",cnstComma&amp;cnstDoubleQuote&amp;I26&amp;cnstDoubleQuote)&amp;IF(ISBLANK(J26),"",cnstComma&amp;cnstDoubleQuote&amp;J26&amp;cnstDoubleQuote)&amp;cnstSingleQuote)</f>
        <v/>
      </c>
      <c r="L26" s="36"/>
    </row>
    <row r="27" spans="1:12" ht="15">
      <c r="A27" s="17"/>
      <c r="B27" s="17"/>
      <c r="C27" s="17"/>
      <c r="D27" s="17"/>
      <c r="E27" s="40">
        <v>2</v>
      </c>
      <c r="F27" s="38" t="s">
        <v>764</v>
      </c>
      <c r="G27" s="39" t="s">
        <v>765</v>
      </c>
      <c r="H27" s="38"/>
      <c r="I27" s="38"/>
      <c r="J27" s="38"/>
      <c r="K27" s="37" t="str">
        <f t="shared" si="2"/>
        <v>'AutoTest'</v>
      </c>
      <c r="L27" s="36"/>
    </row>
    <row r="28" spans="1:12" ht="15">
      <c r="A28" s="17"/>
      <c r="B28" s="17"/>
      <c r="C28" s="17"/>
      <c r="D28" s="17"/>
      <c r="E28" s="17" t="s">
        <v>19</v>
      </c>
      <c r="F28" s="17" t="s">
        <v>20</v>
      </c>
      <c r="G28" s="17"/>
      <c r="H28" s="17"/>
      <c r="I28" s="17"/>
      <c r="J28" s="35"/>
      <c r="K28" s="17" t="s">
        <v>21</v>
      </c>
      <c r="L28" s="17" t="s">
        <v>22</v>
      </c>
    </row>
    <row r="29" spans="1:12" ht="15">
      <c r="A29" s="17"/>
      <c r="B29" s="17"/>
      <c r="C29" s="17"/>
      <c r="D29" s="17"/>
      <c r="E29" s="31"/>
      <c r="F29" s="17"/>
      <c r="G29" s="17"/>
      <c r="H29" s="17"/>
      <c r="I29" s="17"/>
      <c r="J29" s="17"/>
      <c r="K29" s="17"/>
      <c r="L29" s="17"/>
    </row>
    <row r="30" spans="1:12" ht="20.100000000000001" customHeight="1">
      <c r="A30" s="28"/>
      <c r="B30" s="30" t="s">
        <v>103</v>
      </c>
      <c r="C30" s="28"/>
      <c r="D30" s="30"/>
      <c r="E30" s="29"/>
      <c r="F30" s="29"/>
      <c r="G30" s="30"/>
      <c r="H30" s="29"/>
      <c r="I30" s="29"/>
      <c r="J30" s="30"/>
      <c r="K30" s="29"/>
      <c r="L30" s="29"/>
    </row>
    <row r="31" spans="1:12" ht="15">
      <c r="A31" s="17"/>
      <c r="B31" s="17"/>
      <c r="C31" s="17"/>
      <c r="D31" s="17"/>
      <c r="E31" s="17"/>
      <c r="F31" s="17"/>
      <c r="G31" s="17"/>
      <c r="H31" s="17"/>
      <c r="I31" s="17"/>
      <c r="J31" s="35"/>
      <c r="K31" s="35"/>
      <c r="L31" s="17"/>
    </row>
    <row r="32" spans="1:12" ht="15.75" thickBot="1">
      <c r="A32" s="17"/>
      <c r="B32" s="17" t="s">
        <v>87</v>
      </c>
      <c r="C32" s="17"/>
      <c r="D32" s="17"/>
      <c r="E32" s="17"/>
      <c r="F32" s="17"/>
      <c r="G32" s="17"/>
      <c r="H32" s="17"/>
      <c r="I32" s="17"/>
      <c r="J32" s="17"/>
      <c r="K32" s="17"/>
      <c r="L32" s="17"/>
    </row>
    <row r="33" spans="1:12" ht="15">
      <c r="A33" s="17"/>
      <c r="B33" s="17"/>
      <c r="C33" s="17" t="s">
        <v>8</v>
      </c>
      <c r="D33" s="17"/>
      <c r="E33" s="34">
        <f>COUNTIF(vbaPopupMenu1ListLevel,1)</f>
        <v>3</v>
      </c>
      <c r="F33" s="17" t="s">
        <v>9</v>
      </c>
      <c r="G33" s="17"/>
      <c r="H33" s="17"/>
      <c r="I33" s="17"/>
      <c r="J33" s="17"/>
      <c r="K33" s="17"/>
      <c r="L33" s="17"/>
    </row>
    <row r="34" spans="1:12" ht="15">
      <c r="A34" s="17"/>
      <c r="B34" s="17"/>
      <c r="C34" s="17" t="s">
        <v>10</v>
      </c>
      <c r="D34" s="17"/>
      <c r="E34" s="33">
        <f>COUNTIF(vbaPopupMenu1ListLevel,2)</f>
        <v>3</v>
      </c>
      <c r="F34" s="17" t="s">
        <v>11</v>
      </c>
      <c r="G34" s="17"/>
      <c r="H34" s="17"/>
      <c r="I34" s="17"/>
      <c r="J34" s="17"/>
      <c r="K34" s="17"/>
      <c r="L34" s="17"/>
    </row>
    <row r="35" spans="1:12" ht="15.75" thickBot="1">
      <c r="A35" s="17"/>
      <c r="B35" s="17"/>
      <c r="C35" s="17" t="s">
        <v>12</v>
      </c>
      <c r="D35" s="17"/>
      <c r="E35" s="32">
        <f>SUM(E33:E34)</f>
        <v>6</v>
      </c>
      <c r="F35" s="17" t="s">
        <v>13</v>
      </c>
      <c r="G35" s="17"/>
      <c r="H35" s="17"/>
      <c r="I35" s="17"/>
      <c r="J35" s="17"/>
      <c r="K35" s="17"/>
      <c r="L35" s="17"/>
    </row>
    <row r="36" spans="1:12" ht="15">
      <c r="A36" s="17"/>
      <c r="B36" s="17"/>
      <c r="C36" s="17"/>
      <c r="D36" s="17"/>
      <c r="E36" s="31"/>
      <c r="F36" s="17"/>
      <c r="G36" s="17"/>
      <c r="H36" s="17"/>
      <c r="I36" s="17"/>
      <c r="J36" s="17"/>
      <c r="K36" s="17"/>
      <c r="L36" s="17"/>
    </row>
    <row r="37" spans="1:12" ht="20.100000000000001" customHeight="1">
      <c r="A37" s="28"/>
      <c r="B37" s="30" t="s">
        <v>102</v>
      </c>
      <c r="C37" s="28"/>
      <c r="D37" s="30"/>
      <c r="E37" s="29"/>
      <c r="F37" s="29"/>
      <c r="G37" s="30"/>
      <c r="H37" s="29"/>
      <c r="I37" s="29"/>
      <c r="J37" s="30"/>
      <c r="K37" s="29"/>
      <c r="L37" s="29"/>
    </row>
    <row r="38" spans="1:12" ht="15.75" thickBot="1">
      <c r="A38" s="17"/>
      <c r="B38" s="17"/>
      <c r="C38" s="17"/>
      <c r="D38" s="17"/>
      <c r="E38" s="17"/>
      <c r="F38" s="17"/>
      <c r="G38" s="17"/>
      <c r="H38" s="17"/>
      <c r="I38" s="17"/>
      <c r="J38" s="17"/>
      <c r="K38" s="17"/>
      <c r="L38" s="17"/>
    </row>
    <row r="39" spans="1:12" ht="16.5" customHeight="1">
      <c r="A39" s="17"/>
      <c r="B39" s="17" t="s">
        <v>88</v>
      </c>
      <c r="C39" s="17"/>
      <c r="D39" s="17"/>
      <c r="E39" s="27" t="s">
        <v>23</v>
      </c>
      <c r="F39" s="26" t="s">
        <v>24</v>
      </c>
      <c r="G39" s="17"/>
      <c r="H39" s="17"/>
      <c r="I39" s="17"/>
      <c r="J39" s="17"/>
      <c r="K39" s="17"/>
      <c r="L39" s="17"/>
    </row>
    <row r="40" spans="1:12" ht="15">
      <c r="A40" s="17"/>
      <c r="B40" s="17"/>
      <c r="C40" s="17"/>
      <c r="D40" s="17"/>
      <c r="E40" s="25">
        <v>1</v>
      </c>
      <c r="F40" s="24" t="s">
        <v>25</v>
      </c>
      <c r="G40" s="17"/>
      <c r="H40" s="17"/>
      <c r="I40" s="17"/>
      <c r="J40" s="17"/>
      <c r="K40" s="17"/>
      <c r="L40" s="17"/>
    </row>
    <row r="41" spans="1:12" ht="15">
      <c r="A41" s="17"/>
      <c r="B41" s="17"/>
      <c r="C41" s="17"/>
      <c r="D41" s="17"/>
      <c r="E41" s="25">
        <v>3</v>
      </c>
      <c r="F41" s="24" t="s">
        <v>26</v>
      </c>
      <c r="G41" s="17"/>
      <c r="H41" s="17"/>
      <c r="I41" s="17"/>
      <c r="J41" s="17"/>
      <c r="K41" s="17"/>
      <c r="L41" s="17"/>
    </row>
    <row r="42" spans="1:12" ht="15">
      <c r="A42" s="17"/>
      <c r="B42" s="17"/>
      <c r="C42" s="17"/>
      <c r="D42" s="17"/>
      <c r="E42" s="25">
        <v>4</v>
      </c>
      <c r="F42" s="24" t="s">
        <v>27</v>
      </c>
      <c r="G42" s="17"/>
      <c r="H42" s="17"/>
      <c r="I42" s="17"/>
      <c r="J42" s="17"/>
      <c r="K42" s="17"/>
      <c r="L42" s="17"/>
    </row>
    <row r="43" spans="1:12" ht="15">
      <c r="A43" s="17"/>
      <c r="B43" s="17"/>
      <c r="C43" s="17"/>
      <c r="D43" s="17"/>
      <c r="E43" s="25">
        <v>21</v>
      </c>
      <c r="F43" s="24" t="s">
        <v>28</v>
      </c>
      <c r="G43" s="17"/>
      <c r="H43" s="17"/>
      <c r="I43" s="17"/>
      <c r="J43" s="17"/>
      <c r="K43" s="17"/>
      <c r="L43" s="17"/>
    </row>
    <row r="44" spans="1:12" ht="15">
      <c r="A44" s="17"/>
      <c r="B44" s="17"/>
      <c r="C44" s="17"/>
      <c r="D44" s="17"/>
      <c r="E44" s="25">
        <v>22</v>
      </c>
      <c r="F44" s="24" t="s">
        <v>29</v>
      </c>
      <c r="G44" s="17"/>
      <c r="H44" s="17"/>
      <c r="I44" s="17"/>
      <c r="J44" s="17"/>
      <c r="K44" s="17"/>
      <c r="L44" s="17"/>
    </row>
    <row r="45" spans="1:12" ht="15">
      <c r="A45" s="17"/>
      <c r="B45" s="17"/>
      <c r="C45" s="17"/>
      <c r="D45" s="17"/>
      <c r="E45" s="25">
        <v>23</v>
      </c>
      <c r="F45" s="24" t="s">
        <v>30</v>
      </c>
      <c r="G45" s="17"/>
      <c r="H45" s="17"/>
      <c r="I45" s="17"/>
      <c r="J45" s="17"/>
      <c r="K45" s="17"/>
      <c r="L45" s="17"/>
    </row>
    <row r="46" spans="1:12" ht="15">
      <c r="A46" s="17"/>
      <c r="B46" s="17"/>
      <c r="C46" s="17"/>
      <c r="D46" s="17"/>
      <c r="E46" s="25">
        <v>37</v>
      </c>
      <c r="F46" s="24" t="s">
        <v>31</v>
      </c>
      <c r="G46" s="17"/>
      <c r="H46" s="17"/>
      <c r="I46" s="17"/>
      <c r="J46" s="17"/>
      <c r="K46" s="17"/>
      <c r="L46" s="17"/>
    </row>
    <row r="47" spans="1:12" ht="15">
      <c r="A47" s="17"/>
      <c r="B47" s="17"/>
      <c r="C47" s="17"/>
      <c r="D47" s="17"/>
      <c r="E47" s="25">
        <v>67</v>
      </c>
      <c r="F47" s="24" t="s">
        <v>32</v>
      </c>
      <c r="G47" s="17"/>
      <c r="H47" s="17"/>
      <c r="I47" s="17"/>
      <c r="J47" s="17"/>
      <c r="K47" s="17"/>
      <c r="L47" s="17"/>
    </row>
    <row r="48" spans="1:12" ht="15">
      <c r="A48" s="17"/>
      <c r="B48" s="17"/>
      <c r="C48" s="17"/>
      <c r="D48" s="17"/>
      <c r="E48" s="25">
        <v>141</v>
      </c>
      <c r="F48" s="24" t="s">
        <v>33</v>
      </c>
      <c r="G48" s="17"/>
      <c r="H48" s="17"/>
      <c r="I48" s="17"/>
      <c r="J48" s="17"/>
      <c r="K48" s="17"/>
      <c r="L48" s="17"/>
    </row>
    <row r="49" spans="1:12" ht="15">
      <c r="A49" s="17"/>
      <c r="B49" s="17"/>
      <c r="C49" s="17"/>
      <c r="D49" s="17"/>
      <c r="E49" s="25">
        <v>330</v>
      </c>
      <c r="F49" s="24" t="s">
        <v>34</v>
      </c>
      <c r="G49" s="17"/>
      <c r="H49" s="17"/>
      <c r="I49" s="17"/>
      <c r="J49" s="17"/>
      <c r="K49" s="17"/>
      <c r="L49" s="17"/>
    </row>
    <row r="50" spans="1:12" ht="15">
      <c r="A50" s="17"/>
      <c r="B50" s="17"/>
      <c r="C50" s="17"/>
      <c r="D50" s="17"/>
      <c r="E50" s="25">
        <v>358</v>
      </c>
      <c r="F50" s="24" t="s">
        <v>35</v>
      </c>
      <c r="G50" s="17"/>
      <c r="H50" s="17"/>
      <c r="I50" s="17"/>
      <c r="J50" s="17"/>
      <c r="K50" s="17"/>
      <c r="L50" s="17"/>
    </row>
    <row r="51" spans="1:12" ht="15">
      <c r="A51" s="17"/>
      <c r="B51" s="17"/>
      <c r="C51" s="17"/>
      <c r="D51" s="17"/>
      <c r="E51" s="25">
        <v>373</v>
      </c>
      <c r="F51" s="24" t="s">
        <v>36</v>
      </c>
      <c r="G51" s="17"/>
      <c r="H51" s="17"/>
      <c r="I51" s="17"/>
      <c r="J51" s="17"/>
      <c r="K51" s="17"/>
      <c r="L51" s="17"/>
    </row>
    <row r="52" spans="1:12" ht="15">
      <c r="A52" s="17"/>
      <c r="B52" s="17"/>
      <c r="C52" s="17"/>
      <c r="D52" s="17"/>
      <c r="E52" s="25">
        <v>374</v>
      </c>
      <c r="F52" s="24" t="s">
        <v>37</v>
      </c>
      <c r="G52" s="17"/>
      <c r="H52" s="17"/>
      <c r="I52" s="17"/>
      <c r="J52" s="17"/>
      <c r="K52" s="17"/>
      <c r="L52" s="17"/>
    </row>
    <row r="53" spans="1:12" ht="15">
      <c r="A53" s="17"/>
      <c r="B53" s="17"/>
      <c r="C53" s="17"/>
      <c r="D53" s="17"/>
      <c r="E53" s="25">
        <v>375</v>
      </c>
      <c r="F53" s="24" t="s">
        <v>38</v>
      </c>
      <c r="G53" s="17"/>
      <c r="H53" s="17"/>
      <c r="I53" s="17"/>
      <c r="J53" s="17"/>
      <c r="K53" s="17"/>
      <c r="L53" s="17"/>
    </row>
    <row r="54" spans="1:12" ht="15">
      <c r="A54" s="17"/>
      <c r="B54" s="17"/>
      <c r="C54" s="17"/>
      <c r="D54" s="17"/>
      <c r="E54" s="25" t="s">
        <v>39</v>
      </c>
      <c r="F54" s="24" t="s">
        <v>40</v>
      </c>
      <c r="G54" s="17"/>
      <c r="H54" s="17"/>
      <c r="I54" s="17"/>
      <c r="J54" s="17"/>
      <c r="K54" s="17"/>
      <c r="L54" s="17"/>
    </row>
    <row r="55" spans="1:12" ht="15.75" thickBot="1">
      <c r="A55" s="17"/>
      <c r="B55" s="17"/>
      <c r="C55" s="17"/>
      <c r="D55" s="17"/>
      <c r="E55" s="23" t="s">
        <v>41</v>
      </c>
      <c r="F55" s="22" t="s">
        <v>42</v>
      </c>
      <c r="G55" s="17"/>
      <c r="H55" s="17"/>
      <c r="I55" s="17"/>
      <c r="J55" s="17"/>
      <c r="K55" s="17"/>
      <c r="L55" s="17"/>
    </row>
    <row r="56" spans="1:12" ht="15">
      <c r="A56" s="17"/>
      <c r="B56" s="17"/>
      <c r="C56" s="17"/>
      <c r="D56" s="17"/>
      <c r="E56" s="17"/>
      <c r="F56" s="17"/>
      <c r="G56" s="17"/>
      <c r="H56" s="17"/>
      <c r="I56" s="17"/>
      <c r="J56" s="17"/>
      <c r="K56" s="17"/>
      <c r="L56" s="17"/>
    </row>
    <row r="57" spans="1:12" ht="15.75" thickBot="1">
      <c r="A57" s="17"/>
      <c r="B57" s="17" t="s">
        <v>89</v>
      </c>
      <c r="C57" s="17"/>
      <c r="D57" s="17"/>
      <c r="E57" s="17"/>
      <c r="F57" s="17"/>
      <c r="G57" s="17"/>
      <c r="H57" s="17"/>
      <c r="I57" s="17"/>
      <c r="J57" s="17"/>
      <c r="K57" s="17"/>
      <c r="L57" s="17"/>
    </row>
    <row r="58" spans="1:12" ht="15">
      <c r="A58" s="17"/>
      <c r="B58" s="17"/>
      <c r="C58" s="17" t="s">
        <v>90</v>
      </c>
      <c r="D58" s="17"/>
      <c r="E58" s="21" t="s">
        <v>91</v>
      </c>
      <c r="F58" s="18" t="s">
        <v>43</v>
      </c>
      <c r="G58" s="17"/>
      <c r="H58" s="17"/>
      <c r="I58" s="17"/>
      <c r="J58" s="17"/>
      <c r="K58" s="17"/>
      <c r="L58" s="17"/>
    </row>
    <row r="59" spans="1:12" ht="15">
      <c r="A59" s="17"/>
      <c r="B59" s="17"/>
      <c r="C59" s="17" t="s">
        <v>92</v>
      </c>
      <c r="D59" s="17"/>
      <c r="E59" s="20" t="s">
        <v>93</v>
      </c>
      <c r="F59" s="18" t="s">
        <v>44</v>
      </c>
      <c r="G59" s="17"/>
      <c r="H59" s="17"/>
      <c r="I59" s="17"/>
      <c r="J59" s="17"/>
      <c r="K59" s="17"/>
      <c r="L59" s="17"/>
    </row>
    <row r="60" spans="1:12" ht="15.75" thickBot="1">
      <c r="A60" s="17"/>
      <c r="B60" s="17"/>
      <c r="C60" s="17" t="s">
        <v>94</v>
      </c>
      <c r="D60" s="17"/>
      <c r="E60" s="19" t="s">
        <v>95</v>
      </c>
      <c r="F60" s="18" t="s">
        <v>96</v>
      </c>
      <c r="G60" s="17"/>
      <c r="H60" s="17"/>
      <c r="I60" s="17"/>
      <c r="J60" s="17"/>
      <c r="K60" s="17"/>
      <c r="L60" s="17"/>
    </row>
  </sheetData>
  <conditionalFormatting sqref="K24:K25">
    <cfRule type="expression" dxfId="140" priority="4">
      <formula>$E24=1</formula>
    </cfRule>
  </conditionalFormatting>
  <conditionalFormatting sqref="K22:K23">
    <cfRule type="expression" dxfId="139" priority="3">
      <formula>$E22=1</formula>
    </cfRule>
  </conditionalFormatting>
  <conditionalFormatting sqref="K26:K27">
    <cfRule type="expression" dxfId="138" priority="1">
      <formula>$E26=1</formula>
    </cfRule>
  </conditionalFormatting>
  <dataValidations disablePrompts="1" count="1">
    <dataValidation type="list" allowBlank="1" showInputMessage="1" showErrorMessage="1" sqref="E17">
      <formula1>"TRUE,FALSE"</formula1>
    </dataValidation>
  </dataValidations>
  <hyperlinks>
    <hyperlink ref="E3" r:id="rId1"/>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pageSetUpPr fitToPage="1"/>
  </sheetPr>
  <dimension ref="A1:AB139"/>
  <sheetViews>
    <sheetView tabSelected="1" topLeftCell="D1" zoomScale="85" zoomScaleNormal="85" workbookViewId="0">
      <pane ySplit="5" topLeftCell="A6" activePane="bottomLeft" state="frozen"/>
      <selection activeCell="C1" sqref="C1"/>
      <selection pane="bottomLeft" activeCell="M9" sqref="M9"/>
    </sheetView>
  </sheetViews>
  <sheetFormatPr defaultColWidth="8.796875" defaultRowHeight="14.25" customHeight="1"/>
  <cols>
    <col min="1" max="2" width="1.69921875" customWidth="1"/>
    <col min="3" max="3" width="22.69921875" customWidth="1"/>
    <col min="4" max="4" width="1.69921875" customWidth="1"/>
    <col min="5" max="5" width="20.69921875" customWidth="1"/>
    <col min="6" max="6" width="1.69921875" customWidth="1"/>
    <col min="7" max="7" width="20.69921875" customWidth="1"/>
    <col min="8" max="8" width="1.69921875" customWidth="1"/>
    <col min="9" max="9" width="20.69921875" customWidth="1"/>
    <col min="10" max="10" width="1.69921875" customWidth="1"/>
    <col min="11" max="11" width="20.69921875" customWidth="1"/>
    <col min="12" max="12" width="1.69921875" customWidth="1"/>
    <col min="13" max="13" width="20.69921875" customWidth="1"/>
    <col min="14" max="14" width="1.69921875" customWidth="1"/>
    <col min="15" max="15" width="20.69921875" customWidth="1"/>
    <col min="16" max="16" width="1.69921875" customWidth="1"/>
    <col min="17" max="17" width="20.69921875" customWidth="1"/>
    <col min="18" max="18" width="1.69921875" customWidth="1"/>
    <col min="19" max="19" width="20.69921875" customWidth="1"/>
    <col min="20" max="20" width="1.69921875" customWidth="1"/>
    <col min="21" max="21" width="10.69921875" customWidth="1"/>
    <col min="22" max="22" width="1.69921875" customWidth="1"/>
  </cols>
  <sheetData>
    <row r="1" spans="1:28" ht="6" customHeight="1">
      <c r="A1" s="159"/>
      <c r="B1" s="159"/>
      <c r="C1" s="462" t="str">
        <f>nmProgramTitle</f>
        <v>Move to Subscription Calculator</v>
      </c>
      <c r="D1" s="462"/>
      <c r="E1" s="462"/>
      <c r="F1" s="462"/>
      <c r="G1" s="462"/>
      <c r="H1" s="303"/>
      <c r="I1" s="303"/>
      <c r="J1" s="303"/>
      <c r="K1" s="303"/>
      <c r="L1" s="159"/>
      <c r="M1" s="303"/>
      <c r="N1" s="159"/>
      <c r="O1" s="159"/>
      <c r="P1" s="159"/>
      <c r="Q1" s="303"/>
      <c r="R1" s="159"/>
      <c r="S1" s="159"/>
      <c r="T1" s="303"/>
      <c r="U1" s="159"/>
      <c r="V1" s="159"/>
      <c r="W1" s="159"/>
      <c r="X1" s="159"/>
      <c r="Y1" s="159"/>
      <c r="Z1" s="159"/>
      <c r="AA1" s="159"/>
      <c r="AB1" s="159"/>
    </row>
    <row r="2" spans="1:28" ht="18.95" customHeight="1">
      <c r="A2" s="159"/>
      <c r="B2" s="159"/>
      <c r="C2" s="462"/>
      <c r="D2" s="462"/>
      <c r="E2" s="462"/>
      <c r="F2" s="462"/>
      <c r="G2" s="462"/>
      <c r="H2" s="303"/>
      <c r="I2" s="303"/>
      <c r="J2" s="303"/>
      <c r="K2" s="304"/>
      <c r="L2" s="159"/>
      <c r="M2" s="303"/>
      <c r="N2" s="159"/>
      <c r="O2" s="159"/>
      <c r="P2" s="159"/>
      <c r="Q2" s="303"/>
      <c r="R2" s="159"/>
      <c r="S2" s="159"/>
      <c r="T2" s="303"/>
      <c r="U2" s="159"/>
      <c r="V2" s="159"/>
      <c r="W2" s="159"/>
      <c r="X2" s="159"/>
      <c r="Y2" s="159"/>
      <c r="Z2" s="159"/>
      <c r="AA2" s="159"/>
      <c r="AB2" s="159"/>
    </row>
    <row r="3" spans="1:28" ht="18.95" customHeight="1">
      <c r="A3" s="159"/>
      <c r="B3" s="159"/>
      <c r="C3" s="462"/>
      <c r="D3" s="462"/>
      <c r="E3" s="462"/>
      <c r="F3" s="462"/>
      <c r="G3" s="462"/>
      <c r="H3" s="303"/>
      <c r="I3" s="303"/>
      <c r="J3" s="303"/>
      <c r="K3" s="304"/>
      <c r="L3" s="159"/>
      <c r="M3" s="303"/>
      <c r="N3" s="159"/>
      <c r="O3" s="159"/>
      <c r="P3" s="159"/>
      <c r="Q3" s="303"/>
      <c r="R3" s="159"/>
      <c r="S3" s="159"/>
      <c r="T3" s="303"/>
      <c r="U3" s="159"/>
      <c r="V3" s="159"/>
      <c r="W3" s="159"/>
      <c r="X3" s="159"/>
      <c r="Y3" s="159"/>
      <c r="Z3" s="159"/>
      <c r="AA3" s="159"/>
      <c r="AB3" s="159"/>
    </row>
    <row r="4" spans="1:28" ht="20.100000000000001" customHeight="1">
      <c r="A4" s="161"/>
      <c r="B4" s="161"/>
      <c r="C4" s="160" t="str">
        <f>DB_Dashboard1</f>
        <v xml:space="preserve">Stay on Maintenance:  0    New Subscription SRP:  0                        </v>
      </c>
      <c r="D4" s="161"/>
      <c r="E4" s="161"/>
      <c r="F4" s="161"/>
      <c r="G4" s="161"/>
      <c r="H4" s="161"/>
      <c r="I4" s="161"/>
      <c r="J4" s="161"/>
      <c r="K4" s="161"/>
      <c r="L4" s="161"/>
      <c r="M4" s="161"/>
      <c r="N4" s="161"/>
      <c r="O4" s="161"/>
      <c r="P4" s="161"/>
      <c r="Q4" s="161"/>
      <c r="R4" s="161"/>
      <c r="S4" s="161"/>
      <c r="T4" s="161"/>
      <c r="U4" s="161"/>
      <c r="V4" s="161"/>
      <c r="W4" s="161"/>
      <c r="X4" s="161"/>
      <c r="Y4" s="161"/>
      <c r="Z4" s="161"/>
      <c r="AA4" s="161"/>
      <c r="AB4" s="161"/>
    </row>
    <row r="5" spans="1:28" ht="20.100000000000001" customHeight="1">
      <c r="A5" s="161"/>
      <c r="B5" s="161"/>
      <c r="C5" s="160" t="str">
        <f>DB_Dashboard2</f>
        <v xml:space="preserve">Maintenance to Subscription:     Switch in Year 2:  0    Switch in Year 3:  0                    </v>
      </c>
      <c r="D5" s="161"/>
      <c r="E5" s="161"/>
      <c r="F5" s="161"/>
      <c r="G5" s="161"/>
      <c r="H5" s="161"/>
      <c r="I5" s="161"/>
      <c r="J5" s="161"/>
      <c r="K5" s="161"/>
      <c r="L5" s="161"/>
      <c r="M5" s="161"/>
      <c r="N5" s="161"/>
      <c r="O5" s="161"/>
      <c r="P5" s="161"/>
      <c r="Q5" s="161"/>
      <c r="R5" s="161"/>
      <c r="S5" s="161"/>
      <c r="T5" s="161"/>
      <c r="U5" s="161"/>
      <c r="V5" s="161"/>
      <c r="W5" s="161"/>
      <c r="X5" s="161"/>
      <c r="Y5" s="161"/>
      <c r="Z5" s="161"/>
      <c r="AA5" s="161"/>
      <c r="AB5" s="161"/>
    </row>
    <row r="6" spans="1:28" ht="20.100000000000001" customHeight="1">
      <c r="A6" s="159"/>
      <c r="B6" s="159"/>
      <c r="C6" s="159"/>
      <c r="D6" s="159"/>
      <c r="E6" s="159"/>
      <c r="F6" s="159"/>
      <c r="G6" s="162"/>
      <c r="H6" s="159"/>
      <c r="I6" s="159"/>
      <c r="J6" s="159"/>
      <c r="K6" s="162"/>
      <c r="L6" s="159"/>
      <c r="M6" s="159"/>
      <c r="N6" s="159"/>
      <c r="O6" s="162"/>
      <c r="P6" s="159"/>
      <c r="Q6" s="159"/>
      <c r="R6" s="159"/>
      <c r="S6" s="162"/>
      <c r="T6" s="159"/>
      <c r="U6" s="159"/>
      <c r="V6" s="159"/>
      <c r="W6" s="159"/>
      <c r="X6" s="159"/>
      <c r="Y6" s="159"/>
      <c r="Z6" s="159"/>
      <c r="AA6" s="159"/>
      <c r="AB6" s="159"/>
    </row>
    <row r="7" spans="1:28" ht="20.100000000000001" customHeight="1">
      <c r="A7" s="159"/>
      <c r="B7" s="159"/>
      <c r="C7" s="159" t="str">
        <f>nmCurrency</f>
        <v>Currency</v>
      </c>
      <c r="D7" s="159"/>
      <c r="E7" s="88" t="s">
        <v>338</v>
      </c>
      <c r="F7" s="159"/>
      <c r="G7" s="162"/>
      <c r="H7" s="159"/>
      <c r="I7" s="159"/>
      <c r="J7" s="159"/>
      <c r="K7" s="162"/>
      <c r="L7" s="159"/>
      <c r="M7" s="159"/>
      <c r="N7" s="159"/>
      <c r="O7" s="162"/>
      <c r="P7" s="159"/>
      <c r="Q7" s="159"/>
      <c r="R7" s="159"/>
      <c r="S7" s="162"/>
      <c r="T7" s="159"/>
      <c r="U7" s="159"/>
      <c r="V7" s="159"/>
      <c r="W7" s="159"/>
      <c r="X7" s="159"/>
      <c r="Y7" s="159"/>
      <c r="Z7" s="159"/>
      <c r="AA7" s="159"/>
      <c r="AB7" s="159"/>
    </row>
    <row r="8" spans="1:28" ht="9.9499999999999993" customHeight="1">
      <c r="A8" s="159"/>
      <c r="B8" s="159"/>
      <c r="C8" s="159"/>
      <c r="D8" s="159"/>
      <c r="E8" s="159"/>
      <c r="F8" s="159"/>
      <c r="G8" s="162"/>
      <c r="H8" s="159"/>
      <c r="I8" s="159"/>
      <c r="J8" s="159"/>
      <c r="K8" s="162"/>
      <c r="L8" s="159"/>
      <c r="M8" s="159"/>
      <c r="N8" s="159"/>
      <c r="O8" s="162"/>
      <c r="P8" s="159"/>
      <c r="Q8" s="159"/>
      <c r="R8" s="159"/>
      <c r="S8" s="162"/>
      <c r="T8" s="159"/>
      <c r="U8" s="159"/>
      <c r="V8" s="159"/>
      <c r="W8" s="159"/>
      <c r="X8" s="159"/>
      <c r="Y8" s="159"/>
      <c r="Z8" s="159"/>
      <c r="AA8" s="159"/>
      <c r="AB8" s="159"/>
    </row>
    <row r="9" spans="1:28" ht="20.100000000000001" customHeight="1">
      <c r="A9" s="159"/>
      <c r="B9" s="159"/>
      <c r="C9" s="159" t="str">
        <f>nmLanguage</f>
        <v>Language</v>
      </c>
      <c r="D9" s="159"/>
      <c r="E9" s="88" t="s">
        <v>153</v>
      </c>
      <c r="F9" s="159"/>
      <c r="G9" s="162"/>
      <c r="H9" s="159"/>
      <c r="I9" s="159"/>
      <c r="J9" s="159"/>
      <c r="K9" s="162"/>
      <c r="L9" s="159"/>
      <c r="M9" s="159"/>
      <c r="N9" s="159"/>
      <c r="O9" s="162"/>
      <c r="P9" s="159"/>
      <c r="Q9" s="159"/>
      <c r="R9" s="159"/>
      <c r="S9" s="162"/>
      <c r="T9" s="159"/>
      <c r="U9" s="159"/>
      <c r="V9" s="159"/>
      <c r="W9" s="159"/>
      <c r="X9" s="159"/>
      <c r="Y9" s="159"/>
      <c r="Z9" s="159"/>
      <c r="AA9" s="159"/>
      <c r="AB9" s="159"/>
    </row>
    <row r="10" spans="1:28" ht="33" customHeight="1">
      <c r="A10" s="159"/>
      <c r="B10" s="159"/>
      <c r="C10" s="159"/>
      <c r="D10" s="159"/>
      <c r="E10" s="159"/>
      <c r="F10" s="159"/>
      <c r="G10" s="162"/>
      <c r="H10" s="159"/>
      <c r="I10" s="159"/>
      <c r="J10" s="159"/>
      <c r="K10" s="162"/>
      <c r="L10" s="159"/>
      <c r="M10" s="159"/>
      <c r="N10" s="159"/>
      <c r="O10" s="162"/>
      <c r="P10" s="159"/>
      <c r="Q10" s="159"/>
      <c r="R10" s="159"/>
      <c r="S10" s="162"/>
      <c r="T10" s="159"/>
      <c r="U10" s="159"/>
      <c r="V10" s="159"/>
      <c r="W10" s="159"/>
      <c r="X10" s="159"/>
      <c r="Y10" s="159"/>
      <c r="Z10" s="159"/>
      <c r="AA10" s="159"/>
      <c r="AB10" s="159"/>
    </row>
    <row r="11" spans="1:28" ht="21.95" customHeight="1">
      <c r="A11" s="159"/>
      <c r="B11" s="159"/>
      <c r="C11" s="163" t="str">
        <f>nmInputs</f>
        <v>Inputs</v>
      </c>
      <c r="D11" s="164"/>
      <c r="E11" s="165" t="str">
        <f>nmPath1</f>
        <v>Product 1</v>
      </c>
      <c r="F11" s="165"/>
      <c r="G11" s="166" t="str">
        <f>nmPath2</f>
        <v>Product 2</v>
      </c>
      <c r="H11" s="165"/>
      <c r="I11" s="165" t="str">
        <f>nmPath3</f>
        <v>Product 3</v>
      </c>
      <c r="J11" s="165"/>
      <c r="K11" s="166" t="str">
        <f>nmPath4</f>
        <v>Product 4</v>
      </c>
      <c r="L11" s="165"/>
      <c r="M11" s="165" t="str">
        <f>nmPath5</f>
        <v>Product 5</v>
      </c>
      <c r="N11" s="165"/>
      <c r="O11" s="166" t="str">
        <f>nmPath6</f>
        <v>Product 6</v>
      </c>
      <c r="P11" s="165"/>
      <c r="Q11" s="165" t="str">
        <f>nmPath7</f>
        <v>Product 7</v>
      </c>
      <c r="R11" s="165"/>
      <c r="S11" s="166" t="str">
        <f>nmPath8</f>
        <v>Product 8</v>
      </c>
      <c r="T11" s="159"/>
      <c r="U11" s="159"/>
      <c r="V11" s="159"/>
      <c r="W11" s="159"/>
      <c r="X11" s="159"/>
      <c r="Y11" s="159"/>
      <c r="Z11" s="159"/>
      <c r="AA11" s="159"/>
      <c r="AB11" s="159"/>
    </row>
    <row r="12" spans="1:28" ht="21.95" customHeight="1">
      <c r="A12" s="159"/>
      <c r="B12" s="159"/>
      <c r="C12" s="159"/>
      <c r="D12" s="159"/>
      <c r="E12" s="159"/>
      <c r="F12" s="159"/>
      <c r="G12" s="162"/>
      <c r="H12" s="159"/>
      <c r="I12" s="159"/>
      <c r="J12" s="159"/>
      <c r="K12" s="162"/>
      <c r="L12" s="159"/>
      <c r="M12" s="159"/>
      <c r="N12" s="159"/>
      <c r="O12" s="162"/>
      <c r="P12" s="159"/>
      <c r="Q12" s="159"/>
      <c r="R12" s="159"/>
      <c r="S12" s="162"/>
      <c r="T12" s="159"/>
      <c r="U12" s="159"/>
      <c r="V12" s="159"/>
      <c r="W12" s="159"/>
      <c r="X12" s="159"/>
      <c r="Y12" s="159"/>
      <c r="Z12" s="159"/>
      <c r="AA12" s="159"/>
      <c r="AB12" s="159"/>
    </row>
    <row r="13" spans="1:28" ht="30" customHeight="1">
      <c r="A13" s="159"/>
      <c r="B13" s="159"/>
      <c r="C13" s="159" t="str">
        <f>nmProdMT</f>
        <v>Product on Maintenance</v>
      </c>
      <c r="D13" s="159"/>
      <c r="E13" s="152" t="s">
        <v>339</v>
      </c>
      <c r="F13" s="159"/>
      <c r="G13" s="152" t="s">
        <v>339</v>
      </c>
      <c r="H13" s="159"/>
      <c r="I13" s="152" t="s">
        <v>339</v>
      </c>
      <c r="J13" s="159"/>
      <c r="K13" s="152" t="s">
        <v>339</v>
      </c>
      <c r="L13" s="159"/>
      <c r="M13" s="152" t="s">
        <v>339</v>
      </c>
      <c r="N13" s="159"/>
      <c r="O13" s="152" t="s">
        <v>339</v>
      </c>
      <c r="P13" s="159"/>
      <c r="Q13" s="152" t="s">
        <v>339</v>
      </c>
      <c r="R13" s="159"/>
      <c r="S13" s="152" t="s">
        <v>339</v>
      </c>
      <c r="T13" s="159"/>
      <c r="U13" s="159"/>
      <c r="V13" s="159"/>
      <c r="W13" s="159"/>
      <c r="X13" s="159"/>
      <c r="Y13" s="159"/>
      <c r="Z13" s="159"/>
      <c r="AA13" s="159"/>
      <c r="AB13" s="159"/>
    </row>
    <row r="14" spans="1:28" ht="21.95" customHeight="1">
      <c r="A14" s="159"/>
      <c r="B14" s="159"/>
      <c r="C14" s="159"/>
      <c r="D14" s="159"/>
      <c r="E14" s="159"/>
      <c r="F14" s="159"/>
      <c r="G14" s="162"/>
      <c r="H14" s="159"/>
      <c r="I14" s="159"/>
      <c r="J14" s="159"/>
      <c r="K14" s="162"/>
      <c r="L14" s="159"/>
      <c r="M14" s="159"/>
      <c r="N14" s="159"/>
      <c r="O14" s="162"/>
      <c r="P14" s="159"/>
      <c r="Q14" s="159"/>
      <c r="R14" s="159"/>
      <c r="S14" s="162"/>
      <c r="T14" s="159"/>
      <c r="U14" s="159"/>
      <c r="V14" s="159"/>
      <c r="W14" s="159"/>
      <c r="X14" s="159"/>
      <c r="Y14" s="159"/>
      <c r="Z14" s="159"/>
      <c r="AA14" s="159"/>
      <c r="AB14" s="159"/>
    </row>
    <row r="15" spans="1:28" ht="9.9499999999999993" customHeight="1">
      <c r="A15" s="159"/>
      <c r="B15" s="159"/>
      <c r="C15" s="159"/>
      <c r="D15" s="159"/>
      <c r="E15" s="159"/>
      <c r="F15" s="159"/>
      <c r="G15" s="162"/>
      <c r="H15" s="159"/>
      <c r="I15" s="159"/>
      <c r="J15" s="159"/>
      <c r="K15" s="162"/>
      <c r="L15" s="159"/>
      <c r="M15" s="159"/>
      <c r="N15" s="159"/>
      <c r="O15" s="162"/>
      <c r="P15" s="159"/>
      <c r="Q15" s="159"/>
      <c r="R15" s="159"/>
      <c r="S15" s="162"/>
      <c r="T15" s="159"/>
      <c r="U15" s="159"/>
      <c r="V15" s="159"/>
      <c r="W15" s="159"/>
      <c r="X15" s="159"/>
      <c r="Y15" s="159"/>
      <c r="Z15" s="159"/>
      <c r="AA15" s="159"/>
      <c r="AB15" s="159"/>
    </row>
    <row r="16" spans="1:28" ht="9.9499999999999993" customHeight="1">
      <c r="A16" s="159"/>
      <c r="B16" s="159"/>
      <c r="C16" s="159"/>
      <c r="D16" s="159"/>
      <c r="E16" s="159"/>
      <c r="F16" s="159"/>
      <c r="G16" s="162"/>
      <c r="H16" s="159"/>
      <c r="I16" s="159"/>
      <c r="J16" s="159"/>
      <c r="K16" s="162"/>
      <c r="L16" s="159"/>
      <c r="M16" s="159"/>
      <c r="N16" s="159"/>
      <c r="O16" s="162"/>
      <c r="P16" s="159"/>
      <c r="Q16" s="159"/>
      <c r="R16" s="159"/>
      <c r="S16" s="162"/>
      <c r="T16" s="159"/>
      <c r="U16" s="159"/>
      <c r="V16" s="159"/>
      <c r="W16" s="159"/>
      <c r="X16" s="159"/>
      <c r="Y16" s="159"/>
      <c r="Z16" s="159"/>
      <c r="AA16" s="159"/>
      <c r="AB16" s="159"/>
    </row>
    <row r="17" spans="1:28" ht="21.95" customHeight="1">
      <c r="A17" s="159"/>
      <c r="B17" s="159"/>
      <c r="C17" s="159" t="str">
        <f>nmPriceMT</f>
        <v>Maintenance Price</v>
      </c>
      <c r="D17" s="159"/>
      <c r="E17" s="154">
        <f>calcPath1MTPrice</f>
        <v>0</v>
      </c>
      <c r="F17" s="159"/>
      <c r="G17" s="154">
        <f>calcPath2MTPrice</f>
        <v>0</v>
      </c>
      <c r="H17" s="159"/>
      <c r="I17" s="154">
        <f>calcPath3MTPrice</f>
        <v>0</v>
      </c>
      <c r="J17" s="159"/>
      <c r="K17" s="154">
        <f>calcPath4MTPrice</f>
        <v>0</v>
      </c>
      <c r="L17" s="159"/>
      <c r="M17" s="154">
        <f>calcPath5MTPrice</f>
        <v>0</v>
      </c>
      <c r="N17" s="159"/>
      <c r="O17" s="154">
        <f>calcPath6MTPrice</f>
        <v>0</v>
      </c>
      <c r="P17" s="159"/>
      <c r="Q17" s="154">
        <f>calcPath7MTPrice</f>
        <v>0</v>
      </c>
      <c r="R17" s="159"/>
      <c r="S17" s="154">
        <f>calcPath8MTPrice</f>
        <v>0</v>
      </c>
      <c r="T17" s="159"/>
      <c r="U17" s="159"/>
      <c r="V17" s="159"/>
      <c r="W17" s="159"/>
      <c r="X17" s="159"/>
      <c r="Y17" s="159"/>
      <c r="Z17" s="159"/>
      <c r="AA17" s="159"/>
      <c r="AB17" s="159"/>
    </row>
    <row r="18" spans="1:28" ht="9.9499999999999993" customHeight="1">
      <c r="A18" s="159"/>
      <c r="B18" s="159"/>
      <c r="C18" s="159"/>
      <c r="D18" s="159"/>
      <c r="E18" s="159"/>
      <c r="F18" s="159"/>
      <c r="G18" s="162"/>
      <c r="H18" s="159"/>
      <c r="I18" s="159"/>
      <c r="J18" s="159"/>
      <c r="K18" s="162"/>
      <c r="L18" s="159"/>
      <c r="M18" s="159"/>
      <c r="N18" s="159"/>
      <c r="O18" s="162"/>
      <c r="P18" s="159"/>
      <c r="Q18" s="159"/>
      <c r="R18" s="159"/>
      <c r="S18" s="162"/>
      <c r="T18" s="159"/>
      <c r="U18" s="159"/>
      <c r="V18" s="159"/>
      <c r="W18" s="159"/>
      <c r="X18" s="159"/>
      <c r="Y18" s="159"/>
      <c r="Z18" s="159"/>
      <c r="AA18" s="159"/>
      <c r="AB18" s="159"/>
    </row>
    <row r="19" spans="1:28" ht="21.95" customHeight="1">
      <c r="A19" s="159"/>
      <c r="B19" s="159"/>
      <c r="C19" s="159" t="str">
        <f>nmExpMT</f>
        <v>Maintenance Expiration</v>
      </c>
      <c r="D19" s="159"/>
      <c r="E19" s="152" t="s">
        <v>214</v>
      </c>
      <c r="F19" s="159"/>
      <c r="G19" s="152" t="s">
        <v>214</v>
      </c>
      <c r="H19" s="159"/>
      <c r="I19" s="152" t="s">
        <v>214</v>
      </c>
      <c r="J19" s="159"/>
      <c r="K19" s="152" t="s">
        <v>214</v>
      </c>
      <c r="L19" s="159"/>
      <c r="M19" s="152" t="s">
        <v>214</v>
      </c>
      <c r="N19" s="159"/>
      <c r="O19" s="152" t="s">
        <v>214</v>
      </c>
      <c r="P19" s="159"/>
      <c r="Q19" s="152" t="s">
        <v>214</v>
      </c>
      <c r="R19" s="159"/>
      <c r="S19" s="152" t="s">
        <v>214</v>
      </c>
      <c r="T19" s="159"/>
      <c r="U19" s="159"/>
      <c r="V19" s="159"/>
      <c r="W19" s="159"/>
      <c r="X19" s="159"/>
      <c r="Y19" s="159"/>
      <c r="Z19" s="159"/>
      <c r="AA19" s="159"/>
      <c r="AB19" s="159"/>
    </row>
    <row r="20" spans="1:28" ht="9.9499999999999993" customHeight="1">
      <c r="A20" s="159"/>
      <c r="B20" s="159"/>
      <c r="C20" s="159"/>
      <c r="D20" s="159"/>
      <c r="E20" s="159"/>
      <c r="F20" s="159"/>
      <c r="G20" s="162"/>
      <c r="H20" s="159"/>
      <c r="I20" s="159"/>
      <c r="J20" s="159"/>
      <c r="K20" s="162"/>
      <c r="L20" s="159"/>
      <c r="M20" s="159"/>
      <c r="N20" s="159"/>
      <c r="O20" s="162"/>
      <c r="P20" s="159"/>
      <c r="Q20" s="159"/>
      <c r="R20" s="159"/>
      <c r="S20" s="162"/>
      <c r="T20" s="159"/>
      <c r="U20" s="159"/>
      <c r="V20" s="159"/>
      <c r="W20" s="159"/>
      <c r="X20" s="159"/>
      <c r="Y20" s="159"/>
      <c r="Z20" s="159"/>
      <c r="AA20" s="159"/>
      <c r="AB20" s="159"/>
    </row>
    <row r="21" spans="1:28" ht="30" customHeight="1">
      <c r="A21" s="159"/>
      <c r="B21" s="159"/>
      <c r="C21" s="159" t="str">
        <f>nmProdSub</f>
        <v>Switching to Subscription</v>
      </c>
      <c r="D21" s="159"/>
      <c r="E21" s="152" t="s">
        <v>339</v>
      </c>
      <c r="F21" s="159"/>
      <c r="G21" s="152" t="s">
        <v>339</v>
      </c>
      <c r="H21" s="159"/>
      <c r="I21" s="152" t="s">
        <v>339</v>
      </c>
      <c r="J21" s="159"/>
      <c r="K21" s="152" t="s">
        <v>339</v>
      </c>
      <c r="L21" s="159"/>
      <c r="M21" s="152" t="s">
        <v>339</v>
      </c>
      <c r="N21" s="159"/>
      <c r="O21" s="152" t="s">
        <v>339</v>
      </c>
      <c r="P21" s="159"/>
      <c r="Q21" s="152" t="s">
        <v>339</v>
      </c>
      <c r="R21" s="159"/>
      <c r="S21" s="152" t="s">
        <v>339</v>
      </c>
      <c r="T21" s="159"/>
      <c r="U21" s="159"/>
      <c r="V21" s="159"/>
      <c r="W21" s="159"/>
      <c r="X21" s="159"/>
      <c r="Y21" s="159"/>
      <c r="Z21" s="159"/>
      <c r="AA21" s="159"/>
      <c r="AB21" s="159"/>
    </row>
    <row r="22" spans="1:28" ht="9.9499999999999993" customHeight="1">
      <c r="A22" s="159"/>
      <c r="B22" s="159"/>
      <c r="C22" s="159"/>
      <c r="D22" s="159"/>
      <c r="E22" s="159"/>
      <c r="F22" s="159"/>
      <c r="G22" s="162"/>
      <c r="H22" s="159"/>
      <c r="I22" s="159"/>
      <c r="J22" s="159"/>
      <c r="K22" s="162"/>
      <c r="L22" s="159"/>
      <c r="M22" s="159"/>
      <c r="N22" s="159"/>
      <c r="O22" s="162"/>
      <c r="P22" s="159"/>
      <c r="Q22" s="159"/>
      <c r="R22" s="159"/>
      <c r="S22" s="162"/>
      <c r="T22" s="159"/>
      <c r="U22" s="159"/>
      <c r="V22" s="159"/>
      <c r="W22" s="159"/>
      <c r="X22" s="159"/>
      <c r="Y22" s="159"/>
      <c r="Z22" s="159"/>
      <c r="AA22" s="159"/>
      <c r="AB22" s="159"/>
    </row>
    <row r="23" spans="1:28" ht="21.95" customHeight="1">
      <c r="A23" s="159"/>
      <c r="B23" s="159"/>
      <c r="C23" s="159" t="str">
        <f>nmQty</f>
        <v>Quantity</v>
      </c>
      <c r="D23" s="159"/>
      <c r="E23" s="153">
        <v>1</v>
      </c>
      <c r="F23" s="167"/>
      <c r="G23" s="153">
        <v>1</v>
      </c>
      <c r="H23" s="167"/>
      <c r="I23" s="153">
        <v>1</v>
      </c>
      <c r="J23" s="167"/>
      <c r="K23" s="153">
        <v>1</v>
      </c>
      <c r="L23" s="159"/>
      <c r="M23" s="153">
        <v>1</v>
      </c>
      <c r="N23" s="159"/>
      <c r="O23" s="153">
        <v>1</v>
      </c>
      <c r="P23" s="159"/>
      <c r="Q23" s="153">
        <v>1</v>
      </c>
      <c r="R23" s="159"/>
      <c r="S23" s="153">
        <v>1</v>
      </c>
      <c r="T23" s="167"/>
      <c r="U23" s="159"/>
      <c r="V23" s="159"/>
      <c r="W23" s="159"/>
      <c r="X23" s="159"/>
      <c r="Y23" s="159"/>
      <c r="Z23" s="159"/>
      <c r="AA23" s="159"/>
      <c r="AB23" s="159"/>
    </row>
    <row r="24" spans="1:28" ht="21.95" customHeight="1">
      <c r="A24" s="159"/>
      <c r="B24" s="159"/>
      <c r="C24" s="159"/>
      <c r="D24" s="159"/>
      <c r="E24" s="159"/>
      <c r="F24" s="159"/>
      <c r="G24" s="162"/>
      <c r="H24" s="159"/>
      <c r="I24" s="159"/>
      <c r="J24" s="159"/>
      <c r="K24" s="162"/>
      <c r="L24" s="159"/>
      <c r="M24" s="159"/>
      <c r="N24" s="159"/>
      <c r="O24" s="162"/>
      <c r="P24" s="159"/>
      <c r="Q24" s="159"/>
      <c r="R24" s="159"/>
      <c r="S24" s="162"/>
      <c r="T24" s="159"/>
      <c r="U24" s="159"/>
      <c r="V24" s="159"/>
      <c r="W24" s="159"/>
      <c r="X24" s="159"/>
      <c r="Y24" s="159"/>
      <c r="Z24" s="159"/>
      <c r="AA24" s="159"/>
      <c r="AB24" s="159"/>
    </row>
    <row r="25" spans="1:28" ht="20.100000000000001" customHeight="1">
      <c r="A25" s="159"/>
      <c r="B25" s="159"/>
      <c r="C25" s="159"/>
      <c r="D25" s="159"/>
      <c r="E25" s="159"/>
      <c r="F25" s="159"/>
      <c r="G25" s="162"/>
      <c r="H25" s="159"/>
      <c r="I25" s="159"/>
      <c r="J25" s="159"/>
      <c r="K25" s="162"/>
      <c r="L25" s="159"/>
      <c r="M25" s="159"/>
      <c r="N25" s="159"/>
      <c r="O25" s="162"/>
      <c r="P25" s="159"/>
      <c r="Q25" s="159"/>
      <c r="R25" s="159"/>
      <c r="S25" s="162"/>
      <c r="T25" s="159"/>
      <c r="U25" s="159"/>
      <c r="V25" s="159"/>
      <c r="W25" s="159"/>
      <c r="X25" s="159"/>
      <c r="Y25" s="159"/>
      <c r="Z25" s="159"/>
      <c r="AA25" s="159"/>
      <c r="AB25" s="159"/>
    </row>
    <row r="26" spans="1:28" ht="21.95" customHeight="1">
      <c r="A26" s="159"/>
      <c r="B26" s="159"/>
      <c r="C26" s="163" t="str">
        <f>nmOutputs</f>
        <v>Investment Options</v>
      </c>
      <c r="D26" s="164"/>
      <c r="E26" s="165" t="str">
        <f>nmPath1</f>
        <v>Product 1</v>
      </c>
      <c r="F26" s="165"/>
      <c r="G26" s="166" t="str">
        <f>nmPath2</f>
        <v>Product 2</v>
      </c>
      <c r="H26" s="165"/>
      <c r="I26" s="165" t="str">
        <f>nmPath3</f>
        <v>Product 3</v>
      </c>
      <c r="J26" s="165"/>
      <c r="K26" s="166" t="str">
        <f>nmPath4</f>
        <v>Product 4</v>
      </c>
      <c r="L26" s="164"/>
      <c r="M26" s="165" t="str">
        <f>nmPath5</f>
        <v>Product 5</v>
      </c>
      <c r="N26" s="164"/>
      <c r="O26" s="166" t="str">
        <f>nmPath6</f>
        <v>Product 6</v>
      </c>
      <c r="P26" s="164"/>
      <c r="Q26" s="165" t="str">
        <f>nmPath7</f>
        <v>Product 7</v>
      </c>
      <c r="R26" s="164"/>
      <c r="S26" s="166" t="str">
        <f>nmPath8</f>
        <v>Product 8</v>
      </c>
      <c r="T26" s="165"/>
      <c r="U26" s="165" t="str">
        <f>nmTotal</f>
        <v>Total</v>
      </c>
      <c r="V26" s="165"/>
      <c r="W26" s="159"/>
      <c r="X26" s="159"/>
      <c r="Y26" s="159"/>
      <c r="Z26" s="159"/>
      <c r="AA26" s="159"/>
      <c r="AB26" s="159"/>
    </row>
    <row r="27" spans="1:28" ht="21.95" customHeight="1">
      <c r="A27" s="159"/>
      <c r="B27" s="159"/>
      <c r="C27" s="159"/>
      <c r="D27" s="159"/>
      <c r="E27" s="159"/>
      <c r="F27" s="159"/>
      <c r="G27" s="162"/>
      <c r="H27" s="159"/>
      <c r="I27" s="159"/>
      <c r="J27" s="159"/>
      <c r="K27" s="162"/>
      <c r="L27" s="159"/>
      <c r="M27" s="159"/>
      <c r="N27" s="159"/>
      <c r="O27" s="162"/>
      <c r="P27" s="159"/>
      <c r="Q27" s="159"/>
      <c r="R27" s="159"/>
      <c r="S27" s="162"/>
      <c r="T27" s="159"/>
      <c r="U27" s="159"/>
      <c r="V27" s="159"/>
      <c r="W27" s="159"/>
      <c r="X27" s="159"/>
      <c r="Y27" s="159"/>
      <c r="Z27" s="159"/>
      <c r="AA27" s="159"/>
      <c r="AB27" s="159"/>
    </row>
    <row r="28" spans="1:28" ht="21.95" customHeight="1">
      <c r="A28" s="159"/>
      <c r="B28" s="159"/>
      <c r="C28" s="276" t="str">
        <f>nmBenchmarks</f>
        <v>Benchmark Values</v>
      </c>
      <c r="D28" s="159"/>
      <c r="E28" s="159"/>
      <c r="F28" s="159"/>
      <c r="G28" s="162"/>
      <c r="H28" s="159"/>
      <c r="I28" s="159"/>
      <c r="J28" s="159"/>
      <c r="K28" s="162"/>
      <c r="L28" s="159"/>
      <c r="M28" s="159"/>
      <c r="N28" s="159"/>
      <c r="O28" s="162"/>
      <c r="P28" s="159"/>
      <c r="Q28" s="159"/>
      <c r="R28" s="159"/>
      <c r="S28" s="162"/>
      <c r="T28" s="159"/>
      <c r="U28" s="159"/>
      <c r="V28" s="159"/>
      <c r="W28" s="159"/>
      <c r="X28" s="159"/>
      <c r="Y28" s="159"/>
      <c r="Z28" s="159"/>
      <c r="AA28" s="159"/>
      <c r="AB28" s="159"/>
    </row>
    <row r="29" spans="1:28" ht="9.9499999999999993" customHeight="1">
      <c r="A29" s="159"/>
      <c r="B29" s="277"/>
      <c r="C29" s="278"/>
      <c r="D29" s="278"/>
      <c r="E29" s="278"/>
      <c r="F29" s="278"/>
      <c r="G29" s="279"/>
      <c r="H29" s="278"/>
      <c r="I29" s="278"/>
      <c r="J29" s="278"/>
      <c r="K29" s="279"/>
      <c r="L29" s="278"/>
      <c r="M29" s="278"/>
      <c r="N29" s="278"/>
      <c r="O29" s="279"/>
      <c r="P29" s="278"/>
      <c r="Q29" s="278"/>
      <c r="R29" s="278"/>
      <c r="S29" s="279"/>
      <c r="T29" s="278"/>
      <c r="U29" s="278"/>
      <c r="V29" s="280"/>
      <c r="W29" s="159"/>
      <c r="X29" s="159"/>
      <c r="Y29" s="159"/>
      <c r="Z29" s="159"/>
      <c r="AA29" s="159"/>
      <c r="AB29" s="159"/>
    </row>
    <row r="30" spans="1:28" ht="21.95" customHeight="1">
      <c r="A30" s="159"/>
      <c r="B30" s="281"/>
      <c r="C30" s="257" t="str">
        <f>nmMTAll</f>
        <v>Stay on Maintenance</v>
      </c>
      <c r="D30" s="257"/>
      <c r="E30" s="257"/>
      <c r="F30" s="257"/>
      <c r="G30" s="258"/>
      <c r="H30" s="257"/>
      <c r="I30" s="257"/>
      <c r="J30" s="257"/>
      <c r="K30" s="258"/>
      <c r="L30" s="257"/>
      <c r="M30" s="257"/>
      <c r="N30" s="257"/>
      <c r="O30" s="258"/>
      <c r="P30" s="257"/>
      <c r="Q30" s="257"/>
      <c r="R30" s="257"/>
      <c r="S30" s="258"/>
      <c r="T30" s="257"/>
      <c r="U30" s="257"/>
      <c r="V30" s="282"/>
      <c r="W30" s="159"/>
      <c r="X30" s="159"/>
      <c r="Y30" s="159"/>
      <c r="Z30" s="159"/>
      <c r="AA30" s="159"/>
      <c r="AB30" s="159"/>
    </row>
    <row r="31" spans="1:28" ht="21.95" customHeight="1">
      <c r="A31" s="159"/>
      <c r="B31" s="281"/>
      <c r="C31" s="260" t="str">
        <f>nmYr1</f>
        <v>Year 2</v>
      </c>
      <c r="D31" s="257"/>
      <c r="E31" s="261">
        <f>calcPath1MTCost_Yr1</f>
        <v>0</v>
      </c>
      <c r="F31" s="262"/>
      <c r="G31" s="258">
        <f>calcPath2MTCost_Yr1</f>
        <v>0</v>
      </c>
      <c r="H31" s="257"/>
      <c r="I31" s="261">
        <f>calcPath3MTCost_Yr1</f>
        <v>0</v>
      </c>
      <c r="J31" s="257"/>
      <c r="K31" s="258">
        <f>calcPath4MTCost_Yr1</f>
        <v>0</v>
      </c>
      <c r="L31" s="257"/>
      <c r="M31" s="261">
        <f>calcPath5MTCost_Yr1</f>
        <v>0</v>
      </c>
      <c r="N31" s="257"/>
      <c r="O31" s="258">
        <f>calcPath6MTCost_Yr1</f>
        <v>0</v>
      </c>
      <c r="P31" s="257"/>
      <c r="Q31" s="261">
        <f>calcPath7MTCost_Yr1</f>
        <v>0</v>
      </c>
      <c r="R31" s="257"/>
      <c r="S31" s="258">
        <f>calcPath8MTCost_Yr1</f>
        <v>0</v>
      </c>
      <c r="T31" s="257"/>
      <c r="U31" s="261">
        <f>calcTotalMTCost_Yr1</f>
        <v>0</v>
      </c>
      <c r="V31" s="282"/>
      <c r="W31" s="159"/>
      <c r="X31" s="159"/>
      <c r="Y31" s="159"/>
      <c r="Z31" s="159"/>
      <c r="AA31" s="159"/>
      <c r="AB31" s="159"/>
    </row>
    <row r="32" spans="1:28" ht="21.95" customHeight="1">
      <c r="A32" s="159"/>
      <c r="B32" s="281"/>
      <c r="C32" s="260" t="str">
        <f>nmYr2</f>
        <v>Year 3</v>
      </c>
      <c r="D32" s="257"/>
      <c r="E32" s="261">
        <f>calcPath1MTCost_Yr2</f>
        <v>0</v>
      </c>
      <c r="F32" s="262"/>
      <c r="G32" s="258">
        <f>calcPath2MTCost_Yr2</f>
        <v>0</v>
      </c>
      <c r="H32" s="257"/>
      <c r="I32" s="261">
        <f>calcPath3MTCost_Yr2</f>
        <v>0</v>
      </c>
      <c r="J32" s="257"/>
      <c r="K32" s="258">
        <f>calcPath4MTCost_Yr2</f>
        <v>0</v>
      </c>
      <c r="L32" s="257"/>
      <c r="M32" s="261">
        <f>calcPath5MTCost_Yr2</f>
        <v>0</v>
      </c>
      <c r="N32" s="257"/>
      <c r="O32" s="258">
        <f>calcPath6MTCost_Yr2</f>
        <v>0</v>
      </c>
      <c r="P32" s="257"/>
      <c r="Q32" s="261">
        <f>calcPath7MTCost_Yr2</f>
        <v>0</v>
      </c>
      <c r="R32" s="257"/>
      <c r="S32" s="258">
        <f>calcPath8MTCost_Yr2</f>
        <v>0</v>
      </c>
      <c r="T32" s="257"/>
      <c r="U32" s="261">
        <f>calcTotalMTCost_Yr2</f>
        <v>0</v>
      </c>
      <c r="V32" s="282"/>
      <c r="W32" s="159"/>
      <c r="X32" s="159"/>
      <c r="Y32" s="159"/>
      <c r="Z32" s="159"/>
      <c r="AA32" s="159"/>
      <c r="AB32" s="159"/>
    </row>
    <row r="33" spans="1:28" ht="21.95" customHeight="1">
      <c r="A33" s="159"/>
      <c r="B33" s="281"/>
      <c r="C33" s="260" t="str">
        <f>nmYr3</f>
        <v>Year 4</v>
      </c>
      <c r="D33" s="257"/>
      <c r="E33" s="261">
        <f>calcPath1MTCost_Yr3</f>
        <v>0</v>
      </c>
      <c r="F33" s="262"/>
      <c r="G33" s="258">
        <f>calcPath2MTCost_Yr3</f>
        <v>0</v>
      </c>
      <c r="H33" s="257"/>
      <c r="I33" s="261">
        <f>calcPath3MTCost_Yr3</f>
        <v>0</v>
      </c>
      <c r="J33" s="257"/>
      <c r="K33" s="258">
        <f>calcPath4MTCost_Yr3</f>
        <v>0</v>
      </c>
      <c r="L33" s="257"/>
      <c r="M33" s="261">
        <f>calcPath5MTCost_Yr3</f>
        <v>0</v>
      </c>
      <c r="N33" s="257"/>
      <c r="O33" s="258">
        <f>calcPath6MTCost_Yr3</f>
        <v>0</v>
      </c>
      <c r="P33" s="257"/>
      <c r="Q33" s="261">
        <f>calcPath7MTCost_Yr3</f>
        <v>0</v>
      </c>
      <c r="R33" s="257"/>
      <c r="S33" s="258">
        <f>calcPath8MTCost_Yr3</f>
        <v>0</v>
      </c>
      <c r="T33" s="257"/>
      <c r="U33" s="261">
        <f>calcTotalMTCost_Yr3</f>
        <v>0</v>
      </c>
      <c r="V33" s="282"/>
      <c r="W33" s="159"/>
      <c r="X33" s="159"/>
      <c r="Y33" s="159"/>
      <c r="Z33" s="159"/>
      <c r="AA33" s="159"/>
      <c r="AB33" s="159"/>
    </row>
    <row r="34" spans="1:28" ht="21.75" customHeight="1">
      <c r="A34" s="159"/>
      <c r="B34" s="281"/>
      <c r="C34" s="263" t="str">
        <f>nmTotalInv</f>
        <v>Total Investment</v>
      </c>
      <c r="D34" s="257"/>
      <c r="E34" s="264">
        <f>calcPath1MTCost_AllYears</f>
        <v>0</v>
      </c>
      <c r="F34" s="265"/>
      <c r="G34" s="266">
        <f>calcPath2MTCost_AllYears</f>
        <v>0</v>
      </c>
      <c r="H34" s="265"/>
      <c r="I34" s="264">
        <f>calcPath3MTCost_AllYears</f>
        <v>0</v>
      </c>
      <c r="J34" s="265"/>
      <c r="K34" s="266">
        <f>calcPath4MTCost_AllYears</f>
        <v>0</v>
      </c>
      <c r="L34" s="265"/>
      <c r="M34" s="264">
        <f>calcPath5MTCost_AllYears</f>
        <v>0</v>
      </c>
      <c r="N34" s="265"/>
      <c r="O34" s="266">
        <f>calcPath6MTCost_AllYears</f>
        <v>0</v>
      </c>
      <c r="P34" s="265"/>
      <c r="Q34" s="264">
        <f>calcPath7MTCost_AllYears</f>
        <v>0</v>
      </c>
      <c r="R34" s="265"/>
      <c r="S34" s="266">
        <f>calcPath8MTCost_AllYears</f>
        <v>0</v>
      </c>
      <c r="T34" s="265"/>
      <c r="U34" s="264">
        <f>calcTotalMTCost_AllYears</f>
        <v>0</v>
      </c>
      <c r="V34" s="282"/>
      <c r="W34" s="159"/>
      <c r="X34" s="159"/>
      <c r="Y34" s="159"/>
      <c r="Z34" s="159"/>
      <c r="AA34" s="159"/>
      <c r="AB34" s="159"/>
    </row>
    <row r="35" spans="1:28" ht="9.9499999999999993" customHeight="1">
      <c r="A35" s="159"/>
      <c r="B35" s="281"/>
      <c r="C35" s="257"/>
      <c r="D35" s="257"/>
      <c r="E35" s="267"/>
      <c r="F35" s="257"/>
      <c r="G35" s="268"/>
      <c r="H35" s="257"/>
      <c r="I35" s="267"/>
      <c r="J35" s="257"/>
      <c r="K35" s="268"/>
      <c r="L35" s="257"/>
      <c r="M35" s="267"/>
      <c r="N35" s="257"/>
      <c r="O35" s="268"/>
      <c r="P35" s="257"/>
      <c r="Q35" s="267"/>
      <c r="R35" s="257"/>
      <c r="S35" s="268"/>
      <c r="T35" s="257"/>
      <c r="U35" s="267"/>
      <c r="V35" s="282"/>
      <c r="W35" s="159"/>
      <c r="X35" s="159"/>
      <c r="Y35" s="159"/>
      <c r="Z35" s="159"/>
      <c r="AA35" s="159"/>
      <c r="AB35" s="159"/>
    </row>
    <row r="36" spans="1:28" ht="21.95" customHeight="1">
      <c r="A36" s="159"/>
      <c r="B36" s="281"/>
      <c r="C36" s="257" t="str">
        <f>nmNewSub</f>
        <v>New Subscription SRP</v>
      </c>
      <c r="D36" s="257"/>
      <c r="E36" s="159"/>
      <c r="F36" s="159"/>
      <c r="G36" s="268"/>
      <c r="H36" s="257"/>
      <c r="I36" s="267"/>
      <c r="J36" s="257"/>
      <c r="K36" s="268"/>
      <c r="L36" s="159"/>
      <c r="M36" s="267"/>
      <c r="N36" s="159"/>
      <c r="O36" s="268"/>
      <c r="P36" s="159"/>
      <c r="Q36" s="267"/>
      <c r="R36" s="159"/>
      <c r="S36" s="268"/>
      <c r="T36" s="257"/>
      <c r="U36" s="159"/>
      <c r="V36" s="282"/>
      <c r="W36" s="159"/>
      <c r="X36" s="159"/>
      <c r="Y36" s="159"/>
      <c r="Z36" s="159"/>
      <c r="AA36" s="159"/>
      <c r="AB36" s="159"/>
    </row>
    <row r="37" spans="1:28" ht="21.95" customHeight="1">
      <c r="A37" s="159"/>
      <c r="B37" s="281"/>
      <c r="C37" s="260" t="str">
        <f>nmTotal1Yr</f>
        <v>1 Year Investment</v>
      </c>
      <c r="D37" s="257"/>
      <c r="E37" s="261">
        <f>calcPath1SubSRP</f>
        <v>0</v>
      </c>
      <c r="F37" s="262"/>
      <c r="G37" s="258">
        <f>calcPath2SubSRP</f>
        <v>0</v>
      </c>
      <c r="H37" s="257"/>
      <c r="I37" s="261">
        <f>calcPath3SubSRP</f>
        <v>0</v>
      </c>
      <c r="J37" s="257"/>
      <c r="K37" s="258">
        <f>calcPath4SubSRP</f>
        <v>0</v>
      </c>
      <c r="L37" s="257"/>
      <c r="M37" s="261">
        <f>calcPath5SubSRP</f>
        <v>0</v>
      </c>
      <c r="N37" s="257"/>
      <c r="O37" s="258">
        <f>calcPath6SubSRP</f>
        <v>0</v>
      </c>
      <c r="P37" s="257"/>
      <c r="Q37" s="261">
        <f>calcPath7SubSRP</f>
        <v>0</v>
      </c>
      <c r="R37" s="257"/>
      <c r="S37" s="258">
        <f>calcPath8SubSRP</f>
        <v>0</v>
      </c>
      <c r="T37" s="257"/>
      <c r="U37" s="261">
        <f>calcTotalSubSRP</f>
        <v>0</v>
      </c>
      <c r="V37" s="282"/>
      <c r="W37" s="159"/>
      <c r="X37" s="159"/>
      <c r="Y37" s="159"/>
      <c r="Z37" s="159"/>
      <c r="AA37" s="159"/>
      <c r="AB37" s="159"/>
    </row>
    <row r="38" spans="1:28" ht="21.95" customHeight="1">
      <c r="A38" s="159"/>
      <c r="B38" s="281"/>
      <c r="C38" s="263" t="str">
        <f>nmTotal3Yr</f>
        <v>3 Year Investment</v>
      </c>
      <c r="D38" s="257"/>
      <c r="E38" s="264">
        <f>calcPath1SubSRP3Yr</f>
        <v>0</v>
      </c>
      <c r="F38" s="269"/>
      <c r="G38" s="266">
        <f>calcPath2SubSRP3Yr</f>
        <v>0</v>
      </c>
      <c r="H38" s="265"/>
      <c r="I38" s="264">
        <f>calcPath3SubSRP3Yr</f>
        <v>0</v>
      </c>
      <c r="J38" s="265"/>
      <c r="K38" s="266">
        <f>calcPath4SubSRP3Yr</f>
        <v>0</v>
      </c>
      <c r="L38" s="265"/>
      <c r="M38" s="264">
        <f>calcPath5SubSRP3Yr</f>
        <v>0</v>
      </c>
      <c r="N38" s="265"/>
      <c r="O38" s="266">
        <f>calcPath6SubSRP3Yr</f>
        <v>0</v>
      </c>
      <c r="P38" s="265"/>
      <c r="Q38" s="264">
        <f>calcPath7SubSRP3Yr</f>
        <v>0</v>
      </c>
      <c r="R38" s="265"/>
      <c r="S38" s="266">
        <f>calcPath8SubSRP3Yr</f>
        <v>0</v>
      </c>
      <c r="T38" s="265"/>
      <c r="U38" s="264">
        <f>calcTotalSubSRP3Yr</f>
        <v>0</v>
      </c>
      <c r="V38" s="282"/>
      <c r="W38" s="159"/>
      <c r="X38" s="159"/>
      <c r="Y38" s="159"/>
      <c r="Z38" s="159"/>
      <c r="AA38" s="159"/>
      <c r="AB38" s="159"/>
    </row>
    <row r="39" spans="1:28" ht="9.9499999999999993" customHeight="1">
      <c r="A39" s="159"/>
      <c r="B39" s="283"/>
      <c r="C39" s="284"/>
      <c r="D39" s="284"/>
      <c r="E39" s="284"/>
      <c r="F39" s="284"/>
      <c r="G39" s="285"/>
      <c r="H39" s="284"/>
      <c r="I39" s="284"/>
      <c r="J39" s="284"/>
      <c r="K39" s="285"/>
      <c r="L39" s="284"/>
      <c r="M39" s="284"/>
      <c r="N39" s="284"/>
      <c r="O39" s="285"/>
      <c r="P39" s="284"/>
      <c r="Q39" s="284"/>
      <c r="R39" s="284"/>
      <c r="S39" s="285"/>
      <c r="T39" s="284"/>
      <c r="U39" s="284"/>
      <c r="V39" s="286"/>
      <c r="W39" s="159"/>
      <c r="X39" s="159"/>
      <c r="Y39" s="159"/>
      <c r="Z39" s="159"/>
      <c r="AA39" s="159"/>
      <c r="AB39" s="159"/>
    </row>
    <row r="40" spans="1:28" ht="20.100000000000001" customHeight="1">
      <c r="A40" s="159"/>
      <c r="B40" s="159"/>
      <c r="C40" s="159"/>
      <c r="D40" s="159"/>
      <c r="E40" s="159"/>
      <c r="F40" s="159"/>
      <c r="G40" s="162"/>
      <c r="H40" s="159"/>
      <c r="I40" s="159"/>
      <c r="J40" s="159"/>
      <c r="K40" s="162"/>
      <c r="L40" s="159"/>
      <c r="M40" s="159"/>
      <c r="N40" s="159"/>
      <c r="O40" s="162"/>
      <c r="P40" s="159"/>
      <c r="Q40" s="159"/>
      <c r="R40" s="159"/>
      <c r="S40" s="162"/>
      <c r="T40" s="159"/>
      <c r="U40" s="159"/>
      <c r="V40" s="159"/>
      <c r="W40" s="159"/>
      <c r="X40" s="159"/>
      <c r="Y40" s="159"/>
      <c r="Z40" s="159"/>
      <c r="AA40" s="159"/>
      <c r="AB40" s="159"/>
    </row>
    <row r="41" spans="1:28" ht="20.100000000000001" customHeight="1">
      <c r="A41" s="159"/>
      <c r="B41" s="159"/>
      <c r="C41" s="276" t="str">
        <f>nmProjections</f>
        <v>Move to Subscription Analysis</v>
      </c>
      <c r="D41" s="159"/>
      <c r="E41" s="159"/>
      <c r="F41" s="159"/>
      <c r="G41" s="162"/>
      <c r="H41" s="159"/>
      <c r="I41" s="159"/>
      <c r="J41" s="159"/>
      <c r="K41" s="162"/>
      <c r="L41" s="159"/>
      <c r="M41" s="159"/>
      <c r="N41" s="159"/>
      <c r="O41" s="162"/>
      <c r="P41" s="159"/>
      <c r="Q41" s="159"/>
      <c r="R41" s="159"/>
      <c r="S41" s="162"/>
      <c r="T41" s="159"/>
      <c r="U41" s="159"/>
      <c r="V41" s="159"/>
      <c r="W41" s="159"/>
      <c r="X41" s="159"/>
      <c r="Y41" s="159"/>
      <c r="Z41" s="159"/>
      <c r="AA41" s="159"/>
      <c r="AB41" s="159"/>
    </row>
    <row r="42" spans="1:28" ht="9.9499999999999993" customHeight="1">
      <c r="A42" s="159"/>
      <c r="B42" s="252"/>
      <c r="C42" s="253"/>
      <c r="D42" s="253"/>
      <c r="E42" s="253"/>
      <c r="F42" s="253"/>
      <c r="G42" s="254"/>
      <c r="H42" s="253"/>
      <c r="I42" s="253"/>
      <c r="J42" s="253"/>
      <c r="K42" s="254"/>
      <c r="L42" s="253"/>
      <c r="M42" s="253"/>
      <c r="N42" s="253"/>
      <c r="O42" s="254"/>
      <c r="P42" s="253"/>
      <c r="Q42" s="253"/>
      <c r="R42" s="253"/>
      <c r="S42" s="254"/>
      <c r="T42" s="253"/>
      <c r="U42" s="253"/>
      <c r="V42" s="255"/>
      <c r="W42" s="159"/>
      <c r="X42" s="159"/>
      <c r="Y42" s="159"/>
      <c r="Z42" s="159"/>
      <c r="AA42" s="159"/>
      <c r="AB42" s="159"/>
    </row>
    <row r="43" spans="1:28" ht="21.95" customHeight="1">
      <c r="A43" s="159"/>
      <c r="B43" s="256"/>
      <c r="C43" s="274" t="str">
        <f>nmMigrateFY1</f>
        <v>Switch in Year 2</v>
      </c>
      <c r="D43" s="257"/>
      <c r="E43" s="267"/>
      <c r="F43" s="257"/>
      <c r="G43" s="268"/>
      <c r="H43" s="257"/>
      <c r="I43" s="267"/>
      <c r="J43" s="257"/>
      <c r="K43" s="268"/>
      <c r="L43" s="257"/>
      <c r="M43" s="267"/>
      <c r="N43" s="257"/>
      <c r="O43" s="268"/>
      <c r="P43" s="257"/>
      <c r="Q43" s="267"/>
      <c r="R43" s="257"/>
      <c r="S43" s="268"/>
      <c r="T43" s="257"/>
      <c r="U43" s="267"/>
      <c r="V43" s="259"/>
      <c r="W43" s="159"/>
      <c r="X43" s="159"/>
      <c r="Y43" s="159"/>
      <c r="Z43" s="159"/>
      <c r="AA43" s="159"/>
      <c r="AB43" s="159"/>
    </row>
    <row r="44" spans="1:28" ht="21.95" customHeight="1">
      <c r="A44" s="159"/>
      <c r="B44" s="256"/>
      <c r="C44" s="260" t="str">
        <f>nmYr1&amp;" - "&amp;nmSub</f>
        <v>Year 2 - Subscription</v>
      </c>
      <c r="D44" s="257"/>
      <c r="E44" s="261">
        <f>calcPath1Yr1_CostYr1</f>
        <v>0</v>
      </c>
      <c r="F44" s="262"/>
      <c r="G44" s="258">
        <f>calcPath2Yr1_CostYr1</f>
        <v>0</v>
      </c>
      <c r="H44" s="257"/>
      <c r="I44" s="261">
        <f>calcPath3Yr1_CostYr1</f>
        <v>0</v>
      </c>
      <c r="J44" s="257"/>
      <c r="K44" s="258">
        <f>calcPath4Yr1_CostYr1</f>
        <v>0</v>
      </c>
      <c r="L44" s="257"/>
      <c r="M44" s="261">
        <f>calcPath5Yr1_CostYr1</f>
        <v>0</v>
      </c>
      <c r="N44" s="257"/>
      <c r="O44" s="258">
        <f>calcPath6Yr1_CostYr1</f>
        <v>0</v>
      </c>
      <c r="P44" s="257"/>
      <c r="Q44" s="261">
        <f>calcPath7Yr1_CostYr1</f>
        <v>0</v>
      </c>
      <c r="R44" s="257"/>
      <c r="S44" s="258">
        <f>calcPath8Yr1_CostYr1</f>
        <v>0</v>
      </c>
      <c r="T44" s="257"/>
      <c r="U44" s="261">
        <f>calcTotalYr1_CostYr1</f>
        <v>0</v>
      </c>
      <c r="V44" s="259"/>
      <c r="W44" s="159"/>
      <c r="X44" s="159"/>
      <c r="Y44" s="159"/>
      <c r="Z44" s="159"/>
      <c r="AA44" s="159"/>
      <c r="AB44" s="159"/>
    </row>
    <row r="45" spans="1:28" ht="21.95" customHeight="1">
      <c r="A45" s="159"/>
      <c r="B45" s="256"/>
      <c r="C45" s="260" t="str">
        <f>nmYr2&amp;" - "&amp;nmSub</f>
        <v>Year 3 - Subscription</v>
      </c>
      <c r="D45" s="257"/>
      <c r="E45" s="261">
        <f>calcPath1Yr1_CostYr2</f>
        <v>0</v>
      </c>
      <c r="F45" s="262"/>
      <c r="G45" s="258">
        <f>calcPath2Yr1_CostYr2</f>
        <v>0</v>
      </c>
      <c r="H45" s="257"/>
      <c r="I45" s="261">
        <f>calcPath3Yr1_CostYr2</f>
        <v>0</v>
      </c>
      <c r="J45" s="257"/>
      <c r="K45" s="258">
        <f>calcPath4Yr1_CostYr2</f>
        <v>0</v>
      </c>
      <c r="L45" s="257"/>
      <c r="M45" s="261">
        <f>calcPath5Yr1_CostYr2</f>
        <v>0</v>
      </c>
      <c r="N45" s="257"/>
      <c r="O45" s="258">
        <f>calcPath6Yr1_CostYr2</f>
        <v>0</v>
      </c>
      <c r="P45" s="257"/>
      <c r="Q45" s="261">
        <f>calcPath7Yr1_CostYr2</f>
        <v>0</v>
      </c>
      <c r="R45" s="257"/>
      <c r="S45" s="258">
        <f>calcPath8Yr1_CostYr2</f>
        <v>0</v>
      </c>
      <c r="T45" s="257"/>
      <c r="U45" s="261">
        <f>calcTotalYr1_CostYr2</f>
        <v>0</v>
      </c>
      <c r="V45" s="259"/>
      <c r="W45" s="159"/>
      <c r="X45" s="159"/>
      <c r="Y45" s="159"/>
      <c r="Z45" s="159"/>
      <c r="AA45" s="159"/>
      <c r="AB45" s="159"/>
    </row>
    <row r="46" spans="1:28" ht="21.95" customHeight="1">
      <c r="A46" s="159"/>
      <c r="B46" s="256"/>
      <c r="C46" s="260" t="str">
        <f>nmYr3&amp;" - "&amp;nmSub</f>
        <v>Year 4 - Subscription</v>
      </c>
      <c r="D46" s="257"/>
      <c r="E46" s="261">
        <f>calcPath1Yr1_CostYr3</f>
        <v>0</v>
      </c>
      <c r="F46" s="262"/>
      <c r="G46" s="258">
        <f>calcPath2Yr1_CostYr3</f>
        <v>0</v>
      </c>
      <c r="H46" s="257"/>
      <c r="I46" s="261">
        <f>calcPath3Yr1_CostYr3</f>
        <v>0</v>
      </c>
      <c r="J46" s="257"/>
      <c r="K46" s="258">
        <f>calcPath4Yr1_CostYr3</f>
        <v>0</v>
      </c>
      <c r="L46" s="257"/>
      <c r="M46" s="261">
        <f>calcPath5Yr1_CostYr3</f>
        <v>0</v>
      </c>
      <c r="N46" s="257"/>
      <c r="O46" s="258">
        <f>calcPath6Yr1_CostYr3</f>
        <v>0</v>
      </c>
      <c r="P46" s="257"/>
      <c r="Q46" s="261">
        <f>calcPath7Yr1_CostYr3</f>
        <v>0</v>
      </c>
      <c r="R46" s="257"/>
      <c r="S46" s="258">
        <f>calcPath8Yr1_CostYr3</f>
        <v>0</v>
      </c>
      <c r="T46" s="257"/>
      <c r="U46" s="261">
        <f>calcTotalYr1_CostYr3</f>
        <v>0</v>
      </c>
      <c r="V46" s="259"/>
      <c r="W46" s="159"/>
      <c r="X46" s="159"/>
      <c r="Y46" s="159"/>
      <c r="Z46" s="159"/>
      <c r="AA46" s="159"/>
      <c r="AB46" s="159"/>
    </row>
    <row r="47" spans="1:28" ht="21.75" customHeight="1">
      <c r="A47" s="159"/>
      <c r="B47" s="256"/>
      <c r="C47" s="263" t="str">
        <f>nmTotalInv</f>
        <v>Total Investment</v>
      </c>
      <c r="D47" s="257"/>
      <c r="E47" s="264">
        <f>calcPath1Yr1_CostTotal</f>
        <v>0</v>
      </c>
      <c r="F47" s="262"/>
      <c r="G47" s="266">
        <f>calcPath2Yr1_CostTotal</f>
        <v>0</v>
      </c>
      <c r="H47" s="257"/>
      <c r="I47" s="264">
        <f>calcPath3Yr1_CostTotal</f>
        <v>0</v>
      </c>
      <c r="J47" s="257"/>
      <c r="K47" s="266">
        <f>calcPath4Yr1_CostTotal</f>
        <v>0</v>
      </c>
      <c r="L47" s="257"/>
      <c r="M47" s="264">
        <f>calcPath5Yr1_CostTotal</f>
        <v>0</v>
      </c>
      <c r="N47" s="257"/>
      <c r="O47" s="266">
        <f>calcPath6Yr1_CostTotal</f>
        <v>0</v>
      </c>
      <c r="P47" s="257"/>
      <c r="Q47" s="264">
        <f>calcPath7Yr1_CostTotal</f>
        <v>0</v>
      </c>
      <c r="R47" s="257"/>
      <c r="S47" s="266">
        <f>calcPath8Yr1_CostTotal</f>
        <v>0</v>
      </c>
      <c r="T47" s="257"/>
      <c r="U47" s="264">
        <f>calcTotalYr1_CostTotal</f>
        <v>0</v>
      </c>
      <c r="V47" s="259"/>
      <c r="W47" s="159"/>
      <c r="X47" s="159"/>
      <c r="Y47" s="159"/>
      <c r="Z47" s="159"/>
      <c r="AA47" s="159"/>
      <c r="AB47" s="159"/>
    </row>
    <row r="48" spans="1:28" ht="21.95" customHeight="1">
      <c r="A48" s="159"/>
      <c r="B48" s="256"/>
      <c r="C48" s="348" t="str">
        <f>nmM2SSavings</f>
        <v>Discount off New SRP</v>
      </c>
      <c r="D48" s="257"/>
      <c r="E48" s="264">
        <f>calcPath1Yr1_SRPDisc</f>
        <v>0</v>
      </c>
      <c r="F48" s="257"/>
      <c r="G48" s="266">
        <f>calcPath2Yr1_SRPDisc</f>
        <v>0</v>
      </c>
      <c r="H48" s="257"/>
      <c r="I48" s="264">
        <f>calcPath3Yr1_SRPDisc</f>
        <v>0</v>
      </c>
      <c r="J48" s="257"/>
      <c r="K48" s="266">
        <f>calcPath4Yr1_SRPDisc</f>
        <v>0</v>
      </c>
      <c r="L48" s="257"/>
      <c r="M48" s="264">
        <f>calcPath5Yr1_SRPDisc</f>
        <v>0</v>
      </c>
      <c r="N48" s="257"/>
      <c r="O48" s="266">
        <f>calcPath6Yr1_SRPDisc</f>
        <v>0</v>
      </c>
      <c r="P48" s="257"/>
      <c r="Q48" s="264">
        <f>calcPath7Yr1_SRPDisc</f>
        <v>0</v>
      </c>
      <c r="R48" s="257"/>
      <c r="S48" s="266">
        <f>calcPath8Yr1_SRPDisc</f>
        <v>0</v>
      </c>
      <c r="T48" s="257"/>
      <c r="U48" s="264">
        <f>calcTotalYr1_SRPDisc</f>
        <v>0</v>
      </c>
      <c r="V48" s="259"/>
      <c r="W48" s="159"/>
      <c r="X48" s="159"/>
      <c r="Y48" s="159"/>
      <c r="Z48" s="159"/>
      <c r="AA48" s="159"/>
      <c r="AB48" s="159"/>
    </row>
    <row r="49" spans="1:28" ht="21.95" customHeight="1">
      <c r="A49" s="159"/>
      <c r="B49" s="256"/>
      <c r="C49" s="348" t="str">
        <f>nmM2SSavings</f>
        <v>Discount off New SRP</v>
      </c>
      <c r="D49" s="257"/>
      <c r="E49" s="349">
        <f>IF(OR(calcPath1SubSRP3Yr=0,calcPath1SubSRP3Yr=""),0,calcPath1Yr1_SRPDisc/calcPath1SubSRP3Yr)</f>
        <v>0</v>
      </c>
      <c r="F49" s="350"/>
      <c r="G49" s="351">
        <f>IF(OR(calcPath2SubSRP3Yr=0,calcPath2SubSRP3Yr=""),0,calcPath2Yr1_SRPDisc/calcPath2SubSRP3Yr)</f>
        <v>0</v>
      </c>
      <c r="H49" s="352"/>
      <c r="I49" s="352">
        <f>IF(OR(calcPath3SubSRP3Yr=0,calcPath3SubSRP3Yr=""),0,calcPath3Yr1_SRPDisc/calcPath3SubSRP3Yr)</f>
        <v>0</v>
      </c>
      <c r="J49" s="352"/>
      <c r="K49" s="351">
        <f>IF(OR(calcPath4SubSRP3Yr=0,calcPath4SubSRP3Yr=""),0,calcPath4Yr1_SRPDisc/calcPath4SubSRP3Yr)</f>
        <v>0</v>
      </c>
      <c r="L49" s="352" t="str">
        <f>IF(OR(calcPath1SubSRP3Yr=0,calcPath1SubSRP3Yr=""),"",calcPath1Yr1_SRPDisc/calcPath1SubSRP3Yr)</f>
        <v/>
      </c>
      <c r="M49" s="352">
        <f>IF(OR(calcPath5SubSRP3Yr=0,calcPath5SubSRP3Yr=""),0,calcPath5Yr1_SRPDisc/calcPath5SubSRP3Yr)</f>
        <v>0</v>
      </c>
      <c r="N49" s="352"/>
      <c r="O49" s="351">
        <f>IF(OR(calcPath6SubSRP3Yr=0,calcPath6SubSRP3Yr=""),0,calcPath6Yr1_SRPDisc/calcPath6SubSRP3Yr)</f>
        <v>0</v>
      </c>
      <c r="P49" s="352" t="str">
        <f>IF(OR(calcPath1SubSRP3Yr=0,calcPath1SubSRP3Yr=""),"",calcPath1Yr1_SRPDisc/calcPath1SubSRP3Yr)</f>
        <v/>
      </c>
      <c r="Q49" s="352">
        <f>IF(OR(calcPath7SubSRP3Yr=0,calcPath7SubSRP3Yr=""),0,calcPath7Yr1_SRPDisc/calcPath7SubSRP3Yr)</f>
        <v>0</v>
      </c>
      <c r="R49" s="352"/>
      <c r="S49" s="351">
        <f>IF(OR(calcPath8SubSRP3Yr=0,calcPath8SubSRP3Yr=""),0,calcPath8Yr1_SRPDisc/calcPath8SubSRP3Yr)</f>
        <v>0</v>
      </c>
      <c r="T49" s="352"/>
      <c r="U49" s="352">
        <f>IF(OR(calcTotalSubSRP3Yr=0,calcTotalSubSRP3Yr=""),0,calcTotalYr1_SRPDisc/calcTotalSubSRP3Yr)</f>
        <v>0</v>
      </c>
      <c r="V49" s="259"/>
      <c r="W49" s="159"/>
      <c r="X49" s="159"/>
      <c r="Y49" s="159"/>
      <c r="Z49" s="159"/>
      <c r="AA49" s="159"/>
      <c r="AB49" s="159"/>
    </row>
    <row r="50" spans="1:28" ht="9.9499999999999993" customHeight="1">
      <c r="A50" s="159"/>
      <c r="B50" s="256"/>
      <c r="C50" s="257"/>
      <c r="D50" s="257"/>
      <c r="E50" s="257"/>
      <c r="F50" s="257"/>
      <c r="G50" s="275"/>
      <c r="H50" s="257"/>
      <c r="I50" s="257"/>
      <c r="J50" s="257"/>
      <c r="K50" s="275"/>
      <c r="L50" s="257"/>
      <c r="M50" s="257"/>
      <c r="N50" s="257"/>
      <c r="O50" s="275"/>
      <c r="P50" s="257"/>
      <c r="Q50" s="257"/>
      <c r="R50" s="257"/>
      <c r="S50" s="275"/>
      <c r="T50" s="257"/>
      <c r="U50" s="257"/>
      <c r="V50" s="259"/>
      <c r="W50" s="159"/>
      <c r="X50" s="159"/>
      <c r="Y50" s="159"/>
      <c r="Z50" s="159"/>
      <c r="AA50" s="159"/>
      <c r="AB50" s="159"/>
    </row>
    <row r="51" spans="1:28" ht="21.95" customHeight="1">
      <c r="A51" s="159"/>
      <c r="B51" s="256"/>
      <c r="C51" s="274" t="str">
        <f>nmMigrateFY2</f>
        <v>Switch in Year 3</v>
      </c>
      <c r="D51" s="257"/>
      <c r="E51" s="257"/>
      <c r="F51" s="257"/>
      <c r="G51" s="275"/>
      <c r="H51" s="257"/>
      <c r="I51" s="257"/>
      <c r="J51" s="257"/>
      <c r="K51" s="275"/>
      <c r="L51" s="257"/>
      <c r="M51" s="257"/>
      <c r="N51" s="257"/>
      <c r="O51" s="275"/>
      <c r="P51" s="257"/>
      <c r="Q51" s="257"/>
      <c r="R51" s="257"/>
      <c r="S51" s="275"/>
      <c r="T51" s="257"/>
      <c r="U51" s="257"/>
      <c r="V51" s="259"/>
      <c r="W51" s="159"/>
      <c r="X51" s="159"/>
      <c r="Y51" s="159"/>
      <c r="Z51" s="159"/>
      <c r="AA51" s="159"/>
      <c r="AB51" s="159"/>
    </row>
    <row r="52" spans="1:28" ht="21.95" customHeight="1">
      <c r="A52" s="159"/>
      <c r="B52" s="256"/>
      <c r="C52" s="260" t="str">
        <f>nmYr1&amp;" - "&amp;nmMaint</f>
        <v>Year 2 - Maintenance</v>
      </c>
      <c r="D52" s="257"/>
      <c r="E52" s="261">
        <f>calcPath1Yr2_CostYr1</f>
        <v>0</v>
      </c>
      <c r="F52" s="262"/>
      <c r="G52" s="258">
        <f>calcPath2Yr2_CostYr1</f>
        <v>0</v>
      </c>
      <c r="H52" s="257"/>
      <c r="I52" s="261">
        <f>calcPath3Yr2_CostYr1</f>
        <v>0</v>
      </c>
      <c r="J52" s="257"/>
      <c r="K52" s="258">
        <f>calcPath4Yr2_CostYr1</f>
        <v>0</v>
      </c>
      <c r="L52" s="257"/>
      <c r="M52" s="261">
        <f>calcPath5Yr2_CostYr1</f>
        <v>0</v>
      </c>
      <c r="N52" s="257"/>
      <c r="O52" s="258">
        <f>calcPath6Yr2_CostYr1</f>
        <v>0</v>
      </c>
      <c r="P52" s="257"/>
      <c r="Q52" s="261">
        <f>calcPath7Yr2_CostYr1</f>
        <v>0</v>
      </c>
      <c r="R52" s="257"/>
      <c r="S52" s="258">
        <f>calcPath8Yr2_CostYr1</f>
        <v>0</v>
      </c>
      <c r="T52" s="257"/>
      <c r="U52" s="261">
        <f>calcTotalYr2_CostYr1</f>
        <v>0</v>
      </c>
      <c r="V52" s="259"/>
      <c r="W52" s="159"/>
      <c r="X52" s="159"/>
      <c r="Y52" s="159"/>
      <c r="Z52" s="159"/>
      <c r="AA52" s="159"/>
      <c r="AB52" s="159"/>
    </row>
    <row r="53" spans="1:28" ht="21.95" customHeight="1">
      <c r="A53" s="159"/>
      <c r="B53" s="256"/>
      <c r="C53" s="260" t="str">
        <f>nmYr2&amp;" - "&amp;nmSub</f>
        <v>Year 3 - Subscription</v>
      </c>
      <c r="D53" s="257"/>
      <c r="E53" s="261">
        <f>calcPath1Yr2_CostYr2</f>
        <v>0</v>
      </c>
      <c r="F53" s="262"/>
      <c r="G53" s="258">
        <f>calcPath2Yr2_CostYr2</f>
        <v>0</v>
      </c>
      <c r="H53" s="257"/>
      <c r="I53" s="261">
        <f>calcPath3Yr2_CostYr2</f>
        <v>0</v>
      </c>
      <c r="J53" s="257"/>
      <c r="K53" s="258">
        <f>calcPath4Yr2_CostYr2</f>
        <v>0</v>
      </c>
      <c r="L53" s="257"/>
      <c r="M53" s="261">
        <f>calcPath5Yr2_CostYr2</f>
        <v>0</v>
      </c>
      <c r="N53" s="257"/>
      <c r="O53" s="258">
        <f>calcPath6Yr2_CostYr2</f>
        <v>0</v>
      </c>
      <c r="P53" s="257"/>
      <c r="Q53" s="261">
        <f>calcPath7Yr2_CostYr2</f>
        <v>0</v>
      </c>
      <c r="R53" s="257"/>
      <c r="S53" s="258">
        <f>calcPath8Yr2_CostYr2</f>
        <v>0</v>
      </c>
      <c r="T53" s="257"/>
      <c r="U53" s="261">
        <f>calcTotalYr2_CostYr2</f>
        <v>0</v>
      </c>
      <c r="V53" s="259"/>
      <c r="W53" s="159"/>
      <c r="X53" s="159"/>
      <c r="Y53" s="159"/>
      <c r="Z53" s="159"/>
      <c r="AA53" s="159"/>
      <c r="AB53" s="159"/>
    </row>
    <row r="54" spans="1:28" ht="21.95" customHeight="1">
      <c r="A54" s="159"/>
      <c r="B54" s="256"/>
      <c r="C54" s="260" t="str">
        <f>nmYr3&amp;" - "&amp;nmSub</f>
        <v>Year 4 - Subscription</v>
      </c>
      <c r="D54" s="257"/>
      <c r="E54" s="261">
        <f>calcPath1Yr2_CostYr3</f>
        <v>0</v>
      </c>
      <c r="F54" s="262"/>
      <c r="G54" s="258">
        <f>calcPath2Yr2_CostYr3</f>
        <v>0</v>
      </c>
      <c r="H54" s="257"/>
      <c r="I54" s="261">
        <f>calcPath3Yr2_CostYr3</f>
        <v>0</v>
      </c>
      <c r="J54" s="257"/>
      <c r="K54" s="258">
        <f>calcPath4Yr2_CostYr3</f>
        <v>0</v>
      </c>
      <c r="L54" s="257"/>
      <c r="M54" s="261">
        <f>calcPath5Yr2_CostYr3</f>
        <v>0</v>
      </c>
      <c r="N54" s="257"/>
      <c r="O54" s="258">
        <f>calcPath6Yr2_CostYr3</f>
        <v>0</v>
      </c>
      <c r="P54" s="257"/>
      <c r="Q54" s="261">
        <f>calcPath7Yr2_CostYr3</f>
        <v>0</v>
      </c>
      <c r="R54" s="257"/>
      <c r="S54" s="258">
        <f>calcPath8Yr2_CostYr3</f>
        <v>0</v>
      </c>
      <c r="T54" s="257"/>
      <c r="U54" s="261">
        <f>calcTotalYr2_CostYr3</f>
        <v>0</v>
      </c>
      <c r="V54" s="259"/>
      <c r="W54" s="159"/>
      <c r="X54" s="159"/>
      <c r="Y54" s="159"/>
      <c r="Z54" s="159"/>
      <c r="AA54" s="159"/>
      <c r="AB54" s="159"/>
    </row>
    <row r="55" spans="1:28" ht="21.95" customHeight="1">
      <c r="A55" s="159"/>
      <c r="B55" s="256"/>
      <c r="C55" s="263" t="str">
        <f>nmTotalInv</f>
        <v>Total Investment</v>
      </c>
      <c r="D55" s="257"/>
      <c r="E55" s="264">
        <f>calcPath1Yr2_CostTotal</f>
        <v>0</v>
      </c>
      <c r="F55" s="262"/>
      <c r="G55" s="266">
        <f>calcPath2Yr2_CostTotal</f>
        <v>0</v>
      </c>
      <c r="H55" s="257"/>
      <c r="I55" s="264">
        <f>calcPath3Yr2_CostTotal</f>
        <v>0</v>
      </c>
      <c r="J55" s="257"/>
      <c r="K55" s="266">
        <f>calcPath4Yr2_CostTotal</f>
        <v>0</v>
      </c>
      <c r="L55" s="257"/>
      <c r="M55" s="264">
        <f>calcPath5Yr2_CostTotal</f>
        <v>0</v>
      </c>
      <c r="N55" s="257"/>
      <c r="O55" s="266">
        <f>calcPath6Yr2_CostTotal</f>
        <v>0</v>
      </c>
      <c r="P55" s="257"/>
      <c r="Q55" s="264">
        <f>calcPath7Yr2_CostTotal</f>
        <v>0</v>
      </c>
      <c r="R55" s="257"/>
      <c r="S55" s="266">
        <f>calcPath8Yr2_CostTotal</f>
        <v>0</v>
      </c>
      <c r="T55" s="257"/>
      <c r="U55" s="264">
        <f>calcTotalYr2_CostTotal</f>
        <v>0</v>
      </c>
      <c r="V55" s="259"/>
      <c r="W55" s="159"/>
      <c r="X55" s="159"/>
      <c r="Y55" s="159"/>
      <c r="Z55" s="159"/>
      <c r="AA55" s="159"/>
      <c r="AB55" s="159"/>
    </row>
    <row r="56" spans="1:28" ht="21.95" customHeight="1">
      <c r="A56" s="159"/>
      <c r="B56" s="256"/>
      <c r="C56" s="348" t="str">
        <f>nmM2SSavings</f>
        <v>Discount off New SRP</v>
      </c>
      <c r="D56" s="257"/>
      <c r="E56" s="264">
        <f>calcPath1Yr2_SRPDisc</f>
        <v>0</v>
      </c>
      <c r="F56" s="257"/>
      <c r="G56" s="266">
        <f>calcPath2Yr2_SRPDisc</f>
        <v>0</v>
      </c>
      <c r="H56" s="257"/>
      <c r="I56" s="264">
        <f>calcPath3Yr2_SRPDisc</f>
        <v>0</v>
      </c>
      <c r="J56" s="257"/>
      <c r="K56" s="266">
        <f>calcPath4Yr2_SRPDisc</f>
        <v>0</v>
      </c>
      <c r="L56" s="257"/>
      <c r="M56" s="264">
        <f>calcPath5Yr2_SRPDisc</f>
        <v>0</v>
      </c>
      <c r="N56" s="257"/>
      <c r="O56" s="266">
        <f>calcPath6Yr2_SRPDisc</f>
        <v>0</v>
      </c>
      <c r="P56" s="257"/>
      <c r="Q56" s="264">
        <f>calcPath7Yr2_SRPDisc</f>
        <v>0</v>
      </c>
      <c r="R56" s="257"/>
      <c r="S56" s="266">
        <f>calcPath8Yr2_SRPDisc</f>
        <v>0</v>
      </c>
      <c r="T56" s="257"/>
      <c r="U56" s="264">
        <f>calcTotalYr2_SRPDisc</f>
        <v>0</v>
      </c>
      <c r="V56" s="259"/>
      <c r="W56" s="159"/>
      <c r="X56" s="159"/>
      <c r="Y56" s="159"/>
      <c r="Z56" s="159"/>
      <c r="AA56" s="159"/>
      <c r="AB56" s="159"/>
    </row>
    <row r="57" spans="1:28" ht="21.95" customHeight="1">
      <c r="A57" s="159"/>
      <c r="B57" s="256"/>
      <c r="C57" s="348" t="str">
        <f>nmM2SSavings</f>
        <v>Discount off New SRP</v>
      </c>
      <c r="D57" s="257"/>
      <c r="E57" s="349">
        <f>IF(OR(calcPath1SubSRP3Yr=0,calcPath1SubSRP3Yr=""),0,calcPath1Yr2_SRPDisc/calcPath1SubSRP3Yr)</f>
        <v>0</v>
      </c>
      <c r="F57" s="350"/>
      <c r="G57" s="351">
        <f>IF(OR(calcPath2SubSRP3Yr=0,calcPath2SubSRP3Yr=""),0,calcPath2Yr2_SRPDisc/calcPath2SubSRP3Yr)</f>
        <v>0</v>
      </c>
      <c r="H57" s="352"/>
      <c r="I57" s="352">
        <f>IF(OR(calcPath3SubSRP3Yr=0,calcPath3SubSRP3Yr=""),0,calcPath3Yr2_SRPDisc/calcPath3SubSRP3Yr)</f>
        <v>0</v>
      </c>
      <c r="J57" s="352"/>
      <c r="K57" s="351">
        <f>IF(OR(calcPath4SubSRP3Yr=0,calcPath4SubSRP3Yr=""),0,calcPath4Yr2_SRPDisc/calcPath4SubSRP3Yr)</f>
        <v>0</v>
      </c>
      <c r="L57" s="352" t="str">
        <f>IF(OR(calcPath1SubSRP3Yr=0,calcPath1SubSRP3Yr=""),"",calcPath1Yr2_SRPDisc/calcPath1SubSRP3Yr)</f>
        <v/>
      </c>
      <c r="M57" s="352">
        <f>IF(OR(calcPath5SubSRP3Yr=0,calcPath5SubSRP3Yr=""),0,calcPath5Yr2_SRPDisc/calcPath5SubSRP3Yr)</f>
        <v>0</v>
      </c>
      <c r="N57" s="352"/>
      <c r="O57" s="351">
        <f>IF(OR(calcPath6SubSRP3Yr=0,calcPath6SubSRP3Yr=""),0,calcPath6Yr2_SRPDisc/calcPath6SubSRP3Yr)</f>
        <v>0</v>
      </c>
      <c r="P57" s="352" t="str">
        <f>IF(OR(calcPath1SubSRP3Yr=0,calcPath1SubSRP3Yr=""),"",calcPath1Yr2_SRPDisc/calcPath1SubSRP3Yr)</f>
        <v/>
      </c>
      <c r="Q57" s="352">
        <f>IF(OR(calcPath7SubSRP3Yr=0,calcPath7SubSRP3Yr=""),0,calcPath7Yr2_SRPDisc/calcPath7SubSRP3Yr)</f>
        <v>0</v>
      </c>
      <c r="R57" s="352"/>
      <c r="S57" s="351">
        <f>IF(OR(calcPath8SubSRP3Yr=0,calcPath8SubSRP3Yr=""),0,calcPath8Yr2_SRPDisc/calcPath8SubSRP3Yr)</f>
        <v>0</v>
      </c>
      <c r="T57" s="352"/>
      <c r="U57" s="352">
        <f>IF(OR(calcTotalSubSRP3Yr=0,calcTotalSubSRP3Yr=""),0,calcTotalYr2_SRPDisc/calcTotalSubSRP3Yr)</f>
        <v>0</v>
      </c>
      <c r="V57" s="259"/>
      <c r="W57" s="159"/>
      <c r="X57" s="159"/>
      <c r="Y57" s="159"/>
      <c r="Z57" s="159"/>
      <c r="AA57" s="159"/>
      <c r="AB57" s="159"/>
    </row>
    <row r="58" spans="1:28" ht="9.9499999999999993" hidden="1" customHeight="1">
      <c r="A58" s="159"/>
      <c r="B58" s="256"/>
      <c r="C58" s="257"/>
      <c r="D58" s="257"/>
      <c r="E58" s="257"/>
      <c r="F58" s="257"/>
      <c r="G58" s="275"/>
      <c r="H58" s="257"/>
      <c r="I58" s="257"/>
      <c r="J58" s="257"/>
      <c r="K58" s="275"/>
      <c r="L58" s="257"/>
      <c r="M58" s="257"/>
      <c r="N58" s="257"/>
      <c r="O58" s="275"/>
      <c r="P58" s="257"/>
      <c r="Q58" s="257"/>
      <c r="R58" s="257"/>
      <c r="S58" s="275"/>
      <c r="T58" s="257"/>
      <c r="U58" s="257"/>
      <c r="V58" s="259"/>
      <c r="W58" s="159"/>
      <c r="X58" s="159"/>
      <c r="Y58" s="159"/>
      <c r="Z58" s="159"/>
      <c r="AA58" s="159"/>
      <c r="AB58" s="159"/>
    </row>
    <row r="59" spans="1:28" ht="21.95" hidden="1" customHeight="1">
      <c r="A59" s="159"/>
      <c r="B59" s="256"/>
      <c r="C59" s="274" t="str">
        <f>nmMigrateFY3</f>
        <v>Switch in Year 4</v>
      </c>
      <c r="D59" s="257"/>
      <c r="E59" s="257"/>
      <c r="F59" s="257"/>
      <c r="G59" s="275"/>
      <c r="H59" s="257"/>
      <c r="I59" s="257"/>
      <c r="J59" s="257"/>
      <c r="K59" s="275"/>
      <c r="L59" s="257"/>
      <c r="M59" s="257"/>
      <c r="N59" s="257"/>
      <c r="O59" s="275"/>
      <c r="P59" s="257"/>
      <c r="Q59" s="257"/>
      <c r="R59" s="257"/>
      <c r="S59" s="275"/>
      <c r="T59" s="257"/>
      <c r="U59" s="257"/>
      <c r="V59" s="259"/>
      <c r="W59" s="159"/>
      <c r="X59" s="159"/>
      <c r="Y59" s="159"/>
      <c r="Z59" s="159"/>
      <c r="AA59" s="159"/>
      <c r="AB59" s="159"/>
    </row>
    <row r="60" spans="1:28" ht="21.95" hidden="1" customHeight="1">
      <c r="A60" s="159"/>
      <c r="B60" s="256"/>
      <c r="C60" s="260" t="str">
        <f>nmYr1&amp;" - "&amp;nmMaint</f>
        <v>Year 2 - Maintenance</v>
      </c>
      <c r="D60" s="257"/>
      <c r="E60" s="261">
        <f>calcPath1Yr3_CostYr1</f>
        <v>0</v>
      </c>
      <c r="F60" s="262"/>
      <c r="G60" s="258">
        <f>calcPath2Yr3_CostYr1</f>
        <v>0</v>
      </c>
      <c r="H60" s="257"/>
      <c r="I60" s="261">
        <f>calcPath3Yr3_CostYr1</f>
        <v>0</v>
      </c>
      <c r="J60" s="257"/>
      <c r="K60" s="258">
        <f>calcPath4Yr3_CostYr1</f>
        <v>0</v>
      </c>
      <c r="L60" s="257"/>
      <c r="M60" s="261">
        <f>calcPath5Yr3_CostYr1</f>
        <v>0</v>
      </c>
      <c r="N60" s="257"/>
      <c r="O60" s="258">
        <f>calcPath6Yr3_CostYr1</f>
        <v>0</v>
      </c>
      <c r="P60" s="257"/>
      <c r="Q60" s="261">
        <f>calcPath7Yr3_CostYr1</f>
        <v>0</v>
      </c>
      <c r="R60" s="257"/>
      <c r="S60" s="258">
        <f>calcPath8Yr3_CostYr1</f>
        <v>0</v>
      </c>
      <c r="T60" s="257"/>
      <c r="U60" s="261">
        <f>calcTotalYr3_CostYr1</f>
        <v>0</v>
      </c>
      <c r="V60" s="259"/>
      <c r="W60" s="159"/>
      <c r="X60" s="159"/>
      <c r="Y60" s="159"/>
      <c r="Z60" s="159"/>
      <c r="AA60" s="159"/>
      <c r="AB60" s="159"/>
    </row>
    <row r="61" spans="1:28" ht="21.95" hidden="1" customHeight="1">
      <c r="A61" s="159"/>
      <c r="B61" s="256"/>
      <c r="C61" s="260" t="str">
        <f>nmYr2&amp;" - "&amp;nmMaint</f>
        <v>Year 3 - Maintenance</v>
      </c>
      <c r="D61" s="257"/>
      <c r="E61" s="261">
        <f>calcPath1Yr3_CostYr2</f>
        <v>0</v>
      </c>
      <c r="F61" s="262"/>
      <c r="G61" s="258">
        <f>calcPath2Yr3_CostYr2</f>
        <v>0</v>
      </c>
      <c r="H61" s="257"/>
      <c r="I61" s="261">
        <f>calcPath3Yr3_CostYr2</f>
        <v>0</v>
      </c>
      <c r="J61" s="257"/>
      <c r="K61" s="258">
        <f>calcPath4Yr3_CostYr2</f>
        <v>0</v>
      </c>
      <c r="L61" s="257"/>
      <c r="M61" s="261">
        <f>calcPath5Yr3_CostYr2</f>
        <v>0</v>
      </c>
      <c r="N61" s="257"/>
      <c r="O61" s="258">
        <f>calcPath6Yr3_CostYr2</f>
        <v>0</v>
      </c>
      <c r="P61" s="257"/>
      <c r="Q61" s="261">
        <f>calcPath7Yr3_CostYr2</f>
        <v>0</v>
      </c>
      <c r="R61" s="257"/>
      <c r="S61" s="258">
        <f>calcPath8Yr3_CostYr2</f>
        <v>0</v>
      </c>
      <c r="T61" s="257"/>
      <c r="U61" s="261">
        <f>calcTotalYr3_CostYr2</f>
        <v>0</v>
      </c>
      <c r="V61" s="259"/>
      <c r="W61" s="159"/>
      <c r="X61" s="159"/>
      <c r="Y61" s="159"/>
      <c r="Z61" s="159"/>
      <c r="AA61" s="159"/>
      <c r="AB61" s="159"/>
    </row>
    <row r="62" spans="1:28" ht="21.95" hidden="1" customHeight="1">
      <c r="A62" s="159"/>
      <c r="B62" s="256"/>
      <c r="C62" s="260" t="str">
        <f>nmYr3&amp;" - "&amp;nmSub</f>
        <v>Year 4 - Subscription</v>
      </c>
      <c r="D62" s="257"/>
      <c r="E62" s="261">
        <f>calcPath1Yr3_CostYr3</f>
        <v>0</v>
      </c>
      <c r="F62" s="262"/>
      <c r="G62" s="258">
        <f>calcPath2Yr3_CostYr3</f>
        <v>0</v>
      </c>
      <c r="H62" s="257"/>
      <c r="I62" s="261">
        <f>calcPath3Yr3_CostYr3</f>
        <v>0</v>
      </c>
      <c r="J62" s="257"/>
      <c r="K62" s="258">
        <f>calcPath4Yr3_CostYr3</f>
        <v>0</v>
      </c>
      <c r="L62" s="257"/>
      <c r="M62" s="261">
        <f>calcPath5Yr3_CostYr3</f>
        <v>0</v>
      </c>
      <c r="N62" s="257"/>
      <c r="O62" s="258">
        <f>calcPath6Yr3_CostYr3</f>
        <v>0</v>
      </c>
      <c r="P62" s="257"/>
      <c r="Q62" s="261">
        <f>calcPath7Yr3_CostYr3</f>
        <v>0</v>
      </c>
      <c r="R62" s="257"/>
      <c r="S62" s="258">
        <f>calcPath8Yr3_CostYr3</f>
        <v>0</v>
      </c>
      <c r="T62" s="257"/>
      <c r="U62" s="261">
        <f>calcTotalYr3_CostYr3</f>
        <v>0</v>
      </c>
      <c r="V62" s="259"/>
      <c r="W62" s="159"/>
      <c r="X62" s="159"/>
      <c r="Y62" s="159"/>
      <c r="Z62" s="159"/>
      <c r="AA62" s="159"/>
      <c r="AB62" s="159"/>
    </row>
    <row r="63" spans="1:28" ht="21.95" hidden="1" customHeight="1">
      <c r="A63" s="159"/>
      <c r="B63" s="256"/>
      <c r="C63" s="263" t="str">
        <f>nmTotalInv</f>
        <v>Total Investment</v>
      </c>
      <c r="D63" s="257"/>
      <c r="E63" s="264">
        <f>calcPath1Yr3_CostTotal</f>
        <v>0</v>
      </c>
      <c r="F63" s="262"/>
      <c r="G63" s="266">
        <f>calcPath2Yr3_CostTotal</f>
        <v>0</v>
      </c>
      <c r="H63" s="257"/>
      <c r="I63" s="264">
        <f>calcPath3Yr3_CostTotal</f>
        <v>0</v>
      </c>
      <c r="J63" s="257"/>
      <c r="K63" s="266">
        <f>calcPath4Yr3_CostTotal</f>
        <v>0</v>
      </c>
      <c r="L63" s="257"/>
      <c r="M63" s="264">
        <f>calcPath5Yr3_CostTotal</f>
        <v>0</v>
      </c>
      <c r="N63" s="257"/>
      <c r="O63" s="266">
        <f>calcPath6Yr3_CostTotal</f>
        <v>0</v>
      </c>
      <c r="P63" s="257"/>
      <c r="Q63" s="264">
        <f>calcPath7Yr3_CostTotal</f>
        <v>0</v>
      </c>
      <c r="R63" s="257"/>
      <c r="S63" s="266">
        <f>calcPath8Yr3_CostTotal</f>
        <v>0</v>
      </c>
      <c r="T63" s="257"/>
      <c r="U63" s="264">
        <f>calcTotalYr3_CostTotal</f>
        <v>0</v>
      </c>
      <c r="V63" s="259"/>
      <c r="W63" s="159"/>
      <c r="X63" s="159"/>
      <c r="Y63" s="159"/>
      <c r="Z63" s="159"/>
      <c r="AA63" s="159"/>
      <c r="AB63" s="159"/>
    </row>
    <row r="64" spans="1:28" ht="21.95" hidden="1" customHeight="1">
      <c r="A64" s="159"/>
      <c r="B64" s="256"/>
      <c r="C64" s="348" t="str">
        <f>nmM2SSavings</f>
        <v>Discount off New SRP</v>
      </c>
      <c r="D64" s="257"/>
      <c r="E64" s="264">
        <f>calcPath1Yr3_SRPDisc</f>
        <v>0</v>
      </c>
      <c r="F64" s="257"/>
      <c r="G64" s="266">
        <f>calcPath2Yr3_SRPDisc</f>
        <v>0</v>
      </c>
      <c r="H64" s="257"/>
      <c r="I64" s="264">
        <f>calcPath3Yr3_SRPDisc</f>
        <v>0</v>
      </c>
      <c r="J64" s="257"/>
      <c r="K64" s="266">
        <f>calcPath4Yr3_SRPDisc</f>
        <v>0</v>
      </c>
      <c r="L64" s="257"/>
      <c r="M64" s="264">
        <f>calcPath5Yr3_SRPDisc</f>
        <v>0</v>
      </c>
      <c r="N64" s="257"/>
      <c r="O64" s="266">
        <f>calcPath6Yr3_SRPDisc</f>
        <v>0</v>
      </c>
      <c r="P64" s="257"/>
      <c r="Q64" s="264">
        <f>calcPath7Yr3_SRPDisc</f>
        <v>0</v>
      </c>
      <c r="R64" s="257"/>
      <c r="S64" s="266">
        <f>calcPath8Yr3_SRPDisc</f>
        <v>0</v>
      </c>
      <c r="T64" s="257"/>
      <c r="U64" s="264">
        <f>calcTotalYr3_SRPDisc</f>
        <v>0</v>
      </c>
      <c r="V64" s="259"/>
      <c r="W64" s="159"/>
      <c r="X64" s="159"/>
      <c r="Y64" s="159"/>
      <c r="Z64" s="159"/>
      <c r="AA64" s="159"/>
      <c r="AB64" s="159"/>
    </row>
    <row r="65" spans="1:28" ht="21.95" hidden="1" customHeight="1">
      <c r="A65" s="159"/>
      <c r="B65" s="256"/>
      <c r="C65" s="348" t="str">
        <f>nmM2SSavings</f>
        <v>Discount off New SRP</v>
      </c>
      <c r="D65" s="257"/>
      <c r="E65" s="349">
        <f>IF(OR(calcPath1SubSRP3Yr=0,calcPath1SubSRP3Yr=""),0,calcPath1Yr3_SRPDisc/calcPath1SubSRP3Yr)</f>
        <v>0</v>
      </c>
      <c r="F65" s="350"/>
      <c r="G65" s="351">
        <f>IF(OR(calcPath2SubSRP3Yr=0,calcPath2SubSRP3Yr=""),0,calcPath2Yr3_SRPDisc/calcPath2SubSRP3Yr)</f>
        <v>0</v>
      </c>
      <c r="H65" s="352"/>
      <c r="I65" s="352">
        <f>IF(OR(calcPath3SubSRP3Yr=0,calcPath3SubSRP3Yr=""),0,calcPath3Yr3_SRPDisc/calcPath3SubSRP3Yr)</f>
        <v>0</v>
      </c>
      <c r="J65" s="352"/>
      <c r="K65" s="351">
        <f>IF(OR(calcPath4SubSRP3Yr=0,calcPath4SubSRP3Yr=""),0,calcPath4Yr3_SRPDisc/calcPath4SubSRP3Yr)</f>
        <v>0</v>
      </c>
      <c r="L65" s="352" t="str">
        <f>IF(OR(calcPath1SubSRP3Yr=0,calcPath1SubSRP3Yr=""),"",calcPath1Yr3_SRPDisc/calcPath1SubSRP3Yr)</f>
        <v/>
      </c>
      <c r="M65" s="352">
        <f>IF(OR(calcPath5SubSRP3Yr=0,calcPath5SubSRP3Yr=""),0,calcPath5Yr3_SRPDisc/calcPath5SubSRP3Yr)</f>
        <v>0</v>
      </c>
      <c r="N65" s="352"/>
      <c r="O65" s="351">
        <f>IF(OR(calcPath6SubSRP3Yr=0,calcPath6SubSRP3Yr=""),0,calcPath6Yr3_SRPDisc/calcPath6SubSRP3Yr)</f>
        <v>0</v>
      </c>
      <c r="P65" s="352" t="str">
        <f>IF(OR(calcPath1SubSRP3Yr=0,calcPath1SubSRP3Yr=""),"",calcPath1Yr3_SRPDisc/calcPath1SubSRP3Yr)</f>
        <v/>
      </c>
      <c r="Q65" s="352">
        <f>IF(OR(calcPath7SubSRP3Yr=0,calcPath7SubSRP3Yr=""),0,calcPath7Yr3_SRPDisc/calcPath7SubSRP3Yr)</f>
        <v>0</v>
      </c>
      <c r="R65" s="352"/>
      <c r="S65" s="351">
        <f>IF(OR(calcPath8SubSRP3Yr=0,calcPath8SubSRP3Yr=""),0,calcPath8Yr3_SRPDisc/calcPath8SubSRP3Yr)</f>
        <v>0</v>
      </c>
      <c r="T65" s="352"/>
      <c r="U65" s="352">
        <f>IF(OR(calcTotalSubSRP3Yr=0,calcTotalSubSRP3Yr=""),0,calcTotalYr3_SRPDisc/calcTotalSubSRP3Yr)</f>
        <v>0</v>
      </c>
      <c r="V65" s="259"/>
      <c r="W65" s="159"/>
      <c r="X65" s="159"/>
      <c r="Y65" s="159"/>
      <c r="Z65" s="159"/>
      <c r="AA65" s="159"/>
      <c r="AB65" s="159"/>
    </row>
    <row r="66" spans="1:28" ht="9.9499999999999993" customHeight="1">
      <c r="A66" s="159"/>
      <c r="B66" s="256"/>
      <c r="C66" s="257"/>
      <c r="D66" s="257"/>
      <c r="E66" s="257"/>
      <c r="F66" s="257"/>
      <c r="G66" s="275"/>
      <c r="H66" s="257"/>
      <c r="I66" s="257"/>
      <c r="J66" s="257"/>
      <c r="K66" s="275"/>
      <c r="L66" s="257"/>
      <c r="M66" s="257"/>
      <c r="N66" s="257"/>
      <c r="O66" s="275"/>
      <c r="P66" s="257"/>
      <c r="Q66" s="257"/>
      <c r="R66" s="257"/>
      <c r="S66" s="275"/>
      <c r="T66" s="257"/>
      <c r="U66" s="257"/>
      <c r="V66" s="259"/>
      <c r="W66" s="159"/>
      <c r="X66" s="159"/>
      <c r="Y66" s="159"/>
      <c r="Z66" s="159"/>
      <c r="AA66" s="159"/>
      <c r="AB66" s="159"/>
    </row>
    <row r="67" spans="1:28" ht="21.95" customHeight="1">
      <c r="A67" s="159"/>
      <c r="B67" s="256"/>
      <c r="C67" s="274" t="str">
        <f>nmYr4</f>
        <v>Year 5 - Projected Subscription</v>
      </c>
      <c r="D67" s="257"/>
      <c r="E67" s="261">
        <f>calcPath1Yr4Cost</f>
        <v>0</v>
      </c>
      <c r="F67" s="257"/>
      <c r="G67" s="258">
        <f>calcPath2Yr4Cost</f>
        <v>0</v>
      </c>
      <c r="H67" s="257"/>
      <c r="I67" s="261">
        <f>calcPath3Yr4Cost</f>
        <v>0</v>
      </c>
      <c r="J67" s="257"/>
      <c r="K67" s="258">
        <f>calcPath4Yr4Cost</f>
        <v>0</v>
      </c>
      <c r="L67" s="257"/>
      <c r="M67" s="261">
        <f>calcPath5Yr4Cost</f>
        <v>0</v>
      </c>
      <c r="N67" s="257"/>
      <c r="O67" s="258">
        <f>calcPath6Yr4Cost</f>
        <v>0</v>
      </c>
      <c r="P67" s="257"/>
      <c r="Q67" s="261">
        <f>calcPath7Yr4Cost</f>
        <v>0</v>
      </c>
      <c r="R67" s="257"/>
      <c r="S67" s="258">
        <f>calcPath8Yr4Cost</f>
        <v>0</v>
      </c>
      <c r="T67" s="257"/>
      <c r="U67" s="261">
        <f>calcTotalYr4Cost</f>
        <v>0</v>
      </c>
      <c r="V67" s="259"/>
      <c r="W67" s="159"/>
      <c r="X67" s="159"/>
      <c r="Y67" s="159"/>
      <c r="Z67" s="159"/>
      <c r="AA67" s="159"/>
      <c r="AB67" s="159"/>
    </row>
    <row r="68" spans="1:28" ht="9.9499999999999993" customHeight="1">
      <c r="A68" s="159"/>
      <c r="B68" s="270"/>
      <c r="C68" s="271"/>
      <c r="D68" s="271"/>
      <c r="E68" s="271"/>
      <c r="F68" s="271"/>
      <c r="G68" s="272"/>
      <c r="H68" s="271"/>
      <c r="I68" s="271"/>
      <c r="J68" s="271"/>
      <c r="K68" s="272"/>
      <c r="L68" s="271"/>
      <c r="M68" s="271"/>
      <c r="N68" s="271"/>
      <c r="O68" s="272"/>
      <c r="P68" s="271"/>
      <c r="Q68" s="271"/>
      <c r="R68" s="271"/>
      <c r="S68" s="272"/>
      <c r="T68" s="271"/>
      <c r="U68" s="271"/>
      <c r="V68" s="273"/>
      <c r="W68" s="159"/>
      <c r="X68" s="159"/>
      <c r="Y68" s="159"/>
      <c r="Z68" s="159"/>
      <c r="AA68" s="159"/>
      <c r="AB68" s="159"/>
    </row>
    <row r="69" spans="1:28" ht="20.100000000000001" customHeight="1">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row>
    <row r="70" spans="1:28" ht="21.95" customHeight="1">
      <c r="A70" s="159"/>
      <c r="B70" s="159"/>
      <c r="C70" s="163" t="str">
        <f>nmCharts</f>
        <v>Charts</v>
      </c>
      <c r="D70" s="164"/>
      <c r="E70" s="165"/>
      <c r="F70" s="165"/>
      <c r="G70" s="165"/>
      <c r="H70" s="165"/>
      <c r="I70" s="165"/>
      <c r="J70" s="165"/>
      <c r="K70" s="165"/>
      <c r="L70" s="164"/>
      <c r="M70" s="165"/>
      <c r="N70" s="164"/>
      <c r="O70" s="165"/>
      <c r="P70" s="164"/>
      <c r="Q70" s="165"/>
      <c r="R70" s="164"/>
      <c r="S70" s="165"/>
      <c r="T70" s="165"/>
      <c r="U70" s="165"/>
      <c r="V70" s="165"/>
      <c r="W70" s="165"/>
      <c r="X70" s="165"/>
      <c r="Y70" s="165"/>
      <c r="Z70" s="165"/>
      <c r="AA70" s="165"/>
      <c r="AB70" s="165"/>
    </row>
    <row r="71" spans="1:28" ht="21.95" customHeight="1">
      <c r="A71" s="159"/>
      <c r="B71" s="159"/>
      <c r="C71" s="305" t="s">
        <v>632</v>
      </c>
      <c r="D71" s="257"/>
      <c r="E71" s="287"/>
      <c r="F71" s="287"/>
      <c r="G71" s="287"/>
      <c r="H71" s="287"/>
      <c r="I71" s="287"/>
      <c r="J71" s="287"/>
      <c r="K71" s="287"/>
      <c r="L71" s="257"/>
      <c r="M71" s="287"/>
      <c r="N71" s="257"/>
      <c r="O71" s="287"/>
      <c r="P71" s="257"/>
      <c r="Q71" s="287"/>
      <c r="R71" s="257"/>
      <c r="S71" s="287"/>
      <c r="T71" s="287"/>
      <c r="U71" s="287"/>
      <c r="V71" s="287"/>
      <c r="W71" s="159"/>
      <c r="X71" s="159"/>
      <c r="Y71" s="159"/>
      <c r="Z71" s="159"/>
      <c r="AA71" s="159"/>
      <c r="AB71" s="159"/>
    </row>
    <row r="72" spans="1:28" ht="21.95" customHeight="1">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row>
    <row r="73" spans="1:28" ht="21.95" customHeight="1">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row>
    <row r="74" spans="1:28" ht="21.95" customHeight="1">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row>
    <row r="75" spans="1:28" ht="21.95" customHeight="1">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row>
    <row r="76" spans="1:28" ht="21.95" customHeight="1">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row>
    <row r="77" spans="1:28" ht="21.95" customHeight="1">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row>
    <row r="78" spans="1:28" ht="21.95" customHeight="1">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row>
    <row r="79" spans="1:28" ht="21.95" customHeight="1">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row>
    <row r="80" spans="1:28" ht="21.95" customHeight="1">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row>
    <row r="81" spans="1:28" ht="21.95" customHeight="1">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row>
    <row r="82" spans="1:28" ht="21.95" customHeight="1">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row>
    <row r="83" spans="1:28" ht="21.95" customHeight="1">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row>
    <row r="84" spans="1:28" ht="21.95" customHeight="1">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row>
    <row r="85" spans="1:28" ht="21.95" customHeight="1">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row>
    <row r="86" spans="1:28" ht="21.95" customHeight="1">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row>
    <row r="87" spans="1:28" ht="21.95" customHeight="1">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row>
    <row r="88" spans="1:28" ht="21.95" customHeight="1">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row>
    <row r="89" spans="1:28" ht="21.95" customHeight="1">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row>
    <row r="90" spans="1:28" ht="21.95" customHeight="1">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row>
    <row r="91" spans="1:28" ht="21.95" customHeight="1">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row>
    <row r="92" spans="1:28" ht="21.95" customHeight="1">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row>
    <row r="93" spans="1:28" ht="21.95" customHeight="1">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row>
    <row r="94" spans="1:28" ht="21.95" customHeight="1">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row>
    <row r="95" spans="1:28" ht="21.95" customHeight="1">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row>
    <row r="96" spans="1:28" ht="21.95" customHeight="1">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row>
    <row r="97" spans="1:28" ht="21.95" customHeight="1">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row>
    <row r="98" spans="1:28" ht="21.95" customHeight="1">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row>
    <row r="99" spans="1:28" ht="21.95" customHeight="1">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row>
    <row r="100" spans="1:28" ht="21.95" customHeight="1">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row>
    <row r="101" spans="1:28" ht="21.95" customHeight="1">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row>
    <row r="102" spans="1:28" ht="21.95" customHeight="1">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row>
    <row r="103" spans="1:28" ht="21.95" customHeight="1">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row>
    <row r="104" spans="1:28" ht="21.95" customHeight="1">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row>
    <row r="105" spans="1:28" ht="21.95" customHeight="1">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row>
    <row r="106" spans="1:28" ht="21.95" customHeight="1">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row>
    <row r="107" spans="1:28" ht="21.95" customHeight="1">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row>
    <row r="108" spans="1:28" ht="21.95" customHeight="1">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row>
    <row r="109" spans="1:28" ht="21.95" customHeight="1">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row>
    <row r="110" spans="1:28" ht="21.95" customHeight="1">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row>
    <row r="111" spans="1:28" ht="21.95" customHeight="1">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row>
    <row r="112" spans="1:28" ht="21.95" customHeight="1">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row>
    <row r="113" spans="1:28" ht="21.95" customHeight="1">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row>
    <row r="114" spans="1:28" ht="21.95" customHeight="1">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row>
    <row r="115" spans="1:28" ht="21.95" customHeight="1">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row>
    <row r="116" spans="1:28" ht="21.95" customHeight="1">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row>
    <row r="117" spans="1:28" ht="21.95" customHeight="1">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row>
    <row r="118" spans="1:28" ht="21.95" customHeight="1">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row>
    <row r="119" spans="1:28" ht="21.95" customHeight="1">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row>
    <row r="120" spans="1:28" ht="21.95" customHeight="1">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row>
    <row r="121" spans="1:28" ht="21.95" customHeight="1">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row>
    <row r="122" spans="1:28" ht="21.95" customHeight="1">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row>
    <row r="123" spans="1:28" ht="21.95" customHeight="1">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row>
    <row r="124" spans="1:28" ht="21.95" customHeight="1">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row>
    <row r="125" spans="1:28" ht="21.95" customHeight="1">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row>
    <row r="126" spans="1:28" ht="21.95" customHeight="1">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row>
    <row r="127" spans="1:28" ht="21.95" customHeight="1">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row>
    <row r="128" spans="1:28" ht="21.95" customHeight="1">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row>
    <row r="129" spans="1:28" ht="21.95" customHeight="1">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row>
    <row r="130" spans="1:28" ht="21.95" customHeight="1">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row>
    <row r="131" spans="1:28" ht="21.95" customHeight="1">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row>
    <row r="132" spans="1:28" ht="21.95" customHeight="1">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row>
    <row r="133" spans="1:28" ht="21.95" customHeight="1">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row>
    <row r="134" spans="1:28" ht="21.95" customHeight="1">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row>
    <row r="135" spans="1:28" ht="21.95" customHeight="1">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row>
    <row r="136" spans="1:28" ht="21.95" customHeight="1">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row>
    <row r="137" spans="1:28" ht="21.95" customHeight="1">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row>
    <row r="138" spans="1:28" ht="15" customHeight="1">
      <c r="A138" s="161"/>
      <c r="B138" s="161"/>
      <c r="C138" s="161"/>
      <c r="D138" s="161"/>
      <c r="E138" s="161"/>
      <c r="F138" s="161"/>
      <c r="G138" s="161"/>
      <c r="H138" s="161"/>
      <c r="I138" s="161"/>
      <c r="J138" s="161"/>
      <c r="K138" s="161"/>
      <c r="L138" s="161"/>
      <c r="M138" s="161"/>
      <c r="N138" s="161"/>
      <c r="O138" s="161"/>
      <c r="P138" s="161"/>
      <c r="Q138" s="161"/>
      <c r="R138" s="161"/>
      <c r="S138" s="161"/>
      <c r="T138" s="161"/>
      <c r="U138" s="161"/>
      <c r="V138" s="161"/>
      <c r="W138" s="161"/>
      <c r="X138" s="161"/>
      <c r="Y138" s="161"/>
      <c r="Z138" s="161"/>
      <c r="AA138" s="161"/>
      <c r="AB138" s="161"/>
    </row>
    <row r="139" spans="1:28" ht="15" customHeight="1">
      <c r="A139" s="161"/>
      <c r="B139" s="161"/>
      <c r="C139" s="161"/>
      <c r="D139" s="161"/>
      <c r="E139" s="161"/>
      <c r="F139" s="161"/>
      <c r="G139" s="161"/>
      <c r="H139" s="161"/>
      <c r="I139" s="161"/>
      <c r="J139" s="161"/>
      <c r="K139" s="161"/>
      <c r="L139" s="161"/>
      <c r="M139" s="161"/>
      <c r="N139" s="161"/>
      <c r="O139" s="161"/>
      <c r="P139" s="161"/>
      <c r="Q139" s="161"/>
      <c r="R139" s="161"/>
      <c r="S139" s="161"/>
      <c r="T139" s="161"/>
      <c r="U139" s="161"/>
      <c r="V139" s="161"/>
      <c r="W139" s="161"/>
      <c r="X139" s="161"/>
      <c r="Y139" s="161"/>
      <c r="Z139" s="161"/>
      <c r="AA139" s="161"/>
      <c r="AB139" s="161"/>
    </row>
  </sheetData>
  <sheetProtection selectLockedCells="1"/>
  <mergeCells count="1">
    <mergeCell ref="C1:G3"/>
  </mergeCells>
  <conditionalFormatting sqref="E17 G17 I17 K17 E31:E34 E38 G31:G34 G38 I31:I34 I38 K31:K34 K38 U31:U34 U38 E44:E48 G44:G48 I44:I48 K44:K48 U44:U48 E52:E56 G52:G56 I52:I56 K52:K56 U52:U56 E60:E64 G60:G64 I60:I64 K60:K64 U60:U64 E67 G67 I67 K67 U67">
    <cfRule type="expression" dxfId="137" priority="41">
      <formula>decCurrency=nmGBP</formula>
    </cfRule>
    <cfRule type="expression" dxfId="136" priority="42">
      <formula>decCurrency=nmJPY</formula>
    </cfRule>
    <cfRule type="expression" dxfId="135" priority="43">
      <formula>decCurrency=nmEUR</formula>
    </cfRule>
    <cfRule type="expression" dxfId="134" priority="44">
      <formula>OR(decCurrency=nmUSD,decCurrency=nmCAD,decCurrency=nmAUD)</formula>
    </cfRule>
  </conditionalFormatting>
  <conditionalFormatting sqref="E37 G37 I37 K37 U37">
    <cfRule type="expression" dxfId="133" priority="37">
      <formula>decCurrency=nmGBP</formula>
    </cfRule>
    <cfRule type="expression" dxfId="132" priority="38">
      <formula>decCurrency=nmJPY</formula>
    </cfRule>
    <cfRule type="expression" dxfId="131" priority="39">
      <formula>decCurrency=nmEUR</formula>
    </cfRule>
    <cfRule type="expression" dxfId="130" priority="40">
      <formula>OR(decCurrency=nmUSD,decCurrency=nmCAD,decCurrency=nmAUD)</formula>
    </cfRule>
  </conditionalFormatting>
  <conditionalFormatting sqref="M17 M31:M34 M38 M44:M48 M52:M56 M60:M64 M67">
    <cfRule type="expression" dxfId="129" priority="29">
      <formula>decCurrency=nmGBP</formula>
    </cfRule>
    <cfRule type="expression" dxfId="128" priority="30">
      <formula>decCurrency=nmJPY</formula>
    </cfRule>
    <cfRule type="expression" dxfId="127" priority="31">
      <formula>decCurrency=nmEUR</formula>
    </cfRule>
    <cfRule type="expression" dxfId="126" priority="32">
      <formula>OR(decCurrency=nmUSD,decCurrency=nmCAD,decCurrency=nmAUD)</formula>
    </cfRule>
  </conditionalFormatting>
  <conditionalFormatting sqref="M37">
    <cfRule type="expression" dxfId="125" priority="25">
      <formula>decCurrency=nmGBP</formula>
    </cfRule>
    <cfRule type="expression" dxfId="124" priority="26">
      <formula>decCurrency=nmJPY</formula>
    </cfRule>
    <cfRule type="expression" dxfId="123" priority="27">
      <formula>decCurrency=nmEUR</formula>
    </cfRule>
    <cfRule type="expression" dxfId="122" priority="28">
      <formula>OR(decCurrency=nmUSD,decCurrency=nmCAD,decCurrency=nmAUD)</formula>
    </cfRule>
  </conditionalFormatting>
  <conditionalFormatting sqref="O17 O31:O34 O38 O44:O48 O52:O56 O60:O64 O67">
    <cfRule type="expression" dxfId="121" priority="21">
      <formula>decCurrency=nmGBP</formula>
    </cfRule>
    <cfRule type="expression" dxfId="120" priority="22">
      <formula>decCurrency=nmJPY</formula>
    </cfRule>
    <cfRule type="expression" dxfId="119" priority="23">
      <formula>decCurrency=nmEUR</formula>
    </cfRule>
    <cfRule type="expression" dxfId="118" priority="24">
      <formula>OR(decCurrency=nmUSD,decCurrency=nmCAD,decCurrency=nmAUD)</formula>
    </cfRule>
  </conditionalFormatting>
  <conditionalFormatting sqref="O37">
    <cfRule type="expression" dxfId="117" priority="17">
      <formula>decCurrency=nmGBP</formula>
    </cfRule>
    <cfRule type="expression" dxfId="116" priority="18">
      <formula>decCurrency=nmJPY</formula>
    </cfRule>
    <cfRule type="expression" dxfId="115" priority="19">
      <formula>decCurrency=nmEUR</formula>
    </cfRule>
    <cfRule type="expression" dxfId="114" priority="20">
      <formula>OR(decCurrency=nmUSD,decCurrency=nmCAD,decCurrency=nmAUD)</formula>
    </cfRule>
  </conditionalFormatting>
  <conditionalFormatting sqref="Q17 Q31:Q34 Q38 Q44:Q48 Q52:Q56 Q60:Q64 Q67">
    <cfRule type="expression" dxfId="113" priority="13">
      <formula>decCurrency=nmGBP</formula>
    </cfRule>
    <cfRule type="expression" dxfId="112" priority="14">
      <formula>decCurrency=nmJPY</formula>
    </cfRule>
    <cfRule type="expression" dxfId="111" priority="15">
      <formula>decCurrency=nmEUR</formula>
    </cfRule>
    <cfRule type="expression" dxfId="110" priority="16">
      <formula>OR(decCurrency=nmUSD,decCurrency=nmCAD,decCurrency=nmAUD)</formula>
    </cfRule>
  </conditionalFormatting>
  <conditionalFormatting sqref="Q37">
    <cfRule type="expression" dxfId="109" priority="9">
      <formula>decCurrency=nmGBP</formula>
    </cfRule>
    <cfRule type="expression" dxfId="108" priority="10">
      <formula>decCurrency=nmJPY</formula>
    </cfRule>
    <cfRule type="expression" dxfId="107" priority="11">
      <formula>decCurrency=nmEUR</formula>
    </cfRule>
    <cfRule type="expression" dxfId="106" priority="12">
      <formula>OR(decCurrency=nmUSD,decCurrency=nmCAD,decCurrency=nmAUD)</formula>
    </cfRule>
  </conditionalFormatting>
  <conditionalFormatting sqref="S17 S31:S34 S38 S44:S48 S52:S56 S60:S64 S67">
    <cfRule type="expression" dxfId="105" priority="5">
      <formula>decCurrency=nmGBP</formula>
    </cfRule>
    <cfRule type="expression" dxfId="104" priority="6">
      <formula>decCurrency=nmJPY</formula>
    </cfRule>
    <cfRule type="expression" dxfId="103" priority="7">
      <formula>decCurrency=nmEUR</formula>
    </cfRule>
    <cfRule type="expression" dxfId="102" priority="8">
      <formula>OR(decCurrency=nmUSD,decCurrency=nmCAD,decCurrency=nmAUD)</formula>
    </cfRule>
  </conditionalFormatting>
  <conditionalFormatting sqref="S37">
    <cfRule type="expression" dxfId="101" priority="1">
      <formula>decCurrency=nmGBP</formula>
    </cfRule>
    <cfRule type="expression" dxfId="100" priority="2">
      <formula>decCurrency=nmJPY</formula>
    </cfRule>
    <cfRule type="expression" dxfId="99" priority="3">
      <formula>decCurrency=nmEUR</formula>
    </cfRule>
    <cfRule type="expression" dxfId="98" priority="4">
      <formula>OR(decCurrency=nmUSD,decCurrency=nmCAD,decCurrency=nmAUD)</formula>
    </cfRule>
  </conditionalFormatting>
  <dataValidations count="15">
    <dataValidation type="list" allowBlank="1" showInputMessage="1" showErrorMessage="1" errorTitle="Please make a valid selection" error="Please make a valid selection." sqref="E21">
      <formula1>INDIRECT(tlOutput_Path1_ProdSub)</formula1>
    </dataValidation>
    <dataValidation type="list" allowBlank="1" showInputMessage="1" showErrorMessage="1" errorTitle="Please make a valid selection" error="Please make a valid selection." sqref="G21">
      <formula1>INDIRECT(tlOutput_Path2_ProdSub)</formula1>
    </dataValidation>
    <dataValidation type="list" allowBlank="1" showInputMessage="1" showErrorMessage="1" errorTitle="Please make a valid selection" error="Please make a valid selection." sqref="I21">
      <formula1>INDIRECT(tlOutput_Path3_ProdSub)</formula1>
    </dataValidation>
    <dataValidation type="list" allowBlank="1" showInputMessage="1" showErrorMessage="1" errorTitle="Please make a valid selection" error="Please make a valid selection." sqref="K21">
      <formula1>INDIRECT(tlOutput_Path4_ProdSub)</formula1>
    </dataValidation>
    <dataValidation type="list" allowBlank="1" showInputMessage="1" showErrorMessage="1" sqref="O21 G21">
      <formula1>INDIRECT(DataPaths_Path6_ProdSub)</formula1>
    </dataValidation>
    <dataValidation type="list" allowBlank="1" showInputMessage="1" showErrorMessage="1" errorTitle="Currecy Selection" error="Please select a valid currency." sqref="E7">
      <formula1>tlOutputListCurrency</formula1>
    </dataValidation>
    <dataValidation type="list" allowBlank="1" showInputMessage="1" showErrorMessage="1" errorTitle="Language Selection" error="Please select a valid language." sqref="E9">
      <formula1>tlOutputLanguages</formula1>
    </dataValidation>
    <dataValidation type="whole" operator="greaterThanOrEqual" allowBlank="1" showInputMessage="1" showErrorMessage="1" errorTitle="Please enter a valid quantity" error="Please enter a quantity greater than or equal to 1." sqref="E23 G23 I23 K23 M23 O23 Q23 S23">
      <formula1>1</formula1>
    </dataValidation>
    <dataValidation type="list" allowBlank="1" showInputMessage="1" showErrorMessage="1" errorTitle="Please make a valid selection" error="Please make a valid selection." sqref="E13 G13 I13 K13 M13 O13 Q13 S13">
      <formula1>tlOutput_List_ProdMT</formula1>
    </dataValidation>
    <dataValidation type="list" allowBlank="1" showInputMessage="1" showErrorMessage="1" errorTitle="Please make a valid selection" error="Please make a valid selection." sqref="E19 G19 I19 K19 M19 O19 Q19 S19">
      <formula1>tlOutputListGlossary</formula1>
    </dataValidation>
    <dataValidation type="list" allowBlank="1" showInputMessage="1" showErrorMessage="1" errorTitle="Please make a valid selection" error="Please make a valid selection." sqref="M21">
      <formula1>INDIRECT(tlOutput_Path5_ProdSub)</formula1>
    </dataValidation>
    <dataValidation type="list" allowBlank="1" showInputMessage="1" showErrorMessage="1" errorTitle="Please make a valid selection" error="Please make a valid selection." sqref="O21">
      <formula1>INDIRECT(tlOutput_Path6_ProdSub)</formula1>
    </dataValidation>
    <dataValidation type="list" allowBlank="1" showInputMessage="1" showErrorMessage="1" errorTitle="Please make a valid selection" error="Please make a valid selection." sqref="Q21">
      <formula1>INDIRECT(tlOutput_Path7_ProdSub)</formula1>
    </dataValidation>
    <dataValidation type="list" allowBlank="1" showInputMessage="1" showErrorMessage="1" errorTitle="Please make a valid selection" error="Please make a valid selection." sqref="S21">
      <formula1>INDIRECT(tlOutput_Path8_ProdSub)</formula1>
    </dataValidation>
    <dataValidation type="list" allowBlank="1" showInputMessage="1" showErrorMessage="1" sqref="S21">
      <formula1>INDIRECT(DataPaths_Path8_ProdSub)</formula1>
    </dataValidation>
  </dataValidations>
  <pageMargins left="0.7" right="0.7" top="0.75" bottom="0.75" header="0.3" footer="0.3"/>
  <pageSetup paperSize="9" scale="44"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2060"/>
  </sheetPr>
  <dimension ref="A1:I179"/>
  <sheetViews>
    <sheetView topLeftCell="A34" workbookViewId="0">
      <selection activeCell="E53" sqref="E53"/>
    </sheetView>
  </sheetViews>
  <sheetFormatPr defaultColWidth="8.796875" defaultRowHeight="14.25" customHeight="1"/>
  <cols>
    <col min="1" max="2" width="2.5" customWidth="1"/>
    <col min="3" max="3" width="22.296875" customWidth="1"/>
    <col min="4" max="4" width="2.5" customWidth="1"/>
    <col min="5" max="9" width="22.296875" customWidth="1"/>
    <col min="10" max="12" width="8.796875" customWidth="1"/>
  </cols>
  <sheetData>
    <row r="1" spans="1:9">
      <c r="A1" s="133" t="s">
        <v>202</v>
      </c>
      <c r="B1" s="132"/>
      <c r="C1" s="132"/>
      <c r="D1" s="132"/>
      <c r="E1" s="132"/>
      <c r="F1" s="132"/>
      <c r="G1" s="132"/>
      <c r="H1" s="132"/>
      <c r="I1" s="132"/>
    </row>
    <row r="2" spans="1:9">
      <c r="A2" s="130"/>
      <c r="B2" s="130"/>
      <c r="C2" s="131"/>
      <c r="D2" s="131"/>
      <c r="E2" s="131"/>
      <c r="F2" s="131"/>
      <c r="G2" s="131"/>
      <c r="H2" s="130"/>
      <c r="I2" s="131"/>
    </row>
    <row r="3" spans="1:9">
      <c r="A3" s="130"/>
      <c r="B3" s="130"/>
      <c r="C3" s="130" t="s">
        <v>109</v>
      </c>
      <c r="D3" s="62" t="s">
        <v>101</v>
      </c>
      <c r="E3" s="130"/>
      <c r="F3" s="62"/>
      <c r="G3" s="61"/>
      <c r="H3" s="130"/>
      <c r="I3" s="61"/>
    </row>
    <row r="4" spans="1:9">
      <c r="A4" s="119"/>
      <c r="B4" s="119"/>
      <c r="C4" s="119"/>
      <c r="D4" s="119"/>
      <c r="E4" s="119"/>
      <c r="F4" s="119"/>
      <c r="G4" s="119"/>
      <c r="H4" s="119"/>
      <c r="I4" s="119"/>
    </row>
    <row r="5" spans="1:9">
      <c r="A5" s="129"/>
      <c r="B5" s="127"/>
      <c r="C5" s="127" t="s">
        <v>108</v>
      </c>
      <c r="D5" s="127"/>
      <c r="E5" s="127"/>
      <c r="F5" s="127"/>
      <c r="G5" s="128"/>
      <c r="H5" s="128"/>
      <c r="I5" s="128"/>
    </row>
    <row r="6" spans="1:9">
      <c r="A6" s="119"/>
      <c r="B6" s="119"/>
      <c r="C6" s="119"/>
      <c r="D6" s="119"/>
      <c r="E6" s="119"/>
      <c r="F6" s="119"/>
      <c r="G6" s="119"/>
      <c r="H6" s="119"/>
      <c r="I6" s="119"/>
    </row>
    <row r="7" spans="1:9">
      <c r="A7" s="119"/>
      <c r="B7" s="119"/>
      <c r="C7" s="126" t="s">
        <v>107</v>
      </c>
      <c r="D7" s="126"/>
      <c r="E7" s="126"/>
      <c r="F7" s="126"/>
      <c r="G7" s="125" t="s">
        <v>106</v>
      </c>
      <c r="H7" s="119"/>
      <c r="I7" s="119"/>
    </row>
    <row r="8" spans="1:9">
      <c r="A8" s="119"/>
      <c r="B8" s="119"/>
      <c r="C8" s="124"/>
      <c r="D8" s="120" t="s">
        <v>98</v>
      </c>
      <c r="E8" s="119"/>
      <c r="F8" s="119"/>
      <c r="G8" s="123"/>
      <c r="H8" s="120" t="s">
        <v>99</v>
      </c>
      <c r="I8" s="119"/>
    </row>
    <row r="9" spans="1:9">
      <c r="A9" s="119"/>
      <c r="B9" s="119"/>
      <c r="C9" s="122"/>
      <c r="D9" s="120" t="s">
        <v>97</v>
      </c>
      <c r="E9" s="119"/>
      <c r="F9" s="119"/>
      <c r="G9" s="119"/>
      <c r="H9" s="119"/>
      <c r="I9" s="119"/>
    </row>
    <row r="10" spans="1:9">
      <c r="A10" s="119"/>
      <c r="B10" s="119"/>
      <c r="C10" s="121"/>
      <c r="D10" s="120" t="s">
        <v>100</v>
      </c>
      <c r="E10" s="119"/>
      <c r="F10" s="119"/>
      <c r="G10" s="119"/>
      <c r="H10" s="119"/>
      <c r="I10" s="119"/>
    </row>
    <row r="11" spans="1:9">
      <c r="A11" s="119"/>
      <c r="B11" s="119"/>
      <c r="C11" s="119"/>
      <c r="D11" s="119"/>
      <c r="E11" s="119"/>
      <c r="F11" s="119"/>
      <c r="G11" s="119"/>
      <c r="H11" s="119"/>
      <c r="I11" s="119"/>
    </row>
    <row r="12" spans="1:9" ht="15">
      <c r="A12" s="103" t="s">
        <v>201</v>
      </c>
      <c r="B12" s="102"/>
      <c r="C12" s="102"/>
      <c r="D12" s="102"/>
      <c r="E12" s="102"/>
      <c r="F12" s="102"/>
      <c r="G12" s="102"/>
      <c r="H12" s="102"/>
      <c r="I12" s="102"/>
    </row>
    <row r="13" spans="1:9" ht="15">
      <c r="A13" s="92"/>
      <c r="B13" s="92"/>
      <c r="C13" s="92"/>
      <c r="D13" s="92"/>
      <c r="E13" s="92"/>
      <c r="F13" s="92"/>
      <c r="G13" s="92"/>
      <c r="H13" s="92"/>
      <c r="I13" s="92"/>
    </row>
    <row r="14" spans="1:9" ht="15">
      <c r="A14" s="92"/>
      <c r="B14" s="92"/>
      <c r="C14" s="92" t="s">
        <v>167</v>
      </c>
      <c r="D14" s="92"/>
      <c r="E14" s="117" t="str">
        <f>F114&amp;DB_LargeWhiteSpace&amp;F115&amp;DB_LargeWhiteSpace&amp;F116&amp;DB_LargeWhiteSpace&amp;F117&amp;DB_LargeWhiteSpace&amp;F118&amp;DB_LargeWhiteSpace&amp;F119&amp;DB_LargeWhiteSpace&amp;F120&amp;DB_LargeWhiteSpace&amp;F121&amp;F122&amp;F123</f>
        <v xml:space="preserve">Stay on Maintenance:  0    New Subscription SRP:  0                        </v>
      </c>
      <c r="F14" s="118"/>
      <c r="G14" s="118"/>
      <c r="H14" s="118"/>
      <c r="I14" s="92"/>
    </row>
    <row r="15" spans="1:9" ht="15">
      <c r="A15" s="92"/>
      <c r="B15" s="92"/>
      <c r="C15" s="92"/>
      <c r="D15" s="92"/>
      <c r="E15" s="104" t="s">
        <v>200</v>
      </c>
      <c r="F15" s="92"/>
      <c r="G15" s="92"/>
      <c r="H15" s="92"/>
      <c r="I15" s="92"/>
    </row>
    <row r="16" spans="1:9" ht="15">
      <c r="A16" s="92"/>
      <c r="B16" s="92"/>
      <c r="C16" s="92"/>
      <c r="D16" s="92"/>
      <c r="E16" s="105"/>
      <c r="F16" s="92"/>
      <c r="G16" s="92"/>
      <c r="H16" s="92"/>
      <c r="I16" s="92"/>
    </row>
    <row r="17" spans="1:9" ht="15">
      <c r="A17" s="92"/>
      <c r="B17" s="92"/>
      <c r="C17" s="92" t="s">
        <v>166</v>
      </c>
      <c r="D17" s="92"/>
      <c r="E17" s="117" t="str">
        <f>nmMigrate&amp;": "&amp;DB_LargeWhiteSpace&amp;F128&amp;DB_LargeWhiteSpace&amp;F129&amp;DB_LargeWhiteSpace&amp;F130&amp;DB_LargeWhiteSpace&amp;F131&amp;DB_LargeWhiteSpace&amp;F132&amp;DB_LargeWhiteSpace&amp;F133&amp;DB_LargeWhiteSpace&amp;F134&amp;F135&amp;F136&amp;F137</f>
        <v xml:space="preserve">Maintenance to Subscription:     Switch in Year 2:  0    Switch in Year 3:  0                    </v>
      </c>
      <c r="F17" s="118"/>
      <c r="G17" s="118"/>
      <c r="H17" s="118"/>
      <c r="I17" s="92"/>
    </row>
    <row r="18" spans="1:9" ht="15">
      <c r="A18" s="92"/>
      <c r="B18" s="92"/>
      <c r="C18" s="92"/>
      <c r="D18" s="92"/>
      <c r="E18" s="104" t="s">
        <v>199</v>
      </c>
      <c r="F18" s="92"/>
      <c r="G18" s="92"/>
      <c r="H18" s="92"/>
      <c r="I18" s="92"/>
    </row>
    <row r="19" spans="1:9" ht="15">
      <c r="A19" s="92"/>
      <c r="B19" s="92"/>
      <c r="C19" s="92"/>
      <c r="D19" s="92"/>
      <c r="E19" s="105"/>
      <c r="F19" s="92"/>
      <c r="G19" s="92"/>
      <c r="H19" s="92"/>
      <c r="I19" s="92"/>
    </row>
    <row r="20" spans="1:9" ht="15">
      <c r="A20" s="92"/>
      <c r="B20" s="92"/>
      <c r="C20" s="92" t="s">
        <v>165</v>
      </c>
      <c r="D20" s="92"/>
      <c r="E20" s="117" t="str">
        <f>F142&amp;F143&amp;F144&amp;F145&amp;F146&amp;F147&amp;F148&amp;F149&amp;F150&amp;F151</f>
        <v/>
      </c>
      <c r="F20" s="118"/>
      <c r="G20" s="118"/>
      <c r="H20" s="118"/>
      <c r="I20" s="92"/>
    </row>
    <row r="21" spans="1:9" ht="15">
      <c r="A21" s="92"/>
      <c r="B21" s="92"/>
      <c r="C21" s="92"/>
      <c r="D21" s="92"/>
      <c r="E21" s="104" t="s">
        <v>198</v>
      </c>
      <c r="F21" s="92"/>
      <c r="G21" s="92"/>
      <c r="H21" s="92"/>
      <c r="I21" s="92"/>
    </row>
    <row r="22" spans="1:9" ht="15">
      <c r="A22" s="92"/>
      <c r="B22" s="92"/>
      <c r="C22" s="92"/>
      <c r="D22" s="92"/>
      <c r="E22" s="92"/>
      <c r="F22" s="92"/>
      <c r="G22" s="92"/>
      <c r="H22" s="92"/>
      <c r="I22" s="92"/>
    </row>
    <row r="23" spans="1:9" ht="15">
      <c r="A23" s="92"/>
      <c r="B23" s="92"/>
      <c r="C23" s="92" t="s">
        <v>164</v>
      </c>
      <c r="D23" s="92"/>
      <c r="E23" s="117" t="str">
        <f>F156&amp;F157&amp;F158&amp;F159&amp;F160&amp;F161&amp;F162&amp;F163&amp;F164&amp;F165</f>
        <v/>
      </c>
      <c r="F23" s="92"/>
      <c r="G23" s="92"/>
      <c r="H23" s="92"/>
      <c r="I23" s="92"/>
    </row>
    <row r="24" spans="1:9" ht="15">
      <c r="A24" s="92"/>
      <c r="B24" s="92"/>
      <c r="C24" s="92"/>
      <c r="D24" s="92"/>
      <c r="E24" s="104" t="s">
        <v>197</v>
      </c>
      <c r="F24" s="92"/>
      <c r="G24" s="92"/>
      <c r="H24" s="92"/>
      <c r="I24" s="92"/>
    </row>
    <row r="25" spans="1:9" ht="15">
      <c r="A25" s="92"/>
      <c r="B25" s="92"/>
      <c r="C25" s="92"/>
      <c r="D25" s="92"/>
      <c r="E25" s="92"/>
      <c r="F25" s="92"/>
      <c r="G25" s="92"/>
      <c r="H25" s="92"/>
      <c r="I25" s="92"/>
    </row>
    <row r="26" spans="1:9" ht="15">
      <c r="A26" s="92"/>
      <c r="B26" s="92"/>
      <c r="C26" s="92" t="s">
        <v>163</v>
      </c>
      <c r="D26" s="92"/>
      <c r="E26" s="117" t="str">
        <f>F159&amp;F160&amp;F161&amp;F162&amp;F163&amp;F164&amp;F165&amp;F166&amp;F167&amp;F168</f>
        <v/>
      </c>
      <c r="F26" s="92"/>
      <c r="G26" s="92"/>
      <c r="H26" s="92"/>
      <c r="I26" s="92"/>
    </row>
    <row r="27" spans="1:9" ht="15">
      <c r="A27" s="92"/>
      <c r="B27" s="92"/>
      <c r="C27" s="92"/>
      <c r="D27" s="92"/>
      <c r="E27" s="104" t="s">
        <v>196</v>
      </c>
      <c r="F27" s="92"/>
      <c r="G27" s="92"/>
      <c r="H27" s="92"/>
      <c r="I27" s="92"/>
    </row>
    <row r="28" spans="1:9" ht="15">
      <c r="A28" s="92"/>
      <c r="B28" s="92"/>
      <c r="C28" s="92"/>
      <c r="D28" s="92"/>
      <c r="E28" s="92"/>
      <c r="F28" s="92"/>
      <c r="G28" s="92"/>
      <c r="H28" s="92"/>
      <c r="I28" s="92"/>
    </row>
    <row r="29" spans="1:9" ht="15">
      <c r="A29" s="103" t="s">
        <v>105</v>
      </c>
      <c r="B29" s="102"/>
      <c r="C29" s="102"/>
      <c r="D29" s="102"/>
      <c r="E29" s="102"/>
      <c r="F29" s="102"/>
      <c r="G29" s="102"/>
      <c r="H29" s="102"/>
      <c r="I29" s="102"/>
    </row>
    <row r="30" spans="1:9" ht="15">
      <c r="A30" s="92"/>
      <c r="B30" s="92"/>
      <c r="C30" s="92"/>
      <c r="D30" s="92"/>
      <c r="E30" s="92"/>
      <c r="F30" s="92"/>
      <c r="G30" s="92"/>
      <c r="H30" s="92"/>
      <c r="I30" s="92"/>
    </row>
    <row r="31" spans="1:9" ht="15">
      <c r="A31" s="92"/>
      <c r="B31" s="92"/>
      <c r="C31" s="100" t="s">
        <v>195</v>
      </c>
      <c r="D31" s="92"/>
      <c r="E31" s="116">
        <v>2</v>
      </c>
      <c r="F31" s="92" t="s">
        <v>194</v>
      </c>
      <c r="G31" s="92"/>
      <c r="H31" s="92"/>
      <c r="I31" s="92"/>
    </row>
    <row r="32" spans="1:9" ht="15">
      <c r="A32" s="92"/>
      <c r="B32" s="92"/>
      <c r="C32" s="100" t="s">
        <v>193</v>
      </c>
      <c r="D32" s="92"/>
      <c r="E32" s="116">
        <v>4</v>
      </c>
      <c r="F32" s="92" t="s">
        <v>192</v>
      </c>
      <c r="G32" s="92"/>
      <c r="H32" s="92"/>
      <c r="I32" s="92"/>
    </row>
    <row r="33" spans="1:9" ht="15">
      <c r="A33" s="92"/>
      <c r="B33" s="92"/>
      <c r="C33" s="92" t="s">
        <v>191</v>
      </c>
      <c r="D33" s="92"/>
      <c r="E33" s="116">
        <v>2</v>
      </c>
      <c r="F33" s="92" t="s">
        <v>190</v>
      </c>
      <c r="G33" s="92"/>
      <c r="H33" s="92"/>
      <c r="I33" s="92"/>
    </row>
    <row r="34" spans="1:9" ht="15">
      <c r="A34" s="92"/>
      <c r="B34" s="92"/>
      <c r="C34" s="92"/>
      <c r="D34" s="92"/>
      <c r="E34" s="92"/>
      <c r="F34" s="105"/>
      <c r="G34" s="92"/>
      <c r="H34" s="92"/>
      <c r="I34" s="92"/>
    </row>
    <row r="35" spans="1:9" ht="15">
      <c r="A35" s="92"/>
      <c r="B35" s="115" t="s">
        <v>167</v>
      </c>
      <c r="C35" s="92"/>
      <c r="D35" s="92"/>
      <c r="E35" s="92"/>
      <c r="F35" s="92"/>
      <c r="G35" s="92"/>
      <c r="H35" s="92"/>
      <c r="I35" s="92"/>
    </row>
    <row r="36" spans="1:9" ht="15">
      <c r="A36" s="92"/>
      <c r="B36" s="92"/>
      <c r="C36" s="92" t="s">
        <v>181</v>
      </c>
      <c r="D36" s="92"/>
      <c r="E36" s="92" t="s">
        <v>180</v>
      </c>
      <c r="F36" s="100" t="s">
        <v>179</v>
      </c>
      <c r="G36" s="100" t="s">
        <v>178</v>
      </c>
      <c r="H36" s="92" t="s">
        <v>177</v>
      </c>
      <c r="I36" s="92" t="s">
        <v>176</v>
      </c>
    </row>
    <row r="37" spans="1:9" ht="15">
      <c r="A37" s="92"/>
      <c r="B37" s="92">
        <v>1</v>
      </c>
      <c r="C37" s="114" t="str">
        <f>nmMTAll&amp;":"</f>
        <v>Stay on Maintenance:</v>
      </c>
      <c r="D37" s="92"/>
      <c r="E37" s="114" t="b">
        <v>1</v>
      </c>
      <c r="F37" s="113">
        <f>calcTotalMTCost_AllYears</f>
        <v>0</v>
      </c>
      <c r="G37" s="112">
        <f>F37</f>
        <v>0</v>
      </c>
      <c r="H37" s="113"/>
      <c r="I37" s="112"/>
    </row>
    <row r="38" spans="1:9" ht="15">
      <c r="A38" s="92"/>
      <c r="B38" s="92">
        <v>2</v>
      </c>
      <c r="C38" s="111" t="str">
        <f>nmNewSub&amp;":"</f>
        <v>New Subscription SRP:</v>
      </c>
      <c r="D38" s="92"/>
      <c r="E38" s="111" t="b">
        <v>1</v>
      </c>
      <c r="F38" s="110">
        <f>calcTotalSubSRP3Yr</f>
        <v>0</v>
      </c>
      <c r="G38" s="109">
        <f t="shared" ref="G38:G46" si="0">F38</f>
        <v>0</v>
      </c>
      <c r="H38" s="110"/>
      <c r="I38" s="109"/>
    </row>
    <row r="39" spans="1:9" ht="15">
      <c r="A39" s="92"/>
      <c r="B39" s="92">
        <v>3</v>
      </c>
      <c r="C39" s="111"/>
      <c r="D39" s="92"/>
      <c r="E39" s="111" t="b">
        <v>0</v>
      </c>
      <c r="F39" s="110"/>
      <c r="G39" s="109">
        <f t="shared" si="0"/>
        <v>0</v>
      </c>
      <c r="H39" s="110"/>
      <c r="I39" s="109"/>
    </row>
    <row r="40" spans="1:9" ht="15">
      <c r="A40" s="92"/>
      <c r="B40" s="92">
        <v>4</v>
      </c>
      <c r="C40" s="111"/>
      <c r="D40" s="92"/>
      <c r="E40" s="111" t="b">
        <v>0</v>
      </c>
      <c r="F40" s="110"/>
      <c r="G40" s="109">
        <f t="shared" si="0"/>
        <v>0</v>
      </c>
      <c r="H40" s="110"/>
      <c r="I40" s="109"/>
    </row>
    <row r="41" spans="1:9" ht="15">
      <c r="A41" s="92"/>
      <c r="B41" s="92">
        <v>5</v>
      </c>
      <c r="C41" s="111"/>
      <c r="D41" s="92"/>
      <c r="E41" s="111" t="b">
        <v>0</v>
      </c>
      <c r="F41" s="110"/>
      <c r="G41" s="109">
        <f t="shared" si="0"/>
        <v>0</v>
      </c>
      <c r="H41" s="110"/>
      <c r="I41" s="109"/>
    </row>
    <row r="42" spans="1:9" ht="15">
      <c r="A42" s="92"/>
      <c r="B42" s="92">
        <v>6</v>
      </c>
      <c r="C42" s="111"/>
      <c r="D42" s="92"/>
      <c r="E42" s="111" t="b">
        <v>0</v>
      </c>
      <c r="F42" s="110"/>
      <c r="G42" s="109">
        <f t="shared" si="0"/>
        <v>0</v>
      </c>
      <c r="H42" s="110"/>
      <c r="I42" s="109"/>
    </row>
    <row r="43" spans="1:9" ht="15">
      <c r="A43" s="92"/>
      <c r="B43" s="92">
        <v>7</v>
      </c>
      <c r="C43" s="111"/>
      <c r="D43" s="92"/>
      <c r="E43" s="111" t="b">
        <v>0</v>
      </c>
      <c r="F43" s="110"/>
      <c r="G43" s="109">
        <f t="shared" si="0"/>
        <v>0</v>
      </c>
      <c r="H43" s="110"/>
      <c r="I43" s="109"/>
    </row>
    <row r="44" spans="1:9" ht="15">
      <c r="A44" s="92"/>
      <c r="B44" s="92">
        <v>8</v>
      </c>
      <c r="C44" s="111"/>
      <c r="D44" s="92"/>
      <c r="E44" s="111" t="b">
        <v>0</v>
      </c>
      <c r="F44" s="110"/>
      <c r="G44" s="109">
        <f t="shared" si="0"/>
        <v>0</v>
      </c>
      <c r="H44" s="110"/>
      <c r="I44" s="109"/>
    </row>
    <row r="45" spans="1:9" ht="15">
      <c r="A45" s="92"/>
      <c r="B45" s="92">
        <v>9</v>
      </c>
      <c r="C45" s="111"/>
      <c r="D45" s="92"/>
      <c r="E45" s="111" t="b">
        <v>0</v>
      </c>
      <c r="F45" s="110"/>
      <c r="G45" s="109">
        <f t="shared" si="0"/>
        <v>0</v>
      </c>
      <c r="H45" s="110"/>
      <c r="I45" s="109"/>
    </row>
    <row r="46" spans="1:9" ht="15">
      <c r="A46" s="92"/>
      <c r="B46" s="92">
        <v>10</v>
      </c>
      <c r="C46" s="108"/>
      <c r="D46" s="92"/>
      <c r="E46" s="108" t="b">
        <v>0</v>
      </c>
      <c r="F46" s="107"/>
      <c r="G46" s="106">
        <f t="shared" si="0"/>
        <v>0</v>
      </c>
      <c r="H46" s="107"/>
      <c r="I46" s="106"/>
    </row>
    <row r="47" spans="1:9" ht="15">
      <c r="A47" s="92"/>
      <c r="B47" s="92"/>
      <c r="C47" s="104" t="s">
        <v>189</v>
      </c>
      <c r="D47" s="92"/>
      <c r="E47" s="105"/>
      <c r="F47" s="92"/>
      <c r="G47" s="104" t="s">
        <v>188</v>
      </c>
      <c r="H47" s="92"/>
      <c r="I47" s="92"/>
    </row>
    <row r="48" spans="1:9" ht="15">
      <c r="A48" s="92"/>
      <c r="B48" s="92"/>
      <c r="C48" s="92"/>
      <c r="D48" s="92"/>
      <c r="E48" s="92"/>
      <c r="F48" s="92"/>
      <c r="G48" s="92"/>
      <c r="H48" s="92"/>
      <c r="I48" s="92"/>
    </row>
    <row r="49" spans="1:9" ht="15">
      <c r="A49" s="92"/>
      <c r="B49" s="115" t="s">
        <v>166</v>
      </c>
      <c r="C49" s="92"/>
      <c r="D49" s="92"/>
      <c r="E49" s="92"/>
      <c r="F49" s="92"/>
      <c r="G49" s="92"/>
      <c r="H49" s="92"/>
      <c r="I49" s="92"/>
    </row>
    <row r="50" spans="1:9" ht="15">
      <c r="A50" s="92"/>
      <c r="B50" s="92"/>
      <c r="C50" s="92" t="s">
        <v>181</v>
      </c>
      <c r="D50" s="92"/>
      <c r="E50" s="92" t="s">
        <v>180</v>
      </c>
      <c r="F50" s="100" t="s">
        <v>179</v>
      </c>
      <c r="G50" s="100" t="s">
        <v>178</v>
      </c>
      <c r="H50" s="92" t="s">
        <v>177</v>
      </c>
      <c r="I50" s="92" t="s">
        <v>176</v>
      </c>
    </row>
    <row r="51" spans="1:9" ht="15">
      <c r="A51" s="92"/>
      <c r="B51" s="92">
        <v>1</v>
      </c>
      <c r="C51" s="114" t="str">
        <f>nmMigrateFY1&amp;":"</f>
        <v>Switch in Year 2:</v>
      </c>
      <c r="D51" s="93"/>
      <c r="E51" s="114" t="b">
        <v>1</v>
      </c>
      <c r="F51" s="113">
        <f>calcTotalYr1_CostTotal</f>
        <v>0</v>
      </c>
      <c r="G51" s="112">
        <f>F51</f>
        <v>0</v>
      </c>
      <c r="H51" s="113"/>
      <c r="I51" s="112"/>
    </row>
    <row r="52" spans="1:9" ht="15">
      <c r="A52" s="92"/>
      <c r="B52" s="92">
        <v>2</v>
      </c>
      <c r="C52" s="111" t="str">
        <f>nmMigrateFY2&amp;":"</f>
        <v>Switch in Year 3:</v>
      </c>
      <c r="D52" s="93"/>
      <c r="E52" s="111" t="b">
        <v>1</v>
      </c>
      <c r="F52" s="110">
        <f>calcTotalYr2_CostTotal</f>
        <v>0</v>
      </c>
      <c r="G52" s="109">
        <f t="shared" ref="G52:G60" si="1">F52</f>
        <v>0</v>
      </c>
      <c r="H52" s="110"/>
      <c r="I52" s="109"/>
    </row>
    <row r="53" spans="1:9" ht="15">
      <c r="A53" s="92"/>
      <c r="B53" s="92">
        <v>3</v>
      </c>
      <c r="C53" s="111" t="str">
        <f>nmMigrateFY3&amp;":"</f>
        <v>Switch in Year 4:</v>
      </c>
      <c r="D53" s="93"/>
      <c r="E53" s="111" t="b">
        <v>0</v>
      </c>
      <c r="F53" s="110">
        <f>calcTotalYr3_CostTotal</f>
        <v>0</v>
      </c>
      <c r="G53" s="109">
        <f t="shared" si="1"/>
        <v>0</v>
      </c>
      <c r="H53" s="110"/>
      <c r="I53" s="109"/>
    </row>
    <row r="54" spans="1:9" ht="15">
      <c r="A54" s="92"/>
      <c r="B54" s="92">
        <v>4</v>
      </c>
      <c r="C54" s="111"/>
      <c r="D54" s="93"/>
      <c r="E54" s="111" t="b">
        <v>0</v>
      </c>
      <c r="F54" s="110"/>
      <c r="G54" s="109">
        <f t="shared" si="1"/>
        <v>0</v>
      </c>
      <c r="H54" s="110"/>
      <c r="I54" s="109"/>
    </row>
    <row r="55" spans="1:9" ht="15">
      <c r="A55" s="92"/>
      <c r="B55" s="92">
        <v>5</v>
      </c>
      <c r="C55" s="111"/>
      <c r="D55" s="93"/>
      <c r="E55" s="111" t="b">
        <v>0</v>
      </c>
      <c r="F55" s="110"/>
      <c r="G55" s="109">
        <f t="shared" si="1"/>
        <v>0</v>
      </c>
      <c r="H55" s="110"/>
      <c r="I55" s="109"/>
    </row>
    <row r="56" spans="1:9" ht="15">
      <c r="A56" s="92"/>
      <c r="B56" s="92">
        <v>6</v>
      </c>
      <c r="C56" s="111"/>
      <c r="D56" s="93"/>
      <c r="E56" s="111" t="b">
        <v>0</v>
      </c>
      <c r="F56" s="110"/>
      <c r="G56" s="109">
        <f t="shared" si="1"/>
        <v>0</v>
      </c>
      <c r="H56" s="110"/>
      <c r="I56" s="109"/>
    </row>
    <row r="57" spans="1:9" ht="15">
      <c r="A57" s="92"/>
      <c r="B57" s="92">
        <v>7</v>
      </c>
      <c r="C57" s="111"/>
      <c r="D57" s="93"/>
      <c r="E57" s="111" t="b">
        <v>0</v>
      </c>
      <c r="F57" s="110"/>
      <c r="G57" s="109">
        <f t="shared" si="1"/>
        <v>0</v>
      </c>
      <c r="H57" s="110"/>
      <c r="I57" s="109"/>
    </row>
    <row r="58" spans="1:9" ht="15">
      <c r="A58" s="92"/>
      <c r="B58" s="92">
        <v>8</v>
      </c>
      <c r="C58" s="111"/>
      <c r="D58" s="93"/>
      <c r="E58" s="111" t="b">
        <v>0</v>
      </c>
      <c r="F58" s="110"/>
      <c r="G58" s="109">
        <f t="shared" si="1"/>
        <v>0</v>
      </c>
      <c r="H58" s="110"/>
      <c r="I58" s="109"/>
    </row>
    <row r="59" spans="1:9" ht="15">
      <c r="A59" s="92"/>
      <c r="B59" s="92">
        <v>9</v>
      </c>
      <c r="C59" s="111"/>
      <c r="D59" s="93"/>
      <c r="E59" s="111" t="b">
        <v>0</v>
      </c>
      <c r="F59" s="110"/>
      <c r="G59" s="109">
        <f t="shared" si="1"/>
        <v>0</v>
      </c>
      <c r="H59" s="110"/>
      <c r="I59" s="109"/>
    </row>
    <row r="60" spans="1:9" ht="15">
      <c r="A60" s="92"/>
      <c r="B60" s="92">
        <v>10</v>
      </c>
      <c r="C60" s="108"/>
      <c r="D60" s="93"/>
      <c r="E60" s="108" t="b">
        <v>0</v>
      </c>
      <c r="F60" s="107"/>
      <c r="G60" s="106">
        <f t="shared" si="1"/>
        <v>0</v>
      </c>
      <c r="H60" s="107"/>
      <c r="I60" s="106"/>
    </row>
    <row r="61" spans="1:9" ht="15">
      <c r="A61" s="92"/>
      <c r="B61" s="92"/>
      <c r="C61" s="104" t="s">
        <v>187</v>
      </c>
      <c r="D61" s="92"/>
      <c r="E61" s="105"/>
      <c r="F61" s="92"/>
      <c r="G61" s="104" t="s">
        <v>186</v>
      </c>
      <c r="H61" s="92"/>
      <c r="I61" s="92"/>
    </row>
    <row r="62" spans="1:9" ht="15">
      <c r="A62" s="92"/>
      <c r="B62" s="92"/>
      <c r="C62" s="92"/>
      <c r="D62" s="92"/>
      <c r="E62" s="92"/>
      <c r="F62" s="92"/>
      <c r="G62" s="92"/>
      <c r="H62" s="92"/>
      <c r="I62" s="92"/>
    </row>
    <row r="63" spans="1:9" ht="15">
      <c r="A63" s="92"/>
      <c r="B63" s="115" t="s">
        <v>165</v>
      </c>
      <c r="C63" s="92"/>
      <c r="D63" s="92"/>
      <c r="E63" s="92"/>
      <c r="F63" s="92"/>
      <c r="G63" s="92"/>
      <c r="H63" s="92"/>
      <c r="I63" s="92"/>
    </row>
    <row r="64" spans="1:9" ht="15">
      <c r="A64" s="92"/>
      <c r="B64" s="92"/>
      <c r="C64" s="92" t="s">
        <v>181</v>
      </c>
      <c r="D64" s="92"/>
      <c r="E64" s="92" t="s">
        <v>180</v>
      </c>
      <c r="F64" s="100" t="s">
        <v>179</v>
      </c>
      <c r="G64" s="100" t="s">
        <v>178</v>
      </c>
      <c r="H64" s="92" t="s">
        <v>177</v>
      </c>
      <c r="I64" s="92" t="s">
        <v>176</v>
      </c>
    </row>
    <row r="65" spans="1:9" ht="15">
      <c r="A65" s="92"/>
      <c r="B65" s="92">
        <v>1</v>
      </c>
      <c r="C65" s="114"/>
      <c r="D65" s="93"/>
      <c r="E65" s="114" t="b">
        <v>1</v>
      </c>
      <c r="F65" s="113"/>
      <c r="G65" s="112"/>
      <c r="H65" s="113"/>
      <c r="I65" s="112"/>
    </row>
    <row r="66" spans="1:9" ht="15">
      <c r="A66" s="92"/>
      <c r="B66" s="92">
        <v>2</v>
      </c>
      <c r="C66" s="111"/>
      <c r="D66" s="93"/>
      <c r="E66" s="111" t="b">
        <v>1</v>
      </c>
      <c r="F66" s="110"/>
      <c r="G66" s="109"/>
      <c r="H66" s="110"/>
      <c r="I66" s="109"/>
    </row>
    <row r="67" spans="1:9" ht="15">
      <c r="A67" s="92"/>
      <c r="B67" s="92">
        <v>3</v>
      </c>
      <c r="C67" s="111"/>
      <c r="D67" s="93"/>
      <c r="E67" s="111" t="b">
        <v>1</v>
      </c>
      <c r="F67" s="110"/>
      <c r="G67" s="109"/>
      <c r="H67" s="110"/>
      <c r="I67" s="109"/>
    </row>
    <row r="68" spans="1:9" ht="15">
      <c r="A68" s="92"/>
      <c r="B68" s="92">
        <v>4</v>
      </c>
      <c r="C68" s="111"/>
      <c r="D68" s="93"/>
      <c r="E68" s="111" t="b">
        <v>1</v>
      </c>
      <c r="F68" s="110"/>
      <c r="G68" s="109"/>
      <c r="H68" s="110"/>
      <c r="I68" s="109"/>
    </row>
    <row r="69" spans="1:9" ht="15">
      <c r="A69" s="92"/>
      <c r="B69" s="92">
        <v>5</v>
      </c>
      <c r="C69" s="111"/>
      <c r="D69" s="93"/>
      <c r="E69" s="111" t="b">
        <v>1</v>
      </c>
      <c r="F69" s="110"/>
      <c r="G69" s="109"/>
      <c r="H69" s="110"/>
      <c r="I69" s="109"/>
    </row>
    <row r="70" spans="1:9" ht="15">
      <c r="A70" s="92"/>
      <c r="B70" s="92">
        <v>6</v>
      </c>
      <c r="C70" s="111"/>
      <c r="D70" s="93"/>
      <c r="E70" s="111" t="b">
        <v>1</v>
      </c>
      <c r="F70" s="110"/>
      <c r="G70" s="109"/>
      <c r="H70" s="110"/>
      <c r="I70" s="109"/>
    </row>
    <row r="71" spans="1:9" ht="15">
      <c r="A71" s="92"/>
      <c r="B71" s="92">
        <v>7</v>
      </c>
      <c r="C71" s="111"/>
      <c r="D71" s="93"/>
      <c r="E71" s="111" t="b">
        <v>1</v>
      </c>
      <c r="F71" s="110"/>
      <c r="G71" s="109"/>
      <c r="H71" s="110"/>
      <c r="I71" s="109"/>
    </row>
    <row r="72" spans="1:9" ht="15">
      <c r="A72" s="92"/>
      <c r="B72" s="92">
        <v>8</v>
      </c>
      <c r="C72" s="111"/>
      <c r="D72" s="93"/>
      <c r="E72" s="111" t="b">
        <v>1</v>
      </c>
      <c r="F72" s="110"/>
      <c r="G72" s="109"/>
      <c r="H72" s="110"/>
      <c r="I72" s="109"/>
    </row>
    <row r="73" spans="1:9" ht="15">
      <c r="A73" s="92"/>
      <c r="B73" s="92">
        <v>9</v>
      </c>
      <c r="C73" s="111"/>
      <c r="D73" s="93"/>
      <c r="E73" s="111" t="b">
        <v>1</v>
      </c>
      <c r="F73" s="110"/>
      <c r="G73" s="109"/>
      <c r="H73" s="110"/>
      <c r="I73" s="109"/>
    </row>
    <row r="74" spans="1:9" ht="15">
      <c r="A74" s="92"/>
      <c r="B74" s="92">
        <v>10</v>
      </c>
      <c r="C74" s="108"/>
      <c r="D74" s="93"/>
      <c r="E74" s="108" t="b">
        <v>1</v>
      </c>
      <c r="F74" s="107"/>
      <c r="G74" s="106"/>
      <c r="H74" s="107"/>
      <c r="I74" s="106"/>
    </row>
    <row r="75" spans="1:9" ht="15">
      <c r="A75" s="92"/>
      <c r="B75" s="92"/>
      <c r="C75" s="104" t="s">
        <v>185</v>
      </c>
      <c r="D75" s="92"/>
      <c r="E75" s="105"/>
      <c r="F75" s="92"/>
      <c r="G75" s="104" t="s">
        <v>184</v>
      </c>
      <c r="H75" s="92"/>
      <c r="I75" s="92"/>
    </row>
    <row r="76" spans="1:9" ht="15">
      <c r="A76" s="92"/>
      <c r="B76" s="92"/>
      <c r="C76" s="92"/>
      <c r="D76" s="92"/>
      <c r="E76" s="92"/>
      <c r="F76" s="92"/>
      <c r="G76" s="92"/>
      <c r="H76" s="92"/>
      <c r="I76" s="92"/>
    </row>
    <row r="77" spans="1:9" ht="15">
      <c r="A77" s="92"/>
      <c r="B77" s="115" t="s">
        <v>164</v>
      </c>
      <c r="C77" s="92"/>
      <c r="D77" s="92"/>
      <c r="E77" s="92"/>
      <c r="F77" s="92"/>
      <c r="G77" s="92"/>
      <c r="H77" s="92"/>
      <c r="I77" s="92"/>
    </row>
    <row r="78" spans="1:9" ht="15">
      <c r="A78" s="92"/>
      <c r="B78" s="92"/>
      <c r="C78" s="92" t="s">
        <v>181</v>
      </c>
      <c r="D78" s="92"/>
      <c r="E78" s="92" t="s">
        <v>180</v>
      </c>
      <c r="F78" s="100" t="s">
        <v>179</v>
      </c>
      <c r="G78" s="100" t="s">
        <v>178</v>
      </c>
      <c r="H78" s="92" t="s">
        <v>177</v>
      </c>
      <c r="I78" s="92" t="s">
        <v>176</v>
      </c>
    </row>
    <row r="79" spans="1:9" ht="15">
      <c r="A79" s="92"/>
      <c r="B79" s="92">
        <v>1</v>
      </c>
      <c r="C79" s="114"/>
      <c r="D79" s="93"/>
      <c r="E79" s="114" t="b">
        <v>1</v>
      </c>
      <c r="F79" s="113"/>
      <c r="G79" s="112"/>
      <c r="H79" s="113"/>
      <c r="I79" s="112"/>
    </row>
    <row r="80" spans="1:9" ht="15">
      <c r="A80" s="92"/>
      <c r="B80" s="92">
        <v>2</v>
      </c>
      <c r="C80" s="111"/>
      <c r="D80" s="93"/>
      <c r="E80" s="111" t="b">
        <v>1</v>
      </c>
      <c r="F80" s="110"/>
      <c r="G80" s="109"/>
      <c r="H80" s="110"/>
      <c r="I80" s="109"/>
    </row>
    <row r="81" spans="1:9" ht="15">
      <c r="A81" s="92"/>
      <c r="B81" s="92">
        <v>3</v>
      </c>
      <c r="C81" s="111"/>
      <c r="D81" s="93"/>
      <c r="E81" s="111" t="b">
        <v>1</v>
      </c>
      <c r="F81" s="110"/>
      <c r="G81" s="109"/>
      <c r="H81" s="110"/>
      <c r="I81" s="109"/>
    </row>
    <row r="82" spans="1:9" ht="15">
      <c r="A82" s="92"/>
      <c r="B82" s="92">
        <v>4</v>
      </c>
      <c r="C82" s="111"/>
      <c r="D82" s="93"/>
      <c r="E82" s="111" t="b">
        <v>1</v>
      </c>
      <c r="F82" s="110"/>
      <c r="G82" s="109"/>
      <c r="H82" s="110"/>
      <c r="I82" s="109"/>
    </row>
    <row r="83" spans="1:9" ht="15">
      <c r="A83" s="92"/>
      <c r="B83" s="92">
        <v>5</v>
      </c>
      <c r="C83" s="111"/>
      <c r="D83" s="93"/>
      <c r="E83" s="111" t="b">
        <v>1</v>
      </c>
      <c r="F83" s="110"/>
      <c r="G83" s="109"/>
      <c r="H83" s="110"/>
      <c r="I83" s="109"/>
    </row>
    <row r="84" spans="1:9" ht="15">
      <c r="A84" s="92"/>
      <c r="B84" s="92">
        <v>6</v>
      </c>
      <c r="C84" s="111"/>
      <c r="D84" s="93"/>
      <c r="E84" s="111" t="b">
        <v>1</v>
      </c>
      <c r="F84" s="110"/>
      <c r="G84" s="109"/>
      <c r="H84" s="110"/>
      <c r="I84" s="109"/>
    </row>
    <row r="85" spans="1:9" ht="15">
      <c r="A85" s="92"/>
      <c r="B85" s="92">
        <v>7</v>
      </c>
      <c r="C85" s="111"/>
      <c r="D85" s="93"/>
      <c r="E85" s="111" t="b">
        <v>1</v>
      </c>
      <c r="F85" s="110"/>
      <c r="G85" s="109"/>
      <c r="H85" s="110"/>
      <c r="I85" s="109"/>
    </row>
    <row r="86" spans="1:9" ht="15">
      <c r="A86" s="92"/>
      <c r="B86" s="92">
        <v>8</v>
      </c>
      <c r="C86" s="111"/>
      <c r="D86" s="93"/>
      <c r="E86" s="111" t="b">
        <v>1</v>
      </c>
      <c r="F86" s="110"/>
      <c r="G86" s="109"/>
      <c r="H86" s="110"/>
      <c r="I86" s="109"/>
    </row>
    <row r="87" spans="1:9" ht="15">
      <c r="A87" s="92"/>
      <c r="B87" s="92">
        <v>9</v>
      </c>
      <c r="C87" s="111"/>
      <c r="D87" s="93"/>
      <c r="E87" s="111" t="b">
        <v>1</v>
      </c>
      <c r="F87" s="110"/>
      <c r="G87" s="109"/>
      <c r="H87" s="110"/>
      <c r="I87" s="109"/>
    </row>
    <row r="88" spans="1:9" ht="15">
      <c r="A88" s="92"/>
      <c r="B88" s="92">
        <v>10</v>
      </c>
      <c r="C88" s="108"/>
      <c r="D88" s="93"/>
      <c r="E88" s="108" t="b">
        <v>1</v>
      </c>
      <c r="F88" s="107"/>
      <c r="G88" s="106"/>
      <c r="H88" s="107"/>
      <c r="I88" s="106"/>
    </row>
    <row r="89" spans="1:9" ht="15">
      <c r="A89" s="92"/>
      <c r="B89" s="92"/>
      <c r="C89" s="104" t="s">
        <v>183</v>
      </c>
      <c r="D89" s="92"/>
      <c r="E89" s="105"/>
      <c r="F89" s="92"/>
      <c r="G89" s="104" t="s">
        <v>182</v>
      </c>
      <c r="H89" s="92"/>
      <c r="I89" s="92"/>
    </row>
    <row r="90" spans="1:9" ht="15">
      <c r="A90" s="92"/>
      <c r="B90" s="92"/>
      <c r="C90" s="92"/>
      <c r="D90" s="92"/>
      <c r="E90" s="92"/>
      <c r="F90" s="92"/>
      <c r="G90" s="92"/>
      <c r="H90" s="92"/>
      <c r="I90" s="92"/>
    </row>
    <row r="91" spans="1:9" ht="15">
      <c r="A91" s="92"/>
      <c r="B91" s="115" t="s">
        <v>163</v>
      </c>
      <c r="C91" s="92"/>
      <c r="D91" s="92"/>
      <c r="E91" s="92"/>
      <c r="F91" s="92"/>
      <c r="G91" s="92"/>
      <c r="H91" s="92"/>
      <c r="I91" s="92"/>
    </row>
    <row r="92" spans="1:9" ht="15">
      <c r="A92" s="92"/>
      <c r="B92" s="92"/>
      <c r="C92" s="92" t="s">
        <v>181</v>
      </c>
      <c r="D92" s="92"/>
      <c r="E92" s="92" t="s">
        <v>180</v>
      </c>
      <c r="F92" s="100" t="s">
        <v>179</v>
      </c>
      <c r="G92" s="100" t="s">
        <v>178</v>
      </c>
      <c r="H92" s="92" t="s">
        <v>177</v>
      </c>
      <c r="I92" s="92" t="s">
        <v>176</v>
      </c>
    </row>
    <row r="93" spans="1:9" ht="15">
      <c r="A93" s="92"/>
      <c r="B93" s="92">
        <v>1</v>
      </c>
      <c r="C93" s="114"/>
      <c r="D93" s="93"/>
      <c r="E93" s="114" t="b">
        <v>1</v>
      </c>
      <c r="F93" s="113"/>
      <c r="G93" s="112"/>
      <c r="H93" s="113"/>
      <c r="I93" s="112"/>
    </row>
    <row r="94" spans="1:9" ht="15">
      <c r="A94" s="92"/>
      <c r="B94" s="92">
        <v>2</v>
      </c>
      <c r="C94" s="111"/>
      <c r="D94" s="93"/>
      <c r="E94" s="111" t="b">
        <v>1</v>
      </c>
      <c r="F94" s="110"/>
      <c r="G94" s="109"/>
      <c r="H94" s="110"/>
      <c r="I94" s="109"/>
    </row>
    <row r="95" spans="1:9" ht="15">
      <c r="A95" s="92"/>
      <c r="B95" s="92">
        <v>3</v>
      </c>
      <c r="C95" s="111"/>
      <c r="D95" s="93"/>
      <c r="E95" s="111" t="b">
        <v>1</v>
      </c>
      <c r="F95" s="110"/>
      <c r="G95" s="109"/>
      <c r="H95" s="110"/>
      <c r="I95" s="109"/>
    </row>
    <row r="96" spans="1:9" ht="15">
      <c r="A96" s="92"/>
      <c r="B96" s="92">
        <v>4</v>
      </c>
      <c r="C96" s="111"/>
      <c r="D96" s="93"/>
      <c r="E96" s="111" t="b">
        <v>1</v>
      </c>
      <c r="F96" s="110"/>
      <c r="G96" s="109"/>
      <c r="H96" s="110"/>
      <c r="I96" s="109"/>
    </row>
    <row r="97" spans="1:9" ht="15">
      <c r="A97" s="92"/>
      <c r="B97" s="92">
        <v>5</v>
      </c>
      <c r="C97" s="111"/>
      <c r="D97" s="93"/>
      <c r="E97" s="111" t="b">
        <v>1</v>
      </c>
      <c r="F97" s="110"/>
      <c r="G97" s="109"/>
      <c r="H97" s="110"/>
      <c r="I97" s="109"/>
    </row>
    <row r="98" spans="1:9" ht="15">
      <c r="A98" s="92"/>
      <c r="B98" s="92">
        <v>6</v>
      </c>
      <c r="C98" s="111"/>
      <c r="D98" s="93"/>
      <c r="E98" s="111" t="b">
        <v>1</v>
      </c>
      <c r="F98" s="110"/>
      <c r="G98" s="109"/>
      <c r="H98" s="110"/>
      <c r="I98" s="109"/>
    </row>
    <row r="99" spans="1:9" ht="15">
      <c r="A99" s="92"/>
      <c r="B99" s="92">
        <v>7</v>
      </c>
      <c r="C99" s="111"/>
      <c r="D99" s="93"/>
      <c r="E99" s="111" t="b">
        <v>1</v>
      </c>
      <c r="F99" s="110"/>
      <c r="G99" s="109"/>
      <c r="H99" s="110"/>
      <c r="I99" s="109"/>
    </row>
    <row r="100" spans="1:9" ht="15">
      <c r="A100" s="92"/>
      <c r="B100" s="92">
        <v>8</v>
      </c>
      <c r="C100" s="111"/>
      <c r="D100" s="93"/>
      <c r="E100" s="111" t="b">
        <v>1</v>
      </c>
      <c r="F100" s="110"/>
      <c r="G100" s="109"/>
      <c r="H100" s="110"/>
      <c r="I100" s="109"/>
    </row>
    <row r="101" spans="1:9" ht="15">
      <c r="A101" s="92"/>
      <c r="B101" s="92">
        <v>9</v>
      </c>
      <c r="C101" s="111"/>
      <c r="D101" s="93"/>
      <c r="E101" s="111" t="b">
        <v>1</v>
      </c>
      <c r="F101" s="110"/>
      <c r="G101" s="109"/>
      <c r="H101" s="110"/>
      <c r="I101" s="109"/>
    </row>
    <row r="102" spans="1:9" ht="15">
      <c r="A102" s="92"/>
      <c r="B102" s="92">
        <v>10</v>
      </c>
      <c r="C102" s="108"/>
      <c r="D102" s="93"/>
      <c r="E102" s="108" t="b">
        <v>1</v>
      </c>
      <c r="F102" s="107"/>
      <c r="G102" s="106"/>
      <c r="H102" s="107"/>
      <c r="I102" s="106"/>
    </row>
    <row r="103" spans="1:9" ht="15">
      <c r="A103" s="92"/>
      <c r="B103" s="92"/>
      <c r="C103" s="104" t="s">
        <v>175</v>
      </c>
      <c r="D103" s="92"/>
      <c r="E103" s="105"/>
      <c r="F103" s="92"/>
      <c r="G103" s="104" t="s">
        <v>174</v>
      </c>
      <c r="H103" s="92"/>
      <c r="I103" s="92"/>
    </row>
    <row r="104" spans="1:9" ht="15">
      <c r="A104" s="92"/>
      <c r="B104" s="92"/>
      <c r="C104" s="92"/>
      <c r="D104" s="92"/>
      <c r="E104" s="92"/>
      <c r="F104" s="92"/>
      <c r="G104" s="92"/>
      <c r="H104" s="92"/>
      <c r="I104" s="92"/>
    </row>
    <row r="105" spans="1:9" ht="15">
      <c r="A105" s="92"/>
      <c r="B105" s="92"/>
      <c r="C105" s="92"/>
      <c r="D105" s="92"/>
      <c r="E105" s="92"/>
      <c r="F105" s="92"/>
      <c r="G105" s="92"/>
      <c r="H105" s="92"/>
      <c r="I105" s="92"/>
    </row>
    <row r="106" spans="1:9" ht="15">
      <c r="A106" s="103" t="s">
        <v>103</v>
      </c>
      <c r="B106" s="102"/>
      <c r="C106" s="102"/>
      <c r="D106" s="102"/>
      <c r="E106" s="102"/>
      <c r="F106" s="102"/>
      <c r="G106" s="102"/>
      <c r="H106" s="102"/>
      <c r="I106" s="102"/>
    </row>
    <row r="107" spans="1:9" ht="15">
      <c r="A107" s="92"/>
      <c r="B107" s="92"/>
      <c r="C107" s="92"/>
      <c r="D107" s="92"/>
      <c r="E107" s="92"/>
      <c r="F107" s="92"/>
      <c r="G107" s="92"/>
      <c r="H107" s="92"/>
      <c r="I107" s="92"/>
    </row>
    <row r="108" spans="1:9" ht="15">
      <c r="A108" s="92"/>
      <c r="B108" s="92"/>
      <c r="C108" s="92" t="s">
        <v>173</v>
      </c>
      <c r="D108" s="92"/>
      <c r="E108" s="101" t="str">
        <f>REPT(CHAR(32),DB_WhiteSpaceLength)</f>
        <v xml:space="preserve">  </v>
      </c>
      <c r="F108" s="92" t="s">
        <v>172</v>
      </c>
      <c r="G108" s="92"/>
      <c r="H108" s="92"/>
      <c r="I108" s="92"/>
    </row>
    <row r="109" spans="1:9" ht="15">
      <c r="A109" s="92"/>
      <c r="B109" s="92"/>
      <c r="C109" s="92" t="s">
        <v>171</v>
      </c>
      <c r="D109" s="92"/>
      <c r="E109" s="101" t="str">
        <f>REPT(CHAR(32),DB_LargeWhiteSpaceLength)</f>
        <v xml:space="preserve">    </v>
      </c>
      <c r="F109" s="92" t="s">
        <v>170</v>
      </c>
      <c r="G109" s="92"/>
      <c r="H109" s="92"/>
      <c r="I109" s="92"/>
    </row>
    <row r="110" spans="1:9" ht="15">
      <c r="A110" s="92"/>
      <c r="B110" s="92"/>
      <c r="C110" s="92" t="s">
        <v>169</v>
      </c>
      <c r="D110" s="92"/>
      <c r="E110" s="101" t="str">
        <f>REPT(CHAR(32),DB_SubWhiteSpaceLength)</f>
        <v xml:space="preserve">  </v>
      </c>
      <c r="F110" s="92" t="s">
        <v>168</v>
      </c>
      <c r="G110" s="92"/>
      <c r="H110" s="92"/>
      <c r="I110" s="92"/>
    </row>
    <row r="111" spans="1:9" ht="15">
      <c r="A111" s="92"/>
      <c r="B111" s="92"/>
      <c r="C111" s="92"/>
      <c r="D111" s="92"/>
      <c r="E111" s="92"/>
      <c r="F111" s="92"/>
      <c r="G111" s="92"/>
      <c r="H111" s="92"/>
      <c r="I111" s="92"/>
    </row>
    <row r="112" spans="1:9" ht="15">
      <c r="A112" s="92"/>
      <c r="B112" s="92"/>
      <c r="C112" s="92"/>
      <c r="D112" s="92"/>
      <c r="E112" s="92"/>
      <c r="F112" s="92"/>
      <c r="G112" s="92"/>
      <c r="H112" s="92"/>
      <c r="I112" s="92"/>
    </row>
    <row r="113" spans="1:9" ht="15">
      <c r="A113" s="92"/>
      <c r="B113" s="92"/>
      <c r="C113" s="92" t="s">
        <v>167</v>
      </c>
      <c r="D113" s="92"/>
      <c r="E113" s="100" t="s">
        <v>162</v>
      </c>
      <c r="F113" s="100" t="s">
        <v>161</v>
      </c>
      <c r="G113" s="92"/>
      <c r="H113" s="92"/>
      <c r="I113" s="92"/>
    </row>
    <row r="114" spans="1:9" ht="15">
      <c r="A114" s="92"/>
      <c r="B114" s="92"/>
      <c r="C114" s="92"/>
      <c r="D114" s="92"/>
      <c r="E114" s="99" t="str">
        <f t="shared" ref="E114:E123" si="2">IF(COUNTBLANK(F37:I37)&gt;=4,"",INDEX(DB_ArrayDash1Names,$B37)&amp; DB_WhiteSpace &amp; INDEX(DB_ArrayDash1Values,$B37) &amp; IF(H37="","",DB_SubWhiteSpace &amp; I37))</f>
        <v>Stay on Maintenance:  0</v>
      </c>
      <c r="F114" s="98" t="str">
        <f t="shared" ref="F114:F123" si="3">IF(E37,E114,"")</f>
        <v>Stay on Maintenance:  0</v>
      </c>
      <c r="G114" s="92"/>
      <c r="H114" s="92"/>
      <c r="I114" s="92"/>
    </row>
    <row r="115" spans="1:9" ht="15">
      <c r="A115" s="92"/>
      <c r="B115" s="92"/>
      <c r="C115" s="92"/>
      <c r="D115" s="92"/>
      <c r="E115" s="97" t="str">
        <f t="shared" si="2"/>
        <v>New Subscription SRP:  0</v>
      </c>
      <c r="F115" s="96" t="str">
        <f t="shared" si="3"/>
        <v>New Subscription SRP:  0</v>
      </c>
      <c r="G115" s="92"/>
      <c r="H115" s="92"/>
      <c r="I115" s="92"/>
    </row>
    <row r="116" spans="1:9" ht="15">
      <c r="A116" s="92"/>
      <c r="B116" s="92"/>
      <c r="C116" s="92"/>
      <c r="D116" s="92"/>
      <c r="E116" s="97" t="str">
        <f t="shared" si="2"/>
        <v xml:space="preserve">  0</v>
      </c>
      <c r="F116" s="96" t="str">
        <f t="shared" si="3"/>
        <v/>
      </c>
      <c r="G116" s="92"/>
      <c r="H116" s="92"/>
      <c r="I116" s="92"/>
    </row>
    <row r="117" spans="1:9" ht="15">
      <c r="A117" s="92"/>
      <c r="B117" s="92"/>
      <c r="C117" s="92"/>
      <c r="D117" s="92"/>
      <c r="E117" s="97" t="str">
        <f t="shared" si="2"/>
        <v xml:space="preserve">  0</v>
      </c>
      <c r="F117" s="96" t="str">
        <f t="shared" si="3"/>
        <v/>
      </c>
      <c r="G117" s="92"/>
      <c r="H117" s="92"/>
      <c r="I117" s="92"/>
    </row>
    <row r="118" spans="1:9" ht="15">
      <c r="A118" s="92"/>
      <c r="B118" s="92"/>
      <c r="C118" s="92"/>
      <c r="D118" s="92"/>
      <c r="E118" s="97" t="str">
        <f t="shared" si="2"/>
        <v xml:space="preserve">  0</v>
      </c>
      <c r="F118" s="96" t="str">
        <f t="shared" si="3"/>
        <v/>
      </c>
      <c r="G118" s="92"/>
      <c r="H118" s="92"/>
      <c r="I118" s="92"/>
    </row>
    <row r="119" spans="1:9" ht="15">
      <c r="A119" s="92"/>
      <c r="B119" s="92"/>
      <c r="C119" s="92"/>
      <c r="D119" s="92"/>
      <c r="E119" s="97" t="str">
        <f t="shared" si="2"/>
        <v xml:space="preserve">  0</v>
      </c>
      <c r="F119" s="96" t="str">
        <f t="shared" si="3"/>
        <v/>
      </c>
      <c r="G119" s="92"/>
      <c r="H119" s="92"/>
      <c r="I119" s="92"/>
    </row>
    <row r="120" spans="1:9" ht="15">
      <c r="A120" s="92"/>
      <c r="B120" s="92"/>
      <c r="C120" s="92"/>
      <c r="D120" s="92"/>
      <c r="E120" s="97" t="str">
        <f t="shared" si="2"/>
        <v xml:space="preserve">  0</v>
      </c>
      <c r="F120" s="96" t="str">
        <f t="shared" si="3"/>
        <v/>
      </c>
      <c r="G120" s="92"/>
      <c r="H120" s="92"/>
      <c r="I120" s="92"/>
    </row>
    <row r="121" spans="1:9" ht="15">
      <c r="A121" s="92"/>
      <c r="B121" s="92"/>
      <c r="C121" s="92"/>
      <c r="D121" s="92"/>
      <c r="E121" s="97" t="str">
        <f t="shared" si="2"/>
        <v xml:space="preserve">  0</v>
      </c>
      <c r="F121" s="96" t="str">
        <f t="shared" si="3"/>
        <v/>
      </c>
      <c r="G121" s="92"/>
      <c r="H121" s="92"/>
      <c r="I121" s="92"/>
    </row>
    <row r="122" spans="1:9" ht="15">
      <c r="A122" s="92"/>
      <c r="B122" s="92"/>
      <c r="C122" s="92"/>
      <c r="D122" s="92"/>
      <c r="E122" s="97" t="str">
        <f t="shared" si="2"/>
        <v xml:space="preserve">  0</v>
      </c>
      <c r="F122" s="96" t="str">
        <f t="shared" si="3"/>
        <v/>
      </c>
      <c r="G122" s="92"/>
      <c r="H122" s="92"/>
      <c r="I122" s="92"/>
    </row>
    <row r="123" spans="1:9" ht="15">
      <c r="A123" s="92"/>
      <c r="B123" s="92"/>
      <c r="C123" s="92"/>
      <c r="D123" s="92"/>
      <c r="E123" s="95" t="str">
        <f t="shared" si="2"/>
        <v xml:space="preserve">  0</v>
      </c>
      <c r="F123" s="94" t="str">
        <f t="shared" si="3"/>
        <v/>
      </c>
      <c r="G123" s="92"/>
      <c r="H123" s="92"/>
      <c r="I123" s="92"/>
    </row>
    <row r="124" spans="1:9" ht="15">
      <c r="A124" s="92"/>
      <c r="B124" s="92"/>
      <c r="C124" s="92"/>
      <c r="D124" s="92"/>
      <c r="E124" s="92"/>
      <c r="F124" s="92"/>
      <c r="G124" s="92"/>
      <c r="H124" s="92"/>
      <c r="I124" s="92"/>
    </row>
    <row r="125" spans="1:9" ht="15">
      <c r="A125" s="92"/>
      <c r="B125" s="92"/>
      <c r="C125" s="92"/>
      <c r="D125" s="92"/>
      <c r="E125" s="92"/>
      <c r="F125" s="92"/>
      <c r="G125" s="92"/>
      <c r="H125" s="92"/>
      <c r="I125" s="92"/>
    </row>
    <row r="126" spans="1:9" ht="15">
      <c r="A126" s="92"/>
      <c r="B126" s="92"/>
      <c r="C126" s="92"/>
      <c r="D126" s="92"/>
      <c r="E126" s="92"/>
      <c r="F126" s="92"/>
      <c r="G126" s="92"/>
      <c r="H126" s="92"/>
      <c r="I126" s="92"/>
    </row>
    <row r="127" spans="1:9" ht="15">
      <c r="A127" s="92"/>
      <c r="B127" s="92"/>
      <c r="C127" s="92" t="s">
        <v>166</v>
      </c>
      <c r="D127" s="92"/>
      <c r="E127" s="100" t="s">
        <v>162</v>
      </c>
      <c r="F127" s="100" t="s">
        <v>161</v>
      </c>
      <c r="G127" s="92"/>
      <c r="H127" s="92"/>
      <c r="I127" s="92"/>
    </row>
    <row r="128" spans="1:9" ht="15">
      <c r="A128" s="92"/>
      <c r="B128" s="92"/>
      <c r="C128" s="92"/>
      <c r="D128" s="92"/>
      <c r="E128" s="99" t="str">
        <f t="shared" ref="E128:E137" si="4">IF(COUNTBLANK(F51:I51)&gt;=4,"",INDEX(DB_ArrayDash2Names,$B51)&amp; DB_WhiteSpace &amp; INDEX(DB_ArrayDash2Values,$B51) &amp; IF(H51="","",DB_SubWhiteSpace &amp; I51))</f>
        <v>Switch in Year 2:  0</v>
      </c>
      <c r="F128" s="98" t="str">
        <f t="shared" ref="F128:F137" si="5">IF(E51,E128,"")</f>
        <v>Switch in Year 2:  0</v>
      </c>
      <c r="G128" s="92"/>
      <c r="H128" s="92"/>
      <c r="I128" s="92"/>
    </row>
    <row r="129" spans="1:9" ht="15">
      <c r="A129" s="92"/>
      <c r="B129" s="92"/>
      <c r="C129" s="92"/>
      <c r="D129" s="92"/>
      <c r="E129" s="97" t="str">
        <f t="shared" si="4"/>
        <v>Switch in Year 3:  0</v>
      </c>
      <c r="F129" s="96" t="str">
        <f t="shared" si="5"/>
        <v>Switch in Year 3:  0</v>
      </c>
      <c r="G129" s="92"/>
      <c r="H129" s="92"/>
      <c r="I129" s="92"/>
    </row>
    <row r="130" spans="1:9" ht="15">
      <c r="A130" s="92"/>
      <c r="B130" s="92"/>
      <c r="C130" s="92"/>
      <c r="D130" s="92"/>
      <c r="E130" s="97" t="str">
        <f t="shared" si="4"/>
        <v>Switch in Year 4:  0</v>
      </c>
      <c r="F130" s="96" t="str">
        <f t="shared" si="5"/>
        <v/>
      </c>
      <c r="G130" s="92"/>
      <c r="H130" s="92"/>
      <c r="I130" s="92"/>
    </row>
    <row r="131" spans="1:9" ht="15">
      <c r="A131" s="92"/>
      <c r="B131" s="92"/>
      <c r="C131" s="92"/>
      <c r="D131" s="92"/>
      <c r="E131" s="97" t="str">
        <f t="shared" si="4"/>
        <v xml:space="preserve">  0</v>
      </c>
      <c r="F131" s="96" t="str">
        <f t="shared" si="5"/>
        <v/>
      </c>
      <c r="G131" s="92"/>
      <c r="H131" s="92"/>
      <c r="I131" s="92"/>
    </row>
    <row r="132" spans="1:9" ht="15">
      <c r="A132" s="92"/>
      <c r="B132" s="92"/>
      <c r="C132" s="92"/>
      <c r="D132" s="92"/>
      <c r="E132" s="97" t="str">
        <f t="shared" si="4"/>
        <v xml:space="preserve">  0</v>
      </c>
      <c r="F132" s="96" t="str">
        <f t="shared" si="5"/>
        <v/>
      </c>
      <c r="G132" s="92"/>
      <c r="H132" s="92"/>
      <c r="I132" s="92"/>
    </row>
    <row r="133" spans="1:9" ht="15">
      <c r="A133" s="92"/>
      <c r="B133" s="92"/>
      <c r="C133" s="92"/>
      <c r="D133" s="92"/>
      <c r="E133" s="97" t="str">
        <f t="shared" si="4"/>
        <v xml:space="preserve">  0</v>
      </c>
      <c r="F133" s="96" t="str">
        <f t="shared" si="5"/>
        <v/>
      </c>
      <c r="G133" s="92"/>
      <c r="H133" s="92"/>
      <c r="I133" s="92"/>
    </row>
    <row r="134" spans="1:9" ht="15">
      <c r="A134" s="92"/>
      <c r="B134" s="92"/>
      <c r="C134" s="92"/>
      <c r="D134" s="92"/>
      <c r="E134" s="97" t="str">
        <f t="shared" si="4"/>
        <v xml:space="preserve">  0</v>
      </c>
      <c r="F134" s="96" t="str">
        <f t="shared" si="5"/>
        <v/>
      </c>
      <c r="G134" s="92"/>
      <c r="H134" s="92"/>
      <c r="I134" s="92"/>
    </row>
    <row r="135" spans="1:9" ht="15">
      <c r="A135" s="92"/>
      <c r="B135" s="92"/>
      <c r="C135" s="92"/>
      <c r="D135" s="92"/>
      <c r="E135" s="97" t="str">
        <f t="shared" si="4"/>
        <v xml:space="preserve">  0</v>
      </c>
      <c r="F135" s="96" t="str">
        <f t="shared" si="5"/>
        <v/>
      </c>
      <c r="G135" s="92"/>
      <c r="H135" s="92"/>
      <c r="I135" s="92"/>
    </row>
    <row r="136" spans="1:9" ht="15">
      <c r="A136" s="92"/>
      <c r="B136" s="92"/>
      <c r="C136" s="92"/>
      <c r="D136" s="92"/>
      <c r="E136" s="97" t="str">
        <f t="shared" si="4"/>
        <v xml:space="preserve">  0</v>
      </c>
      <c r="F136" s="96" t="str">
        <f t="shared" si="5"/>
        <v/>
      </c>
      <c r="G136" s="92"/>
      <c r="H136" s="92"/>
      <c r="I136" s="92"/>
    </row>
    <row r="137" spans="1:9" ht="15">
      <c r="A137" s="92"/>
      <c r="B137" s="92"/>
      <c r="C137" s="92"/>
      <c r="D137" s="92"/>
      <c r="E137" s="95" t="str">
        <f t="shared" si="4"/>
        <v xml:space="preserve">  0</v>
      </c>
      <c r="F137" s="94" t="str">
        <f t="shared" si="5"/>
        <v/>
      </c>
      <c r="G137" s="92"/>
      <c r="H137" s="92"/>
      <c r="I137" s="92"/>
    </row>
    <row r="138" spans="1:9" ht="15">
      <c r="A138" s="92"/>
      <c r="B138" s="92"/>
      <c r="C138" s="92"/>
      <c r="D138" s="92"/>
      <c r="E138" s="92"/>
      <c r="F138" s="92"/>
      <c r="G138" s="92"/>
      <c r="H138" s="92"/>
      <c r="I138" s="92"/>
    </row>
    <row r="139" spans="1:9" ht="15">
      <c r="A139" s="92"/>
      <c r="B139" s="92"/>
      <c r="C139" s="92"/>
      <c r="D139" s="92"/>
      <c r="E139" s="92"/>
      <c r="F139" s="92"/>
      <c r="G139" s="92"/>
      <c r="H139" s="92"/>
      <c r="I139" s="92"/>
    </row>
    <row r="140" spans="1:9" ht="15">
      <c r="A140" s="92"/>
      <c r="B140" s="92"/>
      <c r="C140" s="92"/>
      <c r="D140" s="92"/>
      <c r="E140" s="92"/>
      <c r="F140" s="92"/>
      <c r="G140" s="92"/>
      <c r="H140" s="92"/>
      <c r="I140" s="92"/>
    </row>
    <row r="141" spans="1:9" ht="15">
      <c r="A141" s="92"/>
      <c r="B141" s="92"/>
      <c r="C141" s="92" t="s">
        <v>165</v>
      </c>
      <c r="D141" s="92"/>
      <c r="E141" s="100" t="s">
        <v>162</v>
      </c>
      <c r="F141" s="100" t="s">
        <v>161</v>
      </c>
      <c r="G141" s="92"/>
      <c r="H141" s="92"/>
      <c r="I141" s="92"/>
    </row>
    <row r="142" spans="1:9" ht="15">
      <c r="A142" s="92"/>
      <c r="B142" s="92"/>
      <c r="C142" s="92"/>
      <c r="D142" s="92"/>
      <c r="E142" s="99" t="str">
        <f t="shared" ref="E142:E151" si="6">IF(COUNTBLANK(F65:I65)&gt;=4,"",INDEX(DB_ArrayDash1Names,$B65)&amp; DB_WhiteSpace &amp; INDEX(DB_ArrayDash1Values,$B65) &amp; IF(H65="","",DB_SubWhiteSpace &amp; I65))</f>
        <v/>
      </c>
      <c r="F142" s="98" t="str">
        <f t="shared" ref="F142:F151" si="7">IF(E65,E142,"")</f>
        <v/>
      </c>
      <c r="G142" s="92"/>
      <c r="H142" s="92"/>
      <c r="I142" s="92"/>
    </row>
    <row r="143" spans="1:9" ht="15">
      <c r="A143" s="92"/>
      <c r="B143" s="92"/>
      <c r="C143" s="92"/>
      <c r="D143" s="92"/>
      <c r="E143" s="97" t="str">
        <f t="shared" si="6"/>
        <v/>
      </c>
      <c r="F143" s="96" t="str">
        <f t="shared" si="7"/>
        <v/>
      </c>
      <c r="G143" s="92"/>
      <c r="H143" s="92"/>
      <c r="I143" s="92"/>
    </row>
    <row r="144" spans="1:9" ht="15">
      <c r="A144" s="92"/>
      <c r="B144" s="92"/>
      <c r="C144" s="92"/>
      <c r="D144" s="92"/>
      <c r="E144" s="97" t="str">
        <f t="shared" si="6"/>
        <v/>
      </c>
      <c r="F144" s="96" t="str">
        <f t="shared" si="7"/>
        <v/>
      </c>
      <c r="G144" s="92"/>
      <c r="H144" s="92"/>
      <c r="I144" s="92"/>
    </row>
    <row r="145" spans="1:9" ht="15">
      <c r="A145" s="92"/>
      <c r="B145" s="92"/>
      <c r="C145" s="92"/>
      <c r="D145" s="92"/>
      <c r="E145" s="97" t="str">
        <f t="shared" si="6"/>
        <v/>
      </c>
      <c r="F145" s="96" t="str">
        <f t="shared" si="7"/>
        <v/>
      </c>
      <c r="G145" s="92"/>
      <c r="H145" s="92"/>
      <c r="I145" s="92"/>
    </row>
    <row r="146" spans="1:9" ht="15">
      <c r="A146" s="92"/>
      <c r="B146" s="92"/>
      <c r="C146" s="92"/>
      <c r="D146" s="92"/>
      <c r="E146" s="97" t="str">
        <f t="shared" si="6"/>
        <v/>
      </c>
      <c r="F146" s="96" t="str">
        <f t="shared" si="7"/>
        <v/>
      </c>
      <c r="G146" s="92"/>
      <c r="H146" s="92"/>
      <c r="I146" s="92"/>
    </row>
    <row r="147" spans="1:9" ht="15">
      <c r="A147" s="92"/>
      <c r="B147" s="92"/>
      <c r="C147" s="92"/>
      <c r="D147" s="92"/>
      <c r="E147" s="97" t="str">
        <f t="shared" si="6"/>
        <v/>
      </c>
      <c r="F147" s="96" t="str">
        <f t="shared" si="7"/>
        <v/>
      </c>
      <c r="G147" s="92"/>
      <c r="H147" s="92"/>
      <c r="I147" s="92"/>
    </row>
    <row r="148" spans="1:9" ht="15">
      <c r="A148" s="92"/>
      <c r="B148" s="92"/>
      <c r="C148" s="92"/>
      <c r="D148" s="92"/>
      <c r="E148" s="97" t="str">
        <f t="shared" si="6"/>
        <v/>
      </c>
      <c r="F148" s="96" t="str">
        <f t="shared" si="7"/>
        <v/>
      </c>
      <c r="G148" s="92"/>
      <c r="H148" s="92"/>
      <c r="I148" s="92"/>
    </row>
    <row r="149" spans="1:9" ht="15">
      <c r="A149" s="92"/>
      <c r="B149" s="92"/>
      <c r="C149" s="92"/>
      <c r="D149" s="92"/>
      <c r="E149" s="97" t="str">
        <f t="shared" si="6"/>
        <v/>
      </c>
      <c r="F149" s="96" t="str">
        <f t="shared" si="7"/>
        <v/>
      </c>
      <c r="G149" s="92"/>
      <c r="H149" s="92"/>
      <c r="I149" s="92"/>
    </row>
    <row r="150" spans="1:9" ht="15">
      <c r="A150" s="92"/>
      <c r="B150" s="92"/>
      <c r="C150" s="92"/>
      <c r="D150" s="92"/>
      <c r="E150" s="97" t="str">
        <f t="shared" si="6"/>
        <v/>
      </c>
      <c r="F150" s="96" t="str">
        <f t="shared" si="7"/>
        <v/>
      </c>
      <c r="G150" s="92"/>
      <c r="H150" s="92"/>
      <c r="I150" s="92"/>
    </row>
    <row r="151" spans="1:9" ht="15">
      <c r="A151" s="92"/>
      <c r="B151" s="92"/>
      <c r="C151" s="92"/>
      <c r="D151" s="92"/>
      <c r="E151" s="95" t="str">
        <f t="shared" si="6"/>
        <v/>
      </c>
      <c r="F151" s="94" t="str">
        <f t="shared" si="7"/>
        <v/>
      </c>
      <c r="G151" s="92"/>
      <c r="H151" s="92"/>
      <c r="I151" s="92"/>
    </row>
    <row r="152" spans="1:9" ht="15">
      <c r="A152" s="92"/>
      <c r="B152" s="92"/>
      <c r="C152" s="92"/>
      <c r="D152" s="92"/>
      <c r="E152" s="92"/>
      <c r="F152" s="92"/>
      <c r="G152" s="92"/>
      <c r="H152" s="92"/>
      <c r="I152" s="92"/>
    </row>
    <row r="153" spans="1:9" ht="15">
      <c r="A153" s="92"/>
      <c r="B153" s="92"/>
      <c r="C153" s="92"/>
      <c r="D153" s="92"/>
      <c r="E153" s="92"/>
      <c r="F153" s="92"/>
      <c r="G153" s="92"/>
      <c r="H153" s="92"/>
      <c r="I153" s="92"/>
    </row>
    <row r="154" spans="1:9" ht="15">
      <c r="A154" s="92"/>
      <c r="B154" s="92"/>
      <c r="C154" s="92"/>
      <c r="D154" s="92"/>
      <c r="E154" s="92"/>
      <c r="F154" s="92"/>
      <c r="G154" s="92"/>
      <c r="H154" s="92"/>
      <c r="I154" s="92"/>
    </row>
    <row r="155" spans="1:9" ht="15">
      <c r="A155" s="92"/>
      <c r="B155" s="92"/>
      <c r="C155" s="92" t="s">
        <v>164</v>
      </c>
      <c r="D155" s="92"/>
      <c r="E155" s="100" t="s">
        <v>162</v>
      </c>
      <c r="F155" s="100" t="s">
        <v>161</v>
      </c>
      <c r="G155" s="92"/>
      <c r="H155" s="92"/>
      <c r="I155" s="92"/>
    </row>
    <row r="156" spans="1:9" ht="15">
      <c r="A156" s="92"/>
      <c r="B156" s="92"/>
      <c r="C156" s="92"/>
      <c r="D156" s="92"/>
      <c r="E156" s="99" t="str">
        <f t="shared" ref="E156:E165" si="8">IF(COUNTBLANK(F79:I79)&gt;=4,"",INDEX(DB_ArrayDash1Names,$B79)&amp; DB_WhiteSpace &amp; INDEX(DB_ArrayDash1Values,$B79) &amp; IF(H79="","",DB_SubWhiteSpace &amp; I79))</f>
        <v/>
      </c>
      <c r="F156" s="98" t="str">
        <f t="shared" ref="F156:F165" si="9">IF(E79,E156,"")</f>
        <v/>
      </c>
      <c r="G156" s="92"/>
      <c r="H156" s="92"/>
      <c r="I156" s="92"/>
    </row>
    <row r="157" spans="1:9" ht="15">
      <c r="A157" s="92"/>
      <c r="B157" s="92"/>
      <c r="C157" s="92"/>
      <c r="D157" s="92"/>
      <c r="E157" s="97" t="str">
        <f t="shared" si="8"/>
        <v/>
      </c>
      <c r="F157" s="96" t="str">
        <f t="shared" si="9"/>
        <v/>
      </c>
      <c r="G157" s="92"/>
      <c r="H157" s="92"/>
      <c r="I157" s="92"/>
    </row>
    <row r="158" spans="1:9" ht="15">
      <c r="A158" s="92"/>
      <c r="B158" s="92"/>
      <c r="C158" s="92"/>
      <c r="D158" s="92"/>
      <c r="E158" s="97" t="str">
        <f t="shared" si="8"/>
        <v/>
      </c>
      <c r="F158" s="96" t="str">
        <f t="shared" si="9"/>
        <v/>
      </c>
      <c r="G158" s="92"/>
      <c r="H158" s="92"/>
      <c r="I158" s="92"/>
    </row>
    <row r="159" spans="1:9" ht="15">
      <c r="A159" s="92"/>
      <c r="B159" s="92"/>
      <c r="C159" s="92"/>
      <c r="D159" s="92"/>
      <c r="E159" s="97" t="str">
        <f t="shared" si="8"/>
        <v/>
      </c>
      <c r="F159" s="96" t="str">
        <f t="shared" si="9"/>
        <v/>
      </c>
      <c r="G159" s="92"/>
      <c r="H159" s="92"/>
      <c r="I159" s="92"/>
    </row>
    <row r="160" spans="1:9" ht="15">
      <c r="A160" s="92"/>
      <c r="B160" s="92"/>
      <c r="C160" s="92"/>
      <c r="D160" s="92"/>
      <c r="E160" s="97" t="str">
        <f t="shared" si="8"/>
        <v/>
      </c>
      <c r="F160" s="96" t="str">
        <f t="shared" si="9"/>
        <v/>
      </c>
      <c r="G160" s="92"/>
      <c r="H160" s="92"/>
      <c r="I160" s="92"/>
    </row>
    <row r="161" spans="1:9" ht="15">
      <c r="A161" s="92"/>
      <c r="B161" s="92"/>
      <c r="C161" s="92"/>
      <c r="D161" s="92"/>
      <c r="E161" s="97" t="str">
        <f t="shared" si="8"/>
        <v/>
      </c>
      <c r="F161" s="96" t="str">
        <f t="shared" si="9"/>
        <v/>
      </c>
      <c r="G161" s="92"/>
      <c r="H161" s="92"/>
      <c r="I161" s="92"/>
    </row>
    <row r="162" spans="1:9" ht="15">
      <c r="A162" s="92"/>
      <c r="B162" s="92"/>
      <c r="C162" s="92"/>
      <c r="D162" s="92"/>
      <c r="E162" s="97" t="str">
        <f t="shared" si="8"/>
        <v/>
      </c>
      <c r="F162" s="96" t="str">
        <f t="shared" si="9"/>
        <v/>
      </c>
      <c r="G162" s="92"/>
      <c r="H162" s="92"/>
      <c r="I162" s="92"/>
    </row>
    <row r="163" spans="1:9" ht="15">
      <c r="A163" s="92"/>
      <c r="B163" s="92"/>
      <c r="C163" s="92"/>
      <c r="D163" s="92"/>
      <c r="E163" s="97" t="str">
        <f t="shared" si="8"/>
        <v/>
      </c>
      <c r="F163" s="96" t="str">
        <f t="shared" si="9"/>
        <v/>
      </c>
      <c r="G163" s="92"/>
      <c r="H163" s="92"/>
      <c r="I163" s="92"/>
    </row>
    <row r="164" spans="1:9" ht="15">
      <c r="A164" s="92"/>
      <c r="B164" s="92"/>
      <c r="C164" s="92"/>
      <c r="D164" s="92"/>
      <c r="E164" s="97" t="str">
        <f t="shared" si="8"/>
        <v/>
      </c>
      <c r="F164" s="96" t="str">
        <f t="shared" si="9"/>
        <v/>
      </c>
      <c r="G164" s="92"/>
      <c r="H164" s="92"/>
      <c r="I164" s="92"/>
    </row>
    <row r="165" spans="1:9" ht="15">
      <c r="A165" s="92"/>
      <c r="B165" s="92"/>
      <c r="C165" s="92"/>
      <c r="D165" s="92"/>
      <c r="E165" s="95" t="str">
        <f t="shared" si="8"/>
        <v/>
      </c>
      <c r="F165" s="94" t="str">
        <f t="shared" si="9"/>
        <v/>
      </c>
      <c r="G165" s="92"/>
      <c r="H165" s="92"/>
      <c r="I165" s="92"/>
    </row>
    <row r="166" spans="1:9" ht="15">
      <c r="A166" s="92"/>
      <c r="B166" s="92"/>
      <c r="C166" s="92"/>
      <c r="D166" s="92"/>
      <c r="E166" s="92"/>
      <c r="F166" s="92"/>
      <c r="G166" s="92"/>
      <c r="H166" s="92"/>
      <c r="I166" s="92"/>
    </row>
    <row r="167" spans="1:9" ht="15">
      <c r="A167" s="92"/>
      <c r="B167" s="92"/>
      <c r="C167" s="92"/>
      <c r="D167" s="92"/>
      <c r="E167" s="92"/>
      <c r="F167" s="92"/>
      <c r="G167" s="92"/>
      <c r="H167" s="92"/>
      <c r="I167" s="92"/>
    </row>
    <row r="168" spans="1:9" ht="15">
      <c r="A168" s="92"/>
      <c r="B168" s="92"/>
      <c r="C168" s="92"/>
      <c r="D168" s="92"/>
      <c r="E168" s="92"/>
      <c r="F168" s="92"/>
      <c r="G168" s="92"/>
      <c r="H168" s="92"/>
      <c r="I168" s="92"/>
    </row>
    <row r="169" spans="1:9" ht="15">
      <c r="A169" s="92"/>
      <c r="B169" s="92"/>
      <c r="C169" s="92" t="s">
        <v>163</v>
      </c>
      <c r="D169" s="92"/>
      <c r="E169" s="100" t="s">
        <v>162</v>
      </c>
      <c r="F169" s="100" t="s">
        <v>161</v>
      </c>
      <c r="G169" s="92"/>
      <c r="H169" s="92"/>
      <c r="I169" s="92"/>
    </row>
    <row r="170" spans="1:9" ht="15">
      <c r="A170" s="92"/>
      <c r="B170" s="92"/>
      <c r="C170" s="92"/>
      <c r="D170" s="92"/>
      <c r="E170" s="99" t="str">
        <f t="shared" ref="E170:E179" si="10">IF(COUNTBLANK(F93:I93)&gt;=4,"",INDEX(DB_ArrayDash1Names,$B93)&amp; DB_WhiteSpace &amp; INDEX(DB_ArrayDash1Values,$B93) &amp; IF(H93="","",DB_SubWhiteSpace &amp; I93))</f>
        <v/>
      </c>
      <c r="F170" s="98" t="str">
        <f t="shared" ref="F170:F179" si="11">IF(E93,E170,"")</f>
        <v/>
      </c>
      <c r="G170" s="92"/>
      <c r="H170" s="92"/>
      <c r="I170" s="92"/>
    </row>
    <row r="171" spans="1:9" ht="15">
      <c r="A171" s="92"/>
      <c r="B171" s="92"/>
      <c r="C171" s="92"/>
      <c r="D171" s="92"/>
      <c r="E171" s="97" t="str">
        <f t="shared" si="10"/>
        <v/>
      </c>
      <c r="F171" s="96" t="str">
        <f t="shared" si="11"/>
        <v/>
      </c>
      <c r="G171" s="92"/>
      <c r="H171" s="92"/>
      <c r="I171" s="92"/>
    </row>
    <row r="172" spans="1:9" ht="15">
      <c r="A172" s="92"/>
      <c r="B172" s="92"/>
      <c r="C172" s="92"/>
      <c r="D172" s="92"/>
      <c r="E172" s="97" t="str">
        <f t="shared" si="10"/>
        <v/>
      </c>
      <c r="F172" s="96" t="str">
        <f t="shared" si="11"/>
        <v/>
      </c>
      <c r="G172" s="92"/>
      <c r="H172" s="92"/>
      <c r="I172" s="92"/>
    </row>
    <row r="173" spans="1:9" ht="15">
      <c r="A173" s="92"/>
      <c r="B173" s="92"/>
      <c r="C173" s="92"/>
      <c r="D173" s="92"/>
      <c r="E173" s="97" t="str">
        <f t="shared" si="10"/>
        <v/>
      </c>
      <c r="F173" s="96" t="str">
        <f t="shared" si="11"/>
        <v/>
      </c>
      <c r="G173" s="92"/>
      <c r="H173" s="92"/>
      <c r="I173" s="92"/>
    </row>
    <row r="174" spans="1:9" ht="15">
      <c r="A174" s="92"/>
      <c r="B174" s="92"/>
      <c r="C174" s="92"/>
      <c r="D174" s="92"/>
      <c r="E174" s="97" t="str">
        <f t="shared" si="10"/>
        <v/>
      </c>
      <c r="F174" s="96" t="str">
        <f t="shared" si="11"/>
        <v/>
      </c>
      <c r="G174" s="92"/>
      <c r="H174" s="92"/>
      <c r="I174" s="92"/>
    </row>
    <row r="175" spans="1:9" ht="15">
      <c r="A175" s="92"/>
      <c r="B175" s="92"/>
      <c r="C175" s="92"/>
      <c r="D175" s="92"/>
      <c r="E175" s="97" t="str">
        <f t="shared" si="10"/>
        <v/>
      </c>
      <c r="F175" s="96" t="str">
        <f t="shared" si="11"/>
        <v/>
      </c>
      <c r="G175" s="92"/>
      <c r="H175" s="92"/>
      <c r="I175" s="92"/>
    </row>
    <row r="176" spans="1:9" ht="15">
      <c r="A176" s="92"/>
      <c r="B176" s="92"/>
      <c r="C176" s="92"/>
      <c r="D176" s="92"/>
      <c r="E176" s="97" t="str">
        <f t="shared" si="10"/>
        <v/>
      </c>
      <c r="F176" s="96" t="str">
        <f t="shared" si="11"/>
        <v/>
      </c>
      <c r="G176" s="92"/>
      <c r="H176" s="92"/>
      <c r="I176" s="92"/>
    </row>
    <row r="177" spans="1:9" ht="15">
      <c r="A177" s="92"/>
      <c r="B177" s="92"/>
      <c r="C177" s="92"/>
      <c r="D177" s="92"/>
      <c r="E177" s="97" t="str">
        <f t="shared" si="10"/>
        <v/>
      </c>
      <c r="F177" s="96" t="str">
        <f t="shared" si="11"/>
        <v/>
      </c>
      <c r="G177" s="92"/>
      <c r="H177" s="92"/>
      <c r="I177" s="92"/>
    </row>
    <row r="178" spans="1:9" ht="15">
      <c r="A178" s="92"/>
      <c r="B178" s="92"/>
      <c r="C178" s="92"/>
      <c r="D178" s="92"/>
      <c r="E178" s="97" t="str">
        <f t="shared" si="10"/>
        <v/>
      </c>
      <c r="F178" s="96" t="str">
        <f t="shared" si="11"/>
        <v/>
      </c>
      <c r="G178" s="92"/>
      <c r="H178" s="92"/>
      <c r="I178" s="92"/>
    </row>
    <row r="179" spans="1:9" ht="15">
      <c r="A179" s="92"/>
      <c r="B179" s="92"/>
      <c r="C179" s="92"/>
      <c r="D179" s="92"/>
      <c r="E179" s="95" t="str">
        <f t="shared" si="10"/>
        <v/>
      </c>
      <c r="F179" s="94" t="str">
        <f t="shared" si="11"/>
        <v/>
      </c>
      <c r="G179" s="93"/>
      <c r="H179" s="93"/>
      <c r="I179" s="93"/>
    </row>
  </sheetData>
  <dataValidations count="1">
    <dataValidation type="list" allowBlank="1" showInputMessage="1" showErrorMessage="1" sqref="E37:E46 E51:E60 E65:E74 E79:E88 E93:E102">
      <formula1>"True,False"</formula1>
    </dataValidation>
  </dataValidations>
  <hyperlinks>
    <hyperlink ref="D3" r:id="rId1"/>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2060"/>
  </sheetPr>
  <dimension ref="A1:P42"/>
  <sheetViews>
    <sheetView zoomScale="85" zoomScaleNormal="85" workbookViewId="0">
      <selection activeCell="T32" sqref="T32"/>
    </sheetView>
  </sheetViews>
  <sheetFormatPr defaultColWidth="11.296875" defaultRowHeight="12.75" customHeight="1"/>
  <cols>
    <col min="1" max="1" width="1" customWidth="1"/>
    <col min="2" max="2" width="0.69921875" customWidth="1"/>
    <col min="3" max="4" width="17.3984375" customWidth="1"/>
    <col min="5" max="5" width="9.765625E-2" customWidth="1"/>
    <col min="6" max="6" width="4.8984375" customWidth="1"/>
    <col min="7" max="7" width="8.796875" customWidth="1"/>
    <col min="8" max="8" width="15" customWidth="1"/>
    <col min="9" max="9" width="2.59765625" customWidth="1"/>
    <col min="10" max="10" width="8.796875" customWidth="1"/>
    <col min="11" max="11" width="15" customWidth="1"/>
    <col min="12" max="12" width="2.59765625" customWidth="1"/>
    <col min="13" max="13" width="16.19921875" bestFit="1" customWidth="1"/>
    <col min="14" max="14" width="15" customWidth="1"/>
  </cols>
  <sheetData>
    <row r="1" spans="1:16" ht="14.25">
      <c r="A1" s="250" t="s">
        <v>540</v>
      </c>
      <c r="B1" s="249"/>
      <c r="C1" s="249"/>
      <c r="D1" s="249"/>
      <c r="E1" s="249"/>
      <c r="F1" s="249"/>
      <c r="G1" s="249"/>
      <c r="H1" s="249"/>
      <c r="I1" s="249"/>
      <c r="J1" s="249"/>
      <c r="K1" s="249"/>
      <c r="L1" s="249"/>
      <c r="M1" s="249"/>
      <c r="N1" s="249"/>
      <c r="O1" s="249"/>
      <c r="P1" s="249"/>
    </row>
    <row r="2" spans="1:16" ht="14.25">
      <c r="A2" s="247"/>
      <c r="B2" s="247"/>
      <c r="C2" s="248"/>
      <c r="D2" s="248"/>
      <c r="E2" s="248"/>
      <c r="F2" s="248"/>
      <c r="G2" s="248"/>
      <c r="H2" s="247"/>
      <c r="I2" s="248"/>
      <c r="J2" s="248"/>
      <c r="K2" s="248"/>
      <c r="L2" s="248"/>
      <c r="M2" s="248"/>
      <c r="N2" s="248"/>
      <c r="O2" s="247"/>
      <c r="P2" s="247"/>
    </row>
    <row r="3" spans="1:16" ht="14.25">
      <c r="A3" s="247"/>
      <c r="B3" s="247"/>
      <c r="C3" s="247" t="s">
        <v>109</v>
      </c>
      <c r="D3" s="62" t="s">
        <v>101</v>
      </c>
      <c r="E3" s="247"/>
      <c r="F3" s="62"/>
      <c r="G3" s="61"/>
      <c r="H3" s="247"/>
      <c r="I3" s="61"/>
      <c r="J3" s="61"/>
      <c r="K3" s="61"/>
      <c r="L3" s="61"/>
      <c r="M3" s="61"/>
      <c r="N3" s="61"/>
      <c r="O3" s="247"/>
      <c r="P3" s="247"/>
    </row>
    <row r="4" spans="1:16" ht="14.25">
      <c r="A4" s="231"/>
      <c r="B4" s="231"/>
      <c r="C4" s="231"/>
      <c r="D4" s="231"/>
      <c r="E4" s="231"/>
      <c r="F4" s="231"/>
      <c r="G4" s="231"/>
      <c r="H4" s="231"/>
      <c r="I4" s="231"/>
      <c r="J4" s="231"/>
      <c r="K4" s="231"/>
      <c r="L4" s="231"/>
      <c r="M4" s="231"/>
      <c r="N4" s="231"/>
      <c r="O4" s="231"/>
      <c r="P4" s="231"/>
    </row>
    <row r="5" spans="1:16" ht="14.25">
      <c r="A5" s="230"/>
      <c r="B5" s="228"/>
      <c r="C5" s="228" t="s">
        <v>108</v>
      </c>
      <c r="D5" s="228"/>
      <c r="E5" s="228"/>
      <c r="F5" s="228"/>
      <c r="G5" s="229"/>
      <c r="H5" s="229"/>
      <c r="I5" s="229"/>
      <c r="J5" s="229"/>
      <c r="K5" s="229"/>
      <c r="L5" s="229"/>
      <c r="M5" s="229"/>
      <c r="N5" s="229"/>
      <c r="O5" s="228"/>
      <c r="P5" s="228"/>
    </row>
    <row r="6" spans="1:16" ht="14.25">
      <c r="A6" s="231"/>
      <c r="B6" s="231"/>
      <c r="C6" s="231"/>
      <c r="D6" s="231"/>
      <c r="E6" s="231"/>
      <c r="F6" s="231"/>
      <c r="G6" s="231"/>
      <c r="H6" s="231"/>
      <c r="I6" s="231"/>
      <c r="J6" s="231"/>
      <c r="K6" s="231"/>
      <c r="L6" s="231"/>
      <c r="M6" s="231"/>
      <c r="N6" s="231"/>
      <c r="O6" s="231"/>
      <c r="P6" s="231"/>
    </row>
    <row r="7" spans="1:16" ht="14.25">
      <c r="A7" s="231"/>
      <c r="B7" s="231"/>
      <c r="C7" s="246" t="s">
        <v>107</v>
      </c>
      <c r="D7" s="246"/>
      <c r="E7" s="246"/>
      <c r="F7" s="246"/>
      <c r="G7" s="231"/>
      <c r="H7" s="231"/>
      <c r="I7" s="231"/>
      <c r="J7" s="231"/>
      <c r="K7" s="245" t="s">
        <v>106</v>
      </c>
      <c r="L7" s="231"/>
      <c r="M7" s="231"/>
      <c r="N7" s="231"/>
      <c r="O7" s="231"/>
      <c r="P7" s="231"/>
    </row>
    <row r="8" spans="1:16" ht="14.25">
      <c r="A8" s="231"/>
      <c r="B8" s="231"/>
      <c r="C8" s="244"/>
      <c r="D8" s="240" t="s">
        <v>98</v>
      </c>
      <c r="E8" s="231"/>
      <c r="F8" s="231"/>
      <c r="G8" s="231"/>
      <c r="H8" s="231"/>
      <c r="I8" s="231"/>
      <c r="J8" s="231"/>
      <c r="K8" s="243"/>
      <c r="L8" s="240" t="s">
        <v>99</v>
      </c>
      <c r="M8" s="231"/>
      <c r="N8" s="231"/>
      <c r="O8" s="231"/>
      <c r="P8" s="231"/>
    </row>
    <row r="9" spans="1:16" ht="14.25">
      <c r="A9" s="231"/>
      <c r="B9" s="231"/>
      <c r="C9" s="242"/>
      <c r="D9" s="240" t="s">
        <v>97</v>
      </c>
      <c r="E9" s="231"/>
      <c r="F9" s="231"/>
      <c r="G9" s="231"/>
      <c r="H9" s="231"/>
      <c r="I9" s="231"/>
      <c r="J9" s="231"/>
      <c r="K9" s="231"/>
      <c r="L9" s="231"/>
      <c r="M9" s="231"/>
      <c r="N9" s="231"/>
      <c r="O9" s="231"/>
      <c r="P9" s="231"/>
    </row>
    <row r="10" spans="1:16" ht="14.25">
      <c r="A10" s="231"/>
      <c r="B10" s="231"/>
      <c r="C10" s="241"/>
      <c r="D10" s="240" t="s">
        <v>100</v>
      </c>
      <c r="E10" s="231"/>
      <c r="F10" s="231"/>
      <c r="G10" s="231"/>
      <c r="H10" s="231"/>
      <c r="I10" s="231"/>
      <c r="J10" s="231"/>
      <c r="K10" s="231"/>
      <c r="L10" s="231"/>
      <c r="M10" s="231"/>
      <c r="N10" s="231"/>
      <c r="O10" s="231"/>
      <c r="P10" s="231"/>
    </row>
    <row r="11" spans="1:16" ht="14.25">
      <c r="A11" s="231"/>
      <c r="B11" s="231"/>
      <c r="C11" s="231"/>
      <c r="D11" s="231"/>
      <c r="E11" s="231"/>
      <c r="F11" s="231"/>
      <c r="G11" s="231"/>
      <c r="H11" s="231"/>
      <c r="I11" s="231"/>
      <c r="J11" s="231"/>
      <c r="K11" s="231"/>
      <c r="L11" s="231"/>
      <c r="M11" s="231"/>
      <c r="N11" s="231"/>
      <c r="O11" s="231"/>
      <c r="P11" s="231"/>
    </row>
    <row r="12" spans="1:16" ht="14.25">
      <c r="A12" s="230"/>
      <c r="B12" s="228"/>
      <c r="C12" s="228" t="s">
        <v>104</v>
      </c>
      <c r="D12" s="228"/>
      <c r="E12" s="228"/>
      <c r="F12" s="228"/>
      <c r="G12" s="229"/>
      <c r="H12" s="229"/>
      <c r="I12" s="229"/>
      <c r="J12" s="229"/>
      <c r="K12" s="229"/>
      <c r="L12" s="229"/>
      <c r="M12" s="229"/>
      <c r="N12" s="229"/>
      <c r="O12" s="228"/>
      <c r="P12" s="228"/>
    </row>
    <row r="13" spans="1:16" ht="14.25">
      <c r="A13" s="216"/>
      <c r="B13" s="237"/>
      <c r="C13" s="216"/>
      <c r="D13" s="216"/>
      <c r="E13" s="236"/>
      <c r="F13" s="236"/>
      <c r="G13" s="235"/>
      <c r="H13" s="235"/>
      <c r="I13" s="235"/>
      <c r="J13" s="235"/>
      <c r="K13" s="235"/>
      <c r="L13" s="235"/>
      <c r="M13" s="235"/>
      <c r="N13" s="235"/>
      <c r="O13" s="216"/>
      <c r="P13" s="216"/>
    </row>
    <row r="14" spans="1:16" ht="14.25">
      <c r="A14" s="216"/>
      <c r="B14" s="237"/>
      <c r="C14" s="216" t="s">
        <v>558</v>
      </c>
      <c r="D14" s="239"/>
      <c r="E14" s="236"/>
      <c r="F14" s="238" t="s">
        <v>557</v>
      </c>
      <c r="G14" s="235"/>
      <c r="H14" s="235"/>
      <c r="I14" s="235"/>
      <c r="J14" s="235"/>
      <c r="K14" s="235"/>
      <c r="L14" s="235"/>
      <c r="M14" s="235"/>
      <c r="N14" s="235"/>
      <c r="O14" s="216"/>
      <c r="P14" s="216"/>
    </row>
    <row r="15" spans="1:16" ht="14.25">
      <c r="A15" s="216"/>
      <c r="B15" s="237"/>
      <c r="C15" s="216"/>
      <c r="D15" s="216"/>
      <c r="E15" s="236"/>
      <c r="F15" s="238"/>
      <c r="G15" s="235"/>
      <c r="H15" s="235"/>
      <c r="I15" s="235"/>
      <c r="J15" s="235"/>
      <c r="K15" s="235"/>
      <c r="L15" s="235"/>
      <c r="M15" s="235"/>
      <c r="N15" s="235"/>
      <c r="O15" s="216"/>
      <c r="P15" s="216"/>
    </row>
    <row r="16" spans="1:16" ht="14.25">
      <c r="A16" s="216"/>
      <c r="B16" s="237"/>
      <c r="C16" s="216" t="s">
        <v>556</v>
      </c>
      <c r="D16" s="217"/>
      <c r="E16" s="236"/>
      <c r="F16" s="238" t="s">
        <v>555</v>
      </c>
      <c r="G16" s="235"/>
      <c r="H16" s="235"/>
      <c r="I16" s="235"/>
      <c r="J16" s="235"/>
      <c r="K16" s="235"/>
      <c r="L16" s="235"/>
      <c r="M16" s="235"/>
      <c r="N16" s="235"/>
      <c r="O16" s="216"/>
      <c r="P16" s="216"/>
    </row>
    <row r="17" spans="1:16" ht="14.25">
      <c r="A17" s="216"/>
      <c r="B17" s="237"/>
      <c r="C17" s="216"/>
      <c r="D17" s="216"/>
      <c r="E17" s="236"/>
      <c r="F17" s="236"/>
      <c r="G17" s="235"/>
      <c r="H17" s="235"/>
      <c r="I17" s="235"/>
      <c r="J17" s="235"/>
      <c r="K17" s="235"/>
      <c r="L17" s="235"/>
      <c r="M17" s="235"/>
      <c r="N17" s="235"/>
      <c r="O17" s="216"/>
      <c r="P17" s="216"/>
    </row>
    <row r="18" spans="1:16" ht="20.100000000000001" customHeight="1">
      <c r="A18" s="228"/>
      <c r="B18" s="228"/>
      <c r="C18" s="234" t="s">
        <v>201</v>
      </c>
      <c r="D18" s="234"/>
      <c r="E18" s="233"/>
      <c r="F18" s="233"/>
      <c r="G18" s="234" t="s">
        <v>105</v>
      </c>
      <c r="H18" s="233"/>
      <c r="I18" s="233"/>
      <c r="J18" s="234"/>
      <c r="K18" s="233"/>
      <c r="L18" s="233"/>
      <c r="M18" s="234"/>
      <c r="N18" s="233"/>
      <c r="O18" s="228"/>
      <c r="P18" s="228"/>
    </row>
    <row r="19" spans="1:16" ht="14.25">
      <c r="A19" s="231"/>
      <c r="B19" s="231"/>
      <c r="C19" s="231"/>
      <c r="D19" s="231"/>
      <c r="E19" s="232"/>
      <c r="F19" s="231"/>
      <c r="G19" s="231"/>
      <c r="H19" s="231"/>
      <c r="I19" s="231"/>
      <c r="J19" s="231"/>
      <c r="K19" s="231"/>
      <c r="L19" s="231"/>
      <c r="M19" s="231"/>
      <c r="N19" s="231"/>
      <c r="O19" s="231"/>
      <c r="P19" s="231"/>
    </row>
    <row r="20" spans="1:16" ht="14.25">
      <c r="A20" s="230"/>
      <c r="B20" s="228"/>
      <c r="C20" s="228"/>
      <c r="D20" s="228" t="s">
        <v>554</v>
      </c>
      <c r="E20" s="228"/>
      <c r="F20" s="228"/>
      <c r="G20" s="230" t="s">
        <v>553</v>
      </c>
      <c r="H20" s="229"/>
      <c r="I20" s="228"/>
      <c r="J20" s="230" t="s">
        <v>552</v>
      </c>
      <c r="K20" s="229"/>
      <c r="L20" s="229"/>
      <c r="M20" s="230" t="s">
        <v>551</v>
      </c>
      <c r="N20" s="229"/>
      <c r="O20" s="228"/>
      <c r="P20" s="228"/>
    </row>
    <row r="21" spans="1:16" ht="14.25">
      <c r="A21" s="216"/>
      <c r="B21" s="216"/>
      <c r="C21" s="216"/>
      <c r="D21" s="216"/>
      <c r="E21" s="217"/>
      <c r="F21" s="216"/>
      <c r="G21" s="216"/>
      <c r="H21" s="216"/>
      <c r="I21" s="216"/>
      <c r="J21" s="216"/>
      <c r="K21" s="216"/>
      <c r="L21" s="216"/>
      <c r="M21" s="216"/>
      <c r="N21" s="216"/>
      <c r="O21" s="216"/>
      <c r="P21" s="216"/>
    </row>
    <row r="22" spans="1:16" ht="14.25">
      <c r="A22" s="216"/>
      <c r="B22" s="216"/>
      <c r="C22" s="216" t="s">
        <v>550</v>
      </c>
      <c r="D22" s="216"/>
      <c r="E22" s="217"/>
      <c r="F22" s="216"/>
      <c r="G22" s="227">
        <v>2</v>
      </c>
      <c r="H22" s="216" t="s">
        <v>549</v>
      </c>
      <c r="I22" s="216"/>
      <c r="J22" s="227" t="s">
        <v>240</v>
      </c>
      <c r="K22" s="216" t="s">
        <v>548</v>
      </c>
      <c r="L22" s="216"/>
      <c r="M22" s="227" t="s">
        <v>569</v>
      </c>
      <c r="N22" s="216" t="s">
        <v>547</v>
      </c>
      <c r="O22" s="216"/>
      <c r="P22" s="216">
        <v>1</v>
      </c>
    </row>
    <row r="23" spans="1:16" ht="14.25">
      <c r="A23" s="216"/>
      <c r="B23" s="216"/>
      <c r="C23" s="216"/>
      <c r="D23" s="216"/>
      <c r="E23" s="217"/>
      <c r="F23" s="216"/>
      <c r="G23" s="216"/>
      <c r="H23" s="216"/>
      <c r="I23" s="216"/>
      <c r="J23" s="216"/>
      <c r="K23" s="216"/>
      <c r="L23" s="216"/>
      <c r="M23" s="216"/>
      <c r="N23" s="216"/>
      <c r="O23" s="216"/>
      <c r="P23" s="216"/>
    </row>
    <row r="24" spans="1:16" ht="14.25">
      <c r="A24" s="216"/>
      <c r="B24" s="216"/>
      <c r="C24" s="216" t="s">
        <v>546</v>
      </c>
      <c r="D24" s="216"/>
      <c r="E24" s="217"/>
      <c r="F24" s="216"/>
      <c r="G24" s="227">
        <v>2</v>
      </c>
      <c r="H24" s="216" t="s">
        <v>545</v>
      </c>
      <c r="I24" s="216"/>
      <c r="J24" s="227" t="s">
        <v>240</v>
      </c>
      <c r="K24" s="216" t="s">
        <v>544</v>
      </c>
      <c r="L24" s="216"/>
      <c r="M24" s="227" t="s">
        <v>572</v>
      </c>
      <c r="N24" s="216" t="s">
        <v>543</v>
      </c>
      <c r="O24" s="216"/>
      <c r="P24" s="216">
        <v>2</v>
      </c>
    </row>
    <row r="25" spans="1:16" ht="14.25">
      <c r="A25" s="216"/>
      <c r="B25" s="216"/>
      <c r="C25" s="216"/>
      <c r="D25" s="216"/>
      <c r="E25" s="217"/>
      <c r="F25" s="216"/>
      <c r="G25" s="216"/>
      <c r="H25" s="216"/>
      <c r="I25" s="216"/>
      <c r="J25" s="216"/>
      <c r="K25" s="216"/>
      <c r="L25" s="216"/>
      <c r="M25" s="216"/>
      <c r="N25" s="216"/>
      <c r="O25" s="216"/>
      <c r="P25" s="216"/>
    </row>
    <row r="26" spans="1:16" ht="14.25">
      <c r="A26" s="216"/>
      <c r="B26" s="216"/>
      <c r="C26" s="216" t="s">
        <v>542</v>
      </c>
      <c r="D26" s="216"/>
      <c r="E26" s="217"/>
      <c r="F26" s="216"/>
      <c r="G26" s="227">
        <v>2</v>
      </c>
      <c r="H26" s="216" t="s">
        <v>541</v>
      </c>
      <c r="I26" s="216"/>
      <c r="J26" s="227" t="s">
        <v>240</v>
      </c>
      <c r="K26" s="216" t="s">
        <v>539</v>
      </c>
      <c r="L26" s="216"/>
      <c r="M26" s="227" t="s">
        <v>571</v>
      </c>
      <c r="N26" s="216" t="s">
        <v>538</v>
      </c>
      <c r="O26" s="216"/>
      <c r="P26" s="216">
        <v>1</v>
      </c>
    </row>
    <row r="27" spans="1:16" ht="14.25">
      <c r="A27" s="216"/>
      <c r="B27" s="216"/>
      <c r="C27" s="216"/>
      <c r="D27" s="216"/>
      <c r="E27" s="217"/>
      <c r="F27" s="216"/>
      <c r="G27" s="216"/>
      <c r="H27" s="216"/>
      <c r="I27" s="216"/>
      <c r="J27" s="216"/>
      <c r="K27" s="216"/>
      <c r="L27" s="216"/>
      <c r="M27" s="216"/>
      <c r="N27" s="216"/>
      <c r="O27" s="216"/>
      <c r="P27" s="216"/>
    </row>
    <row r="28" spans="1:16" ht="14.25">
      <c r="A28" s="216"/>
      <c r="B28" s="216"/>
      <c r="C28" s="216" t="s">
        <v>559</v>
      </c>
      <c r="D28" s="216"/>
      <c r="E28" s="217"/>
      <c r="F28" s="216"/>
      <c r="G28" s="227">
        <v>2</v>
      </c>
      <c r="H28" s="216" t="s">
        <v>560</v>
      </c>
      <c r="I28" s="216"/>
      <c r="J28" s="227" t="s">
        <v>240</v>
      </c>
      <c r="K28" s="216" t="s">
        <v>561</v>
      </c>
      <c r="L28" s="216"/>
      <c r="M28" s="227" t="s">
        <v>570</v>
      </c>
      <c r="N28" s="216" t="s">
        <v>562</v>
      </c>
      <c r="O28" s="216"/>
      <c r="P28" s="216">
        <v>1</v>
      </c>
    </row>
    <row r="29" spans="1:16" ht="14.25">
      <c r="A29" s="216"/>
      <c r="B29" s="216"/>
      <c r="C29" s="216"/>
      <c r="D29" s="216"/>
      <c r="E29" s="217"/>
      <c r="F29" s="216"/>
      <c r="G29" s="216"/>
      <c r="H29" s="216"/>
      <c r="I29" s="216"/>
      <c r="J29" s="216"/>
      <c r="K29" s="216"/>
      <c r="L29" s="216"/>
      <c r="M29" s="216"/>
      <c r="N29" s="216"/>
      <c r="O29" s="216"/>
      <c r="P29" s="216"/>
    </row>
    <row r="30" spans="1:16" ht="14.25">
      <c r="A30" s="216"/>
      <c r="B30" s="216"/>
      <c r="C30" s="216" t="s">
        <v>1501</v>
      </c>
      <c r="D30" s="216"/>
      <c r="E30" s="217"/>
      <c r="F30" s="216"/>
      <c r="G30" s="227">
        <v>2</v>
      </c>
      <c r="H30" s="216" t="s">
        <v>1502</v>
      </c>
      <c r="I30" s="216"/>
      <c r="J30" s="227" t="s">
        <v>240</v>
      </c>
      <c r="K30" s="216" t="s">
        <v>1503</v>
      </c>
      <c r="L30" s="216"/>
      <c r="M30" s="227" t="s">
        <v>1504</v>
      </c>
      <c r="N30" s="216" t="s">
        <v>1505</v>
      </c>
      <c r="O30" s="216"/>
      <c r="P30" s="216">
        <v>1</v>
      </c>
    </row>
    <row r="31" spans="1:16" ht="14.25">
      <c r="A31" s="216"/>
      <c r="B31" s="216"/>
      <c r="C31" s="216"/>
      <c r="D31" s="216"/>
      <c r="E31" s="217"/>
      <c r="F31" s="216"/>
      <c r="G31" s="216"/>
      <c r="H31" s="216"/>
      <c r="I31" s="216"/>
      <c r="J31" s="216"/>
      <c r="K31" s="216"/>
      <c r="L31" s="216"/>
      <c r="M31" s="216"/>
      <c r="N31" s="216"/>
      <c r="O31" s="216"/>
      <c r="P31" s="216"/>
    </row>
    <row r="32" spans="1:16" ht="14.25">
      <c r="A32" s="216"/>
      <c r="B32" s="216"/>
      <c r="C32" s="216" t="s">
        <v>1496</v>
      </c>
      <c r="D32" s="216"/>
      <c r="E32" s="217"/>
      <c r="F32" s="216"/>
      <c r="G32" s="227">
        <v>2</v>
      </c>
      <c r="H32" s="216" t="s">
        <v>1497</v>
      </c>
      <c r="I32" s="216"/>
      <c r="J32" s="227" t="s">
        <v>240</v>
      </c>
      <c r="K32" s="216" t="s">
        <v>1498</v>
      </c>
      <c r="L32" s="216"/>
      <c r="M32" s="227" t="s">
        <v>1499</v>
      </c>
      <c r="N32" s="216" t="s">
        <v>1500</v>
      </c>
      <c r="O32" s="216"/>
      <c r="P32" s="216">
        <v>1</v>
      </c>
    </row>
    <row r="33" spans="1:16" ht="14.25">
      <c r="A33" s="216"/>
      <c r="B33" s="216"/>
      <c r="C33" s="216"/>
      <c r="D33" s="216"/>
      <c r="E33" s="217"/>
      <c r="F33" s="216"/>
      <c r="G33" s="216"/>
      <c r="H33" s="216"/>
      <c r="I33" s="216"/>
      <c r="J33" s="216"/>
      <c r="K33" s="216"/>
      <c r="L33" s="216"/>
      <c r="M33" s="216"/>
      <c r="N33" s="216"/>
      <c r="O33" s="216"/>
      <c r="P33" s="216"/>
    </row>
    <row r="34" spans="1:16" ht="14.25">
      <c r="A34" s="216"/>
      <c r="B34" s="216"/>
      <c r="C34" s="216" t="s">
        <v>1491</v>
      </c>
      <c r="D34" s="216"/>
      <c r="E34" s="217"/>
      <c r="F34" s="216"/>
      <c r="G34" s="227">
        <v>2</v>
      </c>
      <c r="H34" s="216" t="s">
        <v>1492</v>
      </c>
      <c r="I34" s="216"/>
      <c r="J34" s="227" t="s">
        <v>240</v>
      </c>
      <c r="K34" s="216" t="s">
        <v>1493</v>
      </c>
      <c r="L34" s="216"/>
      <c r="M34" s="227" t="s">
        <v>1494</v>
      </c>
      <c r="N34" s="216" t="s">
        <v>1495</v>
      </c>
      <c r="O34" s="216"/>
      <c r="P34" s="216">
        <v>1</v>
      </c>
    </row>
    <row r="35" spans="1:16" ht="14.25">
      <c r="A35" s="216"/>
      <c r="B35" s="216"/>
      <c r="C35" s="216"/>
      <c r="D35" s="216"/>
      <c r="E35" s="217"/>
      <c r="F35" s="216"/>
      <c r="G35" s="216"/>
      <c r="H35" s="216"/>
      <c r="I35" s="216"/>
      <c r="J35" s="216"/>
      <c r="K35" s="216"/>
      <c r="L35" s="216"/>
      <c r="M35" s="216"/>
      <c r="N35" s="216"/>
      <c r="O35" s="216"/>
      <c r="P35" s="216"/>
    </row>
    <row r="36" spans="1:16" ht="14.25">
      <c r="A36" s="216"/>
      <c r="B36" s="216"/>
      <c r="C36" s="216" t="s">
        <v>1486</v>
      </c>
      <c r="D36" s="216"/>
      <c r="E36" s="217"/>
      <c r="F36" s="216"/>
      <c r="G36" s="227">
        <v>2</v>
      </c>
      <c r="H36" s="216" t="s">
        <v>1487</v>
      </c>
      <c r="I36" s="216"/>
      <c r="J36" s="227" t="s">
        <v>240</v>
      </c>
      <c r="K36" s="216" t="s">
        <v>1488</v>
      </c>
      <c r="L36" s="216"/>
      <c r="M36" s="227" t="s">
        <v>1489</v>
      </c>
      <c r="N36" s="216" t="s">
        <v>1490</v>
      </c>
      <c r="O36" s="216"/>
      <c r="P36" s="216">
        <v>1</v>
      </c>
    </row>
    <row r="37" spans="1:16" ht="14.25">
      <c r="A37" s="216"/>
      <c r="B37" s="216"/>
      <c r="C37" s="216"/>
      <c r="D37" s="216"/>
      <c r="E37" s="217"/>
      <c r="F37" s="216"/>
      <c r="G37" s="216"/>
      <c r="H37" s="216"/>
      <c r="I37" s="216"/>
      <c r="J37" s="216"/>
      <c r="K37" s="216"/>
      <c r="L37" s="216"/>
      <c r="M37" s="216"/>
      <c r="N37" s="216"/>
      <c r="O37" s="216"/>
      <c r="P37" s="216"/>
    </row>
    <row r="38" spans="1:16" ht="14.25">
      <c r="A38" s="218"/>
      <c r="B38" s="226"/>
      <c r="C38" s="218"/>
      <c r="D38" s="218"/>
      <c r="E38" s="225"/>
      <c r="F38" s="224"/>
      <c r="G38" s="223"/>
      <c r="H38" s="223"/>
      <c r="I38" s="223"/>
      <c r="J38" s="223"/>
      <c r="K38" s="223"/>
      <c r="L38" s="223"/>
      <c r="M38" s="223"/>
      <c r="N38" s="223"/>
      <c r="O38" s="218"/>
      <c r="P38" s="218"/>
    </row>
    <row r="39" spans="1:16" ht="20.100000000000001" customHeight="1">
      <c r="A39" s="220"/>
      <c r="B39" s="220"/>
      <c r="C39" s="222" t="s">
        <v>103</v>
      </c>
      <c r="D39" s="222"/>
      <c r="E39" s="221"/>
      <c r="F39" s="221"/>
      <c r="G39" s="222"/>
      <c r="H39" s="221"/>
      <c r="I39" s="221"/>
      <c r="J39" s="222"/>
      <c r="K39" s="221"/>
      <c r="L39" s="221"/>
      <c r="M39" s="222"/>
      <c r="N39" s="221"/>
      <c r="O39" s="220"/>
      <c r="P39" s="220"/>
    </row>
    <row r="40" spans="1:16" ht="14.25">
      <c r="A40" s="218"/>
      <c r="B40" s="218"/>
      <c r="C40" s="218"/>
      <c r="D40" s="218"/>
      <c r="E40" s="217"/>
      <c r="F40" s="218"/>
      <c r="G40" s="218"/>
      <c r="H40" s="218"/>
      <c r="I40" s="218"/>
      <c r="J40" s="218"/>
      <c r="K40" s="218"/>
      <c r="L40" s="218"/>
      <c r="M40" s="218"/>
      <c r="N40" s="218"/>
      <c r="O40" s="218"/>
      <c r="P40" s="218"/>
    </row>
    <row r="41" spans="1:16" ht="14.25">
      <c r="A41" s="218"/>
      <c r="B41" s="218"/>
      <c r="C41" s="218" t="s">
        <v>537</v>
      </c>
      <c r="D41" s="218"/>
      <c r="E41" s="217"/>
      <c r="F41" s="218"/>
      <c r="G41" s="218"/>
      <c r="H41" s="218"/>
      <c r="I41" s="218"/>
      <c r="J41" s="218"/>
      <c r="K41" s="218"/>
      <c r="L41" s="218"/>
      <c r="M41" s="218"/>
      <c r="N41" s="218"/>
      <c r="O41" s="218"/>
      <c r="P41" s="218"/>
    </row>
    <row r="42" spans="1:16" ht="14.25">
      <c r="A42" s="218"/>
      <c r="B42" s="218"/>
      <c r="C42" s="219">
        <f>COUNTA(G21:G38)</f>
        <v>8</v>
      </c>
      <c r="D42" s="218" t="s">
        <v>536</v>
      </c>
      <c r="E42" s="217"/>
      <c r="F42" s="218"/>
      <c r="G42" s="218"/>
      <c r="H42" s="218"/>
      <c r="I42" s="218"/>
      <c r="J42" s="218"/>
      <c r="K42" s="218"/>
      <c r="L42" s="218"/>
      <c r="M42" s="218"/>
      <c r="N42" s="218"/>
      <c r="O42" s="218"/>
      <c r="P42" s="218"/>
    </row>
  </sheetData>
  <dataValidations count="1">
    <dataValidation type="list" allowBlank="1" showInputMessage="1" showErrorMessage="1" sqref="G22 G24 G26 G28 G30 G32 G34 G36">
      <formula1>"1,2,3,4,5,6,7,8,9"</formula1>
    </dataValidation>
  </dataValidations>
  <hyperlinks>
    <hyperlink ref="D3" r:id="rId1"/>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2060"/>
  </sheetPr>
  <dimension ref="A1:Q37"/>
  <sheetViews>
    <sheetView topLeftCell="A5" zoomScale="85" zoomScaleNormal="85" workbookViewId="0">
      <selection activeCell="H50" sqref="H50"/>
    </sheetView>
  </sheetViews>
  <sheetFormatPr defaultRowHeight="14.25" customHeight="1"/>
  <cols>
    <col min="1" max="1" width="1" customWidth="1"/>
    <col min="2" max="2" width="0.69921875" customWidth="1"/>
    <col min="3" max="4" width="17.3984375" customWidth="1"/>
    <col min="5" max="5" width="9.765625E-2" customWidth="1"/>
    <col min="6" max="6" width="4.8984375" customWidth="1"/>
    <col min="7" max="7" width="8.796875" customWidth="1"/>
    <col min="8" max="8" width="15" customWidth="1"/>
    <col min="9" max="9" width="2.59765625" customWidth="1"/>
    <col min="10" max="10" width="8.796875" customWidth="1"/>
    <col min="11" max="11" width="15" customWidth="1"/>
    <col min="12" max="12" width="2.59765625" customWidth="1"/>
    <col min="13" max="13" width="8.796875" customWidth="1"/>
    <col min="14" max="14" width="15" customWidth="1"/>
    <col min="15" max="15" width="2.59765625" customWidth="1"/>
    <col min="16" max="16" width="25.296875" bestFit="1" customWidth="1"/>
    <col min="17" max="17" width="15" customWidth="1"/>
    <col min="18" max="35" width="8.796875" customWidth="1"/>
  </cols>
  <sheetData>
    <row r="1" spans="1:17">
      <c r="A1" s="336" t="s">
        <v>671</v>
      </c>
      <c r="B1" s="335"/>
      <c r="C1" s="335"/>
      <c r="D1" s="335"/>
      <c r="E1" s="335"/>
      <c r="F1" s="335"/>
      <c r="G1" s="335"/>
      <c r="H1" s="335"/>
      <c r="I1" s="335"/>
      <c r="J1" s="335"/>
      <c r="K1" s="335"/>
      <c r="L1" s="335"/>
      <c r="M1" s="335"/>
      <c r="N1" s="335"/>
      <c r="O1" s="335"/>
      <c r="P1" s="335"/>
      <c r="Q1" s="335"/>
    </row>
    <row r="2" spans="1:17">
      <c r="A2" s="333"/>
      <c r="B2" s="333"/>
      <c r="C2" s="334"/>
      <c r="D2" s="334"/>
      <c r="E2" s="334"/>
      <c r="F2" s="334"/>
      <c r="G2" s="334"/>
      <c r="H2" s="333"/>
      <c r="I2" s="334"/>
      <c r="J2" s="334"/>
      <c r="K2" s="334"/>
      <c r="L2" s="334"/>
      <c r="M2" s="334"/>
      <c r="N2" s="334"/>
      <c r="O2" s="334"/>
      <c r="P2" s="333"/>
      <c r="Q2" s="333"/>
    </row>
    <row r="3" spans="1:17">
      <c r="A3" s="333"/>
      <c r="B3" s="333"/>
      <c r="C3" s="333" t="s">
        <v>109</v>
      </c>
      <c r="D3" s="62" t="s">
        <v>101</v>
      </c>
      <c r="E3" s="333"/>
      <c r="F3" s="62"/>
      <c r="G3" s="61"/>
      <c r="H3" s="333"/>
      <c r="I3" s="61"/>
      <c r="J3" s="61"/>
      <c r="K3" s="61"/>
      <c r="L3" s="61"/>
      <c r="M3" s="61"/>
      <c r="N3" s="61"/>
      <c r="O3" s="61"/>
      <c r="P3" s="333"/>
      <c r="Q3" s="333"/>
    </row>
    <row r="4" spans="1:17">
      <c r="A4" s="319"/>
      <c r="B4" s="319"/>
      <c r="C4" s="319"/>
      <c r="D4" s="319"/>
      <c r="E4" s="319"/>
      <c r="F4" s="319"/>
      <c r="G4" s="319"/>
      <c r="H4" s="319"/>
      <c r="I4" s="319"/>
      <c r="J4" s="319"/>
      <c r="K4" s="319"/>
      <c r="L4" s="319"/>
      <c r="M4" s="319"/>
      <c r="N4" s="319"/>
      <c r="O4" s="319"/>
      <c r="P4" s="319"/>
      <c r="Q4" s="319"/>
    </row>
    <row r="5" spans="1:17">
      <c r="A5" s="317"/>
      <c r="B5" s="316"/>
      <c r="C5" s="316" t="s">
        <v>108</v>
      </c>
      <c r="D5" s="316"/>
      <c r="E5" s="316"/>
      <c r="F5" s="316"/>
      <c r="G5" s="318"/>
      <c r="H5" s="318"/>
      <c r="I5" s="318"/>
      <c r="J5" s="318"/>
      <c r="K5" s="318"/>
      <c r="L5" s="318"/>
      <c r="M5" s="318"/>
      <c r="N5" s="318"/>
      <c r="O5" s="318"/>
      <c r="P5" s="318"/>
      <c r="Q5" s="316"/>
    </row>
    <row r="6" spans="1:17">
      <c r="A6" s="319"/>
      <c r="B6" s="319"/>
      <c r="C6" s="319"/>
      <c r="D6" s="319"/>
      <c r="E6" s="319"/>
      <c r="F6" s="319"/>
      <c r="G6" s="319"/>
      <c r="H6" s="319"/>
      <c r="I6" s="319"/>
      <c r="J6" s="319"/>
      <c r="K6" s="319"/>
      <c r="L6" s="319"/>
      <c r="M6" s="319"/>
      <c r="N6" s="319"/>
      <c r="O6" s="319"/>
      <c r="P6" s="319"/>
      <c r="Q6" s="319"/>
    </row>
    <row r="7" spans="1:17">
      <c r="A7" s="319"/>
      <c r="B7" s="319"/>
      <c r="C7" s="332" t="s">
        <v>107</v>
      </c>
      <c r="D7" s="332"/>
      <c r="E7" s="332"/>
      <c r="F7" s="332"/>
      <c r="G7" s="319"/>
      <c r="H7" s="319"/>
      <c r="I7" s="319"/>
      <c r="J7" s="319"/>
      <c r="K7" s="331" t="s">
        <v>106</v>
      </c>
      <c r="L7" s="319"/>
      <c r="M7" s="319"/>
      <c r="N7" s="319"/>
      <c r="O7" s="319"/>
      <c r="P7" s="319"/>
      <c r="Q7" s="319"/>
    </row>
    <row r="8" spans="1:17">
      <c r="A8" s="319"/>
      <c r="B8" s="319"/>
      <c r="C8" s="330"/>
      <c r="D8" s="326" t="s">
        <v>98</v>
      </c>
      <c r="E8" s="319"/>
      <c r="F8" s="319"/>
      <c r="G8" s="319"/>
      <c r="H8" s="319"/>
      <c r="I8" s="319"/>
      <c r="J8" s="319"/>
      <c r="K8" s="329"/>
      <c r="L8" s="326" t="s">
        <v>99</v>
      </c>
      <c r="M8" s="319"/>
      <c r="N8" s="319"/>
      <c r="O8" s="319"/>
      <c r="P8" s="319"/>
      <c r="Q8" s="319"/>
    </row>
    <row r="9" spans="1:17">
      <c r="A9" s="319"/>
      <c r="B9" s="319"/>
      <c r="C9" s="328"/>
      <c r="D9" s="326" t="s">
        <v>97</v>
      </c>
      <c r="E9" s="319"/>
      <c r="F9" s="319"/>
      <c r="G9" s="319"/>
      <c r="H9" s="319"/>
      <c r="I9" s="319"/>
      <c r="J9" s="319"/>
      <c r="K9" s="319"/>
      <c r="L9" s="319"/>
      <c r="M9" s="319"/>
      <c r="N9" s="319"/>
      <c r="O9" s="319"/>
      <c r="P9" s="319"/>
      <c r="Q9" s="319"/>
    </row>
    <row r="10" spans="1:17">
      <c r="A10" s="319"/>
      <c r="B10" s="319"/>
      <c r="C10" s="327"/>
      <c r="D10" s="326" t="s">
        <v>100</v>
      </c>
      <c r="E10" s="319"/>
      <c r="F10" s="319"/>
      <c r="G10" s="319"/>
      <c r="H10" s="319"/>
      <c r="I10" s="319"/>
      <c r="J10" s="319"/>
      <c r="K10" s="319"/>
      <c r="L10" s="319"/>
      <c r="M10" s="319"/>
      <c r="N10" s="319"/>
      <c r="O10" s="319"/>
      <c r="P10" s="319"/>
      <c r="Q10" s="319"/>
    </row>
    <row r="11" spans="1:17">
      <c r="A11" s="313"/>
      <c r="B11" s="325"/>
      <c r="C11" s="313"/>
      <c r="D11" s="313"/>
      <c r="E11" s="324"/>
      <c r="F11" s="324"/>
      <c r="G11" s="323"/>
      <c r="H11" s="323"/>
      <c r="I11" s="323"/>
      <c r="J11" s="323"/>
      <c r="K11" s="323"/>
      <c r="L11" s="323"/>
      <c r="M11" s="323"/>
      <c r="N11" s="323"/>
      <c r="O11" s="323"/>
      <c r="P11" s="323"/>
      <c r="Q11" s="313"/>
    </row>
    <row r="12" spans="1:17" ht="20.100000000000001" customHeight="1">
      <c r="A12" s="316"/>
      <c r="B12" s="316"/>
      <c r="C12" s="322" t="s">
        <v>201</v>
      </c>
      <c r="D12" s="322"/>
      <c r="E12" s="321"/>
      <c r="F12" s="321"/>
      <c r="G12" s="322" t="s">
        <v>105</v>
      </c>
      <c r="H12" s="321"/>
      <c r="I12" s="321"/>
      <c r="J12" s="322"/>
      <c r="K12" s="321"/>
      <c r="L12" s="321"/>
      <c r="M12" s="322"/>
      <c r="N12" s="321"/>
      <c r="O12" s="316"/>
      <c r="P12" s="322"/>
      <c r="Q12" s="321"/>
    </row>
    <row r="13" spans="1:17">
      <c r="A13" s="319"/>
      <c r="B13" s="319"/>
      <c r="C13" s="319"/>
      <c r="D13" s="319"/>
      <c r="E13" s="320"/>
      <c r="F13" s="319"/>
      <c r="G13" s="319"/>
      <c r="H13" s="319"/>
      <c r="I13" s="319"/>
      <c r="J13" s="319"/>
      <c r="K13" s="319"/>
      <c r="L13" s="319"/>
      <c r="M13" s="319"/>
      <c r="N13" s="319"/>
      <c r="O13" s="319"/>
      <c r="P13" s="319"/>
      <c r="Q13" s="319"/>
    </row>
    <row r="14" spans="1:17">
      <c r="A14" s="317"/>
      <c r="B14" s="316"/>
      <c r="C14" s="316" t="s">
        <v>108</v>
      </c>
      <c r="D14" s="316"/>
      <c r="E14" s="316"/>
      <c r="F14" s="316"/>
      <c r="G14" s="317" t="s">
        <v>670</v>
      </c>
      <c r="H14" s="318"/>
      <c r="I14" s="318"/>
      <c r="J14" s="318" t="s">
        <v>669</v>
      </c>
      <c r="K14" s="318"/>
      <c r="L14" s="318"/>
      <c r="M14" s="318" t="s">
        <v>668</v>
      </c>
      <c r="N14" s="318"/>
      <c r="O14" s="318"/>
      <c r="P14" s="317" t="s">
        <v>667</v>
      </c>
      <c r="Q14" s="316"/>
    </row>
    <row r="15" spans="1:17">
      <c r="A15" s="313"/>
      <c r="B15" s="313"/>
      <c r="C15" s="313"/>
      <c r="D15" s="313"/>
      <c r="E15" s="314"/>
      <c r="F15" s="313"/>
      <c r="G15" s="313"/>
      <c r="H15" s="313"/>
      <c r="I15" s="313"/>
      <c r="J15" s="313"/>
      <c r="K15" s="313"/>
      <c r="L15" s="313"/>
      <c r="M15" s="313"/>
      <c r="N15" s="313"/>
      <c r="O15" s="313"/>
      <c r="P15" s="313"/>
      <c r="Q15" s="313"/>
    </row>
    <row r="16" spans="1:17">
      <c r="A16" s="313"/>
      <c r="B16" s="313"/>
      <c r="C16" s="313" t="s">
        <v>666</v>
      </c>
      <c r="D16" s="313"/>
      <c r="E16" s="314"/>
      <c r="F16" s="313"/>
      <c r="G16" s="337">
        <v>1</v>
      </c>
      <c r="H16" s="338" t="s">
        <v>665</v>
      </c>
      <c r="I16" s="338"/>
      <c r="J16" s="337">
        <v>1000</v>
      </c>
      <c r="K16" s="338" t="s">
        <v>664</v>
      </c>
      <c r="L16" s="338"/>
      <c r="M16" s="339">
        <f>btnPlusMinusMax1*(-1)</f>
        <v>-1000</v>
      </c>
      <c r="N16" s="313" t="s">
        <v>663</v>
      </c>
      <c r="O16" s="313"/>
      <c r="P16" s="315" t="s">
        <v>676</v>
      </c>
      <c r="Q16" s="313" t="s">
        <v>662</v>
      </c>
    </row>
    <row r="17" spans="1:17">
      <c r="A17" s="313"/>
      <c r="B17" s="313"/>
      <c r="C17" s="313"/>
      <c r="D17" s="313"/>
      <c r="E17" s="314"/>
      <c r="F17" s="313"/>
      <c r="G17" s="338"/>
      <c r="H17" s="338"/>
      <c r="I17" s="338"/>
      <c r="J17" s="338"/>
      <c r="K17" s="338"/>
      <c r="L17" s="338"/>
      <c r="M17" s="340"/>
      <c r="N17" s="313"/>
      <c r="O17" s="313"/>
      <c r="P17" s="313"/>
      <c r="Q17" s="313"/>
    </row>
    <row r="18" spans="1:17">
      <c r="A18" s="313"/>
      <c r="B18" s="313"/>
      <c r="C18" s="313"/>
      <c r="D18" s="313"/>
      <c r="E18" s="314"/>
      <c r="F18" s="313"/>
      <c r="G18" s="338"/>
      <c r="H18" s="338"/>
      <c r="I18" s="338"/>
      <c r="J18" s="338"/>
      <c r="K18" s="338"/>
      <c r="L18" s="338"/>
      <c r="M18" s="340"/>
      <c r="N18" s="313"/>
      <c r="O18" s="313"/>
      <c r="P18" s="313"/>
      <c r="Q18" s="313"/>
    </row>
    <row r="19" spans="1:17">
      <c r="A19" s="313"/>
      <c r="B19" s="313"/>
      <c r="C19" s="313" t="s">
        <v>661</v>
      </c>
      <c r="D19" s="313"/>
      <c r="E19" s="314"/>
      <c r="F19" s="313"/>
      <c r="G19" s="337">
        <v>1</v>
      </c>
      <c r="H19" s="338" t="s">
        <v>660</v>
      </c>
      <c r="I19" s="338"/>
      <c r="J19" s="337">
        <v>1000</v>
      </c>
      <c r="K19" s="338" t="s">
        <v>659</v>
      </c>
      <c r="L19" s="338"/>
      <c r="M19" s="339">
        <f>btnPlusMinusMax2*(-1)</f>
        <v>-1000</v>
      </c>
      <c r="N19" s="313" t="s">
        <v>658</v>
      </c>
      <c r="O19" s="313"/>
      <c r="P19" s="315" t="s">
        <v>678</v>
      </c>
      <c r="Q19" s="313" t="s">
        <v>657</v>
      </c>
    </row>
    <row r="20" spans="1:17">
      <c r="A20" s="313"/>
      <c r="B20" s="313"/>
      <c r="C20" s="313"/>
      <c r="D20" s="313"/>
      <c r="E20" s="314"/>
      <c r="F20" s="313"/>
      <c r="G20" s="338"/>
      <c r="H20" s="338"/>
      <c r="I20" s="338"/>
      <c r="J20" s="338"/>
      <c r="K20" s="338"/>
      <c r="L20" s="338"/>
      <c r="M20" s="340"/>
      <c r="N20" s="313"/>
      <c r="O20" s="313"/>
      <c r="P20" s="313"/>
      <c r="Q20" s="313"/>
    </row>
    <row r="21" spans="1:17">
      <c r="A21" s="313"/>
      <c r="B21" s="313"/>
      <c r="C21" s="313"/>
      <c r="D21" s="313"/>
      <c r="E21" s="314"/>
      <c r="F21" s="313"/>
      <c r="G21" s="338"/>
      <c r="H21" s="338"/>
      <c r="I21" s="338"/>
      <c r="J21" s="338"/>
      <c r="K21" s="338"/>
      <c r="L21" s="338"/>
      <c r="M21" s="340"/>
      <c r="N21" s="313"/>
      <c r="O21" s="313"/>
      <c r="P21" s="313"/>
      <c r="Q21" s="313"/>
    </row>
    <row r="22" spans="1:17">
      <c r="A22" s="313"/>
      <c r="B22" s="313"/>
      <c r="C22" s="313" t="s">
        <v>656</v>
      </c>
      <c r="D22" s="313"/>
      <c r="E22" s="314"/>
      <c r="F22" s="313"/>
      <c r="G22" s="337">
        <v>1</v>
      </c>
      <c r="H22" s="338" t="s">
        <v>655</v>
      </c>
      <c r="I22" s="338"/>
      <c r="J22" s="337">
        <v>1000</v>
      </c>
      <c r="K22" s="338" t="s">
        <v>654</v>
      </c>
      <c r="L22" s="338"/>
      <c r="M22" s="339">
        <f>btnPlusMinusMax3*(-1)</f>
        <v>-1000</v>
      </c>
      <c r="N22" s="313" t="s">
        <v>653</v>
      </c>
      <c r="O22" s="313"/>
      <c r="P22" s="315" t="s">
        <v>677</v>
      </c>
      <c r="Q22" s="313" t="s">
        <v>652</v>
      </c>
    </row>
    <row r="23" spans="1:17">
      <c r="A23" s="313"/>
      <c r="B23" s="313"/>
      <c r="C23" s="313"/>
      <c r="D23" s="313"/>
      <c r="E23" s="314"/>
      <c r="F23" s="313"/>
      <c r="G23" s="313"/>
      <c r="H23" s="313"/>
      <c r="I23" s="313"/>
      <c r="J23" s="313"/>
      <c r="K23" s="313"/>
      <c r="L23" s="313"/>
      <c r="M23" s="313"/>
      <c r="N23" s="313"/>
      <c r="O23" s="313"/>
      <c r="P23" s="313"/>
      <c r="Q23" s="313"/>
    </row>
    <row r="24" spans="1:17">
      <c r="A24" s="313"/>
      <c r="B24" s="313"/>
      <c r="C24" s="313"/>
      <c r="D24" s="313"/>
      <c r="E24" s="314"/>
      <c r="F24" s="313"/>
      <c r="G24" s="338"/>
      <c r="H24" s="338"/>
      <c r="I24" s="338"/>
      <c r="J24" s="338"/>
      <c r="K24" s="338"/>
      <c r="L24" s="338"/>
      <c r="M24" s="340"/>
      <c r="N24" s="313"/>
      <c r="O24" s="313"/>
      <c r="P24" s="313"/>
      <c r="Q24" s="313"/>
    </row>
    <row r="25" spans="1:17">
      <c r="A25" s="313"/>
      <c r="B25" s="313"/>
      <c r="C25" s="313" t="s">
        <v>679</v>
      </c>
      <c r="D25" s="313"/>
      <c r="E25" s="314"/>
      <c r="F25" s="313"/>
      <c r="G25" s="337">
        <v>1</v>
      </c>
      <c r="H25" s="338" t="s">
        <v>680</v>
      </c>
      <c r="I25" s="338"/>
      <c r="J25" s="337">
        <v>1000</v>
      </c>
      <c r="K25" s="338" t="s">
        <v>681</v>
      </c>
      <c r="L25" s="338"/>
      <c r="M25" s="339">
        <f>btnPlusMinusMax4*(-1)</f>
        <v>-1000</v>
      </c>
      <c r="N25" s="313" t="s">
        <v>682</v>
      </c>
      <c r="O25" s="313"/>
      <c r="P25" s="315" t="s">
        <v>683</v>
      </c>
      <c r="Q25" s="313" t="s">
        <v>684</v>
      </c>
    </row>
    <row r="26" spans="1:17">
      <c r="A26" s="313"/>
      <c r="B26" s="313"/>
      <c r="C26" s="313"/>
      <c r="D26" s="313"/>
      <c r="E26" s="314"/>
      <c r="F26" s="313"/>
      <c r="G26" s="313"/>
      <c r="H26" s="313"/>
      <c r="I26" s="313"/>
      <c r="J26" s="313"/>
      <c r="K26" s="313"/>
      <c r="L26" s="313"/>
      <c r="M26" s="313"/>
      <c r="N26" s="313"/>
      <c r="O26" s="313"/>
      <c r="P26" s="313"/>
      <c r="Q26" s="313"/>
    </row>
    <row r="27" spans="1:17">
      <c r="A27" s="313"/>
      <c r="B27" s="313"/>
      <c r="C27" s="313"/>
      <c r="D27" s="313"/>
      <c r="E27" s="314"/>
      <c r="F27" s="313"/>
      <c r="G27" s="338"/>
      <c r="H27" s="338"/>
      <c r="I27" s="338"/>
      <c r="J27" s="338"/>
      <c r="K27" s="338"/>
      <c r="L27" s="338"/>
      <c r="M27" s="340"/>
      <c r="N27" s="313"/>
      <c r="O27" s="313"/>
      <c r="P27" s="313"/>
      <c r="Q27" s="313"/>
    </row>
    <row r="28" spans="1:17">
      <c r="A28" s="313"/>
      <c r="B28" s="313"/>
      <c r="C28" s="313" t="s">
        <v>1524</v>
      </c>
      <c r="D28" s="313"/>
      <c r="E28" s="314"/>
      <c r="F28" s="313"/>
      <c r="G28" s="337">
        <v>1</v>
      </c>
      <c r="H28" s="338" t="s">
        <v>1525</v>
      </c>
      <c r="I28" s="338"/>
      <c r="J28" s="337">
        <v>1000</v>
      </c>
      <c r="K28" s="338" t="s">
        <v>1526</v>
      </c>
      <c r="L28" s="338"/>
      <c r="M28" s="339">
        <f>btnPlusMinusMax5*(-1)</f>
        <v>-1000</v>
      </c>
      <c r="N28" s="313" t="s">
        <v>1527</v>
      </c>
      <c r="O28" s="313"/>
      <c r="P28" s="315" t="s">
        <v>1528</v>
      </c>
      <c r="Q28" s="313" t="s">
        <v>1529</v>
      </c>
    </row>
    <row r="29" spans="1:17">
      <c r="A29" s="313"/>
      <c r="B29" s="313"/>
      <c r="C29" s="313"/>
      <c r="D29" s="313"/>
      <c r="E29" s="314"/>
      <c r="F29" s="313"/>
      <c r="G29" s="313"/>
      <c r="H29" s="313"/>
      <c r="I29" s="313"/>
      <c r="J29" s="313"/>
      <c r="K29" s="313"/>
      <c r="L29" s="313"/>
      <c r="M29" s="313"/>
      <c r="N29" s="313"/>
      <c r="O29" s="313"/>
      <c r="P29" s="313"/>
      <c r="Q29" s="313"/>
    </row>
    <row r="30" spans="1:17">
      <c r="A30" s="313"/>
      <c r="B30" s="313"/>
      <c r="C30" s="313"/>
      <c r="D30" s="313"/>
      <c r="E30" s="314"/>
      <c r="F30" s="313"/>
      <c r="G30" s="338"/>
      <c r="H30" s="338"/>
      <c r="I30" s="338"/>
      <c r="J30" s="338"/>
      <c r="K30" s="338"/>
      <c r="L30" s="338"/>
      <c r="M30" s="340"/>
      <c r="N30" s="313"/>
      <c r="O30" s="313"/>
      <c r="P30" s="313"/>
      <c r="Q30" s="313"/>
    </row>
    <row r="31" spans="1:17">
      <c r="A31" s="313"/>
      <c r="B31" s="313"/>
      <c r="C31" s="313" t="s">
        <v>1518</v>
      </c>
      <c r="D31" s="313"/>
      <c r="E31" s="314"/>
      <c r="F31" s="313"/>
      <c r="G31" s="337">
        <v>1</v>
      </c>
      <c r="H31" s="338" t="s">
        <v>1519</v>
      </c>
      <c r="I31" s="338"/>
      <c r="J31" s="337">
        <v>1000</v>
      </c>
      <c r="K31" s="338" t="s">
        <v>1520</v>
      </c>
      <c r="L31" s="338"/>
      <c r="M31" s="339">
        <f>btnPlusMinusMax6*(-1)</f>
        <v>-1000</v>
      </c>
      <c r="N31" s="313" t="s">
        <v>1521</v>
      </c>
      <c r="O31" s="313"/>
      <c r="P31" s="315" t="s">
        <v>1522</v>
      </c>
      <c r="Q31" s="313" t="s">
        <v>1523</v>
      </c>
    </row>
    <row r="32" spans="1:17">
      <c r="A32" s="313"/>
      <c r="B32" s="313"/>
      <c r="C32" s="313"/>
      <c r="D32" s="313"/>
      <c r="E32" s="314"/>
      <c r="F32" s="313"/>
      <c r="G32" s="313"/>
      <c r="H32" s="313"/>
      <c r="I32" s="313"/>
      <c r="J32" s="313"/>
      <c r="K32" s="313"/>
      <c r="L32" s="313"/>
      <c r="M32" s="313"/>
      <c r="N32" s="313"/>
      <c r="O32" s="313"/>
      <c r="P32" s="313"/>
      <c r="Q32" s="313"/>
    </row>
    <row r="33" spans="1:17">
      <c r="A33" s="313"/>
      <c r="B33" s="313"/>
      <c r="C33" s="313"/>
      <c r="D33" s="313"/>
      <c r="E33" s="314"/>
      <c r="F33" s="313"/>
      <c r="G33" s="338"/>
      <c r="H33" s="338"/>
      <c r="I33" s="338"/>
      <c r="J33" s="338"/>
      <c r="K33" s="338"/>
      <c r="L33" s="338"/>
      <c r="M33" s="340"/>
      <c r="N33" s="313"/>
      <c r="O33" s="313"/>
      <c r="P33" s="313"/>
      <c r="Q33" s="313"/>
    </row>
    <row r="34" spans="1:17">
      <c r="A34" s="313"/>
      <c r="B34" s="313"/>
      <c r="C34" s="313" t="s">
        <v>1512</v>
      </c>
      <c r="D34" s="313"/>
      <c r="E34" s="314"/>
      <c r="F34" s="313"/>
      <c r="G34" s="337">
        <v>1</v>
      </c>
      <c r="H34" s="338" t="s">
        <v>1513</v>
      </c>
      <c r="I34" s="338"/>
      <c r="J34" s="337">
        <v>1000</v>
      </c>
      <c r="K34" s="338" t="s">
        <v>1514</v>
      </c>
      <c r="L34" s="338"/>
      <c r="M34" s="339">
        <f>btnPlusMinusMax7*(-1)</f>
        <v>-1000</v>
      </c>
      <c r="N34" s="313" t="s">
        <v>1515</v>
      </c>
      <c r="O34" s="313"/>
      <c r="P34" s="315" t="s">
        <v>1516</v>
      </c>
      <c r="Q34" s="313" t="s">
        <v>1517</v>
      </c>
    </row>
    <row r="35" spans="1:17">
      <c r="A35" s="313"/>
      <c r="B35" s="313"/>
      <c r="C35" s="313"/>
      <c r="D35" s="313"/>
      <c r="E35" s="314"/>
      <c r="F35" s="313"/>
      <c r="G35" s="313"/>
      <c r="H35" s="313"/>
      <c r="I35" s="313"/>
      <c r="J35" s="313"/>
      <c r="K35" s="313"/>
      <c r="L35" s="313"/>
      <c r="M35" s="313"/>
      <c r="N35" s="313"/>
      <c r="O35" s="313"/>
      <c r="P35" s="313"/>
      <c r="Q35" s="313"/>
    </row>
    <row r="36" spans="1:17">
      <c r="A36" s="313"/>
      <c r="B36" s="313"/>
      <c r="C36" s="313"/>
      <c r="D36" s="313"/>
      <c r="E36" s="314"/>
      <c r="F36" s="313"/>
      <c r="G36" s="338"/>
      <c r="H36" s="338"/>
      <c r="I36" s="338"/>
      <c r="J36" s="338"/>
      <c r="K36" s="338"/>
      <c r="L36" s="338"/>
      <c r="M36" s="340"/>
      <c r="N36" s="313"/>
      <c r="O36" s="313"/>
      <c r="P36" s="313"/>
      <c r="Q36" s="313"/>
    </row>
    <row r="37" spans="1:17">
      <c r="A37" s="313"/>
      <c r="B37" s="313"/>
      <c r="C37" s="313" t="s">
        <v>1506</v>
      </c>
      <c r="D37" s="313"/>
      <c r="E37" s="314"/>
      <c r="F37" s="313"/>
      <c r="G37" s="337">
        <v>1</v>
      </c>
      <c r="H37" s="338" t="s">
        <v>1507</v>
      </c>
      <c r="I37" s="338"/>
      <c r="J37" s="337">
        <v>1000</v>
      </c>
      <c r="K37" s="338" t="s">
        <v>1508</v>
      </c>
      <c r="L37" s="338"/>
      <c r="M37" s="339">
        <f>btnPlusMinusMax8*(-1)</f>
        <v>-1000</v>
      </c>
      <c r="N37" s="313" t="s">
        <v>1509</v>
      </c>
      <c r="O37" s="313"/>
      <c r="P37" s="315" t="s">
        <v>1510</v>
      </c>
      <c r="Q37" s="313" t="s">
        <v>1511</v>
      </c>
    </row>
  </sheetData>
  <hyperlinks>
    <hyperlink ref="D3" r:id="rId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2060"/>
  </sheetPr>
  <dimension ref="A1:AC96"/>
  <sheetViews>
    <sheetView topLeftCell="A51" zoomScale="85" zoomScaleNormal="85" workbookViewId="0">
      <selection activeCell="G96" sqref="G96"/>
    </sheetView>
  </sheetViews>
  <sheetFormatPr defaultColWidth="8.796875" defaultRowHeight="14.25" customHeight="1"/>
  <cols>
    <col min="1" max="3" width="4.69921875" customWidth="1"/>
    <col min="4" max="4" width="18.69921875" customWidth="1"/>
    <col min="5" max="6" width="12.69921875" customWidth="1"/>
    <col min="7" max="7" width="15.796875" customWidth="1"/>
    <col min="8" max="9" width="12.69921875" customWidth="1"/>
    <col min="10" max="10" width="18.296875" customWidth="1"/>
    <col min="17" max="17" width="10.5" bestFit="1" customWidth="1"/>
    <col min="23" max="23" width="10.5" bestFit="1" customWidth="1"/>
    <col min="29" max="29" width="10.5" bestFit="1" customWidth="1"/>
  </cols>
  <sheetData>
    <row r="1" spans="1:29" ht="33" customHeight="1">
      <c r="A1" s="86" t="s">
        <v>149</v>
      </c>
      <c r="B1" s="86"/>
      <c r="C1" s="85"/>
      <c r="D1" s="85"/>
      <c r="E1" s="85"/>
      <c r="F1" s="85"/>
      <c r="G1" s="80"/>
      <c r="H1" s="80"/>
      <c r="I1" s="80"/>
      <c r="J1" s="80"/>
      <c r="K1" s="85"/>
      <c r="L1" s="86"/>
      <c r="M1" s="85"/>
      <c r="N1" s="85"/>
      <c r="O1" s="85"/>
      <c r="P1" s="85"/>
      <c r="Q1" s="85"/>
      <c r="R1" s="85"/>
      <c r="S1" s="85"/>
      <c r="T1" s="85"/>
      <c r="U1" s="85"/>
      <c r="V1" s="85"/>
      <c r="W1" s="85"/>
      <c r="X1" s="85"/>
      <c r="Y1" s="85"/>
      <c r="Z1" s="85"/>
      <c r="AA1" s="85"/>
      <c r="AB1" s="85"/>
      <c r="AC1" s="85"/>
    </row>
    <row r="2" spans="1:29">
      <c r="A2" s="83"/>
      <c r="B2" s="83"/>
      <c r="C2" s="84"/>
      <c r="D2" s="84"/>
      <c r="E2" s="84"/>
      <c r="F2" s="84"/>
      <c r="G2" s="84"/>
      <c r="H2" s="84"/>
      <c r="I2" s="84"/>
      <c r="J2" s="84"/>
      <c r="K2" s="84"/>
      <c r="L2" s="83"/>
      <c r="M2" s="83"/>
      <c r="N2" s="83"/>
      <c r="O2" s="83"/>
      <c r="P2" s="83"/>
      <c r="Q2" s="83"/>
      <c r="R2" s="83"/>
      <c r="S2" s="83"/>
      <c r="T2" s="83"/>
      <c r="U2" s="83"/>
      <c r="V2" s="83"/>
      <c r="W2" s="83"/>
      <c r="X2" s="83"/>
      <c r="Y2" s="83"/>
      <c r="Z2" s="83"/>
      <c r="AA2" s="83"/>
      <c r="AB2" s="83"/>
      <c r="AC2" s="83"/>
    </row>
    <row r="3" spans="1:29">
      <c r="A3" s="83"/>
      <c r="B3" s="83"/>
      <c r="C3" s="83" t="s">
        <v>109</v>
      </c>
      <c r="D3" s="83"/>
      <c r="E3" s="62" t="s">
        <v>101</v>
      </c>
      <c r="F3" s="61"/>
      <c r="G3" s="61"/>
      <c r="H3" s="61"/>
      <c r="I3" s="61"/>
      <c r="J3" s="61"/>
      <c r="K3" s="61"/>
      <c r="L3" s="83"/>
      <c r="M3" s="83"/>
      <c r="N3" s="83"/>
      <c r="O3" s="83"/>
      <c r="P3" s="83"/>
      <c r="Q3" s="83"/>
      <c r="R3" s="83"/>
      <c r="S3" s="83"/>
      <c r="T3" s="83"/>
      <c r="U3" s="83"/>
      <c r="V3" s="83"/>
      <c r="W3" s="83"/>
      <c r="X3" s="83"/>
      <c r="Y3" s="83"/>
      <c r="Z3" s="83"/>
      <c r="AA3" s="83"/>
      <c r="AB3" s="83"/>
      <c r="AC3" s="83"/>
    </row>
    <row r="4" spans="1:29">
      <c r="A4" s="6"/>
      <c r="B4" s="6"/>
      <c r="C4" s="6"/>
      <c r="D4" s="6"/>
      <c r="E4" s="6"/>
      <c r="F4" s="6"/>
      <c r="G4" s="6"/>
      <c r="H4" s="6"/>
      <c r="I4" s="6"/>
      <c r="J4" s="6"/>
      <c r="K4" s="6"/>
      <c r="L4" s="6"/>
      <c r="M4" s="6"/>
      <c r="N4" s="6"/>
      <c r="O4" s="6"/>
      <c r="P4" s="6"/>
      <c r="Q4" s="6"/>
      <c r="R4" s="6"/>
      <c r="S4" s="6"/>
      <c r="T4" s="6"/>
      <c r="U4" s="6"/>
      <c r="V4" s="6"/>
      <c r="W4" s="6"/>
      <c r="X4" s="6"/>
      <c r="Y4" s="6"/>
      <c r="Z4" s="6"/>
      <c r="AA4" s="6"/>
      <c r="AB4" s="6"/>
      <c r="AC4" s="6"/>
    </row>
    <row r="5" spans="1:29">
      <c r="A5" s="7"/>
      <c r="B5" s="2"/>
      <c r="C5" s="2" t="s">
        <v>108</v>
      </c>
      <c r="D5" s="2"/>
      <c r="E5" s="2"/>
      <c r="F5" s="3"/>
      <c r="G5" s="3"/>
      <c r="H5" s="3"/>
      <c r="I5" s="3"/>
      <c r="J5" s="3"/>
      <c r="K5" s="3"/>
      <c r="L5" s="3"/>
      <c r="M5" s="2"/>
      <c r="N5" s="2"/>
      <c r="O5" s="2"/>
      <c r="P5" s="2"/>
      <c r="Q5" s="2"/>
      <c r="R5" s="2"/>
      <c r="S5" s="2"/>
      <c r="T5" s="2"/>
      <c r="U5" s="2"/>
      <c r="V5" s="2"/>
      <c r="W5" s="2"/>
      <c r="X5" s="2"/>
      <c r="Y5" s="2"/>
      <c r="Z5" s="2"/>
      <c r="AA5" s="2"/>
      <c r="AB5" s="2"/>
      <c r="AC5" s="2"/>
    </row>
    <row r="6" spans="1:29">
      <c r="A6" s="6"/>
      <c r="B6" s="6"/>
      <c r="C6" s="6"/>
      <c r="D6" s="6"/>
      <c r="E6" s="6"/>
      <c r="F6" s="6"/>
      <c r="G6" s="6"/>
      <c r="H6" s="6"/>
      <c r="I6" s="6"/>
      <c r="J6" s="6"/>
      <c r="K6" s="6"/>
      <c r="L6" s="6"/>
      <c r="M6" s="6"/>
      <c r="N6" s="6"/>
      <c r="O6" s="6"/>
      <c r="P6" s="6"/>
      <c r="Q6" s="6"/>
      <c r="R6" s="6"/>
      <c r="S6" s="6"/>
      <c r="T6" s="6"/>
      <c r="U6" s="6"/>
      <c r="V6" s="6"/>
      <c r="W6" s="6"/>
      <c r="X6" s="6"/>
      <c r="Y6" s="6"/>
      <c r="Z6" s="6"/>
      <c r="AA6" s="6"/>
      <c r="AB6" s="6"/>
      <c r="AC6" s="6"/>
    </row>
    <row r="7" spans="1:29">
      <c r="A7" s="6"/>
      <c r="B7" s="6"/>
      <c r="C7" s="6"/>
      <c r="D7" s="4" t="s">
        <v>107</v>
      </c>
      <c r="E7" s="4"/>
      <c r="F7" s="6"/>
      <c r="G7" s="6"/>
      <c r="H7" s="6"/>
      <c r="I7" s="6"/>
      <c r="J7" s="6"/>
      <c r="K7" s="6"/>
      <c r="L7" s="6"/>
      <c r="M7" s="6"/>
      <c r="N7" s="6"/>
      <c r="O7" s="6"/>
      <c r="P7" s="6"/>
      <c r="Q7" s="6"/>
      <c r="R7" s="6"/>
      <c r="S7" s="6"/>
      <c r="T7" s="6"/>
      <c r="U7" s="6"/>
      <c r="V7" s="6"/>
      <c r="W7" s="6"/>
      <c r="X7" s="6"/>
      <c r="Y7" s="6"/>
      <c r="Z7" s="6"/>
      <c r="AA7" s="6"/>
      <c r="AB7" s="6"/>
      <c r="AC7" s="6"/>
    </row>
    <row r="8" spans="1:29">
      <c r="A8" s="6"/>
      <c r="B8" s="6"/>
      <c r="C8" s="6"/>
      <c r="D8" s="8"/>
      <c r="E8" s="9" t="s">
        <v>98</v>
      </c>
      <c r="F8" s="6"/>
      <c r="G8" s="6"/>
      <c r="H8" s="6"/>
      <c r="I8" s="6"/>
      <c r="J8" s="6"/>
      <c r="K8" s="6"/>
      <c r="L8" s="6"/>
      <c r="M8" s="6"/>
      <c r="N8" s="6"/>
      <c r="O8" s="6"/>
      <c r="P8" s="6"/>
      <c r="Q8" s="6"/>
      <c r="R8" s="6"/>
      <c r="S8" s="6"/>
      <c r="T8" s="6"/>
      <c r="U8" s="6"/>
      <c r="V8" s="6"/>
      <c r="W8" s="6"/>
      <c r="X8" s="6"/>
      <c r="Y8" s="6"/>
      <c r="Z8" s="6"/>
      <c r="AA8" s="6"/>
      <c r="AB8" s="6"/>
      <c r="AC8" s="6"/>
    </row>
    <row r="9" spans="1:29">
      <c r="A9" s="6"/>
      <c r="B9" s="6"/>
      <c r="C9" s="6"/>
      <c r="D9" s="11"/>
      <c r="E9" s="9" t="s">
        <v>97</v>
      </c>
      <c r="F9" s="6"/>
      <c r="G9" s="6"/>
      <c r="H9" s="6"/>
      <c r="I9" s="6"/>
      <c r="J9" s="6"/>
      <c r="K9" s="6"/>
      <c r="L9" s="6"/>
      <c r="M9" s="6"/>
      <c r="N9" s="6"/>
      <c r="O9" s="6"/>
      <c r="P9" s="6"/>
      <c r="Q9" s="6"/>
      <c r="R9" s="6"/>
      <c r="S9" s="6"/>
      <c r="T9" s="6"/>
      <c r="U9" s="6"/>
      <c r="V9" s="6"/>
      <c r="W9" s="6"/>
      <c r="X9" s="6"/>
      <c r="Y9" s="6"/>
      <c r="Z9" s="6"/>
      <c r="AA9" s="6"/>
      <c r="AB9" s="6"/>
      <c r="AC9" s="6"/>
    </row>
    <row r="10" spans="1:29">
      <c r="A10" s="6"/>
      <c r="B10" s="6"/>
      <c r="C10" s="6"/>
      <c r="D10" s="12"/>
      <c r="E10" s="9" t="s">
        <v>100</v>
      </c>
      <c r="F10" s="6"/>
      <c r="G10" s="6"/>
      <c r="H10" s="6"/>
      <c r="I10" s="6"/>
      <c r="J10" s="6"/>
      <c r="K10" s="6"/>
      <c r="L10" s="6"/>
      <c r="M10" s="6"/>
      <c r="N10" s="6"/>
      <c r="O10" s="6"/>
      <c r="P10" s="6"/>
      <c r="Q10" s="6"/>
      <c r="R10" s="6"/>
      <c r="S10" s="6"/>
      <c r="T10" s="6"/>
      <c r="U10" s="6"/>
      <c r="V10" s="6"/>
      <c r="W10" s="6"/>
      <c r="X10" s="6"/>
      <c r="Y10" s="6"/>
      <c r="Z10" s="6"/>
      <c r="AA10" s="6"/>
      <c r="AB10" s="6"/>
      <c r="AC10" s="6"/>
    </row>
    <row r="11" spans="1:29">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row>
    <row r="12" spans="1:29">
      <c r="A12" s="7"/>
      <c r="B12" s="2"/>
      <c r="C12" s="2" t="s">
        <v>104</v>
      </c>
      <c r="D12" s="2"/>
      <c r="E12" s="2"/>
      <c r="F12" s="3"/>
      <c r="G12" s="3"/>
      <c r="H12" s="3"/>
      <c r="I12" s="3"/>
      <c r="J12" s="3"/>
      <c r="K12" s="3"/>
      <c r="L12" s="3"/>
      <c r="M12" s="2"/>
      <c r="N12" s="2"/>
      <c r="O12" s="2"/>
      <c r="P12" s="2"/>
      <c r="Q12" s="2"/>
      <c r="R12" s="2"/>
      <c r="S12" s="2"/>
      <c r="T12" s="2"/>
      <c r="U12" s="2"/>
      <c r="V12" s="2"/>
      <c r="W12" s="2"/>
      <c r="X12" s="2"/>
      <c r="Y12" s="2"/>
      <c r="Z12" s="2"/>
      <c r="AA12" s="2"/>
      <c r="AB12" s="2"/>
      <c r="AC12" s="2"/>
    </row>
    <row r="13" spans="1:29">
      <c r="A13" s="67"/>
      <c r="B13" s="68"/>
      <c r="C13" s="67"/>
      <c r="D13" s="67"/>
      <c r="E13" s="67"/>
      <c r="F13" s="67"/>
      <c r="G13" s="67"/>
      <c r="H13" s="67"/>
      <c r="I13" s="67"/>
      <c r="J13" s="67"/>
      <c r="K13" s="67"/>
      <c r="L13" s="67"/>
      <c r="M13" s="67"/>
      <c r="N13" s="67"/>
      <c r="O13" s="67"/>
      <c r="P13" s="67"/>
      <c r="Q13" s="67"/>
      <c r="R13" s="67"/>
      <c r="S13" s="67"/>
      <c r="T13" s="67"/>
      <c r="U13" s="67"/>
      <c r="V13" s="67"/>
      <c r="W13" s="67"/>
      <c r="X13" s="67"/>
      <c r="Y13" s="67"/>
      <c r="Z13" s="67"/>
      <c r="AA13" s="67"/>
      <c r="AB13" s="67"/>
      <c r="AC13" s="67"/>
    </row>
    <row r="14" spans="1:29">
      <c r="A14" s="67"/>
      <c r="B14" s="68"/>
      <c r="C14" s="67"/>
      <c r="D14" s="67" t="s">
        <v>148</v>
      </c>
      <c r="E14" s="75" t="str">
        <f>simulation_Type</f>
        <v>BA2</v>
      </c>
      <c r="F14" s="67"/>
      <c r="G14" s="67"/>
      <c r="H14" s="67"/>
      <c r="I14" s="67"/>
      <c r="J14" s="67"/>
      <c r="K14" s="67"/>
      <c r="L14" s="67"/>
      <c r="M14" s="67"/>
      <c r="N14" s="67"/>
      <c r="O14" s="67"/>
      <c r="P14" s="67"/>
      <c r="Q14" s="67"/>
      <c r="R14" s="67"/>
      <c r="S14" s="67"/>
      <c r="T14" s="67"/>
      <c r="U14" s="67"/>
      <c r="V14" s="67"/>
      <c r="W14" s="67"/>
      <c r="X14" s="67"/>
      <c r="Y14" s="67"/>
      <c r="Z14" s="67"/>
      <c r="AA14" s="67"/>
      <c r="AB14" s="67"/>
      <c r="AC14" s="67"/>
    </row>
    <row r="15" spans="1:29">
      <c r="A15" s="67"/>
      <c r="B15" s="68"/>
      <c r="C15" s="67"/>
      <c r="D15" s="67"/>
      <c r="E15" s="67"/>
      <c r="F15" s="67"/>
      <c r="G15" s="67"/>
      <c r="H15" s="67"/>
      <c r="I15" s="67"/>
      <c r="J15" s="67"/>
      <c r="K15" s="67"/>
      <c r="L15" s="67"/>
      <c r="M15" s="67"/>
      <c r="N15" s="67"/>
      <c r="O15" s="67"/>
      <c r="P15" s="67"/>
      <c r="Q15" s="67"/>
      <c r="R15" s="67"/>
      <c r="S15" s="67"/>
      <c r="T15" s="67"/>
      <c r="U15" s="67"/>
      <c r="V15" s="67"/>
      <c r="W15" s="67"/>
      <c r="X15" s="67"/>
      <c r="Y15" s="67"/>
      <c r="Z15" s="67"/>
      <c r="AA15" s="67"/>
      <c r="AB15" s="67"/>
      <c r="AC15" s="67"/>
    </row>
    <row r="16" spans="1:29" ht="30">
      <c r="A16" s="80"/>
      <c r="B16" s="80"/>
      <c r="C16" s="80"/>
      <c r="D16" s="80"/>
      <c r="E16" s="80"/>
      <c r="F16" s="80"/>
      <c r="G16" s="80" t="str">
        <f>IF(decSimulationType="Hybrid","Value","Formula")&amp;" Reset"</f>
        <v>Formula Reset</v>
      </c>
      <c r="H16" s="80" t="s">
        <v>147</v>
      </c>
      <c r="I16" s="80" t="s">
        <v>146</v>
      </c>
      <c r="J16" s="80" t="str">
        <f>IF(decSimulationType="Hybrid","","Tool Reset Values")</f>
        <v>Tool Reset Values</v>
      </c>
      <c r="K16" s="80"/>
      <c r="L16" s="80" t="s">
        <v>145</v>
      </c>
      <c r="M16" s="80"/>
      <c r="N16" s="80"/>
      <c r="O16" s="80"/>
      <c r="P16" s="80"/>
      <c r="Q16" s="80"/>
      <c r="R16" s="80"/>
      <c r="S16" s="80"/>
      <c r="T16" s="80"/>
      <c r="U16" s="80"/>
      <c r="V16" s="80"/>
      <c r="W16" s="80"/>
      <c r="X16" s="80"/>
      <c r="Y16" s="80"/>
      <c r="Z16" s="80"/>
      <c r="AA16" s="80"/>
      <c r="AB16" s="80"/>
      <c r="AC16" s="80"/>
    </row>
    <row r="17" spans="1:29" ht="18">
      <c r="A17" s="76"/>
      <c r="B17" s="79"/>
      <c r="C17" s="76"/>
      <c r="D17" s="76"/>
      <c r="E17" s="77" t="s">
        <v>144</v>
      </c>
      <c r="F17" s="78" t="s">
        <v>143</v>
      </c>
      <c r="G17" s="78" t="s">
        <v>142</v>
      </c>
      <c r="H17" s="78" t="s">
        <v>141</v>
      </c>
      <c r="I17" s="78" t="s">
        <v>140</v>
      </c>
      <c r="J17" s="78" t="s">
        <v>139</v>
      </c>
      <c r="K17" s="76"/>
      <c r="L17" s="77" t="s">
        <v>138</v>
      </c>
      <c r="M17" s="77" t="s">
        <v>137</v>
      </c>
      <c r="N17" s="77" t="s">
        <v>136</v>
      </c>
      <c r="O17" s="77" t="s">
        <v>135</v>
      </c>
      <c r="P17" s="77" t="s">
        <v>134</v>
      </c>
      <c r="Q17" s="76"/>
      <c r="R17" s="77" t="s">
        <v>133</v>
      </c>
      <c r="S17" s="77" t="s">
        <v>132</v>
      </c>
      <c r="T17" s="77" t="s">
        <v>131</v>
      </c>
      <c r="U17" s="77" t="s">
        <v>130</v>
      </c>
      <c r="V17" s="77" t="s">
        <v>129</v>
      </c>
      <c r="W17" s="76"/>
      <c r="X17" s="77" t="s">
        <v>128</v>
      </c>
      <c r="Y17" s="77" t="s">
        <v>127</v>
      </c>
      <c r="Z17" s="77" t="s">
        <v>126</v>
      </c>
      <c r="AA17" s="77" t="s">
        <v>125</v>
      </c>
      <c r="AB17" s="77" t="s">
        <v>124</v>
      </c>
      <c r="AC17" s="76"/>
    </row>
    <row r="18" spans="1:29">
      <c r="A18" s="67"/>
      <c r="B18" s="68" t="s">
        <v>123</v>
      </c>
      <c r="C18" s="67"/>
      <c r="D18" s="67"/>
      <c r="E18" s="67"/>
      <c r="F18" s="68"/>
      <c r="G18" s="73"/>
      <c r="H18" s="73"/>
      <c r="I18" s="73"/>
      <c r="J18" s="73"/>
      <c r="K18" s="67"/>
      <c r="L18" s="72"/>
      <c r="M18" s="72"/>
      <c r="N18" s="72"/>
      <c r="O18" s="72"/>
      <c r="P18" s="72"/>
      <c r="Q18" s="67" t="s">
        <v>122</v>
      </c>
      <c r="R18" s="72"/>
      <c r="S18" s="72"/>
      <c r="T18" s="72"/>
      <c r="U18" s="72"/>
      <c r="V18" s="72"/>
      <c r="W18" s="68" t="s">
        <v>121</v>
      </c>
      <c r="X18" s="72"/>
      <c r="Y18" s="72"/>
      <c r="Z18" s="72"/>
      <c r="AA18" s="72"/>
      <c r="AB18" s="72"/>
      <c r="AC18" s="68" t="s">
        <v>120</v>
      </c>
    </row>
    <row r="19" spans="1:29">
      <c r="A19" s="67"/>
      <c r="B19" s="68"/>
      <c r="C19" s="67"/>
      <c r="D19" s="67"/>
      <c r="E19" s="67"/>
      <c r="F19" s="68"/>
      <c r="G19" s="73"/>
      <c r="H19" s="73"/>
      <c r="I19" s="73"/>
      <c r="J19" s="73"/>
      <c r="K19" s="67"/>
      <c r="L19" s="72"/>
      <c r="M19" s="72"/>
      <c r="N19" s="72"/>
      <c r="O19" s="72"/>
      <c r="P19" s="72"/>
      <c r="Q19" s="67"/>
      <c r="R19" s="72"/>
      <c r="S19" s="72"/>
      <c r="T19" s="72"/>
      <c r="U19" s="72"/>
      <c r="V19" s="72"/>
      <c r="W19" s="68"/>
      <c r="X19" s="72"/>
      <c r="Y19" s="72"/>
      <c r="Z19" s="72"/>
      <c r="AA19" s="72"/>
      <c r="AB19" s="72"/>
      <c r="AC19" s="68"/>
    </row>
    <row r="20" spans="1:29">
      <c r="A20" s="67"/>
      <c r="B20" s="68" t="s">
        <v>212</v>
      </c>
      <c r="C20" s="67"/>
      <c r="D20" s="67"/>
      <c r="E20" s="134" t="str">
        <f>tlInputCurrency</f>
        <v>USD</v>
      </c>
      <c r="F20" s="68" t="s">
        <v>216</v>
      </c>
      <c r="G20" s="134" t="str">
        <f>tlInputCurrency</f>
        <v>USD</v>
      </c>
      <c r="H20" s="135" t="b">
        <v>0</v>
      </c>
      <c r="I20" s="135" t="b">
        <v>1</v>
      </c>
      <c r="J20" s="136" t="s">
        <v>338</v>
      </c>
      <c r="K20" s="67"/>
      <c r="L20" s="72"/>
      <c r="M20" s="72"/>
      <c r="N20" s="72"/>
      <c r="O20" s="72"/>
      <c r="P20" s="72"/>
      <c r="Q20" s="67"/>
      <c r="R20" s="72"/>
      <c r="S20" s="72"/>
      <c r="T20" s="72"/>
      <c r="U20" s="72"/>
      <c r="V20" s="72"/>
      <c r="W20" s="68"/>
      <c r="X20" s="72"/>
      <c r="Y20" s="72"/>
      <c r="Z20" s="72"/>
      <c r="AA20" s="72"/>
      <c r="AB20" s="72"/>
      <c r="AC20" s="68"/>
    </row>
    <row r="21" spans="1:29">
      <c r="A21" s="67"/>
      <c r="B21" s="68" t="s">
        <v>213</v>
      </c>
      <c r="C21" s="67"/>
      <c r="D21" s="67"/>
      <c r="E21" s="134" t="str">
        <f>tlInputLanguage</f>
        <v>English</v>
      </c>
      <c r="F21" s="68" t="s">
        <v>217</v>
      </c>
      <c r="G21" s="134" t="str">
        <f>tlInputLanguage</f>
        <v>English</v>
      </c>
      <c r="H21" s="135" t="b">
        <v>0</v>
      </c>
      <c r="I21" s="135" t="b">
        <v>1</v>
      </c>
      <c r="J21" s="136" t="s">
        <v>153</v>
      </c>
      <c r="K21" s="67"/>
      <c r="L21" s="72"/>
      <c r="M21" s="72"/>
      <c r="N21" s="72"/>
      <c r="O21" s="72"/>
      <c r="P21" s="72"/>
      <c r="Q21" s="67"/>
      <c r="R21" s="72"/>
      <c r="S21" s="72"/>
      <c r="T21" s="72"/>
      <c r="U21" s="72"/>
      <c r="V21" s="72"/>
      <c r="W21" s="68"/>
      <c r="X21" s="72"/>
      <c r="Y21" s="72"/>
      <c r="Z21" s="72"/>
      <c r="AA21" s="72"/>
      <c r="AB21" s="72"/>
      <c r="AC21" s="68"/>
    </row>
    <row r="22" spans="1:29">
      <c r="A22" s="67"/>
      <c r="B22" s="68"/>
      <c r="C22" s="67"/>
      <c r="D22" s="67"/>
      <c r="E22" s="67"/>
      <c r="F22" s="68"/>
      <c r="G22" s="73"/>
      <c r="H22" s="73"/>
      <c r="I22" s="73"/>
      <c r="J22" s="73"/>
      <c r="K22" s="67"/>
      <c r="L22" s="72"/>
      <c r="M22" s="72"/>
      <c r="N22" s="72"/>
      <c r="O22" s="72"/>
      <c r="P22" s="72"/>
      <c r="Q22" s="67"/>
      <c r="R22" s="72"/>
      <c r="S22" s="72"/>
      <c r="T22" s="72"/>
      <c r="U22" s="72"/>
      <c r="V22" s="72"/>
      <c r="W22" s="68"/>
      <c r="X22" s="72"/>
      <c r="Y22" s="72"/>
      <c r="Z22" s="72"/>
      <c r="AA22" s="72"/>
      <c r="AB22" s="72"/>
      <c r="AC22" s="68"/>
    </row>
    <row r="23" spans="1:29">
      <c r="A23" s="68" t="s">
        <v>316</v>
      </c>
      <c r="B23" s="68"/>
      <c r="C23" s="67"/>
      <c r="D23" s="67"/>
      <c r="E23" s="67"/>
      <c r="F23" s="68"/>
      <c r="G23" s="73"/>
      <c r="H23" s="73"/>
      <c r="I23" s="73"/>
      <c r="J23" s="73"/>
      <c r="K23" s="67"/>
      <c r="L23" s="72"/>
      <c r="M23" s="72"/>
      <c r="N23" s="72"/>
      <c r="O23" s="72"/>
      <c r="P23" s="72"/>
      <c r="Q23" s="67"/>
      <c r="R23" s="72"/>
      <c r="S23" s="72"/>
      <c r="T23" s="72"/>
      <c r="U23" s="72"/>
      <c r="V23" s="72"/>
      <c r="W23" s="68"/>
      <c r="X23" s="72"/>
      <c r="Y23" s="72"/>
      <c r="Z23" s="72"/>
      <c r="AA23" s="72"/>
      <c r="AB23" s="72"/>
      <c r="AC23" s="68"/>
    </row>
    <row r="24" spans="1:29">
      <c r="A24" s="67"/>
      <c r="B24" s="68" t="str">
        <f>nmExpMT</f>
        <v>Maintenance Expiration</v>
      </c>
      <c r="C24" s="67"/>
      <c r="D24" s="67"/>
      <c r="E24" s="134" t="str">
        <f>tlInputPath1_ExpMT</f>
        <v>Year 2</v>
      </c>
      <c r="F24" s="68" t="s">
        <v>218</v>
      </c>
      <c r="G24" s="134" t="str">
        <f>tlInputPath1_ExpMT</f>
        <v>Year 2</v>
      </c>
      <c r="H24" s="135" t="b">
        <v>0</v>
      </c>
      <c r="I24" s="135" t="b">
        <v>1</v>
      </c>
      <c r="J24" s="75" t="str">
        <f>nmFY1</f>
        <v>Year 2</v>
      </c>
      <c r="K24" s="67"/>
      <c r="L24" s="72"/>
      <c r="M24" s="72"/>
      <c r="N24" s="72"/>
      <c r="O24" s="72"/>
      <c r="P24" s="72"/>
      <c r="Q24" s="67"/>
      <c r="R24" s="72"/>
      <c r="S24" s="72"/>
      <c r="T24" s="72"/>
      <c r="U24" s="72"/>
      <c r="V24" s="72"/>
      <c r="W24" s="68"/>
      <c r="X24" s="72"/>
      <c r="Y24" s="72"/>
      <c r="Z24" s="72"/>
      <c r="AA24" s="72"/>
      <c r="AB24" s="72"/>
      <c r="AC24" s="68"/>
    </row>
    <row r="25" spans="1:29">
      <c r="A25" s="67"/>
      <c r="B25" s="68" t="str">
        <f>nmPriceMT</f>
        <v>Maintenance Price</v>
      </c>
      <c r="C25" s="67"/>
      <c r="D25" s="67"/>
      <c r="E25" s="134">
        <f>tlInputPath1_PriceMT</f>
        <v>0</v>
      </c>
      <c r="F25" s="68" t="s">
        <v>219</v>
      </c>
      <c r="G25" s="134">
        <f>tlInputPath1_PriceMT</f>
        <v>0</v>
      </c>
      <c r="H25" s="135" t="b">
        <v>0</v>
      </c>
      <c r="I25" s="135" t="b">
        <v>0</v>
      </c>
      <c r="J25" s="136">
        <v>0</v>
      </c>
      <c r="K25" s="67"/>
      <c r="L25" s="72"/>
      <c r="M25" s="72"/>
      <c r="N25" s="72"/>
      <c r="O25" s="72"/>
      <c r="P25" s="72"/>
      <c r="Q25" s="67"/>
      <c r="R25" s="72"/>
      <c r="S25" s="72"/>
      <c r="T25" s="72"/>
      <c r="U25" s="72"/>
      <c r="V25" s="72"/>
      <c r="W25" s="68"/>
      <c r="X25" s="72"/>
      <c r="Y25" s="72"/>
      <c r="Z25" s="72"/>
      <c r="AA25" s="72"/>
      <c r="AB25" s="72"/>
      <c r="AC25" s="68"/>
    </row>
    <row r="26" spans="1:29">
      <c r="A26" s="136">
        <v>0</v>
      </c>
      <c r="B26" s="68" t="str">
        <f>nmPriceMT&amp;" Adjustment"</f>
        <v>Maintenance Price Adjustment</v>
      </c>
      <c r="C26" s="67"/>
      <c r="D26" s="67"/>
      <c r="E26" s="134">
        <f>tlInputPath1_PriceMT_Adj</f>
        <v>0</v>
      </c>
      <c r="F26" s="68" t="s">
        <v>672</v>
      </c>
      <c r="G26" s="134">
        <f>tlInputPath1_PriceMT_Adj</f>
        <v>0</v>
      </c>
      <c r="H26" s="135" t="b">
        <v>0</v>
      </c>
      <c r="I26" s="135" t="b">
        <v>1</v>
      </c>
      <c r="J26" s="136">
        <v>0</v>
      </c>
      <c r="K26" s="67"/>
      <c r="L26" s="72"/>
      <c r="M26" s="72"/>
      <c r="N26" s="72"/>
      <c r="O26" s="72"/>
      <c r="P26" s="72"/>
      <c r="Q26" s="67"/>
      <c r="R26" s="72"/>
      <c r="S26" s="72"/>
      <c r="T26" s="72"/>
      <c r="U26" s="72"/>
      <c r="V26" s="72"/>
      <c r="W26" s="68"/>
      <c r="X26" s="72"/>
      <c r="Y26" s="72"/>
      <c r="Z26" s="72"/>
      <c r="AA26" s="72"/>
      <c r="AB26" s="72"/>
      <c r="AC26" s="68"/>
    </row>
    <row r="27" spans="1:29">
      <c r="A27" s="67"/>
      <c r="B27" s="68" t="str">
        <f>nmProdMT</f>
        <v>Product on Maintenance</v>
      </c>
      <c r="C27" s="67"/>
      <c r="D27" s="67"/>
      <c r="E27" s="134" t="str">
        <f>tlInputPath1_ProdMT</f>
        <v>Please Select</v>
      </c>
      <c r="F27" s="68" t="s">
        <v>220</v>
      </c>
      <c r="G27" s="134" t="str">
        <f>tlInputPath1_ProdMT</f>
        <v>Please Select</v>
      </c>
      <c r="H27" s="135" t="b">
        <v>0</v>
      </c>
      <c r="I27" s="135" t="b">
        <v>1</v>
      </c>
      <c r="J27" s="75" t="str">
        <f>nmSelect</f>
        <v>Please Select</v>
      </c>
      <c r="K27" s="67"/>
      <c r="L27" s="72"/>
      <c r="M27" s="72"/>
      <c r="N27" s="72"/>
      <c r="O27" s="72"/>
      <c r="P27" s="72"/>
      <c r="Q27" s="67"/>
      <c r="R27" s="72"/>
      <c r="S27" s="72"/>
      <c r="T27" s="72"/>
      <c r="U27" s="72"/>
      <c r="V27" s="72"/>
      <c r="W27" s="68"/>
      <c r="X27" s="72"/>
      <c r="Y27" s="72"/>
      <c r="Z27" s="72"/>
      <c r="AA27" s="72"/>
      <c r="AB27" s="72"/>
      <c r="AC27" s="68"/>
    </row>
    <row r="28" spans="1:29">
      <c r="A28" s="136">
        <v>1</v>
      </c>
      <c r="B28" s="68" t="str">
        <f>nmSLM&amp;" or "&amp;nmNLM</f>
        <v>Single or Multi</v>
      </c>
      <c r="C28" s="67"/>
      <c r="D28" s="67"/>
      <c r="E28" s="134">
        <f>tlInputPath1_Access</f>
        <v>1</v>
      </c>
      <c r="F28" s="68" t="s">
        <v>565</v>
      </c>
      <c r="G28" s="134">
        <f>tlInputPath1_Access</f>
        <v>1</v>
      </c>
      <c r="H28" s="135" t="b">
        <v>0</v>
      </c>
      <c r="I28" s="135" t="b">
        <v>1</v>
      </c>
      <c r="J28" s="136">
        <v>1</v>
      </c>
      <c r="K28" s="67"/>
      <c r="L28" s="72"/>
      <c r="M28" s="72"/>
      <c r="N28" s="72"/>
      <c r="O28" s="72"/>
      <c r="P28" s="72"/>
      <c r="Q28" s="67"/>
      <c r="R28" s="72"/>
      <c r="S28" s="72"/>
      <c r="T28" s="72"/>
      <c r="U28" s="72"/>
      <c r="V28" s="72"/>
      <c r="W28" s="68"/>
      <c r="X28" s="72"/>
      <c r="Y28" s="72"/>
      <c r="Z28" s="72"/>
      <c r="AA28" s="72"/>
      <c r="AB28" s="72"/>
      <c r="AC28" s="68"/>
    </row>
    <row r="29" spans="1:29">
      <c r="A29" s="67"/>
      <c r="B29" s="68" t="str">
        <f>nmProdSub</f>
        <v>Switching to Subscription</v>
      </c>
      <c r="C29" s="67"/>
      <c r="D29" s="67"/>
      <c r="E29" s="134" t="str">
        <f>tlInputPath1_ProdSub</f>
        <v>Please Select</v>
      </c>
      <c r="F29" s="68" t="s">
        <v>221</v>
      </c>
      <c r="G29" s="134" t="str">
        <f>tlInputPath1_ProdSub</f>
        <v>Please Select</v>
      </c>
      <c r="H29" s="135" t="b">
        <v>0</v>
      </c>
      <c r="I29" s="135" t="b">
        <v>1</v>
      </c>
      <c r="J29" s="75" t="str">
        <f>nmSelect</f>
        <v>Please Select</v>
      </c>
      <c r="K29" s="67"/>
      <c r="L29" s="72"/>
      <c r="M29" s="72"/>
      <c r="N29" s="72"/>
      <c r="O29" s="72"/>
      <c r="P29" s="72"/>
      <c r="Q29" s="67"/>
      <c r="R29" s="72"/>
      <c r="S29" s="72"/>
      <c r="T29" s="72"/>
      <c r="U29" s="72"/>
      <c r="V29" s="72"/>
      <c r="W29" s="68"/>
      <c r="X29" s="72"/>
      <c r="Y29" s="72"/>
      <c r="Z29" s="72"/>
      <c r="AA29" s="72"/>
      <c r="AB29" s="72"/>
      <c r="AC29" s="68"/>
    </row>
    <row r="30" spans="1:29">
      <c r="A30" s="67"/>
      <c r="B30" s="68" t="str">
        <f>nmQty</f>
        <v>Quantity</v>
      </c>
      <c r="C30" s="67"/>
      <c r="D30" s="67"/>
      <c r="E30" s="134">
        <f>tlInputPath1_Qty</f>
        <v>1</v>
      </c>
      <c r="F30" s="68" t="s">
        <v>222</v>
      </c>
      <c r="G30" s="134">
        <f>tlInputPath1_Qty</f>
        <v>1</v>
      </c>
      <c r="H30" s="135" t="b">
        <v>0</v>
      </c>
      <c r="I30" s="135" t="b">
        <v>1</v>
      </c>
      <c r="J30" s="136">
        <v>1</v>
      </c>
      <c r="K30" s="67"/>
      <c r="L30" s="72"/>
      <c r="M30" s="72"/>
      <c r="N30" s="72"/>
      <c r="O30" s="72"/>
      <c r="P30" s="72"/>
      <c r="Q30" s="67"/>
      <c r="R30" s="72"/>
      <c r="S30" s="72"/>
      <c r="T30" s="72"/>
      <c r="U30" s="72"/>
      <c r="V30" s="72"/>
      <c r="W30" s="68"/>
      <c r="X30" s="72"/>
      <c r="Y30" s="72"/>
      <c r="Z30" s="72"/>
      <c r="AA30" s="72"/>
      <c r="AB30" s="72"/>
      <c r="AC30" s="68"/>
    </row>
    <row r="31" spans="1:29">
      <c r="A31" s="67"/>
      <c r="B31" s="68"/>
      <c r="C31" s="67"/>
      <c r="D31" s="67"/>
      <c r="E31" s="67"/>
      <c r="F31" s="68"/>
      <c r="G31" s="73"/>
      <c r="H31" s="73"/>
      <c r="I31" s="73"/>
      <c r="J31" s="73"/>
      <c r="K31" s="67"/>
      <c r="L31" s="72"/>
      <c r="M31" s="72"/>
      <c r="N31" s="72"/>
      <c r="O31" s="72"/>
      <c r="P31" s="72"/>
      <c r="Q31" s="67"/>
      <c r="R31" s="72"/>
      <c r="S31" s="72"/>
      <c r="T31" s="72"/>
      <c r="U31" s="72"/>
      <c r="V31" s="72"/>
      <c r="W31" s="68"/>
      <c r="X31" s="72"/>
      <c r="Y31" s="72"/>
      <c r="Z31" s="72"/>
      <c r="AA31" s="72"/>
      <c r="AB31" s="72"/>
      <c r="AC31" s="68"/>
    </row>
    <row r="32" spans="1:29">
      <c r="A32" s="68" t="s">
        <v>317</v>
      </c>
      <c r="B32" s="68"/>
      <c r="C32" s="67"/>
      <c r="D32" s="67"/>
      <c r="E32" s="67"/>
      <c r="F32" s="68"/>
      <c r="G32" s="73"/>
      <c r="H32" s="73"/>
      <c r="I32" s="73"/>
      <c r="J32" s="73"/>
      <c r="K32" s="67"/>
      <c r="L32" s="72"/>
      <c r="M32" s="72"/>
      <c r="N32" s="72"/>
      <c r="O32" s="72"/>
      <c r="P32" s="72"/>
      <c r="Q32" s="67"/>
      <c r="R32" s="72"/>
      <c r="S32" s="72"/>
      <c r="T32" s="72"/>
      <c r="U32" s="72"/>
      <c r="V32" s="72"/>
      <c r="W32" s="68"/>
      <c r="X32" s="72"/>
      <c r="Y32" s="72"/>
      <c r="Z32" s="72"/>
      <c r="AA32" s="72"/>
      <c r="AB32" s="72"/>
      <c r="AC32" s="68"/>
    </row>
    <row r="33" spans="1:29">
      <c r="A33" s="67"/>
      <c r="B33" s="68" t="str">
        <f>nmExpMT</f>
        <v>Maintenance Expiration</v>
      </c>
      <c r="C33" s="67"/>
      <c r="D33" s="67"/>
      <c r="E33" s="134" t="str">
        <f>tlInputPath2_ExpMT</f>
        <v>Year 2</v>
      </c>
      <c r="F33" s="68" t="s">
        <v>223</v>
      </c>
      <c r="G33" s="134" t="str">
        <f>tlInputPath2_ExpMT</f>
        <v>Year 2</v>
      </c>
      <c r="H33" s="135" t="b">
        <v>0</v>
      </c>
      <c r="I33" s="135" t="b">
        <v>1</v>
      </c>
      <c r="J33" s="75" t="str">
        <f>nmFY1</f>
        <v>Year 2</v>
      </c>
      <c r="K33" s="67"/>
      <c r="L33" s="72"/>
      <c r="M33" s="72"/>
      <c r="N33" s="72"/>
      <c r="O33" s="72"/>
      <c r="P33" s="72"/>
      <c r="Q33" s="67"/>
      <c r="R33" s="72"/>
      <c r="S33" s="72"/>
      <c r="T33" s="72"/>
      <c r="U33" s="72"/>
      <c r="V33" s="72"/>
      <c r="W33" s="68"/>
      <c r="X33" s="72"/>
      <c r="Y33" s="72"/>
      <c r="Z33" s="72"/>
      <c r="AA33" s="72"/>
      <c r="AB33" s="72"/>
      <c r="AC33" s="68"/>
    </row>
    <row r="34" spans="1:29">
      <c r="A34" s="67"/>
      <c r="B34" s="68" t="str">
        <f>nmPriceMT</f>
        <v>Maintenance Price</v>
      </c>
      <c r="C34" s="67"/>
      <c r="D34" s="67"/>
      <c r="E34" s="134">
        <f>tlInputPath2_PriceMT</f>
        <v>0</v>
      </c>
      <c r="F34" s="68" t="s">
        <v>224</v>
      </c>
      <c r="G34" s="134">
        <f>tlInputPath2_PriceMT</f>
        <v>0</v>
      </c>
      <c r="H34" s="135" t="b">
        <v>0</v>
      </c>
      <c r="I34" s="135" t="b">
        <v>0</v>
      </c>
      <c r="J34" s="136">
        <v>0</v>
      </c>
      <c r="K34" s="67"/>
      <c r="L34" s="72"/>
      <c r="M34" s="72"/>
      <c r="N34" s="72"/>
      <c r="O34" s="72"/>
      <c r="P34" s="72"/>
      <c r="Q34" s="67"/>
      <c r="R34" s="72"/>
      <c r="S34" s="72"/>
      <c r="T34" s="72"/>
      <c r="U34" s="72"/>
      <c r="V34" s="72"/>
      <c r="W34" s="68"/>
      <c r="X34" s="72"/>
      <c r="Y34" s="72"/>
      <c r="Z34" s="72"/>
      <c r="AA34" s="72"/>
      <c r="AB34" s="72"/>
      <c r="AC34" s="68"/>
    </row>
    <row r="35" spans="1:29">
      <c r="A35" s="136">
        <v>0</v>
      </c>
      <c r="B35" s="68" t="str">
        <f>nmPriceMT&amp;" Adjustment"</f>
        <v>Maintenance Price Adjustment</v>
      </c>
      <c r="C35" s="67"/>
      <c r="D35" s="67"/>
      <c r="E35" s="134">
        <f>tlInputPath2_PriceMT_Adj</f>
        <v>0</v>
      </c>
      <c r="F35" s="68" t="s">
        <v>675</v>
      </c>
      <c r="G35" s="134">
        <f>tlInputPath2_PriceMT_Adj</f>
        <v>0</v>
      </c>
      <c r="H35" s="135" t="b">
        <v>0</v>
      </c>
      <c r="I35" s="135" t="b">
        <v>1</v>
      </c>
      <c r="J35" s="136">
        <v>0</v>
      </c>
      <c r="K35" s="67"/>
      <c r="L35" s="72"/>
      <c r="M35" s="72"/>
      <c r="N35" s="72"/>
      <c r="O35" s="72"/>
      <c r="P35" s="72"/>
      <c r="Q35" s="67"/>
      <c r="R35" s="72"/>
      <c r="S35" s="72"/>
      <c r="T35" s="72"/>
      <c r="U35" s="72"/>
      <c r="V35" s="72"/>
      <c r="W35" s="68"/>
      <c r="X35" s="72"/>
      <c r="Y35" s="72"/>
      <c r="Z35" s="72"/>
      <c r="AA35" s="72"/>
      <c r="AB35" s="72"/>
      <c r="AC35" s="68"/>
    </row>
    <row r="36" spans="1:29">
      <c r="A36" s="67"/>
      <c r="B36" s="68" t="str">
        <f>nmProdMT</f>
        <v>Product on Maintenance</v>
      </c>
      <c r="C36" s="67"/>
      <c r="D36" s="67"/>
      <c r="E36" s="134" t="str">
        <f>tlInputPath2_ProdMT</f>
        <v>Please Select</v>
      </c>
      <c r="F36" s="68" t="s">
        <v>225</v>
      </c>
      <c r="G36" s="134" t="str">
        <f>tlInputPath2_ProdMT</f>
        <v>Please Select</v>
      </c>
      <c r="H36" s="135" t="b">
        <v>0</v>
      </c>
      <c r="I36" s="135" t="b">
        <v>1</v>
      </c>
      <c r="J36" s="75" t="str">
        <f>nmSelect</f>
        <v>Please Select</v>
      </c>
      <c r="K36" s="67"/>
      <c r="L36" s="72"/>
      <c r="M36" s="72"/>
      <c r="N36" s="72"/>
      <c r="O36" s="72"/>
      <c r="P36" s="72"/>
      <c r="Q36" s="67"/>
      <c r="R36" s="72"/>
      <c r="S36" s="72"/>
      <c r="T36" s="72"/>
      <c r="U36" s="72"/>
      <c r="V36" s="72"/>
      <c r="W36" s="68"/>
      <c r="X36" s="72"/>
      <c r="Y36" s="72"/>
      <c r="Z36" s="72"/>
      <c r="AA36" s="72"/>
      <c r="AB36" s="72"/>
      <c r="AC36" s="68"/>
    </row>
    <row r="37" spans="1:29">
      <c r="A37" s="136">
        <v>1</v>
      </c>
      <c r="B37" s="68" t="str">
        <f>nmSLM&amp;" or "&amp;nmNLM</f>
        <v>Single or Multi</v>
      </c>
      <c r="C37" s="67"/>
      <c r="D37" s="67"/>
      <c r="E37" s="134">
        <f>tlInputPath2_Access</f>
        <v>1</v>
      </c>
      <c r="F37" s="68" t="s">
        <v>566</v>
      </c>
      <c r="G37" s="134">
        <f>tlInputPath2_Access</f>
        <v>1</v>
      </c>
      <c r="H37" s="135" t="b">
        <v>0</v>
      </c>
      <c r="I37" s="135" t="b">
        <v>1</v>
      </c>
      <c r="J37" s="136">
        <v>1</v>
      </c>
      <c r="K37" s="67"/>
      <c r="L37" s="72"/>
      <c r="M37" s="72"/>
      <c r="N37" s="72"/>
      <c r="O37" s="72"/>
      <c r="P37" s="72"/>
      <c r="Q37" s="67"/>
      <c r="R37" s="72"/>
      <c r="S37" s="72"/>
      <c r="T37" s="72"/>
      <c r="U37" s="72"/>
      <c r="V37" s="72"/>
      <c r="W37" s="68"/>
      <c r="X37" s="72"/>
      <c r="Y37" s="72"/>
      <c r="Z37" s="72"/>
      <c r="AA37" s="72"/>
      <c r="AB37" s="72"/>
      <c r="AC37" s="68"/>
    </row>
    <row r="38" spans="1:29">
      <c r="A38" s="67"/>
      <c r="B38" s="68" t="str">
        <f>nmProdSub</f>
        <v>Switching to Subscription</v>
      </c>
      <c r="C38" s="67"/>
      <c r="D38" s="67"/>
      <c r="E38" s="134" t="str">
        <f>tlInputPath2_ProdSub</f>
        <v>Please Select</v>
      </c>
      <c r="F38" s="68" t="s">
        <v>226</v>
      </c>
      <c r="G38" s="134" t="str">
        <f>tlInputPath2_ProdSub</f>
        <v>Please Select</v>
      </c>
      <c r="H38" s="135" t="b">
        <v>0</v>
      </c>
      <c r="I38" s="135" t="b">
        <v>1</v>
      </c>
      <c r="J38" s="75" t="str">
        <f>nmSelect</f>
        <v>Please Select</v>
      </c>
      <c r="K38" s="67"/>
      <c r="L38" s="72"/>
      <c r="M38" s="72"/>
      <c r="N38" s="72"/>
      <c r="O38" s="72"/>
      <c r="P38" s="72"/>
      <c r="Q38" s="67"/>
      <c r="R38" s="72"/>
      <c r="S38" s="72"/>
      <c r="T38" s="72"/>
      <c r="U38" s="72"/>
      <c r="V38" s="72"/>
      <c r="W38" s="68"/>
      <c r="X38" s="72"/>
      <c r="Y38" s="72"/>
      <c r="Z38" s="72"/>
      <c r="AA38" s="72"/>
      <c r="AB38" s="72"/>
      <c r="AC38" s="68"/>
    </row>
    <row r="39" spans="1:29">
      <c r="A39" s="67"/>
      <c r="B39" s="68" t="str">
        <f>nmQty</f>
        <v>Quantity</v>
      </c>
      <c r="C39" s="67"/>
      <c r="D39" s="67"/>
      <c r="E39" s="134">
        <f>tlInputPath2_Qty</f>
        <v>1</v>
      </c>
      <c r="F39" s="68" t="s">
        <v>227</v>
      </c>
      <c r="G39" s="134">
        <f>tlInputPath2_Qty</f>
        <v>1</v>
      </c>
      <c r="H39" s="135" t="b">
        <v>0</v>
      </c>
      <c r="I39" s="135" t="b">
        <v>1</v>
      </c>
      <c r="J39" s="136">
        <v>1</v>
      </c>
      <c r="K39" s="67"/>
      <c r="L39" s="72"/>
      <c r="M39" s="72"/>
      <c r="N39" s="72"/>
      <c r="O39" s="72"/>
      <c r="P39" s="72"/>
      <c r="Q39" s="67"/>
      <c r="R39" s="72"/>
      <c r="S39" s="72"/>
      <c r="T39" s="72"/>
      <c r="U39" s="72"/>
      <c r="V39" s="72"/>
      <c r="W39" s="68"/>
      <c r="X39" s="72"/>
      <c r="Y39" s="72"/>
      <c r="Z39" s="72"/>
      <c r="AA39" s="72"/>
      <c r="AB39" s="72"/>
      <c r="AC39" s="68"/>
    </row>
    <row r="40" spans="1:29">
      <c r="A40" s="67"/>
      <c r="B40" s="68"/>
      <c r="C40" s="67"/>
      <c r="D40" s="67"/>
      <c r="E40" s="67"/>
      <c r="F40" s="68"/>
      <c r="G40" s="73"/>
      <c r="H40" s="73"/>
      <c r="I40" s="73"/>
      <c r="J40" s="73"/>
      <c r="K40" s="67"/>
      <c r="L40" s="72"/>
      <c r="M40" s="72"/>
      <c r="N40" s="72"/>
      <c r="O40" s="72"/>
      <c r="P40" s="72"/>
      <c r="Q40" s="67"/>
      <c r="R40" s="72"/>
      <c r="S40" s="72"/>
      <c r="T40" s="72"/>
      <c r="U40" s="72"/>
      <c r="V40" s="72"/>
      <c r="W40" s="68"/>
      <c r="X40" s="72"/>
      <c r="Y40" s="72"/>
      <c r="Z40" s="72"/>
      <c r="AA40" s="72"/>
      <c r="AB40" s="72"/>
      <c r="AC40" s="68"/>
    </row>
    <row r="41" spans="1:29">
      <c r="A41" s="68" t="s">
        <v>318</v>
      </c>
      <c r="B41" s="68"/>
      <c r="C41" s="67"/>
      <c r="D41" s="67"/>
      <c r="E41" s="67"/>
      <c r="F41" s="68"/>
      <c r="G41" s="73"/>
      <c r="H41" s="73"/>
      <c r="I41" s="73"/>
      <c r="J41" s="73"/>
      <c r="K41" s="67"/>
      <c r="L41" s="72"/>
      <c r="M41" s="72"/>
      <c r="N41" s="72"/>
      <c r="O41" s="72"/>
      <c r="P41" s="72"/>
      <c r="Q41" s="67"/>
      <c r="R41" s="72"/>
      <c r="S41" s="72"/>
      <c r="T41" s="72"/>
      <c r="U41" s="72"/>
      <c r="V41" s="72"/>
      <c r="W41" s="68"/>
      <c r="X41" s="72"/>
      <c r="Y41" s="72"/>
      <c r="Z41" s="72"/>
      <c r="AA41" s="72"/>
      <c r="AB41" s="72"/>
      <c r="AC41" s="68"/>
    </row>
    <row r="42" spans="1:29">
      <c r="A42" s="67"/>
      <c r="B42" s="68" t="str">
        <f>nmExpMT</f>
        <v>Maintenance Expiration</v>
      </c>
      <c r="C42" s="67"/>
      <c r="D42" s="67"/>
      <c r="E42" s="134" t="str">
        <f>tlInputPath3_ExpMT</f>
        <v>Year 2</v>
      </c>
      <c r="F42" s="68" t="s">
        <v>228</v>
      </c>
      <c r="G42" s="134" t="str">
        <f>tlInputPath3_ExpMT</f>
        <v>Year 2</v>
      </c>
      <c r="H42" s="135" t="b">
        <v>0</v>
      </c>
      <c r="I42" s="135" t="b">
        <v>1</v>
      </c>
      <c r="J42" s="75" t="str">
        <f>nmFY1</f>
        <v>Year 2</v>
      </c>
      <c r="K42" s="67"/>
      <c r="L42" s="72"/>
      <c r="M42" s="72"/>
      <c r="N42" s="72"/>
      <c r="O42" s="72"/>
      <c r="P42" s="72"/>
      <c r="Q42" s="67"/>
      <c r="R42" s="72"/>
      <c r="S42" s="72"/>
      <c r="T42" s="72"/>
      <c r="U42" s="72"/>
      <c r="V42" s="72"/>
      <c r="W42" s="68"/>
      <c r="X42" s="72"/>
      <c r="Y42" s="72"/>
      <c r="Z42" s="72"/>
      <c r="AA42" s="72"/>
      <c r="AB42" s="72"/>
      <c r="AC42" s="68"/>
    </row>
    <row r="43" spans="1:29">
      <c r="A43" s="67"/>
      <c r="B43" s="68" t="str">
        <f>nmPriceMT</f>
        <v>Maintenance Price</v>
      </c>
      <c r="C43" s="67"/>
      <c r="D43" s="67"/>
      <c r="E43" s="134">
        <f>tlInputPath3_PriceMT</f>
        <v>0</v>
      </c>
      <c r="F43" s="68" t="s">
        <v>229</v>
      </c>
      <c r="G43" s="134">
        <f>tlInputPath3_PriceMT</f>
        <v>0</v>
      </c>
      <c r="H43" s="135" t="b">
        <v>0</v>
      </c>
      <c r="I43" s="135" t="b">
        <v>0</v>
      </c>
      <c r="J43" s="136">
        <v>0</v>
      </c>
      <c r="K43" s="67"/>
      <c r="L43" s="72"/>
      <c r="M43" s="72"/>
      <c r="N43" s="72"/>
      <c r="O43" s="72"/>
      <c r="P43" s="72"/>
      <c r="Q43" s="67"/>
      <c r="R43" s="72"/>
      <c r="S43" s="72"/>
      <c r="T43" s="72"/>
      <c r="U43" s="72"/>
      <c r="V43" s="72"/>
      <c r="W43" s="68"/>
      <c r="X43" s="72"/>
      <c r="Y43" s="72"/>
      <c r="Z43" s="72"/>
      <c r="AA43" s="72"/>
      <c r="AB43" s="72"/>
      <c r="AC43" s="68"/>
    </row>
    <row r="44" spans="1:29">
      <c r="A44" s="136">
        <v>0</v>
      </c>
      <c r="B44" s="68" t="str">
        <f>nmPriceMT&amp;" Adjustment"</f>
        <v>Maintenance Price Adjustment</v>
      </c>
      <c r="C44" s="67"/>
      <c r="D44" s="67"/>
      <c r="E44" s="134">
        <f>tlInputPath3_PriceMT_Adj</f>
        <v>0</v>
      </c>
      <c r="F44" s="68" t="s">
        <v>674</v>
      </c>
      <c r="G44" s="134">
        <f>tlInputPath3_PriceMT_Adj</f>
        <v>0</v>
      </c>
      <c r="H44" s="135" t="b">
        <v>0</v>
      </c>
      <c r="I44" s="135" t="b">
        <v>1</v>
      </c>
      <c r="J44" s="136">
        <v>0</v>
      </c>
      <c r="K44" s="67"/>
      <c r="L44" s="72"/>
      <c r="M44" s="72"/>
      <c r="N44" s="72"/>
      <c r="O44" s="72"/>
      <c r="P44" s="72"/>
      <c r="Q44" s="67"/>
      <c r="R44" s="72"/>
      <c r="S44" s="72"/>
      <c r="T44" s="72"/>
      <c r="U44" s="72"/>
      <c r="V44" s="72"/>
      <c r="W44" s="68"/>
      <c r="X44" s="72"/>
      <c r="Y44" s="72"/>
      <c r="Z44" s="72"/>
      <c r="AA44" s="72"/>
      <c r="AB44" s="72"/>
      <c r="AC44" s="68"/>
    </row>
    <row r="45" spans="1:29">
      <c r="A45" s="67"/>
      <c r="B45" s="68" t="str">
        <f>nmProdMT</f>
        <v>Product on Maintenance</v>
      </c>
      <c r="C45" s="67"/>
      <c r="D45" s="67"/>
      <c r="E45" s="134" t="str">
        <f>tlInputPath3_ProdMT</f>
        <v>Please Select</v>
      </c>
      <c r="F45" s="68" t="s">
        <v>230</v>
      </c>
      <c r="G45" s="134" t="str">
        <f>tlInputPath3_ProdMT</f>
        <v>Please Select</v>
      </c>
      <c r="H45" s="135" t="b">
        <v>0</v>
      </c>
      <c r="I45" s="135" t="b">
        <v>1</v>
      </c>
      <c r="J45" s="75" t="str">
        <f>nmSelect</f>
        <v>Please Select</v>
      </c>
      <c r="K45" s="67"/>
      <c r="L45" s="72"/>
      <c r="M45" s="72"/>
      <c r="N45" s="72"/>
      <c r="O45" s="72"/>
      <c r="P45" s="72"/>
      <c r="Q45" s="67"/>
      <c r="R45" s="72"/>
      <c r="S45" s="72"/>
      <c r="T45" s="72"/>
      <c r="U45" s="72"/>
      <c r="V45" s="72"/>
      <c r="W45" s="68"/>
      <c r="X45" s="72"/>
      <c r="Y45" s="72"/>
      <c r="Z45" s="72"/>
      <c r="AA45" s="72"/>
      <c r="AB45" s="72"/>
      <c r="AC45" s="68"/>
    </row>
    <row r="46" spans="1:29">
      <c r="A46" s="136">
        <v>1</v>
      </c>
      <c r="B46" s="68" t="str">
        <f>nmSLM&amp;" or "&amp;nmNLM</f>
        <v>Single or Multi</v>
      </c>
      <c r="C46" s="67"/>
      <c r="D46" s="67"/>
      <c r="E46" s="134">
        <f>tlInputPath3_Access</f>
        <v>1</v>
      </c>
      <c r="F46" s="68" t="s">
        <v>567</v>
      </c>
      <c r="G46" s="134">
        <f>tlInputPath3_Access</f>
        <v>1</v>
      </c>
      <c r="H46" s="135" t="b">
        <v>0</v>
      </c>
      <c r="I46" s="135" t="b">
        <v>1</v>
      </c>
      <c r="J46" s="136">
        <v>1</v>
      </c>
      <c r="K46" s="67"/>
      <c r="L46" s="72"/>
      <c r="M46" s="72"/>
      <c r="N46" s="72"/>
      <c r="O46" s="72"/>
      <c r="P46" s="72"/>
      <c r="Q46" s="67"/>
      <c r="R46" s="72"/>
      <c r="S46" s="72"/>
      <c r="T46" s="72"/>
      <c r="U46" s="72"/>
      <c r="V46" s="72"/>
      <c r="W46" s="68"/>
      <c r="X46" s="72"/>
      <c r="Y46" s="72"/>
      <c r="Z46" s="72"/>
      <c r="AA46" s="72"/>
      <c r="AB46" s="72"/>
      <c r="AC46" s="68"/>
    </row>
    <row r="47" spans="1:29">
      <c r="A47" s="67"/>
      <c r="B47" s="68" t="str">
        <f>nmProdSub</f>
        <v>Switching to Subscription</v>
      </c>
      <c r="C47" s="67"/>
      <c r="D47" s="67"/>
      <c r="E47" s="134" t="str">
        <f>tlInputPath3_ProdSub</f>
        <v>Please Select</v>
      </c>
      <c r="F47" s="68" t="s">
        <v>231</v>
      </c>
      <c r="G47" s="134" t="str">
        <f>tlInputPath3_ProdSub</f>
        <v>Please Select</v>
      </c>
      <c r="H47" s="135" t="b">
        <v>0</v>
      </c>
      <c r="I47" s="135" t="b">
        <v>1</v>
      </c>
      <c r="J47" s="75" t="str">
        <f>nmSelect</f>
        <v>Please Select</v>
      </c>
      <c r="K47" s="67"/>
      <c r="L47" s="72"/>
      <c r="M47" s="72"/>
      <c r="N47" s="72"/>
      <c r="O47" s="72"/>
      <c r="P47" s="72"/>
      <c r="Q47" s="67"/>
      <c r="R47" s="72"/>
      <c r="S47" s="72"/>
      <c r="T47" s="72"/>
      <c r="U47" s="72"/>
      <c r="V47" s="72"/>
      <c r="W47" s="68"/>
      <c r="X47" s="72"/>
      <c r="Y47" s="72"/>
      <c r="Z47" s="72"/>
      <c r="AA47" s="72"/>
      <c r="AB47" s="72"/>
      <c r="AC47" s="68"/>
    </row>
    <row r="48" spans="1:29">
      <c r="A48" s="67"/>
      <c r="B48" s="68" t="str">
        <f>nmQty</f>
        <v>Quantity</v>
      </c>
      <c r="C48" s="67"/>
      <c r="D48" s="67"/>
      <c r="E48" s="134">
        <f>tlInputPath3_Qty</f>
        <v>1</v>
      </c>
      <c r="F48" s="68" t="s">
        <v>232</v>
      </c>
      <c r="G48" s="134">
        <f>tlInputPath3_Qty</f>
        <v>1</v>
      </c>
      <c r="H48" s="135" t="b">
        <v>0</v>
      </c>
      <c r="I48" s="135" t="b">
        <v>1</v>
      </c>
      <c r="J48" s="136">
        <v>1</v>
      </c>
      <c r="K48" s="67"/>
      <c r="L48" s="72"/>
      <c r="M48" s="72"/>
      <c r="N48" s="72"/>
      <c r="O48" s="72"/>
      <c r="P48" s="72"/>
      <c r="Q48" s="67"/>
      <c r="R48" s="72"/>
      <c r="S48" s="72"/>
      <c r="T48" s="72"/>
      <c r="U48" s="72"/>
      <c r="V48" s="72"/>
      <c r="W48" s="68"/>
      <c r="X48" s="72"/>
      <c r="Y48" s="72"/>
      <c r="Z48" s="72"/>
      <c r="AA48" s="72"/>
      <c r="AB48" s="72"/>
      <c r="AC48" s="68"/>
    </row>
    <row r="49" spans="1:29">
      <c r="A49" s="67"/>
      <c r="B49" s="68"/>
      <c r="C49" s="67"/>
      <c r="D49" s="67"/>
      <c r="E49" s="67"/>
      <c r="F49" s="68"/>
      <c r="G49" s="73"/>
      <c r="H49" s="73"/>
      <c r="I49" s="73"/>
      <c r="J49" s="73"/>
      <c r="K49" s="67"/>
      <c r="L49" s="72"/>
      <c r="M49" s="72"/>
      <c r="N49" s="72"/>
      <c r="O49" s="72"/>
      <c r="P49" s="72"/>
      <c r="Q49" s="67"/>
      <c r="R49" s="72"/>
      <c r="S49" s="72"/>
      <c r="T49" s="72"/>
      <c r="U49" s="72"/>
      <c r="V49" s="72"/>
      <c r="W49" s="68"/>
      <c r="X49" s="72"/>
      <c r="Y49" s="72"/>
      <c r="Z49" s="72"/>
      <c r="AA49" s="72"/>
      <c r="AB49" s="72"/>
      <c r="AC49" s="68"/>
    </row>
    <row r="50" spans="1:29">
      <c r="A50" s="68" t="s">
        <v>319</v>
      </c>
      <c r="B50" s="68"/>
      <c r="C50" s="67"/>
      <c r="D50" s="67"/>
      <c r="E50" s="67"/>
      <c r="F50" s="68"/>
      <c r="G50" s="73"/>
      <c r="H50" s="73"/>
      <c r="I50" s="73"/>
      <c r="J50" s="73"/>
      <c r="K50" s="67"/>
      <c r="L50" s="72"/>
      <c r="M50" s="72"/>
      <c r="N50" s="72"/>
      <c r="O50" s="72"/>
      <c r="P50" s="72"/>
      <c r="Q50" s="67"/>
      <c r="R50" s="72"/>
      <c r="S50" s="72"/>
      <c r="T50" s="72"/>
      <c r="U50" s="72"/>
      <c r="V50" s="72"/>
      <c r="W50" s="68"/>
      <c r="X50" s="72"/>
      <c r="Y50" s="72"/>
      <c r="Z50" s="72"/>
      <c r="AA50" s="72"/>
      <c r="AB50" s="72"/>
      <c r="AC50" s="68"/>
    </row>
    <row r="51" spans="1:29">
      <c r="A51" s="67"/>
      <c r="B51" s="68" t="str">
        <f>nmExpMT</f>
        <v>Maintenance Expiration</v>
      </c>
      <c r="C51" s="67"/>
      <c r="D51" s="67"/>
      <c r="E51" s="134" t="str">
        <f>tlInputPath4_ExpMT</f>
        <v>Year 2</v>
      </c>
      <c r="F51" s="68" t="s">
        <v>233</v>
      </c>
      <c r="G51" s="134" t="str">
        <f>tlInputPath4_ExpMT</f>
        <v>Year 2</v>
      </c>
      <c r="H51" s="135" t="b">
        <v>0</v>
      </c>
      <c r="I51" s="135" t="b">
        <v>1</v>
      </c>
      <c r="J51" s="75" t="str">
        <f>nmFY1</f>
        <v>Year 2</v>
      </c>
      <c r="K51" s="67"/>
      <c r="L51" s="72"/>
      <c r="M51" s="72"/>
      <c r="N51" s="72"/>
      <c r="O51" s="72"/>
      <c r="P51" s="72"/>
      <c r="Q51" s="67"/>
      <c r="R51" s="72"/>
      <c r="S51" s="72"/>
      <c r="T51" s="72"/>
      <c r="U51" s="72"/>
      <c r="V51" s="72"/>
      <c r="W51" s="68"/>
      <c r="X51" s="72"/>
      <c r="Y51" s="72"/>
      <c r="Z51" s="72"/>
      <c r="AA51" s="72"/>
      <c r="AB51" s="72"/>
      <c r="AC51" s="68"/>
    </row>
    <row r="52" spans="1:29">
      <c r="A52" s="67"/>
      <c r="B52" s="68" t="str">
        <f>nmPriceMT</f>
        <v>Maintenance Price</v>
      </c>
      <c r="C52" s="67"/>
      <c r="D52" s="67"/>
      <c r="E52" s="134">
        <f>tlInputPath4_PriceMT</f>
        <v>0</v>
      </c>
      <c r="F52" s="68" t="s">
        <v>234</v>
      </c>
      <c r="G52" s="134">
        <f>tlInputPath4_PriceMT</f>
        <v>0</v>
      </c>
      <c r="H52" s="135" t="b">
        <v>0</v>
      </c>
      <c r="I52" s="135" t="b">
        <v>0</v>
      </c>
      <c r="J52" s="136">
        <v>0</v>
      </c>
      <c r="K52" s="67"/>
      <c r="L52" s="72"/>
      <c r="M52" s="72"/>
      <c r="N52" s="72"/>
      <c r="O52" s="72"/>
      <c r="P52" s="72"/>
      <c r="Q52" s="67"/>
      <c r="R52" s="72"/>
      <c r="S52" s="72"/>
      <c r="T52" s="72"/>
      <c r="U52" s="72"/>
      <c r="V52" s="72"/>
      <c r="W52" s="68"/>
      <c r="X52" s="72"/>
      <c r="Y52" s="72"/>
      <c r="Z52" s="72"/>
      <c r="AA52" s="72"/>
      <c r="AB52" s="72"/>
      <c r="AC52" s="68"/>
    </row>
    <row r="53" spans="1:29">
      <c r="A53" s="136">
        <v>0</v>
      </c>
      <c r="B53" s="68" t="str">
        <f>nmPriceMT&amp;" Adjustment"</f>
        <v>Maintenance Price Adjustment</v>
      </c>
      <c r="C53" s="67"/>
      <c r="D53" s="67"/>
      <c r="E53" s="134">
        <f>tlInputPath4_PriceMT_Adj</f>
        <v>0</v>
      </c>
      <c r="F53" s="68" t="s">
        <v>673</v>
      </c>
      <c r="G53" s="134">
        <f>tlInputPath4_PriceMT_Adj</f>
        <v>0</v>
      </c>
      <c r="H53" s="135" t="b">
        <v>0</v>
      </c>
      <c r="I53" s="135" t="b">
        <v>1</v>
      </c>
      <c r="J53" s="136">
        <v>0</v>
      </c>
      <c r="K53" s="67"/>
      <c r="L53" s="72"/>
      <c r="M53" s="72"/>
      <c r="N53" s="72"/>
      <c r="O53" s="72"/>
      <c r="P53" s="72"/>
      <c r="Q53" s="67"/>
      <c r="R53" s="72"/>
      <c r="S53" s="72"/>
      <c r="T53" s="72"/>
      <c r="U53" s="72"/>
      <c r="V53" s="72"/>
      <c r="W53" s="68"/>
      <c r="X53" s="72"/>
      <c r="Y53" s="72"/>
      <c r="Z53" s="72"/>
      <c r="AA53" s="72"/>
      <c r="AB53" s="72"/>
      <c r="AC53" s="68"/>
    </row>
    <row r="54" spans="1:29">
      <c r="A54" s="67"/>
      <c r="B54" s="68" t="str">
        <f>nmProdMT</f>
        <v>Product on Maintenance</v>
      </c>
      <c r="C54" s="67"/>
      <c r="D54" s="67"/>
      <c r="E54" s="134" t="str">
        <f>tlInputPath4_ProdMT</f>
        <v>Please Select</v>
      </c>
      <c r="F54" s="68" t="s">
        <v>235</v>
      </c>
      <c r="G54" s="134" t="str">
        <f>tlInputPath4_ProdMT</f>
        <v>Please Select</v>
      </c>
      <c r="H54" s="135" t="b">
        <v>0</v>
      </c>
      <c r="I54" s="135" t="b">
        <v>1</v>
      </c>
      <c r="J54" s="75" t="str">
        <f>nmSelect</f>
        <v>Please Select</v>
      </c>
      <c r="K54" s="67"/>
      <c r="L54" s="72"/>
      <c r="M54" s="72"/>
      <c r="N54" s="72"/>
      <c r="O54" s="72"/>
      <c r="P54" s="72"/>
      <c r="Q54" s="67"/>
      <c r="R54" s="72"/>
      <c r="S54" s="72"/>
      <c r="T54" s="72"/>
      <c r="U54" s="72"/>
      <c r="V54" s="72"/>
      <c r="W54" s="68"/>
      <c r="X54" s="72"/>
      <c r="Y54" s="72"/>
      <c r="Z54" s="72"/>
      <c r="AA54" s="72"/>
      <c r="AB54" s="72"/>
      <c r="AC54" s="68"/>
    </row>
    <row r="55" spans="1:29">
      <c r="A55" s="136">
        <v>1</v>
      </c>
      <c r="B55" s="68" t="str">
        <f>nmSLM&amp;" or "&amp;nmNLM</f>
        <v>Single or Multi</v>
      </c>
      <c r="C55" s="67"/>
      <c r="D55" s="67"/>
      <c r="E55" s="134">
        <f>tlInputPath4_Access</f>
        <v>1</v>
      </c>
      <c r="F55" s="68" t="s">
        <v>568</v>
      </c>
      <c r="G55" s="134">
        <f>tlInputPath4_Access</f>
        <v>1</v>
      </c>
      <c r="H55" s="135" t="b">
        <v>0</v>
      </c>
      <c r="I55" s="135" t="b">
        <v>1</v>
      </c>
      <c r="J55" s="136">
        <v>1</v>
      </c>
      <c r="K55" s="67"/>
      <c r="L55" s="72"/>
      <c r="M55" s="72"/>
      <c r="N55" s="72"/>
      <c r="O55" s="72"/>
      <c r="P55" s="72"/>
      <c r="Q55" s="67"/>
      <c r="R55" s="72"/>
      <c r="S55" s="72"/>
      <c r="T55" s="72"/>
      <c r="U55" s="72"/>
      <c r="V55" s="72"/>
      <c r="W55" s="68"/>
      <c r="X55" s="72"/>
      <c r="Y55" s="72"/>
      <c r="Z55" s="72"/>
      <c r="AA55" s="72"/>
      <c r="AB55" s="72"/>
      <c r="AC55" s="68"/>
    </row>
    <row r="56" spans="1:29">
      <c r="A56" s="67"/>
      <c r="B56" s="68" t="str">
        <f>nmProdSub</f>
        <v>Switching to Subscription</v>
      </c>
      <c r="C56" s="67"/>
      <c r="D56" s="67"/>
      <c r="E56" s="134" t="str">
        <f>tlInputPath4_ProdSub</f>
        <v>Please Select</v>
      </c>
      <c r="F56" s="68" t="s">
        <v>236</v>
      </c>
      <c r="G56" s="134" t="str">
        <f>tlInputPath4_ProdSub</f>
        <v>Please Select</v>
      </c>
      <c r="H56" s="135" t="b">
        <v>0</v>
      </c>
      <c r="I56" s="135" t="b">
        <v>1</v>
      </c>
      <c r="J56" s="75" t="str">
        <f>nmSelect</f>
        <v>Please Select</v>
      </c>
      <c r="K56" s="67"/>
      <c r="L56" s="72"/>
      <c r="M56" s="72"/>
      <c r="N56" s="72"/>
      <c r="O56" s="72"/>
      <c r="P56" s="72"/>
      <c r="Q56" s="67"/>
      <c r="R56" s="72"/>
      <c r="S56" s="72"/>
      <c r="T56" s="72"/>
      <c r="U56" s="72"/>
      <c r="V56" s="72"/>
      <c r="W56" s="68"/>
      <c r="X56" s="72"/>
      <c r="Y56" s="72"/>
      <c r="Z56" s="72"/>
      <c r="AA56" s="72"/>
      <c r="AB56" s="72"/>
      <c r="AC56" s="68"/>
    </row>
    <row r="57" spans="1:29">
      <c r="A57" s="67"/>
      <c r="B57" s="68" t="str">
        <f>nmQty</f>
        <v>Quantity</v>
      </c>
      <c r="C57" s="67"/>
      <c r="D57" s="67"/>
      <c r="E57" s="134">
        <f>tlInputPath4_Qty</f>
        <v>1</v>
      </c>
      <c r="F57" s="68" t="s">
        <v>237</v>
      </c>
      <c r="G57" s="134">
        <f>tlInputPath4_Qty</f>
        <v>1</v>
      </c>
      <c r="H57" s="135" t="b">
        <v>0</v>
      </c>
      <c r="I57" s="135" t="b">
        <v>1</v>
      </c>
      <c r="J57" s="136">
        <v>1</v>
      </c>
      <c r="K57" s="67"/>
      <c r="L57" s="72"/>
      <c r="M57" s="72"/>
      <c r="N57" s="72"/>
      <c r="O57" s="72"/>
      <c r="P57" s="72"/>
      <c r="Q57" s="67"/>
      <c r="R57" s="72"/>
      <c r="S57" s="72"/>
      <c r="T57" s="72"/>
      <c r="U57" s="72"/>
      <c r="V57" s="72"/>
      <c r="W57" s="68"/>
      <c r="X57" s="72"/>
      <c r="Y57" s="72"/>
      <c r="Z57" s="72"/>
      <c r="AA57" s="72"/>
      <c r="AB57" s="72"/>
      <c r="AC57" s="68"/>
    </row>
    <row r="58" spans="1:29">
      <c r="A58" s="67"/>
      <c r="B58" s="68"/>
      <c r="C58" s="67"/>
      <c r="D58" s="67"/>
      <c r="E58" s="67"/>
      <c r="F58" s="68"/>
      <c r="G58" s="73"/>
      <c r="H58" s="73"/>
      <c r="I58" s="73"/>
      <c r="J58" s="73"/>
      <c r="K58" s="67"/>
      <c r="L58" s="72"/>
      <c r="M58" s="72"/>
      <c r="N58" s="72"/>
      <c r="O58" s="72"/>
      <c r="P58" s="72"/>
      <c r="Q58" s="67"/>
      <c r="R58" s="72"/>
      <c r="S58" s="72"/>
      <c r="T58" s="72"/>
      <c r="U58" s="72"/>
      <c r="V58" s="72"/>
      <c r="W58" s="68"/>
      <c r="X58" s="72"/>
      <c r="Y58" s="72"/>
      <c r="Z58" s="72"/>
      <c r="AA58" s="72"/>
      <c r="AB58" s="72"/>
      <c r="AC58" s="68"/>
    </row>
    <row r="59" spans="1:29">
      <c r="A59" s="68" t="s">
        <v>320</v>
      </c>
      <c r="B59" s="68"/>
      <c r="C59" s="67"/>
      <c r="D59" s="67"/>
      <c r="E59" s="67"/>
      <c r="F59" s="68"/>
      <c r="G59" s="73"/>
      <c r="H59" s="73"/>
      <c r="I59" s="73"/>
      <c r="J59" s="73"/>
      <c r="K59" s="67"/>
      <c r="L59" s="72"/>
      <c r="M59" s="72"/>
      <c r="N59" s="72"/>
      <c r="O59" s="72"/>
      <c r="P59" s="72"/>
      <c r="Q59" s="67"/>
      <c r="R59" s="72"/>
      <c r="S59" s="72"/>
      <c r="T59" s="72"/>
      <c r="U59" s="72"/>
      <c r="V59" s="72"/>
      <c r="W59" s="68"/>
      <c r="X59" s="72"/>
      <c r="Y59" s="72"/>
      <c r="Z59" s="72"/>
      <c r="AA59" s="72"/>
      <c r="AB59" s="72"/>
      <c r="AC59" s="68"/>
    </row>
    <row r="60" spans="1:29">
      <c r="A60" s="67"/>
      <c r="B60" s="68" t="str">
        <f>nmExpMT</f>
        <v>Maintenance Expiration</v>
      </c>
      <c r="C60" s="67"/>
      <c r="D60" s="67"/>
      <c r="E60" s="134" t="str">
        <f>tlInputPath5_ExpMT</f>
        <v>Year 2</v>
      </c>
      <c r="F60" s="68" t="s">
        <v>1458</v>
      </c>
      <c r="G60" s="134" t="str">
        <f>tlInputPath5_ExpMT</f>
        <v>Year 2</v>
      </c>
      <c r="H60" s="135" t="b">
        <v>0</v>
      </c>
      <c r="I60" s="135" t="b">
        <v>1</v>
      </c>
      <c r="J60" s="75" t="str">
        <f>nmFY1</f>
        <v>Year 2</v>
      </c>
      <c r="K60" s="67"/>
      <c r="L60" s="72"/>
      <c r="M60" s="72"/>
      <c r="N60" s="72"/>
      <c r="O60" s="72"/>
      <c r="P60" s="72"/>
      <c r="Q60" s="67"/>
      <c r="R60" s="72"/>
      <c r="S60" s="72"/>
      <c r="T60" s="72"/>
      <c r="U60" s="72"/>
      <c r="V60" s="72"/>
      <c r="W60" s="68"/>
      <c r="X60" s="72"/>
      <c r="Y60" s="72"/>
      <c r="Z60" s="72"/>
      <c r="AA60" s="72"/>
      <c r="AB60" s="72"/>
      <c r="AC60" s="68"/>
    </row>
    <row r="61" spans="1:29">
      <c r="A61" s="67"/>
      <c r="B61" s="68" t="str">
        <f>nmPriceMT</f>
        <v>Maintenance Price</v>
      </c>
      <c r="C61" s="67"/>
      <c r="D61" s="67"/>
      <c r="E61" s="134">
        <f>tlInputPath5_PriceMT</f>
        <v>0</v>
      </c>
      <c r="F61" s="68" t="s">
        <v>1459</v>
      </c>
      <c r="G61" s="134">
        <f>tlInputPath5_PriceMT</f>
        <v>0</v>
      </c>
      <c r="H61" s="135" t="b">
        <v>0</v>
      </c>
      <c r="I61" s="135" t="b">
        <v>0</v>
      </c>
      <c r="J61" s="136">
        <v>0</v>
      </c>
      <c r="K61" s="67"/>
      <c r="L61" s="72"/>
      <c r="M61" s="72"/>
      <c r="N61" s="72"/>
      <c r="O61" s="72"/>
      <c r="P61" s="72"/>
      <c r="Q61" s="67"/>
      <c r="R61" s="72"/>
      <c r="S61" s="72"/>
      <c r="T61" s="72"/>
      <c r="U61" s="72"/>
      <c r="V61" s="72"/>
      <c r="W61" s="68"/>
      <c r="X61" s="72"/>
      <c r="Y61" s="72"/>
      <c r="Z61" s="72"/>
      <c r="AA61" s="72"/>
      <c r="AB61" s="72"/>
      <c r="AC61" s="68"/>
    </row>
    <row r="62" spans="1:29">
      <c r="A62" s="136">
        <v>0</v>
      </c>
      <c r="B62" s="68" t="str">
        <f>nmPriceMT&amp;" Adjustment"</f>
        <v>Maintenance Price Adjustment</v>
      </c>
      <c r="C62" s="67"/>
      <c r="D62" s="67"/>
      <c r="E62" s="134">
        <f>tlInputPath5_PriceMT_Adj</f>
        <v>0</v>
      </c>
      <c r="F62" s="68" t="s">
        <v>1460</v>
      </c>
      <c r="G62" s="134">
        <f>tlInputPath5_PriceMT_Adj</f>
        <v>0</v>
      </c>
      <c r="H62" s="135" t="b">
        <v>0</v>
      </c>
      <c r="I62" s="135" t="b">
        <v>1</v>
      </c>
      <c r="J62" s="136">
        <v>0</v>
      </c>
      <c r="K62" s="67"/>
      <c r="L62" s="72"/>
      <c r="M62" s="72"/>
      <c r="N62" s="72"/>
      <c r="O62" s="72"/>
      <c r="P62" s="72"/>
      <c r="Q62" s="67"/>
      <c r="R62" s="72"/>
      <c r="S62" s="72"/>
      <c r="T62" s="72"/>
      <c r="U62" s="72"/>
      <c r="V62" s="72"/>
      <c r="W62" s="68"/>
      <c r="X62" s="72"/>
      <c r="Y62" s="72"/>
      <c r="Z62" s="72"/>
      <c r="AA62" s="72"/>
      <c r="AB62" s="72"/>
      <c r="AC62" s="68"/>
    </row>
    <row r="63" spans="1:29">
      <c r="A63" s="67"/>
      <c r="B63" s="68" t="str">
        <f>nmProdMT</f>
        <v>Product on Maintenance</v>
      </c>
      <c r="C63" s="67"/>
      <c r="D63" s="67"/>
      <c r="E63" s="134" t="str">
        <f>tlInputPath5_ProdMT</f>
        <v>Please Select</v>
      </c>
      <c r="F63" s="68" t="s">
        <v>1461</v>
      </c>
      <c r="G63" s="134" t="str">
        <f>tlInputPath5_ProdMT</f>
        <v>Please Select</v>
      </c>
      <c r="H63" s="135" t="b">
        <v>0</v>
      </c>
      <c r="I63" s="135" t="b">
        <v>1</v>
      </c>
      <c r="J63" s="75" t="str">
        <f>nmSelect</f>
        <v>Please Select</v>
      </c>
      <c r="K63" s="67"/>
      <c r="L63" s="72"/>
      <c r="M63" s="72"/>
      <c r="N63" s="72"/>
      <c r="O63" s="72"/>
      <c r="P63" s="72"/>
      <c r="Q63" s="67"/>
      <c r="R63" s="72"/>
      <c r="S63" s="72"/>
      <c r="T63" s="72"/>
      <c r="U63" s="72"/>
      <c r="V63" s="72"/>
      <c r="W63" s="68"/>
      <c r="X63" s="72"/>
      <c r="Y63" s="72"/>
      <c r="Z63" s="72"/>
      <c r="AA63" s="72"/>
      <c r="AB63" s="72"/>
      <c r="AC63" s="68"/>
    </row>
    <row r="64" spans="1:29">
      <c r="A64" s="136">
        <v>1</v>
      </c>
      <c r="B64" s="68" t="str">
        <f>nmSLM&amp;" or "&amp;nmNLM</f>
        <v>Single or Multi</v>
      </c>
      <c r="C64" s="67"/>
      <c r="D64" s="67"/>
      <c r="E64" s="134">
        <f>tlInputPath5_Access</f>
        <v>1</v>
      </c>
      <c r="F64" s="68" t="s">
        <v>1462</v>
      </c>
      <c r="G64" s="134">
        <f>tlInputPath5_Access</f>
        <v>1</v>
      </c>
      <c r="H64" s="135" t="b">
        <v>0</v>
      </c>
      <c r="I64" s="135" t="b">
        <v>1</v>
      </c>
      <c r="J64" s="136">
        <v>1</v>
      </c>
      <c r="K64" s="67"/>
      <c r="L64" s="72"/>
      <c r="M64" s="72"/>
      <c r="N64" s="72"/>
      <c r="O64" s="72"/>
      <c r="P64" s="72"/>
      <c r="Q64" s="67"/>
      <c r="R64" s="72"/>
      <c r="S64" s="72"/>
      <c r="T64" s="72"/>
      <c r="U64" s="72"/>
      <c r="V64" s="72"/>
      <c r="W64" s="68"/>
      <c r="X64" s="72"/>
      <c r="Y64" s="72"/>
      <c r="Z64" s="72"/>
      <c r="AA64" s="72"/>
      <c r="AB64" s="72"/>
      <c r="AC64" s="68"/>
    </row>
    <row r="65" spans="1:29">
      <c r="A65" s="67"/>
      <c r="B65" s="68" t="str">
        <f>nmProdSub</f>
        <v>Switching to Subscription</v>
      </c>
      <c r="C65" s="67"/>
      <c r="D65" s="67"/>
      <c r="E65" s="134" t="str">
        <f>tlInputPath5_ProdSub</f>
        <v>Please Select</v>
      </c>
      <c r="F65" s="68" t="s">
        <v>1463</v>
      </c>
      <c r="G65" s="134" t="str">
        <f>tlInputPath5_ProdSub</f>
        <v>Please Select</v>
      </c>
      <c r="H65" s="135" t="b">
        <v>0</v>
      </c>
      <c r="I65" s="135" t="b">
        <v>1</v>
      </c>
      <c r="J65" s="75" t="str">
        <f>nmSelect</f>
        <v>Please Select</v>
      </c>
      <c r="K65" s="67"/>
      <c r="L65" s="72"/>
      <c r="M65" s="72"/>
      <c r="N65" s="72"/>
      <c r="O65" s="72"/>
      <c r="P65" s="72"/>
      <c r="Q65" s="67"/>
      <c r="R65" s="72"/>
      <c r="S65" s="72"/>
      <c r="T65" s="72"/>
      <c r="U65" s="72"/>
      <c r="V65" s="72"/>
      <c r="W65" s="68"/>
      <c r="X65" s="72"/>
      <c r="Y65" s="72"/>
      <c r="Z65" s="72"/>
      <c r="AA65" s="72"/>
      <c r="AB65" s="72"/>
      <c r="AC65" s="68"/>
    </row>
    <row r="66" spans="1:29">
      <c r="A66" s="67"/>
      <c r="B66" s="68" t="str">
        <f>nmQty</f>
        <v>Quantity</v>
      </c>
      <c r="C66" s="67"/>
      <c r="D66" s="67"/>
      <c r="E66" s="134">
        <f>tlInputPath5_Qty</f>
        <v>1</v>
      </c>
      <c r="F66" s="68" t="s">
        <v>1464</v>
      </c>
      <c r="G66" s="134">
        <f>tlInputPath5_Qty</f>
        <v>1</v>
      </c>
      <c r="H66" s="135" t="b">
        <v>0</v>
      </c>
      <c r="I66" s="135" t="b">
        <v>1</v>
      </c>
      <c r="J66" s="136">
        <v>1</v>
      </c>
      <c r="K66" s="67"/>
      <c r="L66" s="72"/>
      <c r="M66" s="72"/>
      <c r="N66" s="72"/>
      <c r="O66" s="72"/>
      <c r="P66" s="72"/>
      <c r="Q66" s="67"/>
      <c r="R66" s="72"/>
      <c r="S66" s="72"/>
      <c r="T66" s="72"/>
      <c r="U66" s="72"/>
      <c r="V66" s="72"/>
      <c r="W66" s="68"/>
      <c r="X66" s="72"/>
      <c r="Y66" s="72"/>
      <c r="Z66" s="72"/>
      <c r="AA66" s="72"/>
      <c r="AB66" s="72"/>
      <c r="AC66" s="68"/>
    </row>
    <row r="67" spans="1:29">
      <c r="A67" s="67"/>
      <c r="B67" s="68"/>
      <c r="C67" s="67"/>
      <c r="D67" s="67"/>
      <c r="E67" s="67"/>
      <c r="F67" s="68"/>
      <c r="G67" s="73"/>
      <c r="H67" s="73"/>
      <c r="I67" s="73"/>
      <c r="J67" s="73"/>
      <c r="K67" s="67"/>
      <c r="L67" s="72"/>
      <c r="M67" s="72"/>
      <c r="N67" s="72"/>
      <c r="O67" s="72"/>
      <c r="P67" s="72"/>
      <c r="Q67" s="67"/>
      <c r="R67" s="72"/>
      <c r="S67" s="72"/>
      <c r="T67" s="72"/>
      <c r="U67" s="72"/>
      <c r="V67" s="72"/>
      <c r="W67" s="68"/>
      <c r="X67" s="72"/>
      <c r="Y67" s="72"/>
      <c r="Z67" s="72"/>
      <c r="AA67" s="72"/>
      <c r="AB67" s="72"/>
      <c r="AC67" s="68"/>
    </row>
    <row r="68" spans="1:29">
      <c r="A68" s="68" t="s">
        <v>1429</v>
      </c>
      <c r="B68" s="68"/>
      <c r="C68" s="67"/>
      <c r="D68" s="67"/>
      <c r="E68" s="67"/>
      <c r="F68" s="68"/>
      <c r="G68" s="73"/>
      <c r="H68" s="73"/>
      <c r="I68" s="73"/>
      <c r="J68" s="73"/>
      <c r="K68" s="67"/>
      <c r="L68" s="72"/>
      <c r="M68" s="72"/>
      <c r="N68" s="72"/>
      <c r="O68" s="72"/>
      <c r="P68" s="72"/>
      <c r="Q68" s="67"/>
      <c r="R68" s="72"/>
      <c r="S68" s="72"/>
      <c r="T68" s="72"/>
      <c r="U68" s="72"/>
      <c r="V68" s="72"/>
      <c r="W68" s="68"/>
      <c r="X68" s="72"/>
      <c r="Y68" s="72"/>
      <c r="Z68" s="72"/>
      <c r="AA68" s="72"/>
      <c r="AB68" s="72"/>
      <c r="AC68" s="68"/>
    </row>
    <row r="69" spans="1:29">
      <c r="A69" s="67"/>
      <c r="B69" s="68" t="str">
        <f>nmExpMT</f>
        <v>Maintenance Expiration</v>
      </c>
      <c r="C69" s="67"/>
      <c r="D69" s="67"/>
      <c r="E69" s="134" t="str">
        <f>tlInputPath6_ExpMT</f>
        <v>Year 2</v>
      </c>
      <c r="F69" s="68" t="s">
        <v>1465</v>
      </c>
      <c r="G69" s="134" t="str">
        <f>tlInputPath6_ExpMT</f>
        <v>Year 2</v>
      </c>
      <c r="H69" s="135" t="b">
        <v>0</v>
      </c>
      <c r="I69" s="135" t="b">
        <v>1</v>
      </c>
      <c r="J69" s="75" t="str">
        <f>nmFY1</f>
        <v>Year 2</v>
      </c>
      <c r="K69" s="67"/>
      <c r="L69" s="72"/>
      <c r="M69" s="72"/>
      <c r="N69" s="72"/>
      <c r="O69" s="72"/>
      <c r="P69" s="72"/>
      <c r="Q69" s="67"/>
      <c r="R69" s="72"/>
      <c r="S69" s="72"/>
      <c r="T69" s="72"/>
      <c r="U69" s="72"/>
      <c r="V69" s="72"/>
      <c r="W69" s="68"/>
      <c r="X69" s="72"/>
      <c r="Y69" s="72"/>
      <c r="Z69" s="72"/>
      <c r="AA69" s="72"/>
      <c r="AB69" s="72"/>
      <c r="AC69" s="68"/>
    </row>
    <row r="70" spans="1:29">
      <c r="A70" s="67"/>
      <c r="B70" s="68" t="str">
        <f>nmPriceMT</f>
        <v>Maintenance Price</v>
      </c>
      <c r="C70" s="67"/>
      <c r="D70" s="67"/>
      <c r="E70" s="134">
        <f>tlInputPath6_PriceMT</f>
        <v>0</v>
      </c>
      <c r="F70" s="68" t="s">
        <v>1466</v>
      </c>
      <c r="G70" s="134">
        <f>tlInputPath6_PriceMT</f>
        <v>0</v>
      </c>
      <c r="H70" s="135" t="b">
        <v>0</v>
      </c>
      <c r="I70" s="135" t="b">
        <v>0</v>
      </c>
      <c r="J70" s="136">
        <v>0</v>
      </c>
      <c r="K70" s="67"/>
      <c r="L70" s="72"/>
      <c r="M70" s="72"/>
      <c r="N70" s="72"/>
      <c r="O70" s="72"/>
      <c r="P70" s="72"/>
      <c r="Q70" s="67"/>
      <c r="R70" s="72"/>
      <c r="S70" s="72"/>
      <c r="T70" s="72"/>
      <c r="U70" s="72"/>
      <c r="V70" s="72"/>
      <c r="W70" s="68"/>
      <c r="X70" s="72"/>
      <c r="Y70" s="72"/>
      <c r="Z70" s="72"/>
      <c r="AA70" s="72"/>
      <c r="AB70" s="72"/>
      <c r="AC70" s="68"/>
    </row>
    <row r="71" spans="1:29">
      <c r="A71" s="136">
        <v>0</v>
      </c>
      <c r="B71" s="68" t="str">
        <f>nmPriceMT&amp;" Adjustment"</f>
        <v>Maintenance Price Adjustment</v>
      </c>
      <c r="C71" s="67"/>
      <c r="D71" s="67"/>
      <c r="E71" s="134">
        <f>tlInputPath6_PriceMT_Adj</f>
        <v>0</v>
      </c>
      <c r="F71" s="68" t="s">
        <v>1467</v>
      </c>
      <c r="G71" s="134">
        <f>tlInputPath6_PriceMT_Adj</f>
        <v>0</v>
      </c>
      <c r="H71" s="135" t="b">
        <v>0</v>
      </c>
      <c r="I71" s="135" t="b">
        <v>1</v>
      </c>
      <c r="J71" s="136">
        <v>0</v>
      </c>
      <c r="K71" s="67"/>
      <c r="L71" s="72"/>
      <c r="M71" s="72"/>
      <c r="N71" s="72"/>
      <c r="O71" s="72"/>
      <c r="P71" s="72"/>
      <c r="Q71" s="67"/>
      <c r="R71" s="72"/>
      <c r="S71" s="72"/>
      <c r="T71" s="72"/>
      <c r="U71" s="72"/>
      <c r="V71" s="72"/>
      <c r="W71" s="68"/>
      <c r="X71" s="72"/>
      <c r="Y71" s="72"/>
      <c r="Z71" s="72"/>
      <c r="AA71" s="72"/>
      <c r="AB71" s="72"/>
      <c r="AC71" s="68"/>
    </row>
    <row r="72" spans="1:29">
      <c r="A72" s="67"/>
      <c r="B72" s="68" t="str">
        <f>nmProdMT</f>
        <v>Product on Maintenance</v>
      </c>
      <c r="C72" s="67"/>
      <c r="D72" s="67"/>
      <c r="E72" s="134" t="str">
        <f>tlInputPath6_ProdMT</f>
        <v>Please Select</v>
      </c>
      <c r="F72" s="68" t="s">
        <v>1468</v>
      </c>
      <c r="G72" s="134" t="str">
        <f>tlInputPath6_ProdMT</f>
        <v>Please Select</v>
      </c>
      <c r="H72" s="135" t="b">
        <v>0</v>
      </c>
      <c r="I72" s="135" t="b">
        <v>1</v>
      </c>
      <c r="J72" s="75" t="str">
        <f>nmSelect</f>
        <v>Please Select</v>
      </c>
      <c r="K72" s="67"/>
      <c r="L72" s="72"/>
      <c r="M72" s="72"/>
      <c r="N72" s="72"/>
      <c r="O72" s="72"/>
      <c r="P72" s="72"/>
      <c r="Q72" s="67"/>
      <c r="R72" s="72"/>
      <c r="S72" s="72"/>
      <c r="T72" s="72"/>
      <c r="U72" s="72"/>
      <c r="V72" s="72"/>
      <c r="W72" s="68"/>
      <c r="X72" s="72"/>
      <c r="Y72" s="72"/>
      <c r="Z72" s="72"/>
      <c r="AA72" s="72"/>
      <c r="AB72" s="72"/>
      <c r="AC72" s="68"/>
    </row>
    <row r="73" spans="1:29">
      <c r="A73" s="136">
        <v>1</v>
      </c>
      <c r="B73" s="68" t="str">
        <f>nmSLM&amp;" or "&amp;nmNLM</f>
        <v>Single or Multi</v>
      </c>
      <c r="C73" s="67"/>
      <c r="D73" s="67"/>
      <c r="E73" s="134">
        <f>tlInputPath6_Access</f>
        <v>1</v>
      </c>
      <c r="F73" s="68" t="s">
        <v>1469</v>
      </c>
      <c r="G73" s="134">
        <f>tlInputPath6_Access</f>
        <v>1</v>
      </c>
      <c r="H73" s="135" t="b">
        <v>0</v>
      </c>
      <c r="I73" s="135" t="b">
        <v>1</v>
      </c>
      <c r="J73" s="136">
        <v>1</v>
      </c>
      <c r="K73" s="67"/>
      <c r="L73" s="72"/>
      <c r="M73" s="72"/>
      <c r="N73" s="72"/>
      <c r="O73" s="72"/>
      <c r="P73" s="72"/>
      <c r="Q73" s="67"/>
      <c r="R73" s="72"/>
      <c r="S73" s="72"/>
      <c r="T73" s="72"/>
      <c r="U73" s="72"/>
      <c r="V73" s="72"/>
      <c r="W73" s="68"/>
      <c r="X73" s="72"/>
      <c r="Y73" s="72"/>
      <c r="Z73" s="72"/>
      <c r="AA73" s="72"/>
      <c r="AB73" s="72"/>
      <c r="AC73" s="68"/>
    </row>
    <row r="74" spans="1:29">
      <c r="A74" s="67"/>
      <c r="B74" s="68" t="str">
        <f>nmProdSub</f>
        <v>Switching to Subscription</v>
      </c>
      <c r="C74" s="67"/>
      <c r="D74" s="67"/>
      <c r="E74" s="134" t="str">
        <f>tlInputPath6_ProdSub</f>
        <v>Please Select</v>
      </c>
      <c r="F74" s="68" t="s">
        <v>1470</v>
      </c>
      <c r="G74" s="134" t="str">
        <f>tlInputPath6_ProdSub</f>
        <v>Please Select</v>
      </c>
      <c r="H74" s="135" t="b">
        <v>0</v>
      </c>
      <c r="I74" s="135" t="b">
        <v>1</v>
      </c>
      <c r="J74" s="75" t="str">
        <f>nmSelect</f>
        <v>Please Select</v>
      </c>
      <c r="K74" s="67"/>
      <c r="L74" s="72"/>
      <c r="M74" s="72"/>
      <c r="N74" s="72"/>
      <c r="O74" s="72"/>
      <c r="P74" s="72"/>
      <c r="Q74" s="67"/>
      <c r="R74" s="72"/>
      <c r="S74" s="72"/>
      <c r="T74" s="72"/>
      <c r="U74" s="72"/>
      <c r="V74" s="72"/>
      <c r="W74" s="68"/>
      <c r="X74" s="72"/>
      <c r="Y74" s="72"/>
      <c r="Z74" s="72"/>
      <c r="AA74" s="72"/>
      <c r="AB74" s="72"/>
      <c r="AC74" s="68"/>
    </row>
    <row r="75" spans="1:29">
      <c r="A75" s="67"/>
      <c r="B75" s="68" t="str">
        <f>nmQty</f>
        <v>Quantity</v>
      </c>
      <c r="C75" s="67"/>
      <c r="D75" s="67"/>
      <c r="E75" s="134">
        <f>tlInputPath6_Qty</f>
        <v>1</v>
      </c>
      <c r="F75" s="68" t="s">
        <v>1471</v>
      </c>
      <c r="G75" s="134">
        <f>tlInputPath6_Qty</f>
        <v>1</v>
      </c>
      <c r="H75" s="135" t="b">
        <v>0</v>
      </c>
      <c r="I75" s="135" t="b">
        <v>1</v>
      </c>
      <c r="J75" s="136">
        <v>1</v>
      </c>
      <c r="K75" s="67"/>
      <c r="L75" s="72"/>
      <c r="M75" s="72"/>
      <c r="N75" s="72"/>
      <c r="O75" s="72"/>
      <c r="P75" s="72"/>
      <c r="Q75" s="67"/>
      <c r="R75" s="72"/>
      <c r="S75" s="72"/>
      <c r="T75" s="72"/>
      <c r="U75" s="72"/>
      <c r="V75" s="72"/>
      <c r="W75" s="68"/>
      <c r="X75" s="72"/>
      <c r="Y75" s="72"/>
      <c r="Z75" s="72"/>
      <c r="AA75" s="72"/>
      <c r="AB75" s="72"/>
      <c r="AC75" s="68"/>
    </row>
    <row r="76" spans="1:29">
      <c r="A76" s="67"/>
      <c r="B76" s="68"/>
      <c r="C76" s="67"/>
      <c r="D76" s="67"/>
      <c r="E76" s="67"/>
      <c r="F76" s="68"/>
      <c r="G76" s="73"/>
      <c r="H76" s="73"/>
      <c r="I76" s="73"/>
      <c r="J76" s="73"/>
      <c r="K76" s="67"/>
      <c r="L76" s="72"/>
      <c r="M76" s="72"/>
      <c r="N76" s="72"/>
      <c r="O76" s="72"/>
      <c r="P76" s="72"/>
      <c r="Q76" s="67"/>
      <c r="R76" s="72"/>
      <c r="S76" s="72"/>
      <c r="T76" s="72"/>
      <c r="U76" s="72"/>
      <c r="V76" s="72"/>
      <c r="W76" s="68"/>
      <c r="X76" s="72"/>
      <c r="Y76" s="72"/>
      <c r="Z76" s="72"/>
      <c r="AA76" s="72"/>
      <c r="AB76" s="72"/>
      <c r="AC76" s="68"/>
    </row>
    <row r="77" spans="1:29">
      <c r="A77" s="68" t="s">
        <v>1430</v>
      </c>
      <c r="B77" s="68"/>
      <c r="C77" s="67"/>
      <c r="D77" s="67"/>
      <c r="E77" s="67"/>
      <c r="F77" s="68"/>
      <c r="G77" s="73"/>
      <c r="H77" s="73"/>
      <c r="I77" s="73"/>
      <c r="J77" s="73"/>
      <c r="K77" s="67"/>
      <c r="L77" s="72"/>
      <c r="M77" s="72"/>
      <c r="N77" s="72"/>
      <c r="O77" s="72"/>
      <c r="P77" s="72"/>
      <c r="Q77" s="67"/>
      <c r="R77" s="72"/>
      <c r="S77" s="72"/>
      <c r="T77" s="72"/>
      <c r="U77" s="72"/>
      <c r="V77" s="72"/>
      <c r="W77" s="68"/>
      <c r="X77" s="72"/>
      <c r="Y77" s="72"/>
      <c r="Z77" s="72"/>
      <c r="AA77" s="72"/>
      <c r="AB77" s="72"/>
      <c r="AC77" s="68"/>
    </row>
    <row r="78" spans="1:29">
      <c r="A78" s="67"/>
      <c r="B78" s="68" t="str">
        <f>nmExpMT</f>
        <v>Maintenance Expiration</v>
      </c>
      <c r="C78" s="67"/>
      <c r="D78" s="67"/>
      <c r="E78" s="134" t="str">
        <f>tlInputPath7_ExpMT</f>
        <v>Year 2</v>
      </c>
      <c r="F78" s="68" t="s">
        <v>1472</v>
      </c>
      <c r="G78" s="134" t="str">
        <f>tlInputPath7_ExpMT</f>
        <v>Year 2</v>
      </c>
      <c r="H78" s="135" t="b">
        <v>0</v>
      </c>
      <c r="I78" s="135" t="b">
        <v>1</v>
      </c>
      <c r="J78" s="75" t="str">
        <f>nmFY1</f>
        <v>Year 2</v>
      </c>
      <c r="K78" s="67"/>
      <c r="L78" s="72"/>
      <c r="M78" s="72"/>
      <c r="N78" s="72"/>
      <c r="O78" s="72"/>
      <c r="P78" s="72"/>
      <c r="Q78" s="67"/>
      <c r="R78" s="72"/>
      <c r="S78" s="72"/>
      <c r="T78" s="72"/>
      <c r="U78" s="72"/>
      <c r="V78" s="72"/>
      <c r="W78" s="68"/>
      <c r="X78" s="72"/>
      <c r="Y78" s="72"/>
      <c r="Z78" s="72"/>
      <c r="AA78" s="72"/>
      <c r="AB78" s="72"/>
      <c r="AC78" s="68"/>
    </row>
    <row r="79" spans="1:29">
      <c r="A79" s="67"/>
      <c r="B79" s="68" t="str">
        <f>nmPriceMT</f>
        <v>Maintenance Price</v>
      </c>
      <c r="C79" s="67"/>
      <c r="D79" s="67"/>
      <c r="E79" s="134">
        <f>tlInputPath7_PriceMT</f>
        <v>0</v>
      </c>
      <c r="F79" s="68" t="s">
        <v>1473</v>
      </c>
      <c r="G79" s="134">
        <f>tlInputPath7_PriceMT</f>
        <v>0</v>
      </c>
      <c r="H79" s="135" t="b">
        <v>0</v>
      </c>
      <c r="I79" s="135" t="b">
        <v>0</v>
      </c>
      <c r="J79" s="136">
        <v>0</v>
      </c>
      <c r="K79" s="67"/>
      <c r="L79" s="72"/>
      <c r="M79" s="72"/>
      <c r="N79" s="72"/>
      <c r="O79" s="72"/>
      <c r="P79" s="72"/>
      <c r="Q79" s="67"/>
      <c r="R79" s="72"/>
      <c r="S79" s="72"/>
      <c r="T79" s="72"/>
      <c r="U79" s="72"/>
      <c r="V79" s="72"/>
      <c r="W79" s="68"/>
      <c r="X79" s="72"/>
      <c r="Y79" s="72"/>
      <c r="Z79" s="72"/>
      <c r="AA79" s="72"/>
      <c r="AB79" s="72"/>
      <c r="AC79" s="68"/>
    </row>
    <row r="80" spans="1:29">
      <c r="A80" s="136">
        <v>0</v>
      </c>
      <c r="B80" s="68" t="str">
        <f>nmPriceMT&amp;" Adjustment"</f>
        <v>Maintenance Price Adjustment</v>
      </c>
      <c r="C80" s="67"/>
      <c r="D80" s="67"/>
      <c r="E80" s="134">
        <f>tlInputPath7_PriceMT_Adj</f>
        <v>0</v>
      </c>
      <c r="F80" s="68" t="s">
        <v>1474</v>
      </c>
      <c r="G80" s="134">
        <f>tlInputPath7_PriceMT_Adj</f>
        <v>0</v>
      </c>
      <c r="H80" s="135" t="b">
        <v>0</v>
      </c>
      <c r="I80" s="135" t="b">
        <v>1</v>
      </c>
      <c r="J80" s="136">
        <v>0</v>
      </c>
      <c r="K80" s="67"/>
      <c r="L80" s="72"/>
      <c r="M80" s="72"/>
      <c r="N80" s="72"/>
      <c r="O80" s="72"/>
      <c r="P80" s="72"/>
      <c r="Q80" s="67"/>
      <c r="R80" s="72"/>
      <c r="S80" s="72"/>
      <c r="T80" s="72"/>
      <c r="U80" s="72"/>
      <c r="V80" s="72"/>
      <c r="W80" s="68"/>
      <c r="X80" s="72"/>
      <c r="Y80" s="72"/>
      <c r="Z80" s="72"/>
      <c r="AA80" s="72"/>
      <c r="AB80" s="72"/>
      <c r="AC80" s="68"/>
    </row>
    <row r="81" spans="1:29">
      <c r="A81" s="67"/>
      <c r="B81" s="68" t="str">
        <f>nmProdMT</f>
        <v>Product on Maintenance</v>
      </c>
      <c r="C81" s="67"/>
      <c r="D81" s="67"/>
      <c r="E81" s="134" t="str">
        <f>tlInputPath7_ProdMT</f>
        <v>Please Select</v>
      </c>
      <c r="F81" s="68" t="s">
        <v>1475</v>
      </c>
      <c r="G81" s="134" t="str">
        <f>tlInputPath7_ProdMT</f>
        <v>Please Select</v>
      </c>
      <c r="H81" s="135" t="b">
        <v>0</v>
      </c>
      <c r="I81" s="135" t="b">
        <v>1</v>
      </c>
      <c r="J81" s="75" t="str">
        <f>nmSelect</f>
        <v>Please Select</v>
      </c>
      <c r="K81" s="67"/>
      <c r="L81" s="72"/>
      <c r="M81" s="72"/>
      <c r="N81" s="72"/>
      <c r="O81" s="72"/>
      <c r="P81" s="72"/>
      <c r="Q81" s="67"/>
      <c r="R81" s="72"/>
      <c r="S81" s="72"/>
      <c r="T81" s="72"/>
      <c r="U81" s="72"/>
      <c r="V81" s="72"/>
      <c r="W81" s="68"/>
      <c r="X81" s="72"/>
      <c r="Y81" s="72"/>
      <c r="Z81" s="72"/>
      <c r="AA81" s="72"/>
      <c r="AB81" s="72"/>
      <c r="AC81" s="68"/>
    </row>
    <row r="82" spans="1:29">
      <c r="A82" s="136">
        <v>1</v>
      </c>
      <c r="B82" s="68" t="str">
        <f>nmSLM&amp;" or "&amp;nmNLM</f>
        <v>Single or Multi</v>
      </c>
      <c r="C82" s="67"/>
      <c r="D82" s="67"/>
      <c r="E82" s="134">
        <f>tlInputPath7_Access</f>
        <v>1</v>
      </c>
      <c r="F82" s="68" t="s">
        <v>1476</v>
      </c>
      <c r="G82" s="134">
        <f>tlInputPath7_Access</f>
        <v>1</v>
      </c>
      <c r="H82" s="135" t="b">
        <v>0</v>
      </c>
      <c r="I82" s="135" t="b">
        <v>1</v>
      </c>
      <c r="J82" s="136">
        <v>1</v>
      </c>
      <c r="K82" s="67"/>
      <c r="L82" s="72"/>
      <c r="M82" s="72"/>
      <c r="N82" s="72"/>
      <c r="O82" s="72"/>
      <c r="P82" s="72"/>
      <c r="Q82" s="67"/>
      <c r="R82" s="72"/>
      <c r="S82" s="72"/>
      <c r="T82" s="72"/>
      <c r="U82" s="72"/>
      <c r="V82" s="72"/>
      <c r="W82" s="68"/>
      <c r="X82" s="72"/>
      <c r="Y82" s="72"/>
      <c r="Z82" s="72"/>
      <c r="AA82" s="72"/>
      <c r="AB82" s="72"/>
      <c r="AC82" s="68"/>
    </row>
    <row r="83" spans="1:29">
      <c r="A83" s="67"/>
      <c r="B83" s="68" t="str">
        <f>nmProdSub</f>
        <v>Switching to Subscription</v>
      </c>
      <c r="C83" s="67"/>
      <c r="D83" s="67"/>
      <c r="E83" s="134" t="str">
        <f>tlInputPath7_ProdSub</f>
        <v>Please Select</v>
      </c>
      <c r="F83" s="68" t="s">
        <v>1477</v>
      </c>
      <c r="G83" s="134" t="str">
        <f>tlInputPath7_ProdSub</f>
        <v>Please Select</v>
      </c>
      <c r="H83" s="135" t="b">
        <v>0</v>
      </c>
      <c r="I83" s="135" t="b">
        <v>1</v>
      </c>
      <c r="J83" s="75" t="str">
        <f>nmSelect</f>
        <v>Please Select</v>
      </c>
      <c r="K83" s="67"/>
      <c r="L83" s="72"/>
      <c r="M83" s="72"/>
      <c r="N83" s="72"/>
      <c r="O83" s="72"/>
      <c r="P83" s="72"/>
      <c r="Q83" s="67"/>
      <c r="R83" s="72"/>
      <c r="S83" s="72"/>
      <c r="T83" s="72"/>
      <c r="U83" s="72"/>
      <c r="V83" s="72"/>
      <c r="W83" s="68"/>
      <c r="X83" s="72"/>
      <c r="Y83" s="72"/>
      <c r="Z83" s="72"/>
      <c r="AA83" s="72"/>
      <c r="AB83" s="72"/>
      <c r="AC83" s="68"/>
    </row>
    <row r="84" spans="1:29">
      <c r="A84" s="67"/>
      <c r="B84" s="68" t="str">
        <f>nmQty</f>
        <v>Quantity</v>
      </c>
      <c r="C84" s="67"/>
      <c r="D84" s="67"/>
      <c r="E84" s="134">
        <f>tlInputPath7_Qty</f>
        <v>1</v>
      </c>
      <c r="F84" s="68" t="s">
        <v>1478</v>
      </c>
      <c r="G84" s="134">
        <f>tlInputPath7_Qty</f>
        <v>1</v>
      </c>
      <c r="H84" s="135" t="b">
        <v>0</v>
      </c>
      <c r="I84" s="135" t="b">
        <v>1</v>
      </c>
      <c r="J84" s="136">
        <v>1</v>
      </c>
      <c r="K84" s="67"/>
      <c r="L84" s="72"/>
      <c r="M84" s="72"/>
      <c r="N84" s="72"/>
      <c r="O84" s="72"/>
      <c r="P84" s="72"/>
      <c r="Q84" s="67"/>
      <c r="R84" s="72"/>
      <c r="S84" s="72"/>
      <c r="T84" s="72"/>
      <c r="U84" s="72"/>
      <c r="V84" s="72"/>
      <c r="W84" s="68"/>
      <c r="X84" s="72"/>
      <c r="Y84" s="72"/>
      <c r="Z84" s="72"/>
      <c r="AA84" s="72"/>
      <c r="AB84" s="72"/>
      <c r="AC84" s="68"/>
    </row>
    <row r="85" spans="1:29">
      <c r="A85" s="67"/>
      <c r="B85" s="68"/>
      <c r="C85" s="67"/>
      <c r="D85" s="67"/>
      <c r="E85" s="67"/>
      <c r="F85" s="68"/>
      <c r="G85" s="73"/>
      <c r="H85" s="73"/>
      <c r="I85" s="73"/>
      <c r="J85" s="73"/>
      <c r="K85" s="67"/>
      <c r="L85" s="72"/>
      <c r="M85" s="72"/>
      <c r="N85" s="72"/>
      <c r="O85" s="72"/>
      <c r="P85" s="72"/>
      <c r="Q85" s="67"/>
      <c r="R85" s="72"/>
      <c r="S85" s="72"/>
      <c r="T85" s="72"/>
      <c r="U85" s="72"/>
      <c r="V85" s="72"/>
      <c r="W85" s="68"/>
      <c r="X85" s="72"/>
      <c r="Y85" s="72"/>
      <c r="Z85" s="72"/>
      <c r="AA85" s="72"/>
      <c r="AB85" s="72"/>
      <c r="AC85" s="68"/>
    </row>
    <row r="86" spans="1:29">
      <c r="A86" s="68" t="s">
        <v>1431</v>
      </c>
      <c r="B86" s="68"/>
      <c r="C86" s="67"/>
      <c r="D86" s="67"/>
      <c r="E86" s="67"/>
      <c r="F86" s="68"/>
      <c r="G86" s="73"/>
      <c r="H86" s="73"/>
      <c r="I86" s="73"/>
      <c r="J86" s="73"/>
      <c r="K86" s="67"/>
      <c r="L86" s="72"/>
      <c r="M86" s="72"/>
      <c r="N86" s="72"/>
      <c r="O86" s="72"/>
      <c r="P86" s="72"/>
      <c r="Q86" s="67"/>
      <c r="R86" s="72"/>
      <c r="S86" s="72"/>
      <c r="T86" s="72"/>
      <c r="U86" s="72"/>
      <c r="V86" s="72"/>
      <c r="W86" s="68"/>
      <c r="X86" s="72"/>
      <c r="Y86" s="72"/>
      <c r="Z86" s="72"/>
      <c r="AA86" s="72"/>
      <c r="AB86" s="72"/>
      <c r="AC86" s="68"/>
    </row>
    <row r="87" spans="1:29">
      <c r="A87" s="67"/>
      <c r="B87" s="68" t="str">
        <f>nmExpMT</f>
        <v>Maintenance Expiration</v>
      </c>
      <c r="C87" s="67"/>
      <c r="D87" s="67"/>
      <c r="E87" s="134" t="str">
        <f>tlInputPath8_ExpMT</f>
        <v>Year 2</v>
      </c>
      <c r="F87" s="68" t="s">
        <v>1479</v>
      </c>
      <c r="G87" s="134" t="str">
        <f>tlInputPath8_ExpMT</f>
        <v>Year 2</v>
      </c>
      <c r="H87" s="135" t="b">
        <v>0</v>
      </c>
      <c r="I87" s="135" t="b">
        <v>1</v>
      </c>
      <c r="J87" s="75" t="str">
        <f>nmFY1</f>
        <v>Year 2</v>
      </c>
      <c r="K87" s="67"/>
      <c r="L87" s="72"/>
      <c r="M87" s="72"/>
      <c r="N87" s="72"/>
      <c r="O87" s="72"/>
      <c r="P87" s="72"/>
      <c r="Q87" s="67"/>
      <c r="R87" s="72"/>
      <c r="S87" s="72"/>
      <c r="T87" s="72"/>
      <c r="U87" s="72"/>
      <c r="V87" s="72"/>
      <c r="W87" s="68"/>
      <c r="X87" s="72"/>
      <c r="Y87" s="72"/>
      <c r="Z87" s="72"/>
      <c r="AA87" s="72"/>
      <c r="AB87" s="72"/>
      <c r="AC87" s="68"/>
    </row>
    <row r="88" spans="1:29">
      <c r="A88" s="67"/>
      <c r="B88" s="68" t="str">
        <f>nmPriceMT</f>
        <v>Maintenance Price</v>
      </c>
      <c r="C88" s="67"/>
      <c r="D88" s="67"/>
      <c r="E88" s="134">
        <f>tlInputPath8_PriceMT</f>
        <v>0</v>
      </c>
      <c r="F88" s="68" t="s">
        <v>1480</v>
      </c>
      <c r="G88" s="134">
        <f>tlInputPath8_PriceMT</f>
        <v>0</v>
      </c>
      <c r="H88" s="135" t="b">
        <v>0</v>
      </c>
      <c r="I88" s="135" t="b">
        <v>0</v>
      </c>
      <c r="J88" s="136">
        <v>0</v>
      </c>
      <c r="K88" s="67"/>
      <c r="L88" s="72"/>
      <c r="M88" s="72"/>
      <c r="N88" s="72"/>
      <c r="O88" s="72"/>
      <c r="P88" s="72"/>
      <c r="Q88" s="67"/>
      <c r="R88" s="72"/>
      <c r="S88" s="72"/>
      <c r="T88" s="72"/>
      <c r="U88" s="72"/>
      <c r="V88" s="72"/>
      <c r="W88" s="68"/>
      <c r="X88" s="72"/>
      <c r="Y88" s="72"/>
      <c r="Z88" s="72"/>
      <c r="AA88" s="72"/>
      <c r="AB88" s="72"/>
      <c r="AC88" s="68"/>
    </row>
    <row r="89" spans="1:29">
      <c r="A89" s="136">
        <v>0</v>
      </c>
      <c r="B89" s="68" t="str">
        <f>nmPriceMT&amp;" Adjustment"</f>
        <v>Maintenance Price Adjustment</v>
      </c>
      <c r="C89" s="67"/>
      <c r="D89" s="67"/>
      <c r="E89" s="134">
        <f>tlInputPath8_PriceMT_Adj</f>
        <v>0</v>
      </c>
      <c r="F89" s="68" t="s">
        <v>1481</v>
      </c>
      <c r="G89" s="134">
        <f>tlInputPath8_PriceMT_Adj</f>
        <v>0</v>
      </c>
      <c r="H89" s="135" t="b">
        <v>0</v>
      </c>
      <c r="I89" s="135" t="b">
        <v>1</v>
      </c>
      <c r="J89" s="136">
        <v>0</v>
      </c>
      <c r="K89" s="67"/>
      <c r="L89" s="72"/>
      <c r="M89" s="72"/>
      <c r="N89" s="72"/>
      <c r="O89" s="72"/>
      <c r="P89" s="72"/>
      <c r="Q89" s="67"/>
      <c r="R89" s="72"/>
      <c r="S89" s="72"/>
      <c r="T89" s="72"/>
      <c r="U89" s="72"/>
      <c r="V89" s="72"/>
      <c r="W89" s="68"/>
      <c r="X89" s="72"/>
      <c r="Y89" s="72"/>
      <c r="Z89" s="72"/>
      <c r="AA89" s="72"/>
      <c r="AB89" s="72"/>
      <c r="AC89" s="68"/>
    </row>
    <row r="90" spans="1:29">
      <c r="A90" s="67"/>
      <c r="B90" s="68" t="str">
        <f>nmProdMT</f>
        <v>Product on Maintenance</v>
      </c>
      <c r="C90" s="67"/>
      <c r="D90" s="67"/>
      <c r="E90" s="134" t="str">
        <f>tlInputPath8_ProdMT</f>
        <v>Please Select</v>
      </c>
      <c r="F90" s="68" t="s">
        <v>1482</v>
      </c>
      <c r="G90" s="134" t="str">
        <f>tlInputPath8_ProdMT</f>
        <v>Please Select</v>
      </c>
      <c r="H90" s="135" t="b">
        <v>0</v>
      </c>
      <c r="I90" s="135" t="b">
        <v>1</v>
      </c>
      <c r="J90" s="75" t="str">
        <f>nmSelect</f>
        <v>Please Select</v>
      </c>
      <c r="K90" s="67"/>
      <c r="L90" s="72"/>
      <c r="M90" s="72"/>
      <c r="N90" s="72"/>
      <c r="O90" s="72"/>
      <c r="P90" s="72"/>
      <c r="Q90" s="67"/>
      <c r="R90" s="72"/>
      <c r="S90" s="72"/>
      <c r="T90" s="72"/>
      <c r="U90" s="72"/>
      <c r="V90" s="72"/>
      <c r="W90" s="68"/>
      <c r="X90" s="72"/>
      <c r="Y90" s="72"/>
      <c r="Z90" s="72"/>
      <c r="AA90" s="72"/>
      <c r="AB90" s="72"/>
      <c r="AC90" s="68"/>
    </row>
    <row r="91" spans="1:29">
      <c r="A91" s="136">
        <v>1</v>
      </c>
      <c r="B91" s="68" t="str">
        <f>nmSLM&amp;" or "&amp;nmNLM</f>
        <v>Single or Multi</v>
      </c>
      <c r="C91" s="67"/>
      <c r="D91" s="67"/>
      <c r="E91" s="134">
        <f>tlInputPath8_Access</f>
        <v>1</v>
      </c>
      <c r="F91" s="68" t="s">
        <v>1483</v>
      </c>
      <c r="G91" s="134">
        <f>tlInputPath8_Access</f>
        <v>1</v>
      </c>
      <c r="H91" s="135" t="b">
        <v>0</v>
      </c>
      <c r="I91" s="135" t="b">
        <v>1</v>
      </c>
      <c r="J91" s="136">
        <v>1</v>
      </c>
      <c r="K91" s="67"/>
      <c r="L91" s="72"/>
      <c r="M91" s="72"/>
      <c r="N91" s="72"/>
      <c r="O91" s="72"/>
      <c r="P91" s="72"/>
      <c r="Q91" s="67"/>
      <c r="R91" s="72"/>
      <c r="S91" s="72"/>
      <c r="T91" s="72"/>
      <c r="U91" s="72"/>
      <c r="V91" s="72"/>
      <c r="W91" s="68"/>
      <c r="X91" s="72"/>
      <c r="Y91" s="72"/>
      <c r="Z91" s="72"/>
      <c r="AA91" s="72"/>
      <c r="AB91" s="72"/>
      <c r="AC91" s="68"/>
    </row>
    <row r="92" spans="1:29">
      <c r="A92" s="67"/>
      <c r="B92" s="68" t="str">
        <f>nmProdSub</f>
        <v>Switching to Subscription</v>
      </c>
      <c r="C92" s="67"/>
      <c r="D92" s="67"/>
      <c r="E92" s="134" t="str">
        <f>tlInputPath8_ProdSub</f>
        <v>Please Select</v>
      </c>
      <c r="F92" s="68" t="s">
        <v>1484</v>
      </c>
      <c r="G92" s="134" t="str">
        <f>tlInputPath8_ProdSub</f>
        <v>Please Select</v>
      </c>
      <c r="H92" s="135" t="b">
        <v>0</v>
      </c>
      <c r="I92" s="135" t="b">
        <v>1</v>
      </c>
      <c r="J92" s="75" t="str">
        <f>nmSelect</f>
        <v>Please Select</v>
      </c>
      <c r="K92" s="67"/>
      <c r="L92" s="72"/>
      <c r="M92" s="72"/>
      <c r="N92" s="72"/>
      <c r="O92" s="72"/>
      <c r="P92" s="72"/>
      <c r="Q92" s="67"/>
      <c r="R92" s="72"/>
      <c r="S92" s="72"/>
      <c r="T92" s="72"/>
      <c r="U92" s="72"/>
      <c r="V92" s="72"/>
      <c r="W92" s="68"/>
      <c r="X92" s="72"/>
      <c r="Y92" s="72"/>
      <c r="Z92" s="72"/>
      <c r="AA92" s="72"/>
      <c r="AB92" s="72"/>
      <c r="AC92" s="68"/>
    </row>
    <row r="93" spans="1:29">
      <c r="A93" s="67"/>
      <c r="B93" s="68" t="str">
        <f>nmQty</f>
        <v>Quantity</v>
      </c>
      <c r="C93" s="67"/>
      <c r="D93" s="67"/>
      <c r="E93" s="134">
        <f>tlInputPath8_Qty</f>
        <v>1</v>
      </c>
      <c r="F93" s="68" t="s">
        <v>1485</v>
      </c>
      <c r="G93" s="134">
        <f>tlInputPath8_Qty</f>
        <v>1</v>
      </c>
      <c r="H93" s="135" t="b">
        <v>0</v>
      </c>
      <c r="I93" s="135" t="b">
        <v>1</v>
      </c>
      <c r="J93" s="136">
        <v>1</v>
      </c>
      <c r="K93" s="67"/>
      <c r="L93" s="72"/>
      <c r="M93" s="72"/>
      <c r="N93" s="72"/>
      <c r="O93" s="72"/>
      <c r="P93" s="72"/>
      <c r="Q93" s="67"/>
      <c r="R93" s="72"/>
      <c r="S93" s="72"/>
      <c r="T93" s="72"/>
      <c r="U93" s="72"/>
      <c r="V93" s="72"/>
      <c r="W93" s="68"/>
      <c r="X93" s="72"/>
      <c r="Y93" s="72"/>
      <c r="Z93" s="72"/>
      <c r="AA93" s="72"/>
      <c r="AB93" s="72"/>
      <c r="AC93" s="68"/>
    </row>
    <row r="94" spans="1:29">
      <c r="A94" s="67"/>
      <c r="B94" s="68"/>
      <c r="C94" s="67"/>
      <c r="D94" s="67"/>
      <c r="E94" s="67"/>
      <c r="F94" s="68"/>
      <c r="G94" s="73"/>
      <c r="H94" s="73"/>
      <c r="I94" s="73"/>
      <c r="J94" s="73"/>
      <c r="K94" s="67"/>
      <c r="L94" s="72"/>
      <c r="M94" s="72"/>
      <c r="N94" s="72"/>
      <c r="O94" s="72"/>
      <c r="P94" s="72"/>
      <c r="Q94" s="67"/>
      <c r="R94" s="72"/>
      <c r="S94" s="72"/>
      <c r="T94" s="72"/>
      <c r="U94" s="72"/>
      <c r="V94" s="72"/>
      <c r="W94" s="68"/>
      <c r="X94" s="72"/>
      <c r="Y94" s="72"/>
      <c r="Z94" s="72"/>
      <c r="AA94" s="72"/>
      <c r="AB94" s="72"/>
      <c r="AC94" s="68"/>
    </row>
    <row r="95" spans="1:29" ht="15" customHeight="1">
      <c r="A95" s="71" t="s">
        <v>119</v>
      </c>
      <c r="B95" s="71"/>
      <c r="C95" s="69"/>
      <c r="D95" s="69"/>
      <c r="E95" s="70"/>
      <c r="F95" s="69"/>
      <c r="G95" s="69"/>
      <c r="H95" s="69"/>
      <c r="I95" s="69"/>
      <c r="J95" s="69"/>
      <c r="K95" s="69"/>
      <c r="L95" s="69"/>
      <c r="M95" s="69"/>
      <c r="N95" s="69"/>
      <c r="O95" s="69"/>
      <c r="P95" s="69"/>
      <c r="Q95" s="69"/>
      <c r="R95" s="69"/>
      <c r="S95" s="69"/>
      <c r="T95" s="69"/>
      <c r="U95" s="69"/>
      <c r="V95" s="69"/>
      <c r="W95" s="69"/>
      <c r="X95" s="69"/>
      <c r="Y95" s="69"/>
      <c r="Z95" s="69"/>
      <c r="AA95" s="69"/>
      <c r="AB95" s="69"/>
      <c r="AC95" s="69"/>
    </row>
    <row r="96" spans="1:29">
      <c r="A96" s="67"/>
      <c r="B96" s="68"/>
      <c r="C96" s="67"/>
      <c r="D96" s="67"/>
      <c r="E96" s="67" t="s">
        <v>118</v>
      </c>
      <c r="F96" s="67"/>
      <c r="G96" s="67"/>
      <c r="H96" s="67"/>
      <c r="I96" s="67"/>
      <c r="J96" s="67"/>
      <c r="K96" s="67"/>
      <c r="L96" s="67"/>
      <c r="M96" s="67"/>
      <c r="N96" s="67"/>
      <c r="O96" s="67"/>
      <c r="P96" s="67"/>
      <c r="Q96" s="67"/>
      <c r="R96" s="67"/>
      <c r="S96" s="67"/>
      <c r="T96" s="67"/>
      <c r="U96" s="67"/>
      <c r="V96" s="67"/>
      <c r="W96" s="67"/>
      <c r="X96" s="67"/>
      <c r="Y96" s="67"/>
      <c r="Z96" s="67"/>
      <c r="AA96" s="67"/>
      <c r="AB96" s="67"/>
      <c r="AC96" s="67"/>
    </row>
  </sheetData>
  <conditionalFormatting sqref="H18:H21 H33:H34 H42:H43 H51:H52 H24:H27 H29:H30 H38:H39 H47:H48 H56:H57 H36 H45 H54">
    <cfRule type="cellIs" dxfId="97" priority="76" operator="equal">
      <formula>TRUE</formula>
    </cfRule>
  </conditionalFormatting>
  <conditionalFormatting sqref="I18:I21 I33 I42 I51 I24:I27 I36 I45 I54 I29:I30 I38:I39 I47:I48 I56:I57">
    <cfRule type="cellIs" dxfId="96" priority="74" operator="equal">
      <formula>TRUE</formula>
    </cfRule>
  </conditionalFormatting>
  <conditionalFormatting sqref="H31:H32">
    <cfRule type="cellIs" dxfId="95" priority="69" operator="equal">
      <formula>TRUE</formula>
    </cfRule>
  </conditionalFormatting>
  <conditionalFormatting sqref="I31:I32">
    <cfRule type="cellIs" dxfId="94" priority="68" operator="equal">
      <formula>TRUE</formula>
    </cfRule>
  </conditionalFormatting>
  <conditionalFormatting sqref="H40:H41">
    <cfRule type="cellIs" dxfId="93" priority="67" operator="equal">
      <formula>TRUE</formula>
    </cfRule>
  </conditionalFormatting>
  <conditionalFormatting sqref="I40:I41">
    <cfRule type="cellIs" dxfId="92" priority="66" operator="equal">
      <formula>TRUE</formula>
    </cfRule>
  </conditionalFormatting>
  <conditionalFormatting sqref="H49:H50">
    <cfRule type="cellIs" dxfId="91" priority="65" operator="equal">
      <formula>TRUE</formula>
    </cfRule>
  </conditionalFormatting>
  <conditionalFormatting sqref="I49:I50">
    <cfRule type="cellIs" dxfId="90" priority="64" operator="equal">
      <formula>TRUE</formula>
    </cfRule>
  </conditionalFormatting>
  <conditionalFormatting sqref="H22:H23">
    <cfRule type="cellIs" dxfId="89" priority="61" operator="equal">
      <formula>TRUE</formula>
    </cfRule>
  </conditionalFormatting>
  <conditionalFormatting sqref="I22:I23">
    <cfRule type="cellIs" dxfId="88" priority="60" operator="equal">
      <formula>TRUE</formula>
    </cfRule>
  </conditionalFormatting>
  <conditionalFormatting sqref="H94">
    <cfRule type="cellIs" dxfId="87" priority="59" operator="equal">
      <formula>TRUE</formula>
    </cfRule>
  </conditionalFormatting>
  <conditionalFormatting sqref="I94">
    <cfRule type="cellIs" dxfId="86" priority="58" operator="equal">
      <formula>TRUE</formula>
    </cfRule>
  </conditionalFormatting>
  <conditionalFormatting sqref="I34">
    <cfRule type="cellIs" dxfId="85" priority="55" operator="equal">
      <formula>TRUE</formula>
    </cfRule>
  </conditionalFormatting>
  <conditionalFormatting sqref="I43">
    <cfRule type="cellIs" dxfId="84" priority="54" operator="equal">
      <formula>TRUE</formula>
    </cfRule>
  </conditionalFormatting>
  <conditionalFormatting sqref="I52">
    <cfRule type="cellIs" dxfId="83" priority="53" operator="equal">
      <formula>TRUE</formula>
    </cfRule>
  </conditionalFormatting>
  <conditionalFormatting sqref="H28">
    <cfRule type="cellIs" dxfId="82" priority="52" operator="equal">
      <formula>TRUE</formula>
    </cfRule>
  </conditionalFormatting>
  <conditionalFormatting sqref="I28">
    <cfRule type="cellIs" dxfId="81" priority="51" operator="equal">
      <formula>TRUE</formula>
    </cfRule>
  </conditionalFormatting>
  <conditionalFormatting sqref="H37">
    <cfRule type="cellIs" dxfId="80" priority="50" operator="equal">
      <formula>TRUE</formula>
    </cfRule>
  </conditionalFormatting>
  <conditionalFormatting sqref="I37">
    <cfRule type="cellIs" dxfId="79" priority="49" operator="equal">
      <formula>TRUE</formula>
    </cfRule>
  </conditionalFormatting>
  <conditionalFormatting sqref="H46">
    <cfRule type="cellIs" dxfId="78" priority="48" operator="equal">
      <formula>TRUE</formula>
    </cfRule>
  </conditionalFormatting>
  <conditionalFormatting sqref="I46">
    <cfRule type="cellIs" dxfId="77" priority="47" operator="equal">
      <formula>TRUE</formula>
    </cfRule>
  </conditionalFormatting>
  <conditionalFormatting sqref="H55">
    <cfRule type="cellIs" dxfId="76" priority="46" operator="equal">
      <formula>TRUE</formula>
    </cfRule>
  </conditionalFormatting>
  <conditionalFormatting sqref="I55">
    <cfRule type="cellIs" dxfId="75" priority="45" operator="equal">
      <formula>TRUE</formula>
    </cfRule>
  </conditionalFormatting>
  <conditionalFormatting sqref="H35">
    <cfRule type="cellIs" dxfId="74" priority="44" operator="equal">
      <formula>TRUE</formula>
    </cfRule>
  </conditionalFormatting>
  <conditionalFormatting sqref="I35">
    <cfRule type="cellIs" dxfId="73" priority="43" operator="equal">
      <formula>TRUE</formula>
    </cfRule>
  </conditionalFormatting>
  <conditionalFormatting sqref="H44">
    <cfRule type="cellIs" dxfId="72" priority="42" operator="equal">
      <formula>TRUE</formula>
    </cfRule>
  </conditionalFormatting>
  <conditionalFormatting sqref="I44">
    <cfRule type="cellIs" dxfId="71" priority="41" operator="equal">
      <formula>TRUE</formula>
    </cfRule>
  </conditionalFormatting>
  <conditionalFormatting sqref="H53">
    <cfRule type="cellIs" dxfId="70" priority="40" operator="equal">
      <formula>TRUE</formula>
    </cfRule>
  </conditionalFormatting>
  <conditionalFormatting sqref="I53">
    <cfRule type="cellIs" dxfId="69" priority="39" operator="equal">
      <formula>TRUE</formula>
    </cfRule>
  </conditionalFormatting>
  <conditionalFormatting sqref="H60:H61 H65:H66 H63">
    <cfRule type="cellIs" dxfId="68" priority="36" operator="equal">
      <formula>TRUE</formula>
    </cfRule>
  </conditionalFormatting>
  <conditionalFormatting sqref="I60 I63 I65:I66">
    <cfRule type="cellIs" dxfId="67" priority="35" operator="equal">
      <formula>TRUE</formula>
    </cfRule>
  </conditionalFormatting>
  <conditionalFormatting sqref="H58:H59">
    <cfRule type="cellIs" dxfId="66" priority="34" operator="equal">
      <formula>TRUE</formula>
    </cfRule>
  </conditionalFormatting>
  <conditionalFormatting sqref="I58:I59">
    <cfRule type="cellIs" dxfId="65" priority="33" operator="equal">
      <formula>TRUE</formula>
    </cfRule>
  </conditionalFormatting>
  <conditionalFormatting sqref="I61">
    <cfRule type="cellIs" dxfId="64" priority="32" operator="equal">
      <formula>TRUE</formula>
    </cfRule>
  </conditionalFormatting>
  <conditionalFormatting sqref="H64">
    <cfRule type="cellIs" dxfId="63" priority="31" operator="equal">
      <formula>TRUE</formula>
    </cfRule>
  </conditionalFormatting>
  <conditionalFormatting sqref="I64">
    <cfRule type="cellIs" dxfId="62" priority="30" operator="equal">
      <formula>TRUE</formula>
    </cfRule>
  </conditionalFormatting>
  <conditionalFormatting sqref="H62">
    <cfRule type="cellIs" dxfId="61" priority="29" operator="equal">
      <formula>TRUE</formula>
    </cfRule>
  </conditionalFormatting>
  <conditionalFormatting sqref="I62">
    <cfRule type="cellIs" dxfId="60" priority="28" operator="equal">
      <formula>TRUE</formula>
    </cfRule>
  </conditionalFormatting>
  <conditionalFormatting sqref="H69:H70 H74:H75 H72">
    <cfRule type="cellIs" dxfId="59" priority="27" operator="equal">
      <formula>TRUE</formula>
    </cfRule>
  </conditionalFormatting>
  <conditionalFormatting sqref="I69 I72 I74:I75">
    <cfRule type="cellIs" dxfId="58" priority="26" operator="equal">
      <formula>TRUE</formula>
    </cfRule>
  </conditionalFormatting>
  <conditionalFormatting sqref="H67:H68">
    <cfRule type="cellIs" dxfId="57" priority="25" operator="equal">
      <formula>TRUE</formula>
    </cfRule>
  </conditionalFormatting>
  <conditionalFormatting sqref="I67:I68">
    <cfRule type="cellIs" dxfId="56" priority="24" operator="equal">
      <formula>TRUE</formula>
    </cfRule>
  </conditionalFormatting>
  <conditionalFormatting sqref="I70">
    <cfRule type="cellIs" dxfId="55" priority="23" operator="equal">
      <formula>TRUE</formula>
    </cfRule>
  </conditionalFormatting>
  <conditionalFormatting sqref="H73">
    <cfRule type="cellIs" dxfId="54" priority="22" operator="equal">
      <formula>TRUE</formula>
    </cfRule>
  </conditionalFormatting>
  <conditionalFormatting sqref="I73">
    <cfRule type="cellIs" dxfId="53" priority="21" operator="equal">
      <formula>TRUE</formula>
    </cfRule>
  </conditionalFormatting>
  <conditionalFormatting sqref="H71">
    <cfRule type="cellIs" dxfId="52" priority="20" operator="equal">
      <formula>TRUE</formula>
    </cfRule>
  </conditionalFormatting>
  <conditionalFormatting sqref="I71">
    <cfRule type="cellIs" dxfId="51" priority="19" operator="equal">
      <formula>TRUE</formula>
    </cfRule>
  </conditionalFormatting>
  <conditionalFormatting sqref="H78:H79 H83:H84 H81">
    <cfRule type="cellIs" dxfId="50" priority="18" operator="equal">
      <formula>TRUE</formula>
    </cfRule>
  </conditionalFormatting>
  <conditionalFormatting sqref="I78 I81 I83:I84">
    <cfRule type="cellIs" dxfId="49" priority="17" operator="equal">
      <formula>TRUE</formula>
    </cfRule>
  </conditionalFormatting>
  <conditionalFormatting sqref="H76:H77">
    <cfRule type="cellIs" dxfId="48" priority="16" operator="equal">
      <formula>TRUE</formula>
    </cfRule>
  </conditionalFormatting>
  <conditionalFormatting sqref="I76:I77">
    <cfRule type="cellIs" dxfId="47" priority="15" operator="equal">
      <formula>TRUE</formula>
    </cfRule>
  </conditionalFormatting>
  <conditionalFormatting sqref="I79">
    <cfRule type="cellIs" dxfId="46" priority="14" operator="equal">
      <formula>TRUE</formula>
    </cfRule>
  </conditionalFormatting>
  <conditionalFormatting sqref="H82">
    <cfRule type="cellIs" dxfId="45" priority="13" operator="equal">
      <formula>TRUE</formula>
    </cfRule>
  </conditionalFormatting>
  <conditionalFormatting sqref="I82">
    <cfRule type="cellIs" dxfId="44" priority="12" operator="equal">
      <formula>TRUE</formula>
    </cfRule>
  </conditionalFormatting>
  <conditionalFormatting sqref="H80">
    <cfRule type="cellIs" dxfId="43" priority="11" operator="equal">
      <formula>TRUE</formula>
    </cfRule>
  </conditionalFormatting>
  <conditionalFormatting sqref="I80">
    <cfRule type="cellIs" dxfId="42" priority="10" operator="equal">
      <formula>TRUE</formula>
    </cfRule>
  </conditionalFormatting>
  <conditionalFormatting sqref="H87:H88 H92:H93 H90">
    <cfRule type="cellIs" dxfId="41" priority="9" operator="equal">
      <formula>TRUE</formula>
    </cfRule>
  </conditionalFormatting>
  <conditionalFormatting sqref="I87 I90 I92:I93">
    <cfRule type="cellIs" dxfId="40" priority="8" operator="equal">
      <formula>TRUE</formula>
    </cfRule>
  </conditionalFormatting>
  <conditionalFormatting sqref="H85:H86">
    <cfRule type="cellIs" dxfId="39" priority="7" operator="equal">
      <formula>TRUE</formula>
    </cfRule>
  </conditionalFormatting>
  <conditionalFormatting sqref="I85:I86">
    <cfRule type="cellIs" dxfId="38" priority="6" operator="equal">
      <formula>TRUE</formula>
    </cfRule>
  </conditionalFormatting>
  <conditionalFormatting sqref="I88">
    <cfRule type="cellIs" dxfId="37" priority="5" operator="equal">
      <formula>TRUE</formula>
    </cfRule>
  </conditionalFormatting>
  <conditionalFormatting sqref="H91">
    <cfRule type="cellIs" dxfId="36" priority="4" operator="equal">
      <formula>TRUE</formula>
    </cfRule>
  </conditionalFormatting>
  <conditionalFormatting sqref="I91">
    <cfRule type="cellIs" dxfId="35" priority="3" operator="equal">
      <formula>TRUE</formula>
    </cfRule>
  </conditionalFormatting>
  <conditionalFormatting sqref="H89">
    <cfRule type="cellIs" dxfId="34" priority="2" operator="equal">
      <formula>TRUE</formula>
    </cfRule>
  </conditionalFormatting>
  <conditionalFormatting sqref="I89">
    <cfRule type="cellIs" dxfId="33" priority="1" operator="equal">
      <formula>TRUE</formula>
    </cfRule>
  </conditionalFormatting>
  <dataValidations disablePrompts="1" count="2">
    <dataValidation type="list" allowBlank="1" showInputMessage="1" showErrorMessage="1" sqref="E14">
      <formula1>"BA1,BA2,Hybrid"</formula1>
    </dataValidation>
    <dataValidation type="list" allowBlank="1" showInputMessage="1" showErrorMessage="1" sqref="A28 A37 A46 A55 A64 A73 A82 A91">
      <formula1>"1,2"</formula1>
    </dataValidation>
  </dataValidations>
  <hyperlinks>
    <hyperlink ref="E3"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2060"/>
  </sheetPr>
  <dimension ref="A1:M511"/>
  <sheetViews>
    <sheetView topLeftCell="A6" workbookViewId="0">
      <selection activeCell="E6" sqref="E6"/>
    </sheetView>
  </sheetViews>
  <sheetFormatPr defaultRowHeight="14.25" customHeight="1"/>
  <cols>
    <col min="1" max="3" width="4.69921875" customWidth="1"/>
    <col min="4" max="4" width="18.69921875" customWidth="1"/>
    <col min="5" max="5" width="22.09765625" customWidth="1"/>
    <col min="6" max="6" width="20.59765625" bestFit="1" customWidth="1"/>
    <col min="7" max="7" width="15.796875" customWidth="1"/>
    <col min="8" max="11" width="12.69921875" customWidth="1"/>
    <col min="17" max="17" width="8.796875" customWidth="1"/>
    <col min="23" max="23" width="8.796875" customWidth="1"/>
    <col min="29" max="29" width="8.796875" customWidth="1"/>
  </cols>
  <sheetData>
    <row r="1" spans="1:13" ht="18">
      <c r="A1" s="206" t="s">
        <v>103</v>
      </c>
      <c r="B1" s="86"/>
      <c r="C1" s="85"/>
      <c r="D1" s="85"/>
      <c r="E1" s="85"/>
      <c r="F1" s="85"/>
      <c r="G1" s="80"/>
      <c r="H1" s="80"/>
      <c r="I1" s="80"/>
      <c r="J1" s="80"/>
      <c r="K1" s="85"/>
      <c r="L1" s="86"/>
      <c r="M1" s="85"/>
    </row>
    <row r="2" spans="1:13">
      <c r="A2" s="6"/>
      <c r="B2" s="6"/>
      <c r="C2" s="6"/>
      <c r="D2" s="6"/>
      <c r="E2" s="6"/>
      <c r="F2" s="6"/>
      <c r="G2" s="6"/>
      <c r="H2" s="6"/>
      <c r="I2" s="6"/>
      <c r="J2" s="6"/>
      <c r="K2" s="6"/>
      <c r="L2" s="6"/>
      <c r="M2" s="6"/>
    </row>
    <row r="3" spans="1:13">
      <c r="A3" s="7" t="s">
        <v>613</v>
      </c>
      <c r="B3" s="2"/>
      <c r="C3" s="2"/>
      <c r="D3" s="2"/>
      <c r="E3" s="2"/>
      <c r="F3" s="3"/>
      <c r="G3" s="3"/>
      <c r="H3" s="3"/>
      <c r="I3" s="3"/>
      <c r="J3" s="3"/>
      <c r="K3" s="3"/>
      <c r="L3" s="3"/>
      <c r="M3" s="2"/>
    </row>
    <row r="4" spans="1:13">
      <c r="A4" s="6"/>
      <c r="B4" s="6"/>
      <c r="C4" s="6"/>
      <c r="D4" s="6"/>
      <c r="E4" s="6"/>
      <c r="F4" s="6"/>
      <c r="G4" s="6"/>
      <c r="H4" s="6"/>
      <c r="I4" s="6"/>
      <c r="J4" s="6"/>
      <c r="K4" s="6"/>
      <c r="L4" s="6"/>
      <c r="M4" s="6"/>
    </row>
    <row r="5" spans="1:13">
      <c r="A5" s="6"/>
      <c r="B5" s="6"/>
      <c r="C5" s="6"/>
      <c r="D5" s="6" t="s">
        <v>615</v>
      </c>
      <c r="E5" s="301" t="str">
        <f>decCurrency</f>
        <v>USD</v>
      </c>
      <c r="F5" s="6"/>
      <c r="G5" s="302" t="str">
        <f>nmUSD</f>
        <v>USD</v>
      </c>
      <c r="H5" s="302" t="str">
        <f>nmCAD</f>
        <v>CAD</v>
      </c>
      <c r="I5" s="302" t="str">
        <f>nmEUR</f>
        <v>EUR</v>
      </c>
      <c r="J5" s="302" t="str">
        <f>nmJPY</f>
        <v>JPY</v>
      </c>
      <c r="K5" s="302" t="str">
        <f>nmAUD</f>
        <v>AUD</v>
      </c>
      <c r="L5" s="302" t="str">
        <f>nmGBP</f>
        <v>GBP</v>
      </c>
      <c r="M5" s="6"/>
    </row>
    <row r="6" spans="1:13">
      <c r="A6" s="6"/>
      <c r="B6" s="6"/>
      <c r="C6" s="6"/>
      <c r="D6" s="6" t="s">
        <v>616</v>
      </c>
      <c r="E6" s="214">
        <f>HLOOKUP(E5,calcCurrencyConvTbl,2,FALSE)</f>
        <v>1</v>
      </c>
      <c r="F6" s="6" t="s">
        <v>618</v>
      </c>
      <c r="G6" s="89">
        <v>1</v>
      </c>
      <c r="H6" s="89">
        <v>2</v>
      </c>
      <c r="I6" s="89">
        <v>3</v>
      </c>
      <c r="J6" s="89">
        <v>4</v>
      </c>
      <c r="K6" s="89">
        <v>5</v>
      </c>
      <c r="L6" s="89">
        <v>6</v>
      </c>
      <c r="M6" s="6" t="s">
        <v>617</v>
      </c>
    </row>
    <row r="7" spans="1:13">
      <c r="A7" s="6"/>
      <c r="B7" s="6"/>
      <c r="C7" s="6"/>
      <c r="D7" s="6"/>
      <c r="E7" s="6"/>
      <c r="F7" s="6"/>
      <c r="G7" s="6"/>
      <c r="H7" s="6"/>
      <c r="I7" s="6"/>
      <c r="J7" s="6"/>
      <c r="K7" s="6"/>
      <c r="L7" s="6"/>
      <c r="M7" s="6"/>
    </row>
    <row r="8" spans="1:13">
      <c r="A8" s="7" t="s">
        <v>712</v>
      </c>
      <c r="B8" s="2"/>
      <c r="C8" s="2"/>
      <c r="D8" s="2"/>
      <c r="E8" s="2"/>
      <c r="F8" s="3"/>
      <c r="G8" s="3"/>
      <c r="H8" s="3"/>
      <c r="I8" s="3"/>
      <c r="J8" s="3"/>
      <c r="K8" s="3"/>
      <c r="L8" s="3"/>
      <c r="M8" s="2"/>
    </row>
    <row r="9" spans="1:13">
      <c r="A9" s="6"/>
      <c r="B9" s="6"/>
      <c r="C9" s="6"/>
      <c r="D9" s="6"/>
      <c r="E9" s="6"/>
      <c r="F9" s="6"/>
      <c r="G9" s="6"/>
      <c r="H9" s="6"/>
      <c r="I9" s="6"/>
      <c r="J9" s="6"/>
      <c r="K9" s="6"/>
      <c r="L9" s="6"/>
      <c r="M9" s="6"/>
    </row>
    <row r="10" spans="1:13">
      <c r="A10" s="6"/>
      <c r="B10" s="6"/>
      <c r="C10" s="6"/>
      <c r="D10" s="6" t="str">
        <f>nmPath1&amp;" Active?"</f>
        <v>Product 1 Active?</v>
      </c>
      <c r="E10" s="214">
        <f>IF(AND(decPath1_ProdMT&lt;&gt;nmSelect,decPath1_ProdSub&lt;&gt;nmSelect),1,0)</f>
        <v>0</v>
      </c>
      <c r="F10" s="6"/>
      <c r="G10" s="6"/>
      <c r="H10" s="6"/>
      <c r="I10" s="6"/>
      <c r="J10" s="6"/>
      <c r="K10" s="6"/>
      <c r="L10" s="6"/>
      <c r="M10" s="6"/>
    </row>
    <row r="11" spans="1:13">
      <c r="A11" s="6"/>
      <c r="B11" s="6"/>
      <c r="C11" s="6"/>
      <c r="D11" s="6" t="str">
        <f>nmPath2&amp;" Active?"</f>
        <v>Product 2 Active?</v>
      </c>
      <c r="E11" s="214">
        <f>IF(AND(decPath2_ProdMT&lt;&gt;nmSelect,decPath2_ProdSub&lt;&gt;nmSelect),1,0)</f>
        <v>0</v>
      </c>
      <c r="F11" s="6"/>
      <c r="G11" s="6"/>
      <c r="H11" s="6"/>
      <c r="I11" s="6"/>
      <c r="J11" s="6"/>
      <c r="K11" s="6"/>
      <c r="L11" s="6"/>
      <c r="M11" s="6"/>
    </row>
    <row r="12" spans="1:13">
      <c r="A12" s="6"/>
      <c r="B12" s="6"/>
      <c r="C12" s="6"/>
      <c r="D12" s="6" t="str">
        <f>nmPath3&amp;" Active?"</f>
        <v>Product 3 Active?</v>
      </c>
      <c r="E12" s="214">
        <f>IF(AND(decPath3_ProdMT&lt;&gt;nmSelect,decPath3_ProdSub&lt;&gt;nmSelect),1,0)</f>
        <v>0</v>
      </c>
      <c r="F12" s="6"/>
      <c r="G12" s="6"/>
      <c r="H12" s="6"/>
      <c r="I12" s="6"/>
      <c r="J12" s="6"/>
      <c r="K12" s="6"/>
      <c r="L12" s="6"/>
      <c r="M12" s="6"/>
    </row>
    <row r="13" spans="1:13">
      <c r="A13" s="6"/>
      <c r="B13" s="6"/>
      <c r="C13" s="6"/>
      <c r="D13" s="6" t="str">
        <f>nmPath4&amp;" Active?"</f>
        <v>Product 4 Active?</v>
      </c>
      <c r="E13" s="214">
        <f>IF(AND(decPath4_ProdMT&lt;&gt;nmSelect,decPath4_ProdSub&lt;&gt;nmSelect),1,0)</f>
        <v>0</v>
      </c>
      <c r="F13" s="6"/>
      <c r="G13" s="6"/>
      <c r="H13" s="6"/>
      <c r="I13" s="6"/>
      <c r="J13" s="6"/>
      <c r="K13" s="6"/>
      <c r="L13" s="6"/>
      <c r="M13" s="6"/>
    </row>
    <row r="14" spans="1:13">
      <c r="A14" s="6"/>
      <c r="B14" s="6"/>
      <c r="C14" s="6"/>
      <c r="D14" s="6" t="str">
        <f>nmPath5&amp;" Active?"</f>
        <v>Product 5 Active?</v>
      </c>
      <c r="E14" s="214">
        <f>IF(AND(decPath5_ProdMT&lt;&gt;nmSelect,decPath5_ProdSub&lt;&gt;nmSelect),1,0)</f>
        <v>0</v>
      </c>
      <c r="F14" s="6"/>
      <c r="G14" s="6"/>
      <c r="H14" s="6"/>
      <c r="I14" s="6"/>
      <c r="J14" s="6"/>
      <c r="K14" s="6"/>
      <c r="L14" s="6"/>
      <c r="M14" s="6"/>
    </row>
    <row r="15" spans="1:13">
      <c r="A15" s="6"/>
      <c r="B15" s="6"/>
      <c r="C15" s="6"/>
      <c r="D15" s="6" t="str">
        <f>nmPath6&amp;" Active?"</f>
        <v>Product 6 Active?</v>
      </c>
      <c r="E15" s="214">
        <f>IF(AND(decPath6_ProdMT&lt;&gt;nmSelect,decPath6_ProdSub&lt;&gt;nmSelect),1,0)</f>
        <v>0</v>
      </c>
      <c r="F15" s="6"/>
      <c r="G15" s="6"/>
      <c r="H15" s="6"/>
      <c r="I15" s="6"/>
      <c r="J15" s="6"/>
      <c r="K15" s="6"/>
      <c r="L15" s="6"/>
      <c r="M15" s="6"/>
    </row>
    <row r="16" spans="1:13">
      <c r="A16" s="6"/>
      <c r="B16" s="6"/>
      <c r="C16" s="6"/>
      <c r="D16" s="6" t="str">
        <f>nmPath7&amp;" Active?"</f>
        <v>Product 7 Active?</v>
      </c>
      <c r="E16" s="214">
        <f>IF(AND(decPath7_ProdMT&lt;&gt;nmSelect,decPath7_ProdSub&lt;&gt;nmSelect),1,0)</f>
        <v>0</v>
      </c>
      <c r="F16" s="6"/>
      <c r="G16" s="6"/>
      <c r="H16" s="6"/>
      <c r="I16" s="6"/>
      <c r="J16" s="6"/>
      <c r="K16" s="6"/>
      <c r="L16" s="6"/>
      <c r="M16" s="6"/>
    </row>
    <row r="17" spans="1:13">
      <c r="A17" s="6"/>
      <c r="B17" s="6"/>
      <c r="C17" s="6"/>
      <c r="D17" s="6" t="str">
        <f>nmPath8&amp;" Active?"</f>
        <v>Product 8 Active?</v>
      </c>
      <c r="E17" s="214">
        <f>IF(AND(decPath8_ProdMT&lt;&gt;nmSelect,decPath8_ProdSub&lt;&gt;nmSelect),1,0)</f>
        <v>0</v>
      </c>
      <c r="F17" s="6"/>
      <c r="G17" s="6"/>
      <c r="H17" s="6"/>
      <c r="I17" s="6"/>
      <c r="J17" s="6"/>
      <c r="K17" s="6"/>
      <c r="L17" s="6"/>
      <c r="M17" s="6"/>
    </row>
    <row r="18" spans="1:13" ht="1.5" customHeight="1">
      <c r="C18" s="208"/>
      <c r="D18" s="209"/>
      <c r="E18" s="212"/>
    </row>
    <row r="19" spans="1:13">
      <c r="A19" s="6"/>
      <c r="B19" s="6"/>
      <c r="C19" s="6"/>
      <c r="D19" s="16" t="s">
        <v>713</v>
      </c>
      <c r="E19" s="214">
        <f>SUM(E10:E17)</f>
        <v>0</v>
      </c>
      <c r="F19" s="6" t="s">
        <v>714</v>
      </c>
      <c r="G19" s="6" t="s">
        <v>715</v>
      </c>
      <c r="H19" s="6"/>
      <c r="I19" s="6"/>
      <c r="J19" s="6"/>
      <c r="K19" s="6"/>
      <c r="L19" s="6"/>
      <c r="M19" s="6"/>
    </row>
    <row r="20" spans="1:13">
      <c r="A20" s="6"/>
      <c r="B20" s="6"/>
      <c r="C20" s="6"/>
      <c r="D20" s="6"/>
      <c r="E20" s="6"/>
      <c r="F20" s="6"/>
      <c r="G20" s="6"/>
      <c r="H20" s="6"/>
      <c r="I20" s="6"/>
      <c r="J20" s="6"/>
      <c r="K20" s="6"/>
      <c r="L20" s="6"/>
      <c r="M20" s="6"/>
    </row>
    <row r="21" spans="1:13">
      <c r="A21" s="7" t="s">
        <v>316</v>
      </c>
      <c r="B21" s="2"/>
      <c r="C21" s="2"/>
      <c r="D21" s="2"/>
      <c r="E21" s="2"/>
      <c r="F21" s="3"/>
      <c r="G21" s="3" t="s">
        <v>443</v>
      </c>
      <c r="H21" s="3"/>
      <c r="I21" s="3"/>
      <c r="J21" s="3"/>
      <c r="K21" s="3"/>
      <c r="L21" s="3"/>
      <c r="M21" s="2"/>
    </row>
    <row r="22" spans="1:13">
      <c r="A22" s="156" t="s">
        <v>437</v>
      </c>
    </row>
    <row r="24" spans="1:13">
      <c r="C24" t="s">
        <v>430</v>
      </c>
    </row>
    <row r="25" spans="1:13">
      <c r="D25" t="s">
        <v>685</v>
      </c>
      <c r="E25" s="210">
        <f>IF(decPath1_ProdMT=nmSelect,0,VLOOKUP(decPath1_ProdMT,Data_Unified_Pricing_Tbl,$G25,FALSE))</f>
        <v>0</v>
      </c>
      <c r="G25" s="89">
        <v>6</v>
      </c>
    </row>
    <row r="26" spans="1:13">
      <c r="D26" t="s">
        <v>686</v>
      </c>
      <c r="E26" s="210">
        <f>decPath1_PriceMT_Adj</f>
        <v>0</v>
      </c>
    </row>
    <row r="27" spans="1:13" ht="1.5" customHeight="1">
      <c r="C27" s="208"/>
      <c r="D27" s="209"/>
      <c r="E27" s="212"/>
    </row>
    <row r="28" spans="1:13">
      <c r="D28" t="s">
        <v>430</v>
      </c>
      <c r="E28" s="213">
        <f>SUM(E25:E26)</f>
        <v>0</v>
      </c>
      <c r="F28" t="s">
        <v>410</v>
      </c>
    </row>
    <row r="30" spans="1:13">
      <c r="C30" t="str">
        <f>nmExpMT</f>
        <v>Maintenance Expiration</v>
      </c>
      <c r="E30" s="210" t="str">
        <f>decPath1_ExpMT</f>
        <v>Year 2</v>
      </c>
      <c r="F30" t="s">
        <v>431</v>
      </c>
    </row>
    <row r="31" spans="1:13">
      <c r="C31" t="str">
        <f>nmExpMT&amp;" Year"</f>
        <v>Maintenance Expiration Year</v>
      </c>
      <c r="E31" s="214">
        <f>IF(calcPath1ExpMt=nmFY1,1,0)+IF(calcPath1ExpMt=nmFY2,2,0)+IF(calcPath1ExpMt=nmFY3,3,0)</f>
        <v>1</v>
      </c>
      <c r="F31" t="s">
        <v>432</v>
      </c>
    </row>
    <row r="33" spans="2:8">
      <c r="C33" t="str">
        <f>nmMTAll</f>
        <v>Stay on Maintenance</v>
      </c>
    </row>
    <row r="34" spans="2:8">
      <c r="B34" s="89">
        <v>1</v>
      </c>
      <c r="C34" s="208" t="s">
        <v>412</v>
      </c>
      <c r="D34" t="str">
        <f>nmYr1</f>
        <v>Year 2</v>
      </c>
      <c r="E34" s="210">
        <f>(IF(calcPath1ExpMt_Code&gt;B34,calcPath1MTPrice,IF(OR(decPath1_ProdMT=nmSelect,decPath1_ProdSub=nmSelect),0,VLOOKUP(decPath1_ProdMT,Data_Unified_Pricing_Tbl,$G34,FALSE)+MAX(decPath1_PriceMT_Adj,0)))*decPath1_Qty)</f>
        <v>0</v>
      </c>
      <c r="F34" t="s">
        <v>433</v>
      </c>
      <c r="G34" s="89">
        <v>6</v>
      </c>
    </row>
    <row r="35" spans="2:8">
      <c r="B35" s="89">
        <v>2</v>
      </c>
      <c r="C35" s="208" t="s">
        <v>412</v>
      </c>
      <c r="D35" t="str">
        <f>nmYr2</f>
        <v>Year 3</v>
      </c>
      <c r="E35" s="210">
        <f>IF(calcPath1ExpMt_Code&gt;B35,calcPath1MTPrice,IF(OR(decPath1_ProdMT=nmSelect,decPath1_ProdSub=nmSelect),0,VLOOKUP(decPath1_ProdMT,Data_Unified_Pricing_Tbl,$G35,FALSE)+MAX(decPath1_PriceMT_Adj,0)))*decPath1_Qty</f>
        <v>0</v>
      </c>
      <c r="F35" t="s">
        <v>434</v>
      </c>
      <c r="G35" s="89">
        <v>7</v>
      </c>
    </row>
    <row r="36" spans="2:8">
      <c r="B36" s="89">
        <v>3</v>
      </c>
      <c r="C36" s="208" t="s">
        <v>412</v>
      </c>
      <c r="D36" t="str">
        <f>nmYr3</f>
        <v>Year 4</v>
      </c>
      <c r="E36" s="210">
        <f>IF(calcPath1ExpMt_Code&gt;B36,calcPath1MTPrice,IF(OR(decPath1_ProdMT=nmSelect,decPath1_ProdSub=nmSelect),0,VLOOKUP(decPath1_ProdMT,Data_Unified_Pricing_Tbl,$G36,FALSE)+MAX(decPath1_PriceMT_Adj,0)))*decPath1_Qty</f>
        <v>0</v>
      </c>
      <c r="F36" t="s">
        <v>435</v>
      </c>
      <c r="G36" s="89">
        <v>8</v>
      </c>
    </row>
    <row r="37" spans="2:8" ht="1.5" customHeight="1">
      <c r="C37" s="208"/>
      <c r="D37" s="209"/>
      <c r="E37" s="212"/>
    </row>
    <row r="38" spans="2:8">
      <c r="C38" s="208"/>
      <c r="D38" t="s">
        <v>12</v>
      </c>
      <c r="E38" s="213">
        <f>SUM(E34:E36)</f>
        <v>0</v>
      </c>
      <c r="F38" t="s">
        <v>436</v>
      </c>
    </row>
    <row r="40" spans="2:8">
      <c r="C40" t="str">
        <f>nmNewSub</f>
        <v>New Subscription SRP</v>
      </c>
      <c r="G40" s="4"/>
    </row>
    <row r="41" spans="2:8">
      <c r="D41" t="s">
        <v>438</v>
      </c>
      <c r="E41" s="215" t="str">
        <f>IF(decPath1_Access=1,nmSingle,nmMulti)</f>
        <v>Single</v>
      </c>
      <c r="G41" t="s">
        <v>441</v>
      </c>
      <c r="H41" t="s">
        <v>442</v>
      </c>
    </row>
    <row r="42" spans="2:8">
      <c r="D42" t="s">
        <v>443</v>
      </c>
      <c r="E42" s="213">
        <f>INDEX($G42:$H42,decPath1_Access)</f>
        <v>9</v>
      </c>
      <c r="G42" s="89">
        <v>9</v>
      </c>
      <c r="H42" s="89">
        <v>10</v>
      </c>
    </row>
    <row r="43" spans="2:8" ht="1.5" customHeight="1">
      <c r="C43" s="208"/>
      <c r="D43" s="209"/>
      <c r="E43" s="212"/>
    </row>
    <row r="44" spans="2:8">
      <c r="D44" t="str">
        <f>nmTotal1Yr</f>
        <v>1 Year Investment</v>
      </c>
      <c r="E44" s="210">
        <f>IF(decPath1_ProdSub=nmSelect,0,VLOOKUP(decPath1_ProdSub,Data_Unified_Pricing_Tbl,E42,FALSE))*decPath1_Qty</f>
        <v>0</v>
      </c>
      <c r="F44" t="s">
        <v>425</v>
      </c>
    </row>
    <row r="45" spans="2:8">
      <c r="D45" t="str">
        <f>nmTotal3Yr</f>
        <v>3 Year Investment</v>
      </c>
      <c r="E45" s="213">
        <f>calcPath1SubSRP*cnstYears</f>
        <v>0</v>
      </c>
      <c r="F45" t="s">
        <v>700</v>
      </c>
    </row>
    <row r="46" spans="2:8">
      <c r="E46" s="211"/>
    </row>
    <row r="47" spans="2:8">
      <c r="C47" t="str">
        <f>nmMigrateFY1</f>
        <v>Switch in Year 2</v>
      </c>
      <c r="E47" s="211"/>
    </row>
    <row r="48" spans="2:8">
      <c r="C48" s="208" t="s">
        <v>411</v>
      </c>
      <c r="D48" t="str">
        <f>nmYr1</f>
        <v>Year 2</v>
      </c>
      <c r="E48" s="210">
        <f>IF(decPath1_ProdSub=nmSelect,0,VLOOKUP(decPath1_ProdSub,Data_Unified_Pricing_Tbl,$G48,FALSE))*decPath1_Qty*IF(calcPath1ExpMt_Code&gt;1,0,1)</f>
        <v>0</v>
      </c>
      <c r="F48" t="s">
        <v>413</v>
      </c>
      <c r="G48" s="89">
        <v>3</v>
      </c>
    </row>
    <row r="49" spans="3:7">
      <c r="C49" s="208" t="s">
        <v>411</v>
      </c>
      <c r="D49" t="str">
        <f>nmYr2</f>
        <v>Year 3</v>
      </c>
      <c r="E49" s="210">
        <f>IF(decPath1_ProdSub=nmSelect,0,VLOOKUP(decPath1_ProdSub,Data_Unified_Pricing_Tbl,$G49,FALSE))*decPath1_Qty*IF(calcPath1ExpMt_Code&gt;1,0,1)</f>
        <v>0</v>
      </c>
      <c r="F49" t="s">
        <v>414</v>
      </c>
      <c r="G49" s="89">
        <v>3</v>
      </c>
    </row>
    <row r="50" spans="3:7">
      <c r="C50" s="208" t="s">
        <v>411</v>
      </c>
      <c r="D50" t="str">
        <f>nmYr3</f>
        <v>Year 4</v>
      </c>
      <c r="E50" s="210">
        <f>IF(decPath1_ProdSub=nmSelect,0,VLOOKUP(decPath1_ProdSub,Data_Unified_Pricing_Tbl,$G50,FALSE))*decPath1_Qty*IF(calcPath1ExpMt_Code&gt;1,0,1)</f>
        <v>0</v>
      </c>
      <c r="F50" t="s">
        <v>415</v>
      </c>
      <c r="G50" s="89">
        <v>3</v>
      </c>
    </row>
    <row r="51" spans="3:7" ht="1.5" customHeight="1">
      <c r="C51" s="208"/>
      <c r="D51" s="209"/>
      <c r="E51" s="212"/>
    </row>
    <row r="52" spans="3:7">
      <c r="C52" s="208"/>
      <c r="D52" t="s">
        <v>12</v>
      </c>
      <c r="E52" s="213">
        <f>SUM(E48:E50)</f>
        <v>0</v>
      </c>
      <c r="F52" t="s">
        <v>416</v>
      </c>
    </row>
    <row r="53" spans="3:7">
      <c r="C53" s="208"/>
      <c r="D53" t="str">
        <f>nmSavings</f>
        <v>SRP Discount</v>
      </c>
      <c r="E53" s="213">
        <f>(calcPath1SubSRP3Yr-calcPath1Yr1_CostTotal)*IF(calcPath1ExpMt_Code&gt;1,0,1)</f>
        <v>0</v>
      </c>
      <c r="F53" t="s">
        <v>426</v>
      </c>
    </row>
    <row r="54" spans="3:7">
      <c r="C54" s="208"/>
      <c r="D54" t="str">
        <f>nmM2SMaintDiff</f>
        <v>Discount off Staying on Maintenance</v>
      </c>
      <c r="E54" s="213">
        <f>(calcPath1MTCost_AllYears-calcPath1Yr1_CostTotal)*IF(calcPath1ExpMt_Code&gt;1,0,1)</f>
        <v>0</v>
      </c>
      <c r="F54" t="s">
        <v>637</v>
      </c>
    </row>
    <row r="55" spans="3:7">
      <c r="E55" s="211"/>
    </row>
    <row r="56" spans="3:7">
      <c r="C56" t="str">
        <f>nmMigrateFY2</f>
        <v>Switch in Year 3</v>
      </c>
      <c r="E56" s="211"/>
    </row>
    <row r="57" spans="3:7">
      <c r="C57" s="208" t="s">
        <v>412</v>
      </c>
      <c r="D57" t="str">
        <f>nmYr1</f>
        <v>Year 2</v>
      </c>
      <c r="E57" s="213">
        <f>calcPath1MTCost_Yr1*IF(calcPath1ExpMt_Code&gt;2,0,1)</f>
        <v>0</v>
      </c>
      <c r="F57" t="s">
        <v>424</v>
      </c>
    </row>
    <row r="58" spans="3:7">
      <c r="C58" s="208" t="s">
        <v>411</v>
      </c>
      <c r="D58" t="str">
        <f>nmYr2</f>
        <v>Year 3</v>
      </c>
      <c r="E58" s="210">
        <f>IF(decPath1_ProdSub=nmSelect,0,VLOOKUP(decPath1_ProdSub,Data_Unified_Pricing_Tbl,$G58,FALSE))*decPath1_Qty*IF(calcPath1ExpMt_Code&gt;2,0,1)</f>
        <v>0</v>
      </c>
      <c r="F58" t="s">
        <v>421</v>
      </c>
      <c r="G58" s="89">
        <v>4</v>
      </c>
    </row>
    <row r="59" spans="3:7">
      <c r="C59" s="208" t="s">
        <v>411</v>
      </c>
      <c r="D59" t="str">
        <f>nmYr3</f>
        <v>Year 4</v>
      </c>
      <c r="E59" s="210">
        <f>IF(decPath1_ProdSub=nmSelect,0,VLOOKUP(decPath1_ProdSub,Data_Unified_Pricing_Tbl,$G59,FALSE))*decPath1_Qty*IF(calcPath1ExpMt_Code&gt;2,0,1)</f>
        <v>0</v>
      </c>
      <c r="F59" t="s">
        <v>422</v>
      </c>
      <c r="G59" s="89">
        <v>4</v>
      </c>
    </row>
    <row r="60" spans="3:7" ht="1.5" customHeight="1">
      <c r="C60" s="208"/>
      <c r="D60" s="209"/>
      <c r="E60" s="212"/>
    </row>
    <row r="61" spans="3:7">
      <c r="C61" s="208"/>
      <c r="D61" t="s">
        <v>12</v>
      </c>
      <c r="E61" s="213">
        <f>SUM(E57:E59)</f>
        <v>0</v>
      </c>
      <c r="F61" t="s">
        <v>423</v>
      </c>
    </row>
    <row r="62" spans="3:7">
      <c r="C62" s="208"/>
      <c r="D62" t="str">
        <f>nmSavings</f>
        <v>SRP Discount</v>
      </c>
      <c r="E62" s="213">
        <f>(calcPath1SubSRP3Yr-calcPath1Yr2_CostTotal)*IF(calcPath1ExpMt_Code&gt;2,0,1)</f>
        <v>0</v>
      </c>
      <c r="F62" t="s">
        <v>427</v>
      </c>
    </row>
    <row r="63" spans="3:7">
      <c r="C63" s="208"/>
      <c r="D63" t="str">
        <f>nmM2SMaintDiff</f>
        <v>Discount off Staying on Maintenance</v>
      </c>
      <c r="E63" s="213">
        <f>(calcPath1MTCost_AllYears-calcPath1Yr2_CostTotal)*IF(calcPath1ExpMt_Code&gt;2,0,1)</f>
        <v>0</v>
      </c>
      <c r="F63" t="s">
        <v>638</v>
      </c>
    </row>
    <row r="64" spans="3:7">
      <c r="E64" s="211"/>
    </row>
    <row r="65" spans="1:12">
      <c r="C65" t="str">
        <f>nmMigrateFY3</f>
        <v>Switch in Year 4</v>
      </c>
      <c r="E65" s="211"/>
    </row>
    <row r="66" spans="1:12">
      <c r="A66">
        <v>0</v>
      </c>
      <c r="C66" s="208" t="s">
        <v>412</v>
      </c>
      <c r="D66" t="str">
        <f>nmYr1</f>
        <v>Year 2</v>
      </c>
      <c r="E66" s="213">
        <f>calcPath1MTCost_Yr1*IF(calcPath1ExpMt_Code&gt;3,0,1)</f>
        <v>0</v>
      </c>
      <c r="F66" t="s">
        <v>420</v>
      </c>
    </row>
    <row r="67" spans="1:12">
      <c r="C67" s="208" t="s">
        <v>412</v>
      </c>
      <c r="D67" t="str">
        <f>nmYr2</f>
        <v>Year 3</v>
      </c>
      <c r="E67" s="213">
        <f>calcPath1MTCost_Yr2*IF(calcPath1ExpMt_Code&gt;3,0,1)</f>
        <v>0</v>
      </c>
      <c r="F67" t="s">
        <v>418</v>
      </c>
    </row>
    <row r="68" spans="1:12">
      <c r="C68" s="208" t="s">
        <v>411</v>
      </c>
      <c r="D68" t="str">
        <f>nmYr3</f>
        <v>Year 4</v>
      </c>
      <c r="E68" s="210">
        <f>IF(decPath1_ProdSub=nmSelect,0,VLOOKUP(decPath1_ProdSub,Data_Unified_Pricing_Tbl,$G68,FALSE))*decPath1_Qty*IF(calcPath1ExpMt_Code&gt;3,0,1)</f>
        <v>0</v>
      </c>
      <c r="F68" t="s">
        <v>417</v>
      </c>
      <c r="G68" s="89">
        <v>5</v>
      </c>
    </row>
    <row r="69" spans="1:12" ht="1.5" customHeight="1">
      <c r="C69" s="208"/>
      <c r="D69" s="209"/>
      <c r="E69" s="212"/>
    </row>
    <row r="70" spans="1:12">
      <c r="C70" s="208"/>
      <c r="D70" t="s">
        <v>12</v>
      </c>
      <c r="E70" s="213">
        <f>SUM(E66:E68)</f>
        <v>0</v>
      </c>
      <c r="F70" t="s">
        <v>419</v>
      </c>
    </row>
    <row r="71" spans="1:12">
      <c r="C71" s="208"/>
      <c r="D71" t="str">
        <f>nmSavings</f>
        <v>SRP Discount</v>
      </c>
      <c r="E71" s="213">
        <f>(calcPath1SubSRP3Yr-calcPath1Yr3_CostTotal)*IF(calcPath1ExpMt_Code&gt;3,0,1)</f>
        <v>0</v>
      </c>
      <c r="F71" t="s">
        <v>428</v>
      </c>
    </row>
    <row r="72" spans="1:12">
      <c r="C72" s="208"/>
      <c r="D72" t="str">
        <f>nmM2SMaintDiff</f>
        <v>Discount off Staying on Maintenance</v>
      </c>
      <c r="E72" s="213">
        <f>(calcPath1MTCost_AllYears-calcPath1Yr3_CostTotal)*IF(calcPath1ExpMt_Code&gt;3,0,1)</f>
        <v>0</v>
      </c>
      <c r="F72" t="s">
        <v>639</v>
      </c>
    </row>
    <row r="73" spans="1:12">
      <c r="E73" s="211"/>
    </row>
    <row r="74" spans="1:12">
      <c r="C74" t="str">
        <f>nmYr4</f>
        <v>Year 5 - Projected Subscription</v>
      </c>
      <c r="E74" s="211"/>
      <c r="G74" t="s">
        <v>614</v>
      </c>
    </row>
    <row r="75" spans="1:12">
      <c r="C75" s="208"/>
      <c r="D75" t="s">
        <v>576</v>
      </c>
      <c r="E75" s="213">
        <f>calcPath1Yr3_CostYr3*(1+G75)</f>
        <v>0</v>
      </c>
      <c r="F75" t="s">
        <v>575</v>
      </c>
      <c r="G75" s="251">
        <v>0.05</v>
      </c>
    </row>
    <row r="76" spans="1:12">
      <c r="A76" s="6"/>
      <c r="B76" s="6"/>
      <c r="C76" s="6"/>
      <c r="D76" s="6"/>
      <c r="E76" s="6"/>
      <c r="F76" s="6"/>
      <c r="G76" s="6"/>
      <c r="H76" s="6"/>
      <c r="I76" s="6"/>
      <c r="J76" s="6"/>
      <c r="K76" s="6"/>
      <c r="L76" s="6"/>
    </row>
    <row r="77" spans="1:12">
      <c r="A77" s="7" t="s">
        <v>317</v>
      </c>
      <c r="B77" s="2"/>
      <c r="C77" s="2"/>
      <c r="D77" s="2"/>
      <c r="E77" s="2"/>
      <c r="F77" s="3"/>
      <c r="G77" s="3" t="s">
        <v>443</v>
      </c>
      <c r="H77" s="3"/>
      <c r="I77" s="3"/>
      <c r="J77" s="3"/>
      <c r="K77" s="3"/>
      <c r="L77" s="3"/>
    </row>
    <row r="78" spans="1:12">
      <c r="A78" s="156" t="s">
        <v>437</v>
      </c>
    </row>
    <row r="80" spans="1:12">
      <c r="C80" t="s">
        <v>430</v>
      </c>
    </row>
    <row r="81" spans="2:7">
      <c r="D81" t="s">
        <v>685</v>
      </c>
      <c r="E81" s="210">
        <f>IF(decPath2_ProdMT=nmSelect,0,VLOOKUP(decPath2_ProdMT,Data_Unified_Pricing_Tbl,$G81,FALSE))</f>
        <v>0</v>
      </c>
      <c r="G81" s="89">
        <v>6</v>
      </c>
    </row>
    <row r="82" spans="2:7">
      <c r="D82" t="s">
        <v>686</v>
      </c>
      <c r="E82" s="210">
        <f>decPath2_PriceMT_Adj</f>
        <v>0</v>
      </c>
    </row>
    <row r="83" spans="2:7" ht="1.5" customHeight="1">
      <c r="C83" s="208"/>
      <c r="D83" s="209"/>
      <c r="E83" s="212"/>
    </row>
    <row r="84" spans="2:7">
      <c r="D84" t="s">
        <v>430</v>
      </c>
      <c r="E84" s="213">
        <f>SUM(E81:E82)</f>
        <v>0</v>
      </c>
      <c r="F84" t="s">
        <v>444</v>
      </c>
    </row>
    <row r="86" spans="2:7">
      <c r="C86" t="str">
        <f>nmExpMT</f>
        <v>Maintenance Expiration</v>
      </c>
      <c r="E86" s="210" t="str">
        <f>decPath2_ExpMT</f>
        <v>Year 2</v>
      </c>
      <c r="F86" t="s">
        <v>445</v>
      </c>
    </row>
    <row r="87" spans="2:7">
      <c r="C87" t="str">
        <f>nmExpMT&amp;" Year"</f>
        <v>Maintenance Expiration Year</v>
      </c>
      <c r="E87" s="214">
        <f>IF(calcPath2ExpMt=nmFY1,1,0)+IF(calcPath2ExpMt=nmFY2,2,0)+IF(calcPath2ExpMt=nmFY3,3,0)</f>
        <v>1</v>
      </c>
      <c r="F87" t="s">
        <v>446</v>
      </c>
    </row>
    <row r="88" spans="2:7" ht="14.25" customHeight="1">
      <c r="G88">
        <v>0</v>
      </c>
    </row>
    <row r="89" spans="2:7">
      <c r="C89" t="str">
        <f>nmMTAll</f>
        <v>Stay on Maintenance</v>
      </c>
    </row>
    <row r="90" spans="2:7">
      <c r="B90" s="89">
        <v>1</v>
      </c>
      <c r="C90" s="208" t="s">
        <v>412</v>
      </c>
      <c r="D90" t="str">
        <f>nmYr1</f>
        <v>Year 2</v>
      </c>
      <c r="E90" s="210">
        <f>(IF(calcPath2ExpMt_Code&gt;B90,calcPath2MTPrice,IF(OR(decPath2_ProdMT=nmSelect,decPath2_ProdSub=nmSelect),0,VLOOKUP(decPath2_ProdMT,Data_Unified_Pricing_Tbl,$G90,FALSE)+MAX(decPath2_PriceMT_Adj,0)))*decPath2_Qty)</f>
        <v>0</v>
      </c>
      <c r="F90" t="s">
        <v>447</v>
      </c>
      <c r="G90" s="89">
        <v>6</v>
      </c>
    </row>
    <row r="91" spans="2:7">
      <c r="B91" s="89">
        <v>2</v>
      </c>
      <c r="C91" s="208" t="s">
        <v>412</v>
      </c>
      <c r="D91" t="str">
        <f>nmYr2</f>
        <v>Year 3</v>
      </c>
      <c r="E91" s="210">
        <f>IF(calcPath2ExpMt_Code&gt;B91,calcPath2MTPrice,IF(OR(decPath2_ProdMT=nmSelect,decPath2_ProdSub=nmSelect),0,VLOOKUP(decPath2_ProdMT,Data_Unified_Pricing_Tbl,$G91,FALSE)+MAX(decPath2_PriceMT_Adj,0)))*decPath2_Qty</f>
        <v>0</v>
      </c>
      <c r="F91" t="s">
        <v>448</v>
      </c>
      <c r="G91" s="89">
        <v>7</v>
      </c>
    </row>
    <row r="92" spans="2:7">
      <c r="B92" s="89">
        <v>3</v>
      </c>
      <c r="C92" s="208" t="s">
        <v>412</v>
      </c>
      <c r="D92" t="str">
        <f>nmYr3</f>
        <v>Year 4</v>
      </c>
      <c r="E92" s="210">
        <f>IF(calcPath2ExpMt_Code&gt;B92,calcPath2MTPrice,IF(OR(decPath2_ProdMT=nmSelect,decPath2_ProdSub=nmSelect),0,VLOOKUP(decPath2_ProdMT,Data_Unified_Pricing_Tbl,$G92,FALSE)+MAX(decPath2_PriceMT_Adj,0)))*decPath2_Qty</f>
        <v>0</v>
      </c>
      <c r="F92" t="s">
        <v>449</v>
      </c>
      <c r="G92" s="89">
        <v>8</v>
      </c>
    </row>
    <row r="93" spans="2:7" ht="1.5" customHeight="1">
      <c r="C93" s="208"/>
      <c r="D93" s="209"/>
      <c r="E93" s="212"/>
    </row>
    <row r="94" spans="2:7">
      <c r="C94" s="208"/>
      <c r="D94" t="s">
        <v>12</v>
      </c>
      <c r="E94" s="213">
        <f>SUM(E90:E92)</f>
        <v>0</v>
      </c>
      <c r="F94" t="s">
        <v>450</v>
      </c>
    </row>
    <row r="96" spans="2:7">
      <c r="C96" t="str">
        <f>nmNewSub</f>
        <v>New Subscription SRP</v>
      </c>
      <c r="G96" s="4"/>
    </row>
    <row r="97" spans="3:8">
      <c r="D97" t="s">
        <v>438</v>
      </c>
      <c r="E97" s="215" t="str">
        <f>IF(decPath2_Access=1,nmSingle,nmMulti)</f>
        <v>Single</v>
      </c>
      <c r="G97" t="s">
        <v>441</v>
      </c>
      <c r="H97" t="s">
        <v>442</v>
      </c>
    </row>
    <row r="98" spans="3:8">
      <c r="D98" t="s">
        <v>443</v>
      </c>
      <c r="E98" s="213">
        <f>INDEX($G98:$H98,decPath2_Access)</f>
        <v>9</v>
      </c>
      <c r="G98" s="89">
        <v>9</v>
      </c>
      <c r="H98" s="89">
        <v>10</v>
      </c>
    </row>
    <row r="99" spans="3:8" ht="1.5" customHeight="1">
      <c r="C99" s="208"/>
      <c r="D99" s="209"/>
      <c r="E99" s="212"/>
    </row>
    <row r="100" spans="3:8">
      <c r="D100" t="str">
        <f>nmTotal1Yr</f>
        <v>1 Year Investment</v>
      </c>
      <c r="E100" s="210">
        <f>IF(decPath2_ProdSub=nmSelect,0,VLOOKUP(decPath2_ProdSub,Data_Unified_Pricing_Tbl,E98,FALSE))*decPath2_Qty</f>
        <v>0</v>
      </c>
      <c r="F100" t="s">
        <v>451</v>
      </c>
    </row>
    <row r="101" spans="3:8">
      <c r="D101" t="str">
        <f>nmTotal3Yr</f>
        <v>3 Year Investment</v>
      </c>
      <c r="E101" s="213">
        <f>calcPath2SubSRP*cnstYears</f>
        <v>0</v>
      </c>
      <c r="F101" t="s">
        <v>701</v>
      </c>
    </row>
    <row r="102" spans="3:8">
      <c r="E102" s="211"/>
    </row>
    <row r="103" spans="3:8">
      <c r="C103" t="str">
        <f>nmMigrateFY1</f>
        <v>Switch in Year 2</v>
      </c>
      <c r="E103" s="211"/>
    </row>
    <row r="104" spans="3:8">
      <c r="C104" s="208" t="s">
        <v>411</v>
      </c>
      <c r="D104" t="str">
        <f>nmYr1</f>
        <v>Year 2</v>
      </c>
      <c r="E104" s="210">
        <f>IF(decPath2_ProdSub=nmSelect,0,VLOOKUP(decPath2_ProdSub,Data_Unified_Pricing_Tbl,$G104,FALSE))*decPath2_Qty*IF(calcPath2ExpMt_Code&gt;1,0,1)</f>
        <v>0</v>
      </c>
      <c r="F104" t="s">
        <v>452</v>
      </c>
      <c r="G104" s="89">
        <v>3</v>
      </c>
    </row>
    <row r="105" spans="3:8">
      <c r="C105" s="208" t="s">
        <v>411</v>
      </c>
      <c r="D105" t="str">
        <f>nmYr2</f>
        <v>Year 3</v>
      </c>
      <c r="E105" s="210">
        <f>IF(decPath2_ProdSub=nmSelect,0,VLOOKUP(decPath2_ProdSub,Data_Unified_Pricing_Tbl,$G105,FALSE))*decPath2_Qty*IF(calcPath2ExpMt_Code&gt;1,0,1)</f>
        <v>0</v>
      </c>
      <c r="F105" t="s">
        <v>453</v>
      </c>
      <c r="G105" s="89">
        <v>3</v>
      </c>
    </row>
    <row r="106" spans="3:8">
      <c r="C106" s="208" t="s">
        <v>411</v>
      </c>
      <c r="D106" t="str">
        <f>nmYr3</f>
        <v>Year 4</v>
      </c>
      <c r="E106" s="210">
        <f>IF(decPath2_ProdSub=nmSelect,0,VLOOKUP(decPath2_ProdSub,Data_Unified_Pricing_Tbl,$G106,FALSE))*decPath2_Qty*IF(calcPath2ExpMt_Code&gt;1,0,1)</f>
        <v>0</v>
      </c>
      <c r="F106" t="s">
        <v>454</v>
      </c>
      <c r="G106" s="89">
        <v>3</v>
      </c>
    </row>
    <row r="107" spans="3:8" ht="1.5" customHeight="1">
      <c r="C107" s="208"/>
      <c r="D107" s="209"/>
      <c r="E107" s="212"/>
    </row>
    <row r="108" spans="3:8">
      <c r="C108" s="208"/>
      <c r="D108" t="s">
        <v>12</v>
      </c>
      <c r="E108" s="213">
        <f>SUM(E104:E106)</f>
        <v>0</v>
      </c>
      <c r="F108" t="s">
        <v>455</v>
      </c>
    </row>
    <row r="109" spans="3:8">
      <c r="C109" s="208"/>
      <c r="D109" t="str">
        <f>nmSavings</f>
        <v>SRP Discount</v>
      </c>
      <c r="E109" s="213">
        <f>(calcPath2SubSRP3Yr-calcPath2Yr1_CostTotal)*IF(calcPath2ExpMt_Code&gt;1,0,1)</f>
        <v>0</v>
      </c>
      <c r="F109" t="s">
        <v>456</v>
      </c>
    </row>
    <row r="110" spans="3:8">
      <c r="C110" s="208"/>
      <c r="D110" t="str">
        <f>nmM2SMaintDiff</f>
        <v>Discount off Staying on Maintenance</v>
      </c>
      <c r="E110" s="213">
        <f>(calcPath2MTCost_AllYears-calcPath2Yr1_CostTotal)*IF(calcPath2ExpMt_Code&gt;1,0,1)</f>
        <v>0</v>
      </c>
      <c r="F110" t="s">
        <v>640</v>
      </c>
    </row>
    <row r="111" spans="3:8">
      <c r="E111" s="211"/>
    </row>
    <row r="112" spans="3:8">
      <c r="C112" t="str">
        <f>nmMigrateFY2</f>
        <v>Switch in Year 3</v>
      </c>
      <c r="E112" s="211"/>
    </row>
    <row r="113" spans="3:7">
      <c r="C113" s="208" t="s">
        <v>412</v>
      </c>
      <c r="D113" t="str">
        <f>nmYr1</f>
        <v>Year 2</v>
      </c>
      <c r="E113" s="213">
        <f>calcPath2MTCost_Yr1*IF(calcPath2ExpMt_Code&gt;2,0,1)</f>
        <v>0</v>
      </c>
      <c r="F113" t="s">
        <v>457</v>
      </c>
    </row>
    <row r="114" spans="3:7">
      <c r="C114" s="208" t="s">
        <v>411</v>
      </c>
      <c r="D114" t="str">
        <f>nmYr2</f>
        <v>Year 3</v>
      </c>
      <c r="E114" s="210">
        <f>IF(decPath2_ProdSub=nmSelect,0,VLOOKUP(decPath2_ProdSub,Data_Unified_Pricing_Tbl,$G114,FALSE))*decPath2_Qty*IF(calcPath2ExpMt_Code&gt;2,0,1)</f>
        <v>0</v>
      </c>
      <c r="F114" t="s">
        <v>458</v>
      </c>
      <c r="G114" s="89">
        <v>4</v>
      </c>
    </row>
    <row r="115" spans="3:7">
      <c r="C115" s="208" t="s">
        <v>411</v>
      </c>
      <c r="D115" t="str">
        <f>nmYr3</f>
        <v>Year 4</v>
      </c>
      <c r="E115" s="210">
        <f>IF(decPath2_ProdSub=nmSelect,0,VLOOKUP(decPath2_ProdSub,Data_Unified_Pricing_Tbl,$G115,FALSE))*decPath2_Qty*IF(calcPath2ExpMt_Code&gt;2,0,1)</f>
        <v>0</v>
      </c>
      <c r="F115" t="s">
        <v>459</v>
      </c>
      <c r="G115" s="89">
        <v>4</v>
      </c>
    </row>
    <row r="116" spans="3:7" ht="1.5" customHeight="1">
      <c r="C116" s="208"/>
      <c r="D116" s="209"/>
      <c r="E116" s="212"/>
    </row>
    <row r="117" spans="3:7">
      <c r="C117" s="208"/>
      <c r="D117" t="s">
        <v>12</v>
      </c>
      <c r="E117" s="213">
        <f>SUM(E113:E115)</f>
        <v>0</v>
      </c>
      <c r="F117" t="s">
        <v>460</v>
      </c>
    </row>
    <row r="118" spans="3:7">
      <c r="C118" s="208"/>
      <c r="D118" t="str">
        <f>nmSavings</f>
        <v>SRP Discount</v>
      </c>
      <c r="E118" s="213">
        <f>(calcPath2SubSRP3Yr-calcPath2Yr2_CostTotal)*IF(calcPath2ExpMt_Code&gt;2,0,1)</f>
        <v>0</v>
      </c>
      <c r="F118" t="s">
        <v>461</v>
      </c>
    </row>
    <row r="119" spans="3:7">
      <c r="C119" s="208"/>
      <c r="D119" t="str">
        <f>nmM2SMaintDiff</f>
        <v>Discount off Staying on Maintenance</v>
      </c>
      <c r="E119" s="213">
        <f>(calcPath2MTCost_AllYears-calcPath2Yr2_CostTotal)*IF(calcPath2ExpMt_Code&gt;2,0,1)</f>
        <v>0</v>
      </c>
      <c r="F119" t="s">
        <v>641</v>
      </c>
    </row>
    <row r="120" spans="3:7">
      <c r="E120" s="211"/>
    </row>
    <row r="121" spans="3:7">
      <c r="C121" t="str">
        <f>nmMigrateFY3</f>
        <v>Switch in Year 4</v>
      </c>
      <c r="E121" s="211"/>
    </row>
    <row r="122" spans="3:7">
      <c r="C122" s="208" t="s">
        <v>412</v>
      </c>
      <c r="D122" t="str">
        <f>nmYr1</f>
        <v>Year 2</v>
      </c>
      <c r="E122" s="213">
        <f>calcPath2MTCost_Yr1*IF(calcPath2ExpMt_Code&gt;3,0,1)</f>
        <v>0</v>
      </c>
      <c r="F122" t="s">
        <v>462</v>
      </c>
    </row>
    <row r="123" spans="3:7">
      <c r="C123" s="208" t="s">
        <v>412</v>
      </c>
      <c r="D123" t="str">
        <f>nmYr2</f>
        <v>Year 3</v>
      </c>
      <c r="E123" s="213">
        <f>calcPath2MTCost_Yr2*IF(calcPath2ExpMt_Code&gt;3,0,1)</f>
        <v>0</v>
      </c>
      <c r="F123" t="s">
        <v>463</v>
      </c>
    </row>
    <row r="124" spans="3:7">
      <c r="C124" s="208" t="s">
        <v>411</v>
      </c>
      <c r="D124" t="str">
        <f>nmYr3</f>
        <v>Year 4</v>
      </c>
      <c r="E124" s="210">
        <f>IF(decPath2_ProdSub=nmSelect,0,VLOOKUP(decPath2_ProdSub,Data_Unified_Pricing_Tbl,$G124,FALSE))*decPath2_Qty*IF(calcPath2ExpMt_Code&gt;3,0,1)</f>
        <v>0</v>
      </c>
      <c r="F124" t="s">
        <v>464</v>
      </c>
      <c r="G124" s="89">
        <v>5</v>
      </c>
    </row>
    <row r="125" spans="3:7" ht="1.5" customHeight="1">
      <c r="C125" s="208"/>
      <c r="D125" s="209"/>
      <c r="E125" s="212"/>
    </row>
    <row r="126" spans="3:7">
      <c r="C126" s="208"/>
      <c r="D126" t="s">
        <v>12</v>
      </c>
      <c r="E126" s="213">
        <f>SUM(E122:E124)</f>
        <v>0</v>
      </c>
      <c r="F126" t="s">
        <v>465</v>
      </c>
    </row>
    <row r="127" spans="3:7">
      <c r="C127" s="208"/>
      <c r="D127" t="str">
        <f>nmSavings</f>
        <v>SRP Discount</v>
      </c>
      <c r="E127" s="213">
        <f>(calcPath2SubSRP3Yr-calcPath2Yr3_CostTotal)*IF(calcPath2ExpMt_Code&gt;3,0,1)</f>
        <v>0</v>
      </c>
      <c r="F127" t="s">
        <v>466</v>
      </c>
    </row>
    <row r="128" spans="3:7">
      <c r="C128" s="208"/>
      <c r="D128" t="str">
        <f>nmM2SMaintDiff</f>
        <v>Discount off Staying on Maintenance</v>
      </c>
      <c r="E128" s="213">
        <f>(calcPath2MTCost_AllYears-calcPath2Yr3_CostTotal)*IF(calcPath2ExpMt_Code&gt;3,0,1)</f>
        <v>0</v>
      </c>
      <c r="F128" t="s">
        <v>642</v>
      </c>
    </row>
    <row r="129" spans="1:12">
      <c r="E129" s="211"/>
    </row>
    <row r="130" spans="1:12">
      <c r="C130" t="str">
        <f>nmYr4</f>
        <v>Year 5 - Projected Subscription</v>
      </c>
      <c r="E130" s="211"/>
      <c r="G130" t="s">
        <v>614</v>
      </c>
    </row>
    <row r="131" spans="1:12">
      <c r="C131" s="208"/>
      <c r="D131" t="s">
        <v>576</v>
      </c>
      <c r="E131" s="213">
        <f>calcPath2Yr3_CostYr3*(1+G131)</f>
        <v>0</v>
      </c>
      <c r="F131" t="s">
        <v>578</v>
      </c>
      <c r="G131" s="251">
        <v>0.05</v>
      </c>
    </row>
    <row r="132" spans="1:12">
      <c r="A132" s="6"/>
      <c r="B132" s="6"/>
      <c r="C132" s="6"/>
      <c r="D132" s="6"/>
      <c r="E132" s="6"/>
      <c r="F132" s="6"/>
      <c r="G132" s="6"/>
      <c r="H132" s="6"/>
      <c r="I132" s="6"/>
      <c r="J132" s="6"/>
      <c r="K132" s="6"/>
      <c r="L132" s="6"/>
    </row>
    <row r="133" spans="1:12">
      <c r="A133" s="7" t="s">
        <v>318</v>
      </c>
      <c r="B133" s="2"/>
      <c r="C133" s="2"/>
      <c r="D133" s="2"/>
      <c r="E133" s="2"/>
      <c r="F133" s="3"/>
      <c r="G133" s="3" t="s">
        <v>443</v>
      </c>
      <c r="H133" s="3"/>
      <c r="I133" s="3"/>
      <c r="J133" s="3"/>
      <c r="K133" s="3"/>
      <c r="L133" s="3"/>
    </row>
    <row r="134" spans="1:12">
      <c r="A134" s="156" t="s">
        <v>437</v>
      </c>
    </row>
    <row r="136" spans="1:12">
      <c r="C136" t="s">
        <v>430</v>
      </c>
    </row>
    <row r="137" spans="1:12">
      <c r="D137" t="s">
        <v>685</v>
      </c>
      <c r="E137" s="210">
        <f>IF(decPath3_ProdMT=nmSelect,0,VLOOKUP(decPath3_ProdMT,Data_Unified_Pricing_Tbl,$G137,FALSE))</f>
        <v>0</v>
      </c>
      <c r="G137" s="89">
        <v>6</v>
      </c>
    </row>
    <row r="138" spans="1:12">
      <c r="D138" t="s">
        <v>686</v>
      </c>
      <c r="E138" s="210">
        <f>decPath3_PriceMT_Adj</f>
        <v>0</v>
      </c>
    </row>
    <row r="139" spans="1:12" ht="1.5" customHeight="1">
      <c r="C139" s="208"/>
      <c r="D139" s="209"/>
      <c r="E139" s="212"/>
    </row>
    <row r="140" spans="1:12">
      <c r="D140" t="s">
        <v>430</v>
      </c>
      <c r="E140" s="213">
        <f>SUM(E137:E138)</f>
        <v>0</v>
      </c>
      <c r="F140" t="s">
        <v>467</v>
      </c>
    </row>
    <row r="142" spans="1:12">
      <c r="C142" t="str">
        <f>nmExpMT</f>
        <v>Maintenance Expiration</v>
      </c>
      <c r="E142" s="210" t="str">
        <f>decPath3_ExpMT</f>
        <v>Year 2</v>
      </c>
      <c r="F142" t="s">
        <v>468</v>
      </c>
    </row>
    <row r="143" spans="1:12">
      <c r="C143" t="str">
        <f>nmExpMT&amp;" Year"</f>
        <v>Maintenance Expiration Year</v>
      </c>
      <c r="E143" s="214">
        <f>IF(calcPath3ExpMt=nmFY1,1,0)+IF(calcPath3ExpMt=nmFY2,2,0)+IF(calcPath3ExpMt=nmFY3,3,0)</f>
        <v>1</v>
      </c>
      <c r="F143" t="s">
        <v>469</v>
      </c>
    </row>
    <row r="145" spans="2:8">
      <c r="C145" t="str">
        <f>nmMTAll</f>
        <v>Stay on Maintenance</v>
      </c>
    </row>
    <row r="146" spans="2:8">
      <c r="B146" s="89">
        <v>1</v>
      </c>
      <c r="C146" s="208" t="s">
        <v>412</v>
      </c>
      <c r="D146" t="str">
        <f>nmYr1</f>
        <v>Year 2</v>
      </c>
      <c r="E146" s="210">
        <f>(IF(calcPath3ExpMt_Code&gt;B146,calcPath3MTPrice,IF(OR(decPath3_ProdMT=nmSelect,decPath3_ProdSub=nmSelect),0,VLOOKUP(decPath3_ProdMT,Data_Unified_Pricing_Tbl,$G146,FALSE)+MAX(decPath3_PriceMT_Adj,0)))*decPath3_Qty)</f>
        <v>0</v>
      </c>
      <c r="F146" t="s">
        <v>470</v>
      </c>
      <c r="G146" s="89">
        <v>6</v>
      </c>
    </row>
    <row r="147" spans="2:8">
      <c r="B147" s="89">
        <v>2</v>
      </c>
      <c r="C147" s="208" t="s">
        <v>412</v>
      </c>
      <c r="D147" t="str">
        <f>nmYr2</f>
        <v>Year 3</v>
      </c>
      <c r="E147" s="210">
        <f>IF(calcPath3ExpMt_Code&gt;B147,calcPath3MTPrice,IF(OR(decPath3_ProdMT=nmSelect,decPath3_ProdSub=nmSelect),0,VLOOKUP(decPath3_ProdMT,Data_Unified_Pricing_Tbl,$G147,FALSE)+MAX(decPath3_PriceMT_Adj,0)))*decPath3_Qty</f>
        <v>0</v>
      </c>
      <c r="F147" t="s">
        <v>471</v>
      </c>
      <c r="G147" s="89">
        <v>7</v>
      </c>
    </row>
    <row r="148" spans="2:8">
      <c r="B148" s="89">
        <v>3</v>
      </c>
      <c r="C148" s="208" t="s">
        <v>412</v>
      </c>
      <c r="D148" t="str">
        <f>nmYr3</f>
        <v>Year 4</v>
      </c>
      <c r="E148" s="210">
        <f>IF(calcPath3ExpMt_Code&gt;B148,calcPath3MTPrice,IF(OR(decPath3_ProdMT=nmSelect,decPath3_ProdSub=nmSelect),0,VLOOKUP(decPath3_ProdMT,Data_Unified_Pricing_Tbl,$G148,FALSE)+MAX(decPath3_PriceMT_Adj,0)))*decPath3_Qty</f>
        <v>0</v>
      </c>
      <c r="F148" t="s">
        <v>472</v>
      </c>
      <c r="G148" s="89">
        <v>8</v>
      </c>
    </row>
    <row r="149" spans="2:8" ht="1.5" customHeight="1">
      <c r="C149" s="208"/>
      <c r="D149" s="209"/>
      <c r="E149" s="212"/>
    </row>
    <row r="150" spans="2:8">
      <c r="C150" s="208"/>
      <c r="D150" t="s">
        <v>12</v>
      </c>
      <c r="E150" s="213">
        <f>SUM(E146:E148)</f>
        <v>0</v>
      </c>
      <c r="F150" t="s">
        <v>473</v>
      </c>
    </row>
    <row r="152" spans="2:8">
      <c r="C152" t="str">
        <f>nmNewSub</f>
        <v>New Subscription SRP</v>
      </c>
      <c r="G152" s="4"/>
    </row>
    <row r="153" spans="2:8">
      <c r="D153" t="s">
        <v>438</v>
      </c>
      <c r="E153" s="215" t="str">
        <f>IF(decPath3_Access=1,nmSingle,nmMulti)</f>
        <v>Single</v>
      </c>
      <c r="G153" t="s">
        <v>441</v>
      </c>
      <c r="H153" t="s">
        <v>442</v>
      </c>
    </row>
    <row r="154" spans="2:8">
      <c r="D154" t="s">
        <v>443</v>
      </c>
      <c r="E154" s="213">
        <f>INDEX($G154:$H154,decPath3_Access)</f>
        <v>9</v>
      </c>
      <c r="G154" s="89">
        <v>9</v>
      </c>
      <c r="H154" s="89">
        <v>10</v>
      </c>
    </row>
    <row r="155" spans="2:8" ht="1.5" customHeight="1">
      <c r="C155" s="208"/>
      <c r="D155" s="209"/>
      <c r="E155" s="212"/>
    </row>
    <row r="156" spans="2:8">
      <c r="D156" t="str">
        <f>nmTotal1Yr</f>
        <v>1 Year Investment</v>
      </c>
      <c r="E156" s="210">
        <f>IF(decPath3_ProdSub=nmSelect,0,VLOOKUP(decPath3_ProdSub,Data_Unified_Pricing_Tbl,E154,FALSE))*decPath3_Qty</f>
        <v>0</v>
      </c>
      <c r="F156" t="s">
        <v>474</v>
      </c>
    </row>
    <row r="157" spans="2:8">
      <c r="D157" t="str">
        <f>nmTotal3Yr</f>
        <v>3 Year Investment</v>
      </c>
      <c r="E157" s="213">
        <f>calcPath3SubSRP*cnstYears</f>
        <v>0</v>
      </c>
      <c r="F157" t="s">
        <v>702</v>
      </c>
    </row>
    <row r="158" spans="2:8">
      <c r="E158" s="211"/>
    </row>
    <row r="159" spans="2:8">
      <c r="C159" t="str">
        <f>nmMigrateFY1</f>
        <v>Switch in Year 2</v>
      </c>
      <c r="E159" s="211"/>
    </row>
    <row r="160" spans="2:8">
      <c r="C160" s="208" t="s">
        <v>411</v>
      </c>
      <c r="D160" t="str">
        <f>nmYr1</f>
        <v>Year 2</v>
      </c>
      <c r="E160" s="210">
        <f>IF(decPath3_ProdSub=nmSelect,0,VLOOKUP(decPath3_ProdSub,Data_Unified_Pricing_Tbl,$G160,FALSE))*decPath3_Qty*IF(calcPath3ExpMt_Code&gt;1,0,1)</f>
        <v>0</v>
      </c>
      <c r="F160" t="s">
        <v>475</v>
      </c>
      <c r="G160" s="89">
        <v>3</v>
      </c>
    </row>
    <row r="161" spans="3:7">
      <c r="C161" s="208" t="s">
        <v>411</v>
      </c>
      <c r="D161" t="str">
        <f>nmYr2</f>
        <v>Year 3</v>
      </c>
      <c r="E161" s="210">
        <f>IF(decPath3_ProdSub=nmSelect,0,VLOOKUP(decPath3_ProdSub,Data_Unified_Pricing_Tbl,$G161,FALSE))*decPath3_Qty*IF(calcPath3ExpMt_Code&gt;1,0,1)</f>
        <v>0</v>
      </c>
      <c r="F161" t="s">
        <v>476</v>
      </c>
      <c r="G161" s="89">
        <v>3</v>
      </c>
    </row>
    <row r="162" spans="3:7">
      <c r="C162" s="208" t="s">
        <v>411</v>
      </c>
      <c r="D162" t="str">
        <f>nmYr3</f>
        <v>Year 4</v>
      </c>
      <c r="E162" s="210">
        <f>IF(decPath3_ProdSub=nmSelect,0,VLOOKUP(decPath3_ProdSub,Data_Unified_Pricing_Tbl,$G162,FALSE))*decPath3_Qty*IF(calcPath3ExpMt_Code&gt;1,0,1)</f>
        <v>0</v>
      </c>
      <c r="F162" t="s">
        <v>477</v>
      </c>
      <c r="G162" s="89">
        <v>3</v>
      </c>
    </row>
    <row r="163" spans="3:7" ht="1.5" customHeight="1">
      <c r="C163" s="208"/>
      <c r="D163" s="209"/>
      <c r="E163" s="212"/>
    </row>
    <row r="164" spans="3:7">
      <c r="C164" s="208"/>
      <c r="D164" t="s">
        <v>12</v>
      </c>
      <c r="E164" s="213">
        <f>SUM(E160:E162)</f>
        <v>0</v>
      </c>
      <c r="F164" t="s">
        <v>478</v>
      </c>
    </row>
    <row r="165" spans="3:7">
      <c r="C165" s="208"/>
      <c r="D165" t="str">
        <f>nmSavings</f>
        <v>SRP Discount</v>
      </c>
      <c r="E165" s="213">
        <f>(calcPath3SubSRP3Yr-calcPath3Yr1_CostTotal)*IF(calcPath3ExpMt_Code&gt;1,0,1)</f>
        <v>0</v>
      </c>
      <c r="F165" t="s">
        <v>479</v>
      </c>
    </row>
    <row r="166" spans="3:7">
      <c r="C166" s="208"/>
      <c r="D166" t="str">
        <f>nmM2SMaintDiff</f>
        <v>Discount off Staying on Maintenance</v>
      </c>
      <c r="E166" s="213">
        <f>(calcPath3MTCost_AllYears-calcPath3Yr1_CostTotal)*IF(calcPath3ExpMt_Code&gt;1,0,1)</f>
        <v>0</v>
      </c>
      <c r="F166" t="s">
        <v>643</v>
      </c>
    </row>
    <row r="167" spans="3:7">
      <c r="E167" s="211"/>
    </row>
    <row r="168" spans="3:7">
      <c r="C168" t="str">
        <f>nmMigrateFY2</f>
        <v>Switch in Year 3</v>
      </c>
      <c r="E168" s="211"/>
    </row>
    <row r="169" spans="3:7">
      <c r="C169" s="208" t="s">
        <v>412</v>
      </c>
      <c r="D169" t="str">
        <f>nmYr1</f>
        <v>Year 2</v>
      </c>
      <c r="E169" s="213">
        <f>calcPath3MTCost_Yr1*IF(calcPath3ExpMt_Code&gt;2,0,1)</f>
        <v>0</v>
      </c>
      <c r="F169" t="s">
        <v>480</v>
      </c>
    </row>
    <row r="170" spans="3:7">
      <c r="C170" s="208" t="s">
        <v>411</v>
      </c>
      <c r="D170" t="str">
        <f>nmYr2</f>
        <v>Year 3</v>
      </c>
      <c r="E170" s="210">
        <f>IF(decPath3_ProdSub=nmSelect,0,VLOOKUP(decPath3_ProdSub,Data_Unified_Pricing_Tbl,$G170,FALSE))*decPath3_Qty*IF(calcPath3ExpMt_Code&gt;2,0,1)</f>
        <v>0</v>
      </c>
      <c r="F170" t="s">
        <v>481</v>
      </c>
      <c r="G170" s="89">
        <v>4</v>
      </c>
    </row>
    <row r="171" spans="3:7">
      <c r="C171" s="208" t="s">
        <v>411</v>
      </c>
      <c r="D171" t="str">
        <f>nmYr3</f>
        <v>Year 4</v>
      </c>
      <c r="E171" s="210">
        <f>IF(decPath3_ProdSub=nmSelect,0,VLOOKUP(decPath3_ProdSub,Data_Unified_Pricing_Tbl,$G171,FALSE))*decPath3_Qty*IF(calcPath3ExpMt_Code&gt;2,0,1)</f>
        <v>0</v>
      </c>
      <c r="F171" t="s">
        <v>482</v>
      </c>
      <c r="G171" s="89">
        <v>4</v>
      </c>
    </row>
    <row r="172" spans="3:7" ht="1.5" customHeight="1">
      <c r="C172" s="208"/>
      <c r="D172" s="209"/>
      <c r="E172" s="212"/>
    </row>
    <row r="173" spans="3:7">
      <c r="C173" s="208"/>
      <c r="D173" t="s">
        <v>12</v>
      </c>
      <c r="E173" s="213">
        <f>SUM(E169:E171)</f>
        <v>0</v>
      </c>
      <c r="F173" t="s">
        <v>483</v>
      </c>
    </row>
    <row r="174" spans="3:7">
      <c r="C174" s="208"/>
      <c r="D174" t="str">
        <f>nmSavings</f>
        <v>SRP Discount</v>
      </c>
      <c r="E174" s="213">
        <f>(calcPath3SubSRP3Yr-calcPath3Yr2_CostTotal)*IF(calcPath3ExpMt_Code&gt;2,0,1)</f>
        <v>0</v>
      </c>
      <c r="F174" t="s">
        <v>484</v>
      </c>
    </row>
    <row r="175" spans="3:7">
      <c r="C175" s="208"/>
      <c r="D175" t="str">
        <f>nmM2SMaintDiff</f>
        <v>Discount off Staying on Maintenance</v>
      </c>
      <c r="E175" s="213">
        <f>(calcPath3MTCost_AllYears-calcPath3Yr2_CostTotal)*IF(calcPath3ExpMt_Code&gt;2,0,1)</f>
        <v>0</v>
      </c>
      <c r="F175" t="s">
        <v>644</v>
      </c>
    </row>
    <row r="176" spans="3:7">
      <c r="E176" s="211"/>
    </row>
    <row r="177" spans="1:12">
      <c r="C177" t="str">
        <f>nmMigrateFY3</f>
        <v>Switch in Year 4</v>
      </c>
      <c r="E177" s="211"/>
    </row>
    <row r="178" spans="1:12">
      <c r="C178" s="208" t="s">
        <v>412</v>
      </c>
      <c r="D178" t="str">
        <f>nmYr1</f>
        <v>Year 2</v>
      </c>
      <c r="E178" s="213">
        <f>calcPath3MTCost_Yr1*IF(calcPath3ExpMt_Code&gt;3,0,1)</f>
        <v>0</v>
      </c>
      <c r="F178" t="s">
        <v>485</v>
      </c>
    </row>
    <row r="179" spans="1:12">
      <c r="C179" s="208" t="s">
        <v>412</v>
      </c>
      <c r="D179" t="str">
        <f>nmYr2</f>
        <v>Year 3</v>
      </c>
      <c r="E179" s="213">
        <f>calcPath3MTCost_Yr2*IF(calcPath3ExpMt_Code&gt;3,0,1)</f>
        <v>0</v>
      </c>
      <c r="F179" t="s">
        <v>486</v>
      </c>
    </row>
    <row r="180" spans="1:12">
      <c r="C180" s="208" t="s">
        <v>411</v>
      </c>
      <c r="D180" t="str">
        <f>nmYr3</f>
        <v>Year 4</v>
      </c>
      <c r="E180" s="210">
        <f>IF(decPath3_ProdSub=nmSelect,0,VLOOKUP(decPath3_ProdSub,Data_Unified_Pricing_Tbl,$G180,FALSE))*decPath3_Qty*IF(calcPath3ExpMt_Code&gt;3,0,1)</f>
        <v>0</v>
      </c>
      <c r="F180" t="s">
        <v>487</v>
      </c>
      <c r="G180" s="89">
        <v>5</v>
      </c>
    </row>
    <row r="181" spans="1:12" ht="1.5" customHeight="1">
      <c r="C181" s="208"/>
      <c r="D181" s="209"/>
      <c r="E181" s="212"/>
    </row>
    <row r="182" spans="1:12">
      <c r="C182" s="208"/>
      <c r="D182" t="s">
        <v>12</v>
      </c>
      <c r="E182" s="213">
        <f>SUM(E178:E180)</f>
        <v>0</v>
      </c>
      <c r="F182" t="s">
        <v>488</v>
      </c>
    </row>
    <row r="183" spans="1:12">
      <c r="C183" s="208"/>
      <c r="D183" t="str">
        <f>nmSavings</f>
        <v>SRP Discount</v>
      </c>
      <c r="E183" s="213">
        <f>(calcPath3SubSRP3Yr-calcPath3Yr3_CostTotal)*IF(calcPath3ExpMt_Code&gt;3,0,1)</f>
        <v>0</v>
      </c>
      <c r="F183" t="s">
        <v>489</v>
      </c>
    </row>
    <row r="184" spans="1:12">
      <c r="C184" s="208"/>
      <c r="D184" t="str">
        <f>nmM2SMaintDiff</f>
        <v>Discount off Staying on Maintenance</v>
      </c>
      <c r="E184" s="213">
        <f>(calcPath3MTCost_AllYears-calcPath3Yr3_CostTotal)*IF(calcPath3ExpMt_Code&gt;3,0,1)</f>
        <v>0</v>
      </c>
      <c r="F184" t="s">
        <v>645</v>
      </c>
    </row>
    <row r="185" spans="1:12">
      <c r="E185" s="211"/>
    </row>
    <row r="186" spans="1:12">
      <c r="C186" t="str">
        <f>nmYr4</f>
        <v>Year 5 - Projected Subscription</v>
      </c>
      <c r="E186" s="211"/>
      <c r="G186" t="s">
        <v>614</v>
      </c>
    </row>
    <row r="187" spans="1:12">
      <c r="C187" s="208"/>
      <c r="D187" t="s">
        <v>576</v>
      </c>
      <c r="E187" s="213">
        <f>calcPath3Yr3_CostYr3*(1+G187)</f>
        <v>0</v>
      </c>
      <c r="F187" t="s">
        <v>579</v>
      </c>
      <c r="G187" s="251">
        <v>0.05</v>
      </c>
    </row>
    <row r="188" spans="1:12">
      <c r="A188" s="6"/>
      <c r="B188" s="6"/>
      <c r="C188" s="6"/>
      <c r="D188" s="6"/>
      <c r="E188" s="6"/>
      <c r="F188" s="6"/>
      <c r="G188" s="6"/>
      <c r="H188" s="6"/>
      <c r="I188" s="6"/>
      <c r="J188" s="6"/>
      <c r="K188" s="6"/>
      <c r="L188" s="6"/>
    </row>
    <row r="189" spans="1:12">
      <c r="A189" s="7" t="s">
        <v>319</v>
      </c>
      <c r="B189" s="2"/>
      <c r="C189" s="2"/>
      <c r="D189" s="2"/>
      <c r="E189" s="2"/>
      <c r="F189" s="3"/>
      <c r="G189" s="3" t="s">
        <v>443</v>
      </c>
      <c r="H189" s="3"/>
      <c r="I189" s="3"/>
      <c r="J189" s="3"/>
      <c r="K189" s="3"/>
      <c r="L189" s="3"/>
    </row>
    <row r="190" spans="1:12">
      <c r="A190" s="156" t="s">
        <v>437</v>
      </c>
    </row>
    <row r="192" spans="1:12">
      <c r="C192" t="s">
        <v>430</v>
      </c>
    </row>
    <row r="193" spans="2:7">
      <c r="D193" t="s">
        <v>685</v>
      </c>
      <c r="E193" s="210">
        <f>IF(decPath4_ProdMT=nmSelect,0,VLOOKUP(decPath4_ProdMT,Data_Unified_Pricing_Tbl,$G193,FALSE))</f>
        <v>0</v>
      </c>
      <c r="G193" s="89">
        <v>6</v>
      </c>
    </row>
    <row r="194" spans="2:7">
      <c r="D194" t="s">
        <v>686</v>
      </c>
      <c r="E194" s="210">
        <f>decPath4_PriceMT_Adj</f>
        <v>0</v>
      </c>
    </row>
    <row r="195" spans="2:7" ht="1.5" customHeight="1">
      <c r="C195" s="208"/>
      <c r="D195" s="209"/>
      <c r="E195" s="212"/>
    </row>
    <row r="196" spans="2:7">
      <c r="D196" t="s">
        <v>430</v>
      </c>
      <c r="E196" s="213">
        <f>SUM(E193:E194)</f>
        <v>0</v>
      </c>
      <c r="F196" t="s">
        <v>490</v>
      </c>
    </row>
    <row r="198" spans="2:7">
      <c r="C198" t="str">
        <f>nmExpMT</f>
        <v>Maintenance Expiration</v>
      </c>
      <c r="E198" s="210" t="str">
        <f>decPath4_ExpMT</f>
        <v>Year 2</v>
      </c>
      <c r="F198" t="s">
        <v>491</v>
      </c>
    </row>
    <row r="199" spans="2:7">
      <c r="C199" t="str">
        <f>nmExpMT&amp;" Year"</f>
        <v>Maintenance Expiration Year</v>
      </c>
      <c r="E199" s="214">
        <f>IF(calcPath4ExpMt=nmFY1,1,0)+IF(calcPath4ExpMt=nmFY2,2,0)+IF(calcPath4ExpMt=nmFY3,3,0)</f>
        <v>1</v>
      </c>
      <c r="F199" t="s">
        <v>492</v>
      </c>
    </row>
    <row r="201" spans="2:7">
      <c r="C201" t="str">
        <f>nmMTAll</f>
        <v>Stay on Maintenance</v>
      </c>
    </row>
    <row r="202" spans="2:7">
      <c r="B202" s="89">
        <v>1</v>
      </c>
      <c r="C202" s="208" t="s">
        <v>412</v>
      </c>
      <c r="D202" t="str">
        <f>nmYr1</f>
        <v>Year 2</v>
      </c>
      <c r="E202" s="210">
        <f>(IF(calcPath4ExpMt_Code&gt;B202,calcPath4MTPrice,IF(OR(decPath4_ProdMT=nmSelect,decPath4_ProdSub=nmSelect),0,VLOOKUP(decPath4_ProdMT,Data_Unified_Pricing_Tbl,$G202,FALSE)+MAX(decPath4_PriceMT_Adj,0)))*decPath4_Qty)</f>
        <v>0</v>
      </c>
      <c r="F202" t="s">
        <v>493</v>
      </c>
      <c r="G202" s="89">
        <v>6</v>
      </c>
    </row>
    <row r="203" spans="2:7">
      <c r="B203" s="89">
        <v>2</v>
      </c>
      <c r="C203" s="208" t="s">
        <v>412</v>
      </c>
      <c r="D203" t="str">
        <f>nmYr2</f>
        <v>Year 3</v>
      </c>
      <c r="E203" s="210">
        <f>IF(calcPath4ExpMt_Code&gt;B203,calcPath4MTPrice,IF(OR(decPath4_ProdMT=nmSelect,decPath4_ProdSub=nmSelect),0,VLOOKUP(decPath4_ProdMT,Data_Unified_Pricing_Tbl,$G203,FALSE)+MAX(decPath4_PriceMT_Adj,0)))*decPath4_Qty</f>
        <v>0</v>
      </c>
      <c r="F203" t="s">
        <v>494</v>
      </c>
      <c r="G203" s="89">
        <v>7</v>
      </c>
    </row>
    <row r="204" spans="2:7">
      <c r="B204" s="89">
        <v>3</v>
      </c>
      <c r="C204" s="208" t="s">
        <v>412</v>
      </c>
      <c r="D204" t="str">
        <f>nmYr3</f>
        <v>Year 4</v>
      </c>
      <c r="E204" s="210">
        <f>IF(calcPath4ExpMt_Code&gt;B204,calcPath4MTPrice,IF(OR(decPath4_ProdMT=nmSelect,decPath4_ProdSub=nmSelect),0,VLOOKUP(decPath4_ProdMT,Data_Unified_Pricing_Tbl,$G204,FALSE)+MAX(decPath4_PriceMT_Adj,0)))*decPath4_Qty</f>
        <v>0</v>
      </c>
      <c r="F204" t="s">
        <v>495</v>
      </c>
      <c r="G204" s="89">
        <v>8</v>
      </c>
    </row>
    <row r="205" spans="2:7" ht="1.5" customHeight="1">
      <c r="C205" s="208"/>
      <c r="D205" s="209"/>
      <c r="E205" s="212"/>
    </row>
    <row r="206" spans="2:7">
      <c r="C206" s="208"/>
      <c r="D206" t="s">
        <v>12</v>
      </c>
      <c r="E206" s="213">
        <f>SUM(E202:E204)</f>
        <v>0</v>
      </c>
      <c r="F206" t="s">
        <v>496</v>
      </c>
    </row>
    <row r="208" spans="2:7">
      <c r="C208" t="str">
        <f>nmNewSub</f>
        <v>New Subscription SRP</v>
      </c>
      <c r="G208" s="4"/>
    </row>
    <row r="209" spans="3:8">
      <c r="D209" t="s">
        <v>438</v>
      </c>
      <c r="E209" s="215" t="str">
        <f>IF(decPath4_Access=1,nmSingle,nmMulti)</f>
        <v>Single</v>
      </c>
      <c r="G209" t="s">
        <v>441</v>
      </c>
      <c r="H209" t="s">
        <v>442</v>
      </c>
    </row>
    <row r="210" spans="3:8">
      <c r="D210" t="s">
        <v>443</v>
      </c>
      <c r="E210" s="213">
        <f>INDEX($G210:$H210,decPath4_Access)</f>
        <v>9</v>
      </c>
      <c r="G210" s="89">
        <v>9</v>
      </c>
      <c r="H210" s="89">
        <v>10</v>
      </c>
    </row>
    <row r="211" spans="3:8" ht="1.5" customHeight="1">
      <c r="C211" s="208"/>
      <c r="D211" s="209"/>
      <c r="E211" s="212"/>
    </row>
    <row r="212" spans="3:8">
      <c r="D212" t="str">
        <f>nmTotal1Yr</f>
        <v>1 Year Investment</v>
      </c>
      <c r="E212" s="210">
        <f>IF(decPath4_ProdSub=nmSelect,0,VLOOKUP(decPath4_ProdSub,Data_Unified_Pricing_Tbl,E210,FALSE))*decPath4_Qty</f>
        <v>0</v>
      </c>
      <c r="F212" t="s">
        <v>497</v>
      </c>
    </row>
    <row r="213" spans="3:8">
      <c r="D213" t="str">
        <f>nmTotal3Yr</f>
        <v>3 Year Investment</v>
      </c>
      <c r="E213" s="213">
        <f>calcPath4SubSRP*cnstYears</f>
        <v>0</v>
      </c>
      <c r="F213" t="s">
        <v>703</v>
      </c>
    </row>
    <row r="214" spans="3:8">
      <c r="E214" s="211"/>
    </row>
    <row r="215" spans="3:8">
      <c r="C215" t="str">
        <f>nmMigrateFY1</f>
        <v>Switch in Year 2</v>
      </c>
      <c r="E215" s="211"/>
    </row>
    <row r="216" spans="3:8">
      <c r="C216" s="208" t="s">
        <v>411</v>
      </c>
      <c r="D216" t="str">
        <f>nmYr1</f>
        <v>Year 2</v>
      </c>
      <c r="E216" s="210">
        <f>IF(decPath4_ProdSub=nmSelect,0,VLOOKUP(decPath4_ProdSub,Data_Unified_Pricing_Tbl,$G216,FALSE))*decPath4_Qty*IF(calcPath4ExpMt_Code&gt;1,0,1)</f>
        <v>0</v>
      </c>
      <c r="F216" t="s">
        <v>498</v>
      </c>
      <c r="G216" s="89">
        <v>3</v>
      </c>
    </row>
    <row r="217" spans="3:8">
      <c r="C217" s="208" t="s">
        <v>411</v>
      </c>
      <c r="D217" t="str">
        <f>nmYr2</f>
        <v>Year 3</v>
      </c>
      <c r="E217" s="210">
        <f>IF(decPath4_ProdSub=nmSelect,0,VLOOKUP(decPath4_ProdSub,Data_Unified_Pricing_Tbl,$G217,FALSE))*decPath4_Qty*IF(calcPath4ExpMt_Code&gt;1,0,1)</f>
        <v>0</v>
      </c>
      <c r="F217" t="s">
        <v>499</v>
      </c>
      <c r="G217" s="89">
        <v>3</v>
      </c>
    </row>
    <row r="218" spans="3:8">
      <c r="C218" s="208" t="s">
        <v>411</v>
      </c>
      <c r="D218" t="str">
        <f>nmYr3</f>
        <v>Year 4</v>
      </c>
      <c r="E218" s="210">
        <f>IF(decPath4_ProdSub=nmSelect,0,VLOOKUP(decPath4_ProdSub,Data_Unified_Pricing_Tbl,$G218,FALSE))*decPath4_Qty*IF(calcPath4ExpMt_Code&gt;1,0,1)</f>
        <v>0</v>
      </c>
      <c r="F218" t="s">
        <v>500</v>
      </c>
      <c r="G218" s="89">
        <v>3</v>
      </c>
    </row>
    <row r="219" spans="3:8" ht="1.5" customHeight="1">
      <c r="C219" s="208"/>
      <c r="D219" s="209"/>
      <c r="E219" s="212"/>
    </row>
    <row r="220" spans="3:8">
      <c r="C220" s="208"/>
      <c r="D220" t="s">
        <v>12</v>
      </c>
      <c r="E220" s="213">
        <f>SUM(E216:E218)</f>
        <v>0</v>
      </c>
      <c r="F220" t="s">
        <v>501</v>
      </c>
    </row>
    <row r="221" spans="3:8">
      <c r="C221" s="208"/>
      <c r="D221" t="str">
        <f>nmSavings</f>
        <v>SRP Discount</v>
      </c>
      <c r="E221" s="213">
        <f>(calcPath4SubSRP3Yr-calcPath4Yr1_CostTotal)*IF(calcPath4ExpMt_Code&gt;1,0,1)</f>
        <v>0</v>
      </c>
      <c r="F221" t="s">
        <v>502</v>
      </c>
    </row>
    <row r="222" spans="3:8">
      <c r="C222" s="208"/>
      <c r="D222" t="str">
        <f>nmM2SMaintDiff</f>
        <v>Discount off Staying on Maintenance</v>
      </c>
      <c r="E222" s="213">
        <f>(calcPath4MTCost_AllYears-calcPath4Yr1_CostTotal)*IF(calcPath4ExpMt_Code&gt;1,0,1)</f>
        <v>0</v>
      </c>
      <c r="F222" t="s">
        <v>646</v>
      </c>
    </row>
    <row r="223" spans="3:8">
      <c r="E223" s="211"/>
    </row>
    <row r="224" spans="3:8">
      <c r="C224" t="str">
        <f>nmMigrateFY2</f>
        <v>Switch in Year 3</v>
      </c>
      <c r="E224" s="211"/>
    </row>
    <row r="225" spans="3:7">
      <c r="C225" s="208" t="s">
        <v>412</v>
      </c>
      <c r="D225" t="str">
        <f>nmYr1</f>
        <v>Year 2</v>
      </c>
      <c r="E225" s="213">
        <f>calcPath4MTCost_Yr1*IF(calcPath4ExpMt_Code&gt;2,0,1)</f>
        <v>0</v>
      </c>
      <c r="F225" t="s">
        <v>503</v>
      </c>
    </row>
    <row r="226" spans="3:7">
      <c r="C226" s="208" t="s">
        <v>411</v>
      </c>
      <c r="D226" t="str">
        <f>nmYr2</f>
        <v>Year 3</v>
      </c>
      <c r="E226" s="210">
        <f>IF(decPath4_ProdSub=nmSelect,0,VLOOKUP(decPath4_ProdSub,Data_Unified_Pricing_Tbl,$G226,FALSE))*decPath4_Qty*IF(calcPath4ExpMt_Code&gt;2,0,1)</f>
        <v>0</v>
      </c>
      <c r="F226" t="s">
        <v>504</v>
      </c>
      <c r="G226" s="89">
        <v>4</v>
      </c>
    </row>
    <row r="227" spans="3:7">
      <c r="C227" s="208" t="s">
        <v>411</v>
      </c>
      <c r="D227" t="str">
        <f>nmYr3</f>
        <v>Year 4</v>
      </c>
      <c r="E227" s="210">
        <f>IF(decPath4_ProdSub=nmSelect,0,VLOOKUP(decPath4_ProdSub,Data_Unified_Pricing_Tbl,$G227,FALSE))*decPath4_Qty*IF(calcPath4ExpMt_Code&gt;2,0,1)</f>
        <v>0</v>
      </c>
      <c r="F227" t="s">
        <v>505</v>
      </c>
      <c r="G227" s="89">
        <v>4</v>
      </c>
    </row>
    <row r="228" spans="3:7" ht="1.5" customHeight="1">
      <c r="C228" s="208"/>
      <c r="D228" s="209"/>
      <c r="E228" s="212"/>
    </row>
    <row r="229" spans="3:7">
      <c r="C229" s="208"/>
      <c r="D229" t="s">
        <v>12</v>
      </c>
      <c r="E229" s="213">
        <f>SUM(E225:E227)</f>
        <v>0</v>
      </c>
      <c r="F229" t="s">
        <v>506</v>
      </c>
    </row>
    <row r="230" spans="3:7">
      <c r="C230" s="208"/>
      <c r="D230" t="str">
        <f>nmSavings</f>
        <v>SRP Discount</v>
      </c>
      <c r="E230" s="213">
        <f>(calcPath4SubSRP3Yr-calcPath4Yr2_CostTotal)*IF(calcPath4ExpMt_Code&gt;2,0,1)</f>
        <v>0</v>
      </c>
      <c r="F230" t="s">
        <v>507</v>
      </c>
    </row>
    <row r="231" spans="3:7">
      <c r="C231" s="208"/>
      <c r="D231" t="str">
        <f>nmM2SMaintDiff</f>
        <v>Discount off Staying on Maintenance</v>
      </c>
      <c r="E231" s="213">
        <f>(calcPath4MTCost_AllYears-calcPath4Yr2_CostTotal)*IF(calcPath4ExpMt_Code&gt;2,0,1)</f>
        <v>0</v>
      </c>
      <c r="F231" t="s">
        <v>647</v>
      </c>
    </row>
    <row r="232" spans="3:7">
      <c r="E232" s="211"/>
    </row>
    <row r="233" spans="3:7">
      <c r="C233" t="str">
        <f>nmMigrateFY3</f>
        <v>Switch in Year 4</v>
      </c>
      <c r="E233" s="211"/>
    </row>
    <row r="234" spans="3:7">
      <c r="C234" s="208" t="s">
        <v>412</v>
      </c>
      <c r="D234" t="str">
        <f>nmYr1</f>
        <v>Year 2</v>
      </c>
      <c r="E234" s="213">
        <f>calcPath4MTCost_Yr1*IF(calcPath4ExpMt_Code&gt;3,0,1)</f>
        <v>0</v>
      </c>
      <c r="F234" t="s">
        <v>508</v>
      </c>
    </row>
    <row r="235" spans="3:7">
      <c r="C235" s="208" t="s">
        <v>412</v>
      </c>
      <c r="D235" t="str">
        <f>nmYr2</f>
        <v>Year 3</v>
      </c>
      <c r="E235" s="213">
        <f>calcPath4MTCost_Yr2*IF(calcPath4ExpMt_Code&gt;3,0,1)</f>
        <v>0</v>
      </c>
      <c r="F235" t="s">
        <v>509</v>
      </c>
    </row>
    <row r="236" spans="3:7">
      <c r="C236" s="208" t="s">
        <v>411</v>
      </c>
      <c r="D236" t="str">
        <f>nmYr3</f>
        <v>Year 4</v>
      </c>
      <c r="E236" s="210">
        <f>IF(decPath4_ProdSub=nmSelect,0,VLOOKUP(decPath4_ProdSub,Data_Unified_Pricing_Tbl,$G236,FALSE))*decPath4_Qty*IF(calcPath4ExpMt_Code&gt;3,0,1)</f>
        <v>0</v>
      </c>
      <c r="F236" t="s">
        <v>510</v>
      </c>
      <c r="G236" s="89">
        <v>5</v>
      </c>
    </row>
    <row r="237" spans="3:7" ht="1.5" customHeight="1">
      <c r="C237" s="208"/>
      <c r="D237" s="209"/>
      <c r="E237" s="212"/>
    </row>
    <row r="238" spans="3:7">
      <c r="C238" s="208"/>
      <c r="D238" t="s">
        <v>12</v>
      </c>
      <c r="E238" s="213">
        <f>SUM(E234:E236)</f>
        <v>0</v>
      </c>
      <c r="F238" t="s">
        <v>511</v>
      </c>
    </row>
    <row r="239" spans="3:7">
      <c r="C239" s="208"/>
      <c r="D239" t="str">
        <f>nmSavings</f>
        <v>SRP Discount</v>
      </c>
      <c r="E239" s="213">
        <f>(calcPath4SubSRP3Yr-calcPath4Yr3_CostTotal)*IF(calcPath4ExpMt_Code&gt;3,0,1)</f>
        <v>0</v>
      </c>
      <c r="F239" t="s">
        <v>512</v>
      </c>
    </row>
    <row r="240" spans="3:7">
      <c r="C240" s="208"/>
      <c r="D240" t="str">
        <f>nmM2SMaintDiff</f>
        <v>Discount off Staying on Maintenance</v>
      </c>
      <c r="E240" s="213">
        <f>(calcPath4MTCost_AllYears-calcPath4Yr3_CostTotal)*IF(calcPath4ExpMt_Code&gt;3,0,1)</f>
        <v>0</v>
      </c>
      <c r="F240" t="s">
        <v>648</v>
      </c>
    </row>
    <row r="241" spans="1:12">
      <c r="E241" s="211"/>
    </row>
    <row r="242" spans="1:12">
      <c r="C242" t="str">
        <f>nmYr4</f>
        <v>Year 5 - Projected Subscription</v>
      </c>
      <c r="E242" s="211"/>
      <c r="G242" t="s">
        <v>614</v>
      </c>
    </row>
    <row r="243" spans="1:12">
      <c r="C243" s="208"/>
      <c r="D243" t="s">
        <v>576</v>
      </c>
      <c r="E243" s="213">
        <f>calcPath4Yr3_CostYr3*(1+G243)</f>
        <v>0</v>
      </c>
      <c r="F243" t="s">
        <v>580</v>
      </c>
      <c r="G243" s="251">
        <v>0.05</v>
      </c>
    </row>
    <row r="244" spans="1:12">
      <c r="A244" s="6"/>
      <c r="B244" s="6"/>
      <c r="C244" s="6"/>
      <c r="D244" s="6"/>
      <c r="E244" s="6"/>
      <c r="F244" s="6"/>
      <c r="G244" s="6"/>
      <c r="H244" s="6"/>
      <c r="I244" s="6"/>
      <c r="J244" s="6"/>
      <c r="K244" s="6"/>
      <c r="L244" s="6"/>
    </row>
    <row r="245" spans="1:12">
      <c r="A245" s="7" t="s">
        <v>320</v>
      </c>
      <c r="B245" s="2"/>
      <c r="C245" s="2"/>
      <c r="D245" s="2"/>
      <c r="E245" s="2"/>
      <c r="F245" s="3"/>
      <c r="G245" s="3" t="s">
        <v>443</v>
      </c>
      <c r="H245" s="3"/>
      <c r="I245" s="3"/>
      <c r="J245" s="3"/>
      <c r="K245" s="3"/>
      <c r="L245" s="3"/>
    </row>
    <row r="246" spans="1:12">
      <c r="A246" s="156" t="s">
        <v>437</v>
      </c>
    </row>
    <row r="248" spans="1:12">
      <c r="C248" t="s">
        <v>430</v>
      </c>
    </row>
    <row r="249" spans="1:12">
      <c r="D249" t="s">
        <v>685</v>
      </c>
      <c r="E249" s="210">
        <f>IF(decPath5_ProdMT=nmSelect,0,VLOOKUP(decPath5_ProdMT,Data_Unified_Pricing_Tbl,$G249,FALSE))</f>
        <v>0</v>
      </c>
      <c r="G249" s="89">
        <v>6</v>
      </c>
    </row>
    <row r="250" spans="1:12">
      <c r="D250" t="s">
        <v>686</v>
      </c>
      <c r="E250" s="210">
        <f>decPath5_PriceMT_Adj</f>
        <v>0</v>
      </c>
    </row>
    <row r="251" spans="1:12" ht="1.5" customHeight="1">
      <c r="C251" s="208"/>
      <c r="D251" s="209"/>
      <c r="E251" s="212"/>
    </row>
    <row r="252" spans="1:12">
      <c r="D252" t="s">
        <v>430</v>
      </c>
      <c r="E252" s="213">
        <f>SUM(E249:E250)</f>
        <v>0</v>
      </c>
      <c r="F252" t="s">
        <v>1530</v>
      </c>
    </row>
    <row r="254" spans="1:12">
      <c r="C254" t="str">
        <f>nmExpMT</f>
        <v>Maintenance Expiration</v>
      </c>
      <c r="E254" s="210" t="str">
        <f>decPath5_ExpMT</f>
        <v>Year 2</v>
      </c>
      <c r="F254" t="s">
        <v>1531</v>
      </c>
    </row>
    <row r="255" spans="1:12">
      <c r="C255" t="str">
        <f>nmExpMT&amp;" Year"</f>
        <v>Maintenance Expiration Year</v>
      </c>
      <c r="E255" s="214">
        <f>IF(calcPath5ExpMt=nmFY1,1,0)+IF(calcPath5ExpMt=nmFY2,2,0)+IF(calcPath5ExpMt=nmFY3,3,0)</f>
        <v>1</v>
      </c>
      <c r="F255" t="s">
        <v>1532</v>
      </c>
    </row>
    <row r="257" spans="2:8">
      <c r="C257" t="str">
        <f>nmMTAll</f>
        <v>Stay on Maintenance</v>
      </c>
    </row>
    <row r="258" spans="2:8">
      <c r="B258" s="89">
        <v>1</v>
      </c>
      <c r="C258" s="208" t="s">
        <v>412</v>
      </c>
      <c r="D258" t="str">
        <f>nmYr1</f>
        <v>Year 2</v>
      </c>
      <c r="E258" s="210">
        <f>(IF(calcPath5ExpMt_Code&gt;B258,calcPath5MTPrice,IF(OR(decPath5_ProdMT=nmSelect,decPath5_ProdSub=nmSelect),0,VLOOKUP(decPath5_ProdMT,Data_Unified_Pricing_Tbl,$G258,FALSE)+MAX(decPath5_PriceMT_Adj,0)))*decPath5_Qty)</f>
        <v>0</v>
      </c>
      <c r="F258" t="s">
        <v>1533</v>
      </c>
      <c r="G258" s="89">
        <v>6</v>
      </c>
    </row>
    <row r="259" spans="2:8">
      <c r="B259" s="89">
        <v>2</v>
      </c>
      <c r="C259" s="208" t="s">
        <v>412</v>
      </c>
      <c r="D259" t="str">
        <f>nmYr2</f>
        <v>Year 3</v>
      </c>
      <c r="E259" s="210">
        <f>IF(calcPath5ExpMt_Code&gt;B259,calcPath5MTPrice,IF(OR(decPath5_ProdMT=nmSelect,decPath5_ProdSub=nmSelect),0,VLOOKUP(decPath5_ProdMT,Data_Unified_Pricing_Tbl,$G259,FALSE)+MAX(decPath5_PriceMT_Adj,0)))*decPath5_Qty</f>
        <v>0</v>
      </c>
      <c r="F259" t="s">
        <v>1534</v>
      </c>
      <c r="G259" s="89">
        <v>7</v>
      </c>
    </row>
    <row r="260" spans="2:8">
      <c r="B260" s="89">
        <v>3</v>
      </c>
      <c r="C260" s="208" t="s">
        <v>412</v>
      </c>
      <c r="D260" t="str">
        <f>nmYr3</f>
        <v>Year 4</v>
      </c>
      <c r="E260" s="210">
        <f>IF(calcPath5ExpMt_Code&gt;B260,calcPath5MTPrice,IF(OR(decPath5_ProdMT=nmSelect,decPath5_ProdSub=nmSelect),0,VLOOKUP(decPath5_ProdMT,Data_Unified_Pricing_Tbl,$G260,FALSE)+MAX(decPath5_PriceMT_Adj,0)))*decPath5_Qty</f>
        <v>0</v>
      </c>
      <c r="F260" t="s">
        <v>1535</v>
      </c>
      <c r="G260" s="89">
        <v>8</v>
      </c>
    </row>
    <row r="261" spans="2:8" ht="1.5" customHeight="1">
      <c r="C261" s="208"/>
      <c r="D261" s="209"/>
      <c r="E261" s="212"/>
    </row>
    <row r="262" spans="2:8">
      <c r="C262" s="208"/>
      <c r="D262" t="s">
        <v>12</v>
      </c>
      <c r="E262" s="213">
        <f>SUM(E258:E260)</f>
        <v>0</v>
      </c>
      <c r="F262" t="s">
        <v>1536</v>
      </c>
    </row>
    <row r="264" spans="2:8">
      <c r="C264" t="str">
        <f>nmNewSub</f>
        <v>New Subscription SRP</v>
      </c>
      <c r="G264" s="4"/>
    </row>
    <row r="265" spans="2:8">
      <c r="D265" t="s">
        <v>438</v>
      </c>
      <c r="E265" s="215" t="str">
        <f>IF(decPath5_Access=1,nmSingle,nmMulti)</f>
        <v>Single</v>
      </c>
      <c r="G265" t="s">
        <v>441</v>
      </c>
      <c r="H265" t="s">
        <v>442</v>
      </c>
    </row>
    <row r="266" spans="2:8">
      <c r="D266" t="s">
        <v>443</v>
      </c>
      <c r="E266" s="213">
        <f>INDEX($G266:$H266,decPath5_Access)</f>
        <v>9</v>
      </c>
      <c r="G266" s="89">
        <v>9</v>
      </c>
      <c r="H266" s="89">
        <v>10</v>
      </c>
    </row>
    <row r="267" spans="2:8" ht="1.5" customHeight="1">
      <c r="C267" s="208"/>
      <c r="D267" s="209"/>
      <c r="E267" s="212"/>
    </row>
    <row r="268" spans="2:8">
      <c r="D268" t="str">
        <f>nmTotal1Yr</f>
        <v>1 Year Investment</v>
      </c>
      <c r="E268" s="210">
        <f>IF(decPath5_ProdSub=nmSelect,0,VLOOKUP(decPath5_ProdSub,Data_Unified_Pricing_Tbl,E266,FALSE))*decPath5_Qty</f>
        <v>0</v>
      </c>
      <c r="F268" t="s">
        <v>1537</v>
      </c>
    </row>
    <row r="269" spans="2:8">
      <c r="D269" t="str">
        <f>nmTotal3Yr</f>
        <v>3 Year Investment</v>
      </c>
      <c r="E269" s="213">
        <f>calcPath5SubSRP*cnstYears</f>
        <v>0</v>
      </c>
      <c r="F269" t="s">
        <v>1538</v>
      </c>
    </row>
    <row r="270" spans="2:8">
      <c r="E270" s="211"/>
    </row>
    <row r="271" spans="2:8">
      <c r="C271" t="str">
        <f>nmMigrateFY1</f>
        <v>Switch in Year 2</v>
      </c>
      <c r="E271" s="211"/>
    </row>
    <row r="272" spans="2:8">
      <c r="C272" s="208" t="s">
        <v>411</v>
      </c>
      <c r="D272" t="str">
        <f>nmYr1</f>
        <v>Year 2</v>
      </c>
      <c r="E272" s="210">
        <f>IF(decPath5_ProdSub=nmSelect,0,VLOOKUP(decPath5_ProdSub,Data_Unified_Pricing_Tbl,$G272,FALSE))*decPath5_Qty*IF(calcPath5ExpMt_Code&gt;1,0,1)</f>
        <v>0</v>
      </c>
      <c r="F272" t="s">
        <v>1539</v>
      </c>
      <c r="G272" s="89">
        <v>3</v>
      </c>
    </row>
    <row r="273" spans="3:7">
      <c r="C273" s="208" t="s">
        <v>411</v>
      </c>
      <c r="D273" t="str">
        <f>nmYr2</f>
        <v>Year 3</v>
      </c>
      <c r="E273" s="210">
        <f>IF(decPath5_ProdSub=nmSelect,0,VLOOKUP(decPath5_ProdSub,Data_Unified_Pricing_Tbl,$G273,FALSE))*decPath5_Qty*IF(calcPath5ExpMt_Code&gt;1,0,1)</f>
        <v>0</v>
      </c>
      <c r="F273" t="s">
        <v>1540</v>
      </c>
      <c r="G273" s="89">
        <v>3</v>
      </c>
    </row>
    <row r="274" spans="3:7">
      <c r="C274" s="208" t="s">
        <v>411</v>
      </c>
      <c r="D274" t="str">
        <f>nmYr3</f>
        <v>Year 4</v>
      </c>
      <c r="E274" s="210">
        <f>IF(decPath5_ProdSub=nmSelect,0,VLOOKUP(decPath5_ProdSub,Data_Unified_Pricing_Tbl,$G274,FALSE))*decPath5_Qty*IF(calcPath5ExpMt_Code&gt;1,0,1)</f>
        <v>0</v>
      </c>
      <c r="F274" t="s">
        <v>1541</v>
      </c>
      <c r="G274" s="89">
        <v>3</v>
      </c>
    </row>
    <row r="275" spans="3:7" ht="1.5" customHeight="1">
      <c r="C275" s="208"/>
      <c r="D275" s="209"/>
      <c r="E275" s="212"/>
    </row>
    <row r="276" spans="3:7">
      <c r="C276" s="208"/>
      <c r="D276" t="s">
        <v>12</v>
      </c>
      <c r="E276" s="213">
        <f>SUM(E272:E274)</f>
        <v>0</v>
      </c>
      <c r="F276" t="s">
        <v>1542</v>
      </c>
    </row>
    <row r="277" spans="3:7">
      <c r="C277" s="208"/>
      <c r="D277" t="str">
        <f>nmSavings</f>
        <v>SRP Discount</v>
      </c>
      <c r="E277" s="213">
        <f>(calcPath5SubSRP3Yr-calcPath5Yr1_CostTotal)*IF(calcPath5ExpMt_Code&gt;1,0,1)</f>
        <v>0</v>
      </c>
      <c r="F277" t="s">
        <v>1543</v>
      </c>
    </row>
    <row r="278" spans="3:7">
      <c r="C278" s="208"/>
      <c r="D278" t="str">
        <f>nmM2SMaintDiff</f>
        <v>Discount off Staying on Maintenance</v>
      </c>
      <c r="E278" s="213">
        <f>(calcPath5MTCost_AllYears-calcPath5Yr1_CostTotal)*IF(calcPath5ExpMt_Code&gt;1,0,1)</f>
        <v>0</v>
      </c>
      <c r="F278" t="s">
        <v>1544</v>
      </c>
    </row>
    <row r="279" spans="3:7">
      <c r="E279" s="211"/>
    </row>
    <row r="280" spans="3:7">
      <c r="C280" t="str">
        <f>nmMigrateFY2</f>
        <v>Switch in Year 3</v>
      </c>
      <c r="E280" s="211"/>
    </row>
    <row r="281" spans="3:7">
      <c r="C281" s="208" t="s">
        <v>412</v>
      </c>
      <c r="D281" t="str">
        <f>nmYr1</f>
        <v>Year 2</v>
      </c>
      <c r="E281" s="213">
        <f>calcPath5MTCost_Yr1*IF(calcPath5ExpMt_Code&gt;2,0,1)</f>
        <v>0</v>
      </c>
      <c r="F281" t="s">
        <v>1545</v>
      </c>
    </row>
    <row r="282" spans="3:7">
      <c r="C282" s="208" t="s">
        <v>411</v>
      </c>
      <c r="D282" t="str">
        <f>nmYr2</f>
        <v>Year 3</v>
      </c>
      <c r="E282" s="210">
        <f>IF(decPath5_ProdSub=nmSelect,0,VLOOKUP(decPath5_ProdSub,Data_Unified_Pricing_Tbl,$G282,FALSE))*decPath5_Qty*IF(calcPath5ExpMt_Code&gt;2,0,1)</f>
        <v>0</v>
      </c>
      <c r="F282" t="s">
        <v>1546</v>
      </c>
      <c r="G282" s="89">
        <v>4</v>
      </c>
    </row>
    <row r="283" spans="3:7">
      <c r="C283" s="208" t="s">
        <v>411</v>
      </c>
      <c r="D283" t="str">
        <f>nmYr3</f>
        <v>Year 4</v>
      </c>
      <c r="E283" s="210">
        <f>IF(decPath5_ProdSub=nmSelect,0,VLOOKUP(decPath5_ProdSub,Data_Unified_Pricing_Tbl,$G283,FALSE))*decPath5_Qty*IF(calcPath5ExpMt_Code&gt;2,0,1)</f>
        <v>0</v>
      </c>
      <c r="F283" t="s">
        <v>1547</v>
      </c>
      <c r="G283" s="89">
        <v>4</v>
      </c>
    </row>
    <row r="284" spans="3:7" ht="1.5" customHeight="1">
      <c r="C284" s="208"/>
      <c r="D284" s="209"/>
      <c r="E284" s="212"/>
    </row>
    <row r="285" spans="3:7">
      <c r="C285" s="208"/>
      <c r="D285" t="s">
        <v>12</v>
      </c>
      <c r="E285" s="213">
        <f>SUM(E281:E283)</f>
        <v>0</v>
      </c>
      <c r="F285" t="s">
        <v>1548</v>
      </c>
    </row>
    <row r="286" spans="3:7">
      <c r="C286" s="208"/>
      <c r="D286" t="str">
        <f>nmSavings</f>
        <v>SRP Discount</v>
      </c>
      <c r="E286" s="213">
        <f>(calcPath5SubSRP3Yr-calcPath5Yr2_CostTotal)*IF(calcPath5ExpMt_Code&gt;2,0,1)</f>
        <v>0</v>
      </c>
      <c r="F286" t="s">
        <v>1549</v>
      </c>
    </row>
    <row r="287" spans="3:7">
      <c r="C287" s="208"/>
      <c r="D287" t="str">
        <f>nmM2SMaintDiff</f>
        <v>Discount off Staying on Maintenance</v>
      </c>
      <c r="E287" s="213">
        <f>(calcPath5MTCost_AllYears-calcPath5Yr2_CostTotal)*IF(calcPath5ExpMt_Code&gt;2,0,1)</f>
        <v>0</v>
      </c>
      <c r="F287" t="s">
        <v>1550</v>
      </c>
    </row>
    <row r="288" spans="3:7">
      <c r="E288" s="211"/>
    </row>
    <row r="289" spans="1:12">
      <c r="C289" t="str">
        <f>nmMigrateFY3</f>
        <v>Switch in Year 4</v>
      </c>
      <c r="E289" s="211"/>
    </row>
    <row r="290" spans="1:12">
      <c r="C290" s="208" t="s">
        <v>412</v>
      </c>
      <c r="D290" t="str">
        <f>nmYr1</f>
        <v>Year 2</v>
      </c>
      <c r="E290" s="213">
        <f>calcPath5MTCost_Yr1*IF(calcPath5ExpMt_Code&gt;3,0,1)</f>
        <v>0</v>
      </c>
      <c r="F290" t="s">
        <v>1551</v>
      </c>
    </row>
    <row r="291" spans="1:12">
      <c r="C291" s="208" t="s">
        <v>412</v>
      </c>
      <c r="D291" t="str">
        <f>nmYr2</f>
        <v>Year 3</v>
      </c>
      <c r="E291" s="213">
        <f>calcPath5MTCost_Yr2*IF(calcPath5ExpMt_Code&gt;3,0,1)</f>
        <v>0</v>
      </c>
      <c r="F291" t="s">
        <v>1552</v>
      </c>
    </row>
    <row r="292" spans="1:12">
      <c r="C292" s="208" t="s">
        <v>411</v>
      </c>
      <c r="D292" t="str">
        <f>nmYr3</f>
        <v>Year 4</v>
      </c>
      <c r="E292" s="210">
        <f>IF(decPath5_ProdSub=nmSelect,0,VLOOKUP(decPath5_ProdSub,Data_Unified_Pricing_Tbl,$G292,FALSE))*decPath5_Qty*IF(calcPath5ExpMt_Code&gt;3,0,1)</f>
        <v>0</v>
      </c>
      <c r="F292" t="s">
        <v>1553</v>
      </c>
      <c r="G292" s="89">
        <v>5</v>
      </c>
    </row>
    <row r="293" spans="1:12" ht="1.5" customHeight="1">
      <c r="C293" s="208"/>
      <c r="D293" s="209"/>
      <c r="E293" s="212"/>
    </row>
    <row r="294" spans="1:12">
      <c r="C294" s="208"/>
      <c r="D294" t="s">
        <v>12</v>
      </c>
      <c r="E294" s="213">
        <f>SUM(E290:E292)</f>
        <v>0</v>
      </c>
      <c r="F294" t="s">
        <v>1554</v>
      </c>
    </row>
    <row r="295" spans="1:12">
      <c r="C295" s="208"/>
      <c r="D295" t="str">
        <f>nmSavings</f>
        <v>SRP Discount</v>
      </c>
      <c r="E295" s="213">
        <f>(calcPath5SubSRP3Yr-calcPath5Yr3_CostTotal)*IF(calcPath5ExpMt_Code&gt;3,0,1)</f>
        <v>0</v>
      </c>
      <c r="F295" t="s">
        <v>1555</v>
      </c>
    </row>
    <row r="296" spans="1:12">
      <c r="C296" s="208"/>
      <c r="D296" t="str">
        <f>nmM2SMaintDiff</f>
        <v>Discount off Staying on Maintenance</v>
      </c>
      <c r="E296" s="213">
        <f>(calcPath5MTCost_AllYears-calcPath5Yr3_CostTotal)*IF(calcPath5ExpMt_Code&gt;3,0,1)</f>
        <v>0</v>
      </c>
      <c r="F296" t="s">
        <v>1556</v>
      </c>
    </row>
    <row r="297" spans="1:12">
      <c r="E297" s="211"/>
    </row>
    <row r="298" spans="1:12">
      <c r="C298" t="str">
        <f>nmYr4</f>
        <v>Year 5 - Projected Subscription</v>
      </c>
      <c r="E298" s="211"/>
      <c r="G298" t="s">
        <v>614</v>
      </c>
    </row>
    <row r="299" spans="1:12">
      <c r="C299" s="208"/>
      <c r="D299" t="s">
        <v>576</v>
      </c>
      <c r="E299" s="213">
        <f>calcPath5Yr3_CostYr3*(1+G299)</f>
        <v>0</v>
      </c>
      <c r="F299" t="s">
        <v>1557</v>
      </c>
      <c r="G299" s="251">
        <v>0.05</v>
      </c>
    </row>
    <row r="300" spans="1:12">
      <c r="A300" s="6"/>
      <c r="B300" s="6"/>
      <c r="C300" s="6"/>
      <c r="D300" s="6"/>
      <c r="E300" s="6"/>
      <c r="F300" s="6"/>
      <c r="G300" s="6"/>
      <c r="H300" s="6"/>
      <c r="I300" s="6"/>
      <c r="J300" s="6"/>
      <c r="K300" s="6"/>
      <c r="L300" s="6"/>
    </row>
    <row r="301" spans="1:12">
      <c r="A301" s="7" t="s">
        <v>1429</v>
      </c>
      <c r="B301" s="2"/>
      <c r="C301" s="2"/>
      <c r="D301" s="2"/>
      <c r="E301" s="2"/>
      <c r="F301" s="3"/>
      <c r="G301" s="3" t="s">
        <v>443</v>
      </c>
      <c r="H301" s="3"/>
      <c r="I301" s="3"/>
      <c r="J301" s="3"/>
      <c r="K301" s="3"/>
      <c r="L301" s="3"/>
    </row>
    <row r="302" spans="1:12">
      <c r="A302" s="156" t="s">
        <v>437</v>
      </c>
    </row>
    <row r="304" spans="1:12">
      <c r="C304" t="s">
        <v>430</v>
      </c>
    </row>
    <row r="305" spans="2:7">
      <c r="D305" t="s">
        <v>685</v>
      </c>
      <c r="E305" s="210">
        <f>IF(decPath6_ProdMT=nmSelect,0,VLOOKUP(decPath6_ProdMT,Data_Unified_Pricing_Tbl,$G305,FALSE))</f>
        <v>0</v>
      </c>
      <c r="G305" s="89">
        <v>6</v>
      </c>
    </row>
    <row r="306" spans="2:7">
      <c r="D306" t="s">
        <v>686</v>
      </c>
      <c r="E306" s="210">
        <f>decPath6_PriceMT_Adj</f>
        <v>0</v>
      </c>
    </row>
    <row r="307" spans="2:7" ht="1.5" customHeight="1">
      <c r="C307" s="208"/>
      <c r="D307" s="209"/>
      <c r="E307" s="212"/>
    </row>
    <row r="308" spans="2:7">
      <c r="D308" t="s">
        <v>430</v>
      </c>
      <c r="E308" s="213">
        <f>SUM(E305:E306)</f>
        <v>0</v>
      </c>
      <c r="F308" t="s">
        <v>1558</v>
      </c>
    </row>
    <row r="310" spans="2:7">
      <c r="C310" t="str">
        <f>nmExpMT</f>
        <v>Maintenance Expiration</v>
      </c>
      <c r="E310" s="210" t="str">
        <f>decPath6_ExpMT</f>
        <v>Year 2</v>
      </c>
      <c r="F310" t="s">
        <v>1559</v>
      </c>
    </row>
    <row r="311" spans="2:7">
      <c r="C311" t="str">
        <f>nmExpMT&amp;" Year"</f>
        <v>Maintenance Expiration Year</v>
      </c>
      <c r="E311" s="214">
        <f>IF(calcPath6ExpMt=nmFY1,1,0)+IF(calcPath6ExpMt=nmFY2,2,0)+IF(calcPath6ExpMt=nmFY3,3,0)</f>
        <v>1</v>
      </c>
      <c r="F311" t="s">
        <v>1560</v>
      </c>
    </row>
    <row r="313" spans="2:7">
      <c r="C313" t="str">
        <f>nmMTAll</f>
        <v>Stay on Maintenance</v>
      </c>
    </row>
    <row r="314" spans="2:7">
      <c r="B314" s="89">
        <v>1</v>
      </c>
      <c r="C314" s="208" t="s">
        <v>412</v>
      </c>
      <c r="D314" t="str">
        <f>nmYr1</f>
        <v>Year 2</v>
      </c>
      <c r="E314" s="210">
        <f>(IF(calcPath6ExpMt_Code&gt;B314,calcPath6MTPrice,IF(OR(decPath6_ProdMT=nmSelect,decPath6_ProdSub=nmSelect),0,VLOOKUP(decPath6_ProdMT,Data_Unified_Pricing_Tbl,$G314,FALSE)+MAX(decPath6_PriceMT_Adj,0)))*decPath6_Qty)</f>
        <v>0</v>
      </c>
      <c r="F314" t="s">
        <v>1561</v>
      </c>
      <c r="G314" s="89">
        <v>6</v>
      </c>
    </row>
    <row r="315" spans="2:7">
      <c r="B315" s="89">
        <v>2</v>
      </c>
      <c r="C315" s="208" t="s">
        <v>412</v>
      </c>
      <c r="D315" t="str">
        <f>nmYr2</f>
        <v>Year 3</v>
      </c>
      <c r="E315" s="210">
        <f>IF(calcPath6ExpMt_Code&gt;B315,calcPath6MTPrice,IF(OR(decPath6_ProdMT=nmSelect,decPath6_ProdSub=nmSelect),0,VLOOKUP(decPath6_ProdMT,Data_Unified_Pricing_Tbl,$G315,FALSE)+MAX(decPath6_PriceMT_Adj,0)))*decPath6_Qty</f>
        <v>0</v>
      </c>
      <c r="F315" t="s">
        <v>1562</v>
      </c>
      <c r="G315" s="89">
        <v>7</v>
      </c>
    </row>
    <row r="316" spans="2:7">
      <c r="B316" s="89">
        <v>3</v>
      </c>
      <c r="C316" s="208" t="s">
        <v>412</v>
      </c>
      <c r="D316" t="str">
        <f>nmYr3</f>
        <v>Year 4</v>
      </c>
      <c r="E316" s="210">
        <f>IF(calcPath6ExpMt_Code&gt;B316,calcPath6MTPrice,IF(OR(decPath6_ProdMT=nmSelect,decPath6_ProdSub=nmSelect),0,VLOOKUP(decPath6_ProdMT,Data_Unified_Pricing_Tbl,$G316,FALSE)+MAX(decPath6_PriceMT_Adj,0)))*decPath6_Qty</f>
        <v>0</v>
      </c>
      <c r="F316" t="s">
        <v>1563</v>
      </c>
      <c r="G316" s="89">
        <v>8</v>
      </c>
    </row>
    <row r="317" spans="2:7" ht="1.5" customHeight="1">
      <c r="C317" s="208"/>
      <c r="D317" s="209"/>
      <c r="E317" s="212"/>
    </row>
    <row r="318" spans="2:7">
      <c r="C318" s="208"/>
      <c r="D318" t="s">
        <v>12</v>
      </c>
      <c r="E318" s="213">
        <f>SUM(E314:E316)</f>
        <v>0</v>
      </c>
      <c r="F318" t="s">
        <v>1564</v>
      </c>
    </row>
    <row r="320" spans="2:7">
      <c r="C320" t="str">
        <f>nmNewSub</f>
        <v>New Subscription SRP</v>
      </c>
      <c r="G320" s="4"/>
    </row>
    <row r="321" spans="3:8">
      <c r="D321" t="s">
        <v>438</v>
      </c>
      <c r="E321" s="215" t="str">
        <f>IF(decPath6_Access=1,nmSingle,nmMulti)</f>
        <v>Single</v>
      </c>
      <c r="G321" t="s">
        <v>441</v>
      </c>
      <c r="H321" t="s">
        <v>442</v>
      </c>
    </row>
    <row r="322" spans="3:8">
      <c r="D322" t="s">
        <v>443</v>
      </c>
      <c r="E322" s="213">
        <f>INDEX($G322:$H322,decPath6_Access)</f>
        <v>9</v>
      </c>
      <c r="G322" s="89">
        <v>9</v>
      </c>
      <c r="H322" s="89">
        <v>10</v>
      </c>
    </row>
    <row r="323" spans="3:8" ht="1.5" customHeight="1">
      <c r="C323" s="208"/>
      <c r="D323" s="209"/>
      <c r="E323" s="212"/>
    </row>
    <row r="324" spans="3:8">
      <c r="D324" t="str">
        <f>nmTotal1Yr</f>
        <v>1 Year Investment</v>
      </c>
      <c r="E324" s="210">
        <f>IF(decPath6_ProdSub=nmSelect,0,VLOOKUP(decPath6_ProdSub,Data_Unified_Pricing_Tbl,E322,FALSE))*decPath6_Qty</f>
        <v>0</v>
      </c>
      <c r="F324" t="s">
        <v>1565</v>
      </c>
    </row>
    <row r="325" spans="3:8">
      <c r="D325" t="str">
        <f>nmTotal3Yr</f>
        <v>3 Year Investment</v>
      </c>
      <c r="E325" s="213">
        <f>calcPath6SubSRP*cnstYears</f>
        <v>0</v>
      </c>
      <c r="F325" t="s">
        <v>1566</v>
      </c>
    </row>
    <row r="326" spans="3:8">
      <c r="E326" s="211"/>
    </row>
    <row r="327" spans="3:8">
      <c r="C327" t="str">
        <f>nmMigrateFY1</f>
        <v>Switch in Year 2</v>
      </c>
      <c r="E327" s="211"/>
    </row>
    <row r="328" spans="3:8">
      <c r="C328" s="208" t="s">
        <v>411</v>
      </c>
      <c r="D328" t="str">
        <f>nmYr1</f>
        <v>Year 2</v>
      </c>
      <c r="E328" s="210">
        <f>IF(decPath6_ProdSub=nmSelect,0,VLOOKUP(decPath6_ProdSub,Data_Unified_Pricing_Tbl,$G328,FALSE))*decPath6_Qty*IF(calcPath6ExpMt_Code&gt;1,0,1)</f>
        <v>0</v>
      </c>
      <c r="F328" t="s">
        <v>1567</v>
      </c>
      <c r="G328" s="89">
        <v>3</v>
      </c>
    </row>
    <row r="329" spans="3:8">
      <c r="C329" s="208" t="s">
        <v>411</v>
      </c>
      <c r="D329" t="str">
        <f>nmYr2</f>
        <v>Year 3</v>
      </c>
      <c r="E329" s="210">
        <f>IF(decPath6_ProdSub=nmSelect,0,VLOOKUP(decPath6_ProdSub,Data_Unified_Pricing_Tbl,$G329,FALSE))*decPath6_Qty*IF(calcPath6ExpMt_Code&gt;1,0,1)</f>
        <v>0</v>
      </c>
      <c r="F329" t="s">
        <v>1568</v>
      </c>
      <c r="G329" s="89">
        <v>3</v>
      </c>
    </row>
    <row r="330" spans="3:8">
      <c r="C330" s="208" t="s">
        <v>411</v>
      </c>
      <c r="D330" t="str">
        <f>nmYr3</f>
        <v>Year 4</v>
      </c>
      <c r="E330" s="210">
        <f>IF(decPath6_ProdSub=nmSelect,0,VLOOKUP(decPath6_ProdSub,Data_Unified_Pricing_Tbl,$G330,FALSE))*decPath6_Qty*IF(calcPath6ExpMt_Code&gt;1,0,1)</f>
        <v>0</v>
      </c>
      <c r="F330" t="s">
        <v>1569</v>
      </c>
      <c r="G330" s="89">
        <v>3</v>
      </c>
    </row>
    <row r="331" spans="3:8" ht="1.5" customHeight="1">
      <c r="C331" s="208"/>
      <c r="D331" s="209"/>
      <c r="E331" s="212"/>
    </row>
    <row r="332" spans="3:8">
      <c r="C332" s="208"/>
      <c r="D332" t="s">
        <v>12</v>
      </c>
      <c r="E332" s="213">
        <f>SUM(E328:E330)</f>
        <v>0</v>
      </c>
      <c r="F332" t="s">
        <v>1570</v>
      </c>
    </row>
    <row r="333" spans="3:8">
      <c r="C333" s="208"/>
      <c r="D333" t="str">
        <f>nmSavings</f>
        <v>SRP Discount</v>
      </c>
      <c r="E333" s="213">
        <f>(calcPath6SubSRP3Yr-calcPath6Yr1_CostTotal)*IF(calcPath6ExpMt_Code&gt;1,0,1)</f>
        <v>0</v>
      </c>
      <c r="F333" t="s">
        <v>1571</v>
      </c>
    </row>
    <row r="334" spans="3:8">
      <c r="C334" s="208"/>
      <c r="D334" t="str">
        <f>nmM2SMaintDiff</f>
        <v>Discount off Staying on Maintenance</v>
      </c>
      <c r="E334" s="213">
        <f>(calcPath6MTCost_AllYears-calcPath6Yr1_CostTotal)*IF(calcPath6ExpMt_Code&gt;1,0,1)</f>
        <v>0</v>
      </c>
      <c r="F334" t="s">
        <v>1572</v>
      </c>
    </row>
    <row r="335" spans="3:8">
      <c r="E335" s="211"/>
    </row>
    <row r="336" spans="3:8">
      <c r="C336" t="str">
        <f>nmMigrateFY2</f>
        <v>Switch in Year 3</v>
      </c>
      <c r="E336" s="211"/>
    </row>
    <row r="337" spans="3:7">
      <c r="C337" s="208" t="s">
        <v>412</v>
      </c>
      <c r="D337" t="str">
        <f>nmYr1</f>
        <v>Year 2</v>
      </c>
      <c r="E337" s="213">
        <f>calcPath6MTCost_Yr1*IF(calcPath6ExpMt_Code&gt;2,0,1)</f>
        <v>0</v>
      </c>
      <c r="F337" t="s">
        <v>1573</v>
      </c>
    </row>
    <row r="338" spans="3:7">
      <c r="C338" s="208" t="s">
        <v>411</v>
      </c>
      <c r="D338" t="str">
        <f>nmYr2</f>
        <v>Year 3</v>
      </c>
      <c r="E338" s="210">
        <f>IF(decPath6_ProdSub=nmSelect,0,VLOOKUP(decPath6_ProdSub,Data_Unified_Pricing_Tbl,$G338,FALSE))*decPath6_Qty*IF(calcPath6ExpMt_Code&gt;2,0,1)</f>
        <v>0</v>
      </c>
      <c r="F338" t="s">
        <v>1574</v>
      </c>
      <c r="G338" s="89">
        <v>4</v>
      </c>
    </row>
    <row r="339" spans="3:7">
      <c r="C339" s="208" t="s">
        <v>411</v>
      </c>
      <c r="D339" t="str">
        <f>nmYr3</f>
        <v>Year 4</v>
      </c>
      <c r="E339" s="210">
        <f>IF(decPath6_ProdSub=nmSelect,0,VLOOKUP(decPath6_ProdSub,Data_Unified_Pricing_Tbl,$G339,FALSE))*decPath6_Qty*IF(calcPath6ExpMt_Code&gt;2,0,1)</f>
        <v>0</v>
      </c>
      <c r="F339" t="s">
        <v>1575</v>
      </c>
      <c r="G339" s="89">
        <v>4</v>
      </c>
    </row>
    <row r="340" spans="3:7" ht="1.5" customHeight="1">
      <c r="C340" s="208"/>
      <c r="D340" s="209"/>
      <c r="E340" s="212"/>
    </row>
    <row r="341" spans="3:7">
      <c r="C341" s="208"/>
      <c r="D341" t="s">
        <v>12</v>
      </c>
      <c r="E341" s="213">
        <f>SUM(E337:E339)</f>
        <v>0</v>
      </c>
      <c r="F341" t="s">
        <v>1576</v>
      </c>
    </row>
    <row r="342" spans="3:7">
      <c r="C342" s="208"/>
      <c r="D342" t="str">
        <f>nmSavings</f>
        <v>SRP Discount</v>
      </c>
      <c r="E342" s="213">
        <f>(calcPath6SubSRP3Yr-calcPath6Yr2_CostTotal)*IF(calcPath6ExpMt_Code&gt;2,0,1)</f>
        <v>0</v>
      </c>
      <c r="F342" t="s">
        <v>1577</v>
      </c>
    </row>
    <row r="343" spans="3:7">
      <c r="C343" s="208"/>
      <c r="D343" t="str">
        <f>nmM2SMaintDiff</f>
        <v>Discount off Staying on Maintenance</v>
      </c>
      <c r="E343" s="213">
        <f>(calcPath6MTCost_AllYears-calcPath6Yr2_CostTotal)*IF(calcPath6ExpMt_Code&gt;2,0,1)</f>
        <v>0</v>
      </c>
      <c r="F343" t="s">
        <v>1578</v>
      </c>
    </row>
    <row r="344" spans="3:7">
      <c r="E344" s="211"/>
    </row>
    <row r="345" spans="3:7">
      <c r="C345" t="str">
        <f>nmMigrateFY3</f>
        <v>Switch in Year 4</v>
      </c>
      <c r="E345" s="211"/>
    </row>
    <row r="346" spans="3:7">
      <c r="C346" s="208" t="s">
        <v>412</v>
      </c>
      <c r="D346" t="str">
        <f>nmYr1</f>
        <v>Year 2</v>
      </c>
      <c r="E346" s="213">
        <f>calcPath6MTCost_Yr1*IF(calcPath6ExpMt_Code&gt;3,0,1)</f>
        <v>0</v>
      </c>
      <c r="F346" t="s">
        <v>1579</v>
      </c>
    </row>
    <row r="347" spans="3:7">
      <c r="C347" s="208" t="s">
        <v>412</v>
      </c>
      <c r="D347" t="str">
        <f>nmYr2</f>
        <v>Year 3</v>
      </c>
      <c r="E347" s="213">
        <f>calcPath6MTCost_Yr2*IF(calcPath6ExpMt_Code&gt;3,0,1)</f>
        <v>0</v>
      </c>
      <c r="F347" t="s">
        <v>1580</v>
      </c>
    </row>
    <row r="348" spans="3:7">
      <c r="C348" s="208" t="s">
        <v>411</v>
      </c>
      <c r="D348" t="str">
        <f>nmYr3</f>
        <v>Year 4</v>
      </c>
      <c r="E348" s="210">
        <f>IF(decPath6_ProdSub=nmSelect,0,VLOOKUP(decPath6_ProdSub,Data_Unified_Pricing_Tbl,$G348,FALSE))*decPath6_Qty*IF(calcPath6ExpMt_Code&gt;3,0,1)</f>
        <v>0</v>
      </c>
      <c r="F348" t="s">
        <v>1581</v>
      </c>
      <c r="G348" s="89">
        <v>5</v>
      </c>
    </row>
    <row r="349" spans="3:7" ht="1.5" customHeight="1">
      <c r="C349" s="208"/>
      <c r="D349" s="209"/>
      <c r="E349" s="212"/>
    </row>
    <row r="350" spans="3:7">
      <c r="C350" s="208"/>
      <c r="D350" t="s">
        <v>12</v>
      </c>
      <c r="E350" s="213">
        <f>SUM(E346:E348)</f>
        <v>0</v>
      </c>
      <c r="F350" t="s">
        <v>1582</v>
      </c>
    </row>
    <row r="351" spans="3:7">
      <c r="C351" s="208"/>
      <c r="D351" t="str">
        <f>nmSavings</f>
        <v>SRP Discount</v>
      </c>
      <c r="E351" s="213">
        <f>(calcPath6SubSRP3Yr-calcPath6Yr3_CostTotal)*IF(calcPath6ExpMt_Code&gt;3,0,1)</f>
        <v>0</v>
      </c>
      <c r="F351" t="s">
        <v>1583</v>
      </c>
    </row>
    <row r="352" spans="3:7">
      <c r="C352" s="208"/>
      <c r="D352" t="str">
        <f>nmM2SMaintDiff</f>
        <v>Discount off Staying on Maintenance</v>
      </c>
      <c r="E352" s="213">
        <f>(calcPath6MTCost_AllYears-calcPath6Yr3_CostTotal)*IF(calcPath6ExpMt_Code&gt;3,0,1)</f>
        <v>0</v>
      </c>
      <c r="F352" t="s">
        <v>1584</v>
      </c>
    </row>
    <row r="353" spans="1:12">
      <c r="E353" s="211"/>
    </row>
    <row r="354" spans="1:12">
      <c r="C354" t="str">
        <f>nmYr4</f>
        <v>Year 5 - Projected Subscription</v>
      </c>
      <c r="E354" s="211"/>
      <c r="G354" t="s">
        <v>614</v>
      </c>
    </row>
    <row r="355" spans="1:12">
      <c r="C355" s="208"/>
      <c r="D355" t="s">
        <v>576</v>
      </c>
      <c r="E355" s="213">
        <f>calcPath6Yr3_CostYr3*(1+G355)</f>
        <v>0</v>
      </c>
      <c r="F355" t="s">
        <v>1585</v>
      </c>
      <c r="G355" s="251">
        <v>0.05</v>
      </c>
    </row>
    <row r="356" spans="1:12">
      <c r="A356" s="6"/>
      <c r="B356" s="6"/>
      <c r="C356" s="6"/>
      <c r="D356" s="6"/>
      <c r="E356" s="6"/>
      <c r="F356" s="6"/>
      <c r="G356" s="6"/>
      <c r="H356" s="6"/>
      <c r="I356" s="6"/>
      <c r="J356" s="6"/>
      <c r="K356" s="6"/>
      <c r="L356" s="6"/>
    </row>
    <row r="357" spans="1:12">
      <c r="A357" s="7" t="s">
        <v>1430</v>
      </c>
      <c r="B357" s="2"/>
      <c r="C357" s="2"/>
      <c r="D357" s="2"/>
      <c r="E357" s="2"/>
      <c r="F357" s="3"/>
      <c r="G357" s="3" t="s">
        <v>443</v>
      </c>
      <c r="H357" s="3"/>
      <c r="I357" s="3"/>
      <c r="J357" s="3"/>
      <c r="K357" s="3"/>
      <c r="L357" s="3"/>
    </row>
    <row r="358" spans="1:12">
      <c r="A358" s="156" t="s">
        <v>437</v>
      </c>
    </row>
    <row r="360" spans="1:12">
      <c r="C360" t="s">
        <v>430</v>
      </c>
    </row>
    <row r="361" spans="1:12">
      <c r="D361" t="s">
        <v>685</v>
      </c>
      <c r="E361" s="210">
        <f>IF(decPath7_ProdMT=nmSelect,0,VLOOKUP(decPath7_ProdMT,Data_Unified_Pricing_Tbl,$G361,FALSE))</f>
        <v>0</v>
      </c>
      <c r="G361" s="89">
        <v>6</v>
      </c>
    </row>
    <row r="362" spans="1:12">
      <c r="D362" t="s">
        <v>686</v>
      </c>
      <c r="E362" s="210">
        <f>decPath7_PriceMT_Adj</f>
        <v>0</v>
      </c>
    </row>
    <row r="363" spans="1:12" ht="1.5" customHeight="1">
      <c r="C363" s="208"/>
      <c r="D363" s="209"/>
      <c r="E363" s="212"/>
    </row>
    <row r="364" spans="1:12">
      <c r="D364" t="s">
        <v>430</v>
      </c>
      <c r="E364" s="213">
        <f>SUM(E361:E362)</f>
        <v>0</v>
      </c>
      <c r="F364" t="s">
        <v>1586</v>
      </c>
    </row>
    <row r="366" spans="1:12">
      <c r="C366" t="str">
        <f>nmExpMT</f>
        <v>Maintenance Expiration</v>
      </c>
      <c r="E366" s="210" t="str">
        <f>decPath7_ExpMT</f>
        <v>Year 2</v>
      </c>
      <c r="F366" t="s">
        <v>1587</v>
      </c>
    </row>
    <row r="367" spans="1:12">
      <c r="C367" t="str">
        <f>nmExpMT&amp;" Year"</f>
        <v>Maintenance Expiration Year</v>
      </c>
      <c r="E367" s="214">
        <f>IF(calcPath7ExpMt=nmFY1,1,0)+IF(calcPath7ExpMt=nmFY2,2,0)+IF(calcPath7ExpMt=nmFY3,3,0)</f>
        <v>1</v>
      </c>
      <c r="F367" t="s">
        <v>1588</v>
      </c>
    </row>
    <row r="369" spans="2:8">
      <c r="C369" t="str">
        <f>nmMTAll</f>
        <v>Stay on Maintenance</v>
      </c>
    </row>
    <row r="370" spans="2:8">
      <c r="B370" s="89">
        <v>1</v>
      </c>
      <c r="C370" s="208" t="s">
        <v>412</v>
      </c>
      <c r="D370" t="str">
        <f>nmYr1</f>
        <v>Year 2</v>
      </c>
      <c r="E370" s="210">
        <f>(IF(calcPath7ExpMt_Code&gt;B370,calcPath7MTPrice,IF(OR(decPath7_ProdMT=nmSelect,decPath7_ProdSub=nmSelect),0,VLOOKUP(decPath7_ProdMT,Data_Unified_Pricing_Tbl,$G370,FALSE)+MAX(decPath7_PriceMT_Adj,0)))*decPath7_Qty)</f>
        <v>0</v>
      </c>
      <c r="F370" t="s">
        <v>1589</v>
      </c>
      <c r="G370" s="89">
        <v>6</v>
      </c>
    </row>
    <row r="371" spans="2:8">
      <c r="B371" s="89">
        <v>2</v>
      </c>
      <c r="C371" s="208" t="s">
        <v>412</v>
      </c>
      <c r="D371" t="str">
        <f>nmYr2</f>
        <v>Year 3</v>
      </c>
      <c r="E371" s="210">
        <f>IF(calcPath7ExpMt_Code&gt;B371,calcPath7MTPrice,IF(OR(decPath7_ProdMT=nmSelect,decPath7_ProdSub=nmSelect),0,VLOOKUP(decPath7_ProdMT,Data_Unified_Pricing_Tbl,$G371,FALSE)+MAX(decPath7_PriceMT_Adj,0)))*decPath7_Qty</f>
        <v>0</v>
      </c>
      <c r="F371" t="s">
        <v>1590</v>
      </c>
      <c r="G371" s="89">
        <v>7</v>
      </c>
    </row>
    <row r="372" spans="2:8">
      <c r="B372" s="89">
        <v>3</v>
      </c>
      <c r="C372" s="208" t="s">
        <v>412</v>
      </c>
      <c r="D372" t="str">
        <f>nmYr3</f>
        <v>Year 4</v>
      </c>
      <c r="E372" s="210">
        <f>IF(calcPath7ExpMt_Code&gt;B372,calcPath7MTPrice,IF(OR(decPath7_ProdMT=nmSelect,decPath7_ProdSub=nmSelect),0,VLOOKUP(decPath7_ProdMT,Data_Unified_Pricing_Tbl,$G372,FALSE)+MAX(decPath7_PriceMT_Adj,0)))*decPath7_Qty</f>
        <v>0</v>
      </c>
      <c r="F372" t="s">
        <v>1591</v>
      </c>
      <c r="G372" s="89">
        <v>8</v>
      </c>
    </row>
    <row r="373" spans="2:8" ht="1.5" customHeight="1">
      <c r="C373" s="208"/>
      <c r="D373" s="209"/>
      <c r="E373" s="212"/>
    </row>
    <row r="374" spans="2:8">
      <c r="C374" s="208"/>
      <c r="D374" t="s">
        <v>12</v>
      </c>
      <c r="E374" s="213">
        <f>SUM(E370:E372)</f>
        <v>0</v>
      </c>
      <c r="F374" t="s">
        <v>1592</v>
      </c>
    </row>
    <row r="376" spans="2:8">
      <c r="C376" t="str">
        <f>nmNewSub</f>
        <v>New Subscription SRP</v>
      </c>
      <c r="G376" s="4"/>
    </row>
    <row r="377" spans="2:8">
      <c r="D377" t="s">
        <v>438</v>
      </c>
      <c r="E377" s="215" t="str">
        <f>IF(decPath7_Access=1,nmSingle,nmMulti)</f>
        <v>Single</v>
      </c>
      <c r="G377" t="s">
        <v>441</v>
      </c>
      <c r="H377" t="s">
        <v>442</v>
      </c>
    </row>
    <row r="378" spans="2:8">
      <c r="D378" t="s">
        <v>443</v>
      </c>
      <c r="E378" s="213">
        <f>INDEX($G378:$H378,decPath7_Access)</f>
        <v>9</v>
      </c>
      <c r="G378" s="89">
        <v>9</v>
      </c>
      <c r="H378" s="89">
        <v>10</v>
      </c>
    </row>
    <row r="379" spans="2:8" ht="1.5" customHeight="1">
      <c r="C379" s="208"/>
      <c r="D379" s="209"/>
      <c r="E379" s="212"/>
    </row>
    <row r="380" spans="2:8">
      <c r="D380" t="str">
        <f>nmTotal1Yr</f>
        <v>1 Year Investment</v>
      </c>
      <c r="E380" s="210">
        <f>IF(decPath7_ProdSub=nmSelect,0,VLOOKUP(decPath7_ProdSub,Data_Unified_Pricing_Tbl,E378,FALSE))*decPath7_Qty</f>
        <v>0</v>
      </c>
      <c r="F380" t="s">
        <v>1593</v>
      </c>
    </row>
    <row r="381" spans="2:8">
      <c r="D381" t="str">
        <f>nmTotal3Yr</f>
        <v>3 Year Investment</v>
      </c>
      <c r="E381" s="213">
        <f>calcPath7SubSRP*cnstYears</f>
        <v>0</v>
      </c>
      <c r="F381" t="s">
        <v>1594</v>
      </c>
    </row>
    <row r="382" spans="2:8">
      <c r="E382" s="211"/>
    </row>
    <row r="383" spans="2:8">
      <c r="C383" t="str">
        <f>nmMigrateFY1</f>
        <v>Switch in Year 2</v>
      </c>
      <c r="E383" s="211"/>
    </row>
    <row r="384" spans="2:8">
      <c r="C384" s="208" t="s">
        <v>411</v>
      </c>
      <c r="D384" t="str">
        <f>nmYr1</f>
        <v>Year 2</v>
      </c>
      <c r="E384" s="210">
        <f>IF(decPath7_ProdSub=nmSelect,0,VLOOKUP(decPath7_ProdSub,Data_Unified_Pricing_Tbl,$G384,FALSE))*decPath7_Qty*IF(calcPath7ExpMt_Code&gt;1,0,1)</f>
        <v>0</v>
      </c>
      <c r="F384" t="s">
        <v>1595</v>
      </c>
      <c r="G384" s="89">
        <v>3</v>
      </c>
    </row>
    <row r="385" spans="3:7">
      <c r="C385" s="208" t="s">
        <v>411</v>
      </c>
      <c r="D385" t="str">
        <f>nmYr2</f>
        <v>Year 3</v>
      </c>
      <c r="E385" s="210">
        <f>IF(decPath7_ProdSub=nmSelect,0,VLOOKUP(decPath7_ProdSub,Data_Unified_Pricing_Tbl,$G385,FALSE))*decPath7_Qty*IF(calcPath7ExpMt_Code&gt;1,0,1)</f>
        <v>0</v>
      </c>
      <c r="F385" t="s">
        <v>1596</v>
      </c>
      <c r="G385" s="89">
        <v>3</v>
      </c>
    </row>
    <row r="386" spans="3:7">
      <c r="C386" s="208" t="s">
        <v>411</v>
      </c>
      <c r="D386" t="str">
        <f>nmYr3</f>
        <v>Year 4</v>
      </c>
      <c r="E386" s="210">
        <f>IF(decPath7_ProdSub=nmSelect,0,VLOOKUP(decPath7_ProdSub,Data_Unified_Pricing_Tbl,$G386,FALSE))*decPath7_Qty*IF(calcPath7ExpMt_Code&gt;1,0,1)</f>
        <v>0</v>
      </c>
      <c r="F386" t="s">
        <v>1597</v>
      </c>
      <c r="G386" s="89">
        <v>3</v>
      </c>
    </row>
    <row r="387" spans="3:7" ht="1.5" customHeight="1">
      <c r="C387" s="208"/>
      <c r="D387" s="209"/>
      <c r="E387" s="212"/>
    </row>
    <row r="388" spans="3:7">
      <c r="C388" s="208"/>
      <c r="D388" t="s">
        <v>12</v>
      </c>
      <c r="E388" s="213">
        <f>SUM(E384:E386)</f>
        <v>0</v>
      </c>
      <c r="F388" t="s">
        <v>1598</v>
      </c>
    </row>
    <row r="389" spans="3:7">
      <c r="C389" s="208"/>
      <c r="D389" t="str">
        <f>nmSavings</f>
        <v>SRP Discount</v>
      </c>
      <c r="E389" s="213">
        <f>(calcPath7SubSRP3Yr-calcPath7Yr1_CostTotal)*IF(calcPath7ExpMt_Code&gt;1,0,1)</f>
        <v>0</v>
      </c>
      <c r="F389" t="s">
        <v>1599</v>
      </c>
    </row>
    <row r="390" spans="3:7">
      <c r="C390" s="208"/>
      <c r="D390" t="str">
        <f>nmM2SMaintDiff</f>
        <v>Discount off Staying on Maintenance</v>
      </c>
      <c r="E390" s="213">
        <f>(calcPath7MTCost_AllYears-calcPath7Yr1_CostTotal)*IF(calcPath7ExpMt_Code&gt;1,0,1)</f>
        <v>0</v>
      </c>
      <c r="F390" t="s">
        <v>1600</v>
      </c>
    </row>
    <row r="391" spans="3:7">
      <c r="E391" s="211"/>
    </row>
    <row r="392" spans="3:7">
      <c r="C392" t="str">
        <f>nmMigrateFY2</f>
        <v>Switch in Year 3</v>
      </c>
      <c r="E392" s="211"/>
    </row>
    <row r="393" spans="3:7">
      <c r="C393" s="208" t="s">
        <v>412</v>
      </c>
      <c r="D393" t="str">
        <f>nmYr1</f>
        <v>Year 2</v>
      </c>
      <c r="E393" s="213">
        <f>calcPath7MTCost_Yr1*IF(calcPath7ExpMt_Code&gt;2,0,1)</f>
        <v>0</v>
      </c>
      <c r="F393" t="s">
        <v>1601</v>
      </c>
    </row>
    <row r="394" spans="3:7">
      <c r="C394" s="208" t="s">
        <v>411</v>
      </c>
      <c r="D394" t="str">
        <f>nmYr2</f>
        <v>Year 3</v>
      </c>
      <c r="E394" s="210">
        <f>IF(decPath7_ProdSub=nmSelect,0,VLOOKUP(decPath7_ProdSub,Data_Unified_Pricing_Tbl,$G394,FALSE))*decPath7_Qty*IF(calcPath7ExpMt_Code&gt;2,0,1)</f>
        <v>0</v>
      </c>
      <c r="F394" t="s">
        <v>1602</v>
      </c>
      <c r="G394" s="89">
        <v>4</v>
      </c>
    </row>
    <row r="395" spans="3:7">
      <c r="C395" s="208" t="s">
        <v>411</v>
      </c>
      <c r="D395" t="str">
        <f>nmYr3</f>
        <v>Year 4</v>
      </c>
      <c r="E395" s="210">
        <f>IF(decPath7_ProdSub=nmSelect,0,VLOOKUP(decPath7_ProdSub,Data_Unified_Pricing_Tbl,$G395,FALSE))*decPath7_Qty*IF(calcPath7ExpMt_Code&gt;2,0,1)</f>
        <v>0</v>
      </c>
      <c r="F395" t="s">
        <v>1603</v>
      </c>
      <c r="G395" s="89">
        <v>4</v>
      </c>
    </row>
    <row r="396" spans="3:7" ht="1.5" customHeight="1">
      <c r="C396" s="208"/>
      <c r="D396" s="209"/>
      <c r="E396" s="212"/>
    </row>
    <row r="397" spans="3:7">
      <c r="C397" s="208"/>
      <c r="D397" t="s">
        <v>12</v>
      </c>
      <c r="E397" s="213">
        <f>SUM(E393:E395)</f>
        <v>0</v>
      </c>
      <c r="F397" t="s">
        <v>1604</v>
      </c>
    </row>
    <row r="398" spans="3:7">
      <c r="C398" s="208"/>
      <c r="D398" t="str">
        <f>nmSavings</f>
        <v>SRP Discount</v>
      </c>
      <c r="E398" s="213">
        <f>(calcPath7SubSRP3Yr-calcPath7Yr2_CostTotal)*IF(calcPath7ExpMt_Code&gt;2,0,1)</f>
        <v>0</v>
      </c>
      <c r="F398" t="s">
        <v>1605</v>
      </c>
    </row>
    <row r="399" spans="3:7">
      <c r="C399" s="208"/>
      <c r="D399" t="str">
        <f>nmM2SMaintDiff</f>
        <v>Discount off Staying on Maintenance</v>
      </c>
      <c r="E399" s="213">
        <f>(calcPath7MTCost_AllYears-calcPath7Yr2_CostTotal)*IF(calcPath7ExpMt_Code&gt;2,0,1)</f>
        <v>0</v>
      </c>
      <c r="F399" t="s">
        <v>1606</v>
      </c>
    </row>
    <row r="400" spans="3:7">
      <c r="E400" s="211"/>
    </row>
    <row r="401" spans="1:12">
      <c r="C401" t="str">
        <f>nmMigrateFY3</f>
        <v>Switch in Year 4</v>
      </c>
      <c r="E401" s="211"/>
    </row>
    <row r="402" spans="1:12">
      <c r="C402" s="208" t="s">
        <v>412</v>
      </c>
      <c r="D402" t="str">
        <f>nmYr1</f>
        <v>Year 2</v>
      </c>
      <c r="E402" s="213">
        <f>calcPath7MTCost_Yr1*IF(calcPath7ExpMt_Code&gt;3,0,1)</f>
        <v>0</v>
      </c>
      <c r="F402" t="s">
        <v>1607</v>
      </c>
    </row>
    <row r="403" spans="1:12">
      <c r="C403" s="208" t="s">
        <v>412</v>
      </c>
      <c r="D403" t="str">
        <f>nmYr2</f>
        <v>Year 3</v>
      </c>
      <c r="E403" s="213">
        <f>calcPath7MTCost_Yr2*IF(calcPath7ExpMt_Code&gt;3,0,1)</f>
        <v>0</v>
      </c>
      <c r="F403" t="s">
        <v>1608</v>
      </c>
    </row>
    <row r="404" spans="1:12">
      <c r="C404" s="208" t="s">
        <v>411</v>
      </c>
      <c r="D404" t="str">
        <f>nmYr3</f>
        <v>Year 4</v>
      </c>
      <c r="E404" s="210">
        <f>IF(decPath7_ProdSub=nmSelect,0,VLOOKUP(decPath7_ProdSub,Data_Unified_Pricing_Tbl,$G404,FALSE))*decPath7_Qty*IF(calcPath7ExpMt_Code&gt;3,0,1)</f>
        <v>0</v>
      </c>
      <c r="F404" t="s">
        <v>1609</v>
      </c>
      <c r="G404" s="89">
        <v>5</v>
      </c>
    </row>
    <row r="405" spans="1:12" ht="1.5" customHeight="1">
      <c r="C405" s="208"/>
      <c r="D405" s="209"/>
      <c r="E405" s="212"/>
    </row>
    <row r="406" spans="1:12">
      <c r="C406" s="208"/>
      <c r="D406" t="s">
        <v>12</v>
      </c>
      <c r="E406" s="213">
        <f>SUM(E402:E404)</f>
        <v>0</v>
      </c>
      <c r="F406" t="s">
        <v>1610</v>
      </c>
    </row>
    <row r="407" spans="1:12">
      <c r="C407" s="208"/>
      <c r="D407" t="str">
        <f>nmSavings</f>
        <v>SRP Discount</v>
      </c>
      <c r="E407" s="213">
        <f>(calcPath7SubSRP3Yr-calcPath7Yr3_CostTotal)*IF(calcPath7ExpMt_Code&gt;3,0,1)</f>
        <v>0</v>
      </c>
      <c r="F407" t="s">
        <v>1611</v>
      </c>
    </row>
    <row r="408" spans="1:12">
      <c r="C408" s="208"/>
      <c r="D408" t="str">
        <f>nmM2SMaintDiff</f>
        <v>Discount off Staying on Maintenance</v>
      </c>
      <c r="E408" s="213">
        <f>(calcPath7MTCost_AllYears-calcPath7Yr3_CostTotal)*IF(calcPath7ExpMt_Code&gt;3,0,1)</f>
        <v>0</v>
      </c>
      <c r="F408" t="s">
        <v>1612</v>
      </c>
    </row>
    <row r="409" spans="1:12">
      <c r="E409" s="211"/>
    </row>
    <row r="410" spans="1:12">
      <c r="C410" t="str">
        <f>nmYr4</f>
        <v>Year 5 - Projected Subscription</v>
      </c>
      <c r="E410" s="211"/>
      <c r="G410" t="s">
        <v>614</v>
      </c>
    </row>
    <row r="411" spans="1:12">
      <c r="C411" s="208"/>
      <c r="D411" t="s">
        <v>576</v>
      </c>
      <c r="E411" s="213">
        <f>calcPath7Yr3_CostYr3*(1+G411)</f>
        <v>0</v>
      </c>
      <c r="F411" t="s">
        <v>1613</v>
      </c>
      <c r="G411" s="251">
        <v>0.05</v>
      </c>
    </row>
    <row r="412" spans="1:12">
      <c r="A412" s="6"/>
      <c r="B412" s="6"/>
      <c r="C412" s="6"/>
      <c r="D412" s="6"/>
      <c r="E412" s="6"/>
      <c r="F412" s="6"/>
      <c r="G412" s="6"/>
      <c r="H412" s="6"/>
      <c r="I412" s="6"/>
      <c r="J412" s="6"/>
      <c r="K412" s="6"/>
      <c r="L412" s="6"/>
    </row>
    <row r="413" spans="1:12">
      <c r="A413" s="7" t="s">
        <v>1431</v>
      </c>
      <c r="B413" s="2"/>
      <c r="C413" s="2"/>
      <c r="D413" s="2"/>
      <c r="E413" s="2"/>
      <c r="F413" s="3"/>
      <c r="G413" s="3" t="s">
        <v>443</v>
      </c>
      <c r="H413" s="3"/>
      <c r="I413" s="3"/>
      <c r="J413" s="3"/>
      <c r="K413" s="3"/>
      <c r="L413" s="3"/>
    </row>
    <row r="414" spans="1:12">
      <c r="A414" s="156" t="s">
        <v>437</v>
      </c>
    </row>
    <row r="416" spans="1:12">
      <c r="C416" t="s">
        <v>430</v>
      </c>
    </row>
    <row r="417" spans="2:7">
      <c r="D417" t="s">
        <v>685</v>
      </c>
      <c r="E417" s="210">
        <f>IF(decPath8_ProdMT=nmSelect,0,VLOOKUP(decPath8_ProdMT,Data_Unified_Pricing_Tbl,$G417,FALSE))</f>
        <v>0</v>
      </c>
      <c r="G417" s="89">
        <v>6</v>
      </c>
    </row>
    <row r="418" spans="2:7">
      <c r="D418" t="s">
        <v>686</v>
      </c>
      <c r="E418" s="210">
        <f>decPath8_PriceMT_Adj</f>
        <v>0</v>
      </c>
    </row>
    <row r="419" spans="2:7" ht="1.5" customHeight="1">
      <c r="C419" s="208"/>
      <c r="D419" s="209"/>
      <c r="E419" s="212"/>
    </row>
    <row r="420" spans="2:7">
      <c r="D420" t="s">
        <v>430</v>
      </c>
      <c r="E420" s="213">
        <f>SUM(E417:E418)</f>
        <v>0</v>
      </c>
      <c r="F420" t="s">
        <v>1614</v>
      </c>
    </row>
    <row r="422" spans="2:7">
      <c r="C422" t="str">
        <f>nmExpMT</f>
        <v>Maintenance Expiration</v>
      </c>
      <c r="E422" s="210" t="str">
        <f>decPath8_ExpMT</f>
        <v>Year 2</v>
      </c>
      <c r="F422" t="s">
        <v>1615</v>
      </c>
    </row>
    <row r="423" spans="2:7">
      <c r="C423" t="str">
        <f>nmExpMT&amp;" Year"</f>
        <v>Maintenance Expiration Year</v>
      </c>
      <c r="E423" s="214">
        <f>IF(calcPath8ExpMt=nmFY1,1,0)+IF(calcPath8ExpMt=nmFY2,2,0)+IF(calcPath8ExpMt=nmFY3,3,0)</f>
        <v>1</v>
      </c>
      <c r="F423" t="s">
        <v>1616</v>
      </c>
    </row>
    <row r="425" spans="2:7">
      <c r="C425" t="str">
        <f>nmMTAll</f>
        <v>Stay on Maintenance</v>
      </c>
    </row>
    <row r="426" spans="2:7">
      <c r="B426" s="89">
        <v>1</v>
      </c>
      <c r="C426" s="208" t="s">
        <v>412</v>
      </c>
      <c r="D426" t="str">
        <f>nmYr1</f>
        <v>Year 2</v>
      </c>
      <c r="E426" s="210">
        <f>(IF(calcPath8ExpMt_Code&gt;B426,calcPath8MTPrice,IF(OR(decPath8_ProdMT=nmSelect,decPath8_ProdSub=nmSelect),0,VLOOKUP(decPath8_ProdMT,Data_Unified_Pricing_Tbl,$G426,FALSE)+MAX(decPath8_PriceMT_Adj,0)))*decPath8_Qty)</f>
        <v>0</v>
      </c>
      <c r="F426" t="s">
        <v>1617</v>
      </c>
      <c r="G426" s="89">
        <v>6</v>
      </c>
    </row>
    <row r="427" spans="2:7">
      <c r="B427" s="89">
        <v>2</v>
      </c>
      <c r="C427" s="208" t="s">
        <v>412</v>
      </c>
      <c r="D427" t="str">
        <f>nmYr2</f>
        <v>Year 3</v>
      </c>
      <c r="E427" s="210">
        <f>IF(calcPath8ExpMt_Code&gt;B427,calcPath8MTPrice,IF(OR(decPath8_ProdMT=nmSelect,decPath8_ProdSub=nmSelect),0,VLOOKUP(decPath8_ProdMT,Data_Unified_Pricing_Tbl,$G427,FALSE)+MAX(decPath8_PriceMT_Adj,0)))*decPath8_Qty</f>
        <v>0</v>
      </c>
      <c r="F427" t="s">
        <v>1618</v>
      </c>
      <c r="G427" s="89">
        <v>7</v>
      </c>
    </row>
    <row r="428" spans="2:7">
      <c r="B428" s="89">
        <v>3</v>
      </c>
      <c r="C428" s="208" t="s">
        <v>412</v>
      </c>
      <c r="D428" t="str">
        <f>nmYr3</f>
        <v>Year 4</v>
      </c>
      <c r="E428" s="210">
        <f>IF(calcPath8ExpMt_Code&gt;B428,calcPath8MTPrice,IF(OR(decPath8_ProdMT=nmSelect,decPath8_ProdSub=nmSelect),0,VLOOKUP(decPath8_ProdMT,Data_Unified_Pricing_Tbl,$G428,FALSE)+MAX(decPath8_PriceMT_Adj,0)))*decPath8_Qty</f>
        <v>0</v>
      </c>
      <c r="F428" t="s">
        <v>1619</v>
      </c>
      <c r="G428" s="89">
        <v>8</v>
      </c>
    </row>
    <row r="429" spans="2:7" ht="1.5" customHeight="1">
      <c r="C429" s="208"/>
      <c r="D429" s="209"/>
      <c r="E429" s="212"/>
    </row>
    <row r="430" spans="2:7">
      <c r="C430" s="208"/>
      <c r="D430" t="s">
        <v>12</v>
      </c>
      <c r="E430" s="213">
        <f>SUM(E426:E428)</f>
        <v>0</v>
      </c>
      <c r="F430" t="s">
        <v>1620</v>
      </c>
    </row>
    <row r="432" spans="2:7">
      <c r="C432" t="str">
        <f>nmNewSub</f>
        <v>New Subscription SRP</v>
      </c>
      <c r="G432" s="4"/>
    </row>
    <row r="433" spans="3:8">
      <c r="D433" t="s">
        <v>438</v>
      </c>
      <c r="E433" s="215" t="str">
        <f>IF(decPath8_Access=1,nmSingle,nmMulti)</f>
        <v>Single</v>
      </c>
      <c r="G433" t="s">
        <v>441</v>
      </c>
      <c r="H433" t="s">
        <v>442</v>
      </c>
    </row>
    <row r="434" spans="3:8">
      <c r="D434" t="s">
        <v>443</v>
      </c>
      <c r="E434" s="213">
        <f>INDEX($G434:$H434,decPath8_Access)</f>
        <v>9</v>
      </c>
      <c r="G434" s="89">
        <v>9</v>
      </c>
      <c r="H434" s="89">
        <v>10</v>
      </c>
    </row>
    <row r="435" spans="3:8" ht="1.5" customHeight="1">
      <c r="C435" s="208"/>
      <c r="D435" s="209"/>
      <c r="E435" s="212"/>
    </row>
    <row r="436" spans="3:8">
      <c r="D436" t="str">
        <f>nmTotal1Yr</f>
        <v>1 Year Investment</v>
      </c>
      <c r="E436" s="210">
        <f>IF(decPath8_ProdSub=nmSelect,0,VLOOKUP(decPath8_ProdSub,Data_Unified_Pricing_Tbl,E434,FALSE))*decPath8_Qty</f>
        <v>0</v>
      </c>
      <c r="F436" t="s">
        <v>1621</v>
      </c>
    </row>
    <row r="437" spans="3:8">
      <c r="D437" t="str">
        <f>nmTotal3Yr</f>
        <v>3 Year Investment</v>
      </c>
      <c r="E437" s="213">
        <f>calcPath8SubSRP*cnstYears</f>
        <v>0</v>
      </c>
      <c r="F437" t="s">
        <v>1622</v>
      </c>
    </row>
    <row r="438" spans="3:8">
      <c r="E438" s="211"/>
    </row>
    <row r="439" spans="3:8">
      <c r="C439" t="str">
        <f>nmMigrateFY1</f>
        <v>Switch in Year 2</v>
      </c>
      <c r="E439" s="211"/>
    </row>
    <row r="440" spans="3:8">
      <c r="C440" s="208" t="s">
        <v>411</v>
      </c>
      <c r="D440" t="str">
        <f>nmYr1</f>
        <v>Year 2</v>
      </c>
      <c r="E440" s="210">
        <f>IF(decPath8_ProdSub=nmSelect,0,VLOOKUP(decPath8_ProdSub,Data_Unified_Pricing_Tbl,$G440,FALSE))*decPath8_Qty*IF(calcPath8ExpMt_Code&gt;1,0,1)</f>
        <v>0</v>
      </c>
      <c r="F440" t="s">
        <v>1623</v>
      </c>
      <c r="G440" s="89">
        <v>3</v>
      </c>
    </row>
    <row r="441" spans="3:8">
      <c r="C441" s="208" t="s">
        <v>411</v>
      </c>
      <c r="D441" t="str">
        <f>nmYr2</f>
        <v>Year 3</v>
      </c>
      <c r="E441" s="210">
        <f>IF(decPath8_ProdSub=nmSelect,0,VLOOKUP(decPath8_ProdSub,Data_Unified_Pricing_Tbl,$G441,FALSE))*decPath8_Qty*IF(calcPath8ExpMt_Code&gt;1,0,1)</f>
        <v>0</v>
      </c>
      <c r="F441" t="s">
        <v>1624</v>
      </c>
      <c r="G441" s="89">
        <v>3</v>
      </c>
    </row>
    <row r="442" spans="3:8">
      <c r="C442" s="208" t="s">
        <v>411</v>
      </c>
      <c r="D442" t="str">
        <f>nmYr3</f>
        <v>Year 4</v>
      </c>
      <c r="E442" s="210">
        <f>IF(decPath8_ProdSub=nmSelect,0,VLOOKUP(decPath8_ProdSub,Data_Unified_Pricing_Tbl,$G442,FALSE))*decPath8_Qty*IF(calcPath8ExpMt_Code&gt;1,0,1)</f>
        <v>0</v>
      </c>
      <c r="F442" t="s">
        <v>1625</v>
      </c>
      <c r="G442" s="89">
        <v>3</v>
      </c>
    </row>
    <row r="443" spans="3:8" ht="1.5" customHeight="1">
      <c r="C443" s="208"/>
      <c r="D443" s="209"/>
      <c r="E443" s="212"/>
    </row>
    <row r="444" spans="3:8">
      <c r="C444" s="208"/>
      <c r="D444" t="s">
        <v>12</v>
      </c>
      <c r="E444" s="213">
        <f>SUM(E440:E442)</f>
        <v>0</v>
      </c>
      <c r="F444" t="s">
        <v>1626</v>
      </c>
    </row>
    <row r="445" spans="3:8">
      <c r="C445" s="208"/>
      <c r="D445" t="str">
        <f>nmSavings</f>
        <v>SRP Discount</v>
      </c>
      <c r="E445" s="213">
        <f>(calcPath8SubSRP3Yr-calcPath8Yr1_CostTotal)*IF(calcPath8ExpMt_Code&gt;1,0,1)</f>
        <v>0</v>
      </c>
      <c r="F445" t="s">
        <v>1627</v>
      </c>
    </row>
    <row r="446" spans="3:8">
      <c r="C446" s="208"/>
      <c r="D446" t="str">
        <f>nmM2SMaintDiff</f>
        <v>Discount off Staying on Maintenance</v>
      </c>
      <c r="E446" s="213">
        <f>(calcPath8MTCost_AllYears-calcPath8Yr1_CostTotal)*IF(calcPath8ExpMt_Code&gt;1,0,1)</f>
        <v>0</v>
      </c>
      <c r="F446" t="s">
        <v>1628</v>
      </c>
    </row>
    <row r="447" spans="3:8">
      <c r="E447" s="211"/>
    </row>
    <row r="448" spans="3:8">
      <c r="C448" t="str">
        <f>nmMigrateFY2</f>
        <v>Switch in Year 3</v>
      </c>
      <c r="E448" s="211"/>
    </row>
    <row r="449" spans="3:7">
      <c r="C449" s="208" t="s">
        <v>412</v>
      </c>
      <c r="D449" t="str">
        <f>nmYr1</f>
        <v>Year 2</v>
      </c>
      <c r="E449" s="213">
        <f>calcPath8MTCost_Yr1*IF(calcPath8ExpMt_Code&gt;2,0,1)</f>
        <v>0</v>
      </c>
      <c r="F449" t="s">
        <v>1629</v>
      </c>
    </row>
    <row r="450" spans="3:7">
      <c r="C450" s="208" t="s">
        <v>411</v>
      </c>
      <c r="D450" t="str">
        <f>nmYr2</f>
        <v>Year 3</v>
      </c>
      <c r="E450" s="210">
        <f>IF(decPath8_ProdSub=nmSelect,0,VLOOKUP(decPath8_ProdSub,Data_Unified_Pricing_Tbl,$G450,FALSE))*decPath8_Qty*IF(calcPath8ExpMt_Code&gt;2,0,1)</f>
        <v>0</v>
      </c>
      <c r="F450" t="s">
        <v>1630</v>
      </c>
      <c r="G450" s="89">
        <v>4</v>
      </c>
    </row>
    <row r="451" spans="3:7">
      <c r="C451" s="208" t="s">
        <v>411</v>
      </c>
      <c r="D451" t="str">
        <f>nmYr3</f>
        <v>Year 4</v>
      </c>
      <c r="E451" s="210">
        <f>IF(decPath8_ProdSub=nmSelect,0,VLOOKUP(decPath8_ProdSub,Data_Unified_Pricing_Tbl,$G451,FALSE))*decPath8_Qty*IF(calcPath8ExpMt_Code&gt;2,0,1)</f>
        <v>0</v>
      </c>
      <c r="F451" t="s">
        <v>1631</v>
      </c>
      <c r="G451" s="89">
        <v>4</v>
      </c>
    </row>
    <row r="452" spans="3:7" ht="1.5" customHeight="1">
      <c r="C452" s="208"/>
      <c r="D452" s="209"/>
      <c r="E452" s="212"/>
    </row>
    <row r="453" spans="3:7">
      <c r="C453" s="208"/>
      <c r="D453" t="s">
        <v>12</v>
      </c>
      <c r="E453" s="213">
        <f>SUM(E449:E451)</f>
        <v>0</v>
      </c>
      <c r="F453" t="s">
        <v>1632</v>
      </c>
    </row>
    <row r="454" spans="3:7">
      <c r="C454" s="208"/>
      <c r="D454" t="str">
        <f>nmSavings</f>
        <v>SRP Discount</v>
      </c>
      <c r="E454" s="213">
        <f>(calcPath8SubSRP3Yr-calcPath8Yr2_CostTotal)*IF(calcPath8ExpMt_Code&gt;2,0,1)</f>
        <v>0</v>
      </c>
      <c r="F454" t="s">
        <v>1633</v>
      </c>
    </row>
    <row r="455" spans="3:7">
      <c r="C455" s="208"/>
      <c r="D455" t="str">
        <f>nmM2SMaintDiff</f>
        <v>Discount off Staying on Maintenance</v>
      </c>
      <c r="E455" s="213">
        <f>(calcPath8MTCost_AllYears-calcPath8Yr2_CostTotal)*IF(calcPath8ExpMt_Code&gt;2,0,1)</f>
        <v>0</v>
      </c>
      <c r="F455" t="s">
        <v>1634</v>
      </c>
    </row>
    <row r="456" spans="3:7">
      <c r="E456" s="211"/>
    </row>
    <row r="457" spans="3:7">
      <c r="C457" t="str">
        <f>nmMigrateFY3</f>
        <v>Switch in Year 4</v>
      </c>
      <c r="E457" s="211"/>
    </row>
    <row r="458" spans="3:7">
      <c r="C458" s="208" t="s">
        <v>412</v>
      </c>
      <c r="D458" t="str">
        <f>nmYr1</f>
        <v>Year 2</v>
      </c>
      <c r="E458" s="213">
        <f>calcPath8MTCost_Yr1*IF(calcPath8ExpMt_Code&gt;3,0,1)</f>
        <v>0</v>
      </c>
      <c r="F458" t="s">
        <v>1635</v>
      </c>
    </row>
    <row r="459" spans="3:7">
      <c r="C459" s="208" t="s">
        <v>412</v>
      </c>
      <c r="D459" t="str">
        <f>nmYr2</f>
        <v>Year 3</v>
      </c>
      <c r="E459" s="213">
        <f>calcPath8MTCost_Yr2*IF(calcPath8ExpMt_Code&gt;3,0,1)</f>
        <v>0</v>
      </c>
      <c r="F459" t="s">
        <v>1636</v>
      </c>
    </row>
    <row r="460" spans="3:7">
      <c r="C460" s="208" t="s">
        <v>411</v>
      </c>
      <c r="D460" t="str">
        <f>nmYr3</f>
        <v>Year 4</v>
      </c>
      <c r="E460" s="210">
        <f>IF(decPath8_ProdSub=nmSelect,0,VLOOKUP(decPath8_ProdSub,Data_Unified_Pricing_Tbl,$G460,FALSE))*decPath8_Qty*IF(calcPath8ExpMt_Code&gt;3,0,1)</f>
        <v>0</v>
      </c>
      <c r="F460" t="s">
        <v>1637</v>
      </c>
      <c r="G460" s="89">
        <v>5</v>
      </c>
    </row>
    <row r="461" spans="3:7" ht="1.5" customHeight="1">
      <c r="C461" s="208"/>
      <c r="D461" s="209"/>
      <c r="E461" s="212"/>
    </row>
    <row r="462" spans="3:7">
      <c r="C462" s="208"/>
      <c r="D462" t="s">
        <v>12</v>
      </c>
      <c r="E462" s="213">
        <f>SUM(E458:E460)</f>
        <v>0</v>
      </c>
      <c r="F462" t="s">
        <v>1638</v>
      </c>
    </row>
    <row r="463" spans="3:7">
      <c r="C463" s="208"/>
      <c r="D463" t="str">
        <f>nmSavings</f>
        <v>SRP Discount</v>
      </c>
      <c r="E463" s="213">
        <f>(calcPath8SubSRP3Yr-calcPath8Yr3_CostTotal)*IF(calcPath8ExpMt_Code&gt;3,0,1)</f>
        <v>0</v>
      </c>
      <c r="F463" t="s">
        <v>1639</v>
      </c>
    </row>
    <row r="464" spans="3:7">
      <c r="C464" s="208"/>
      <c r="D464" t="str">
        <f>nmM2SMaintDiff</f>
        <v>Discount off Staying on Maintenance</v>
      </c>
      <c r="E464" s="213">
        <f>(calcPath8MTCost_AllYears-calcPath8Yr3_CostTotal)*IF(calcPath8ExpMt_Code&gt;3,0,1)</f>
        <v>0</v>
      </c>
      <c r="F464" t="s">
        <v>1640</v>
      </c>
    </row>
    <row r="465" spans="1:12">
      <c r="E465" s="211"/>
    </row>
    <row r="466" spans="1:12">
      <c r="C466" t="str">
        <f>nmYr4</f>
        <v>Year 5 - Projected Subscription</v>
      </c>
      <c r="E466" s="211"/>
      <c r="G466" t="s">
        <v>614</v>
      </c>
    </row>
    <row r="467" spans="1:12">
      <c r="C467" s="208"/>
      <c r="D467" t="s">
        <v>576</v>
      </c>
      <c r="E467" s="213">
        <f>calcPath8Yr3_CostYr3*(1+G467)</f>
        <v>0</v>
      </c>
      <c r="F467" t="s">
        <v>1641</v>
      </c>
      <c r="G467" s="251">
        <v>0.05</v>
      </c>
    </row>
    <row r="468" spans="1:12">
      <c r="A468" s="6"/>
      <c r="B468" s="6"/>
      <c r="C468" s="6"/>
      <c r="D468" s="6"/>
      <c r="E468" s="6"/>
      <c r="F468" s="6"/>
      <c r="G468" s="6"/>
      <c r="H468" s="6"/>
      <c r="I468" s="6"/>
      <c r="J468" s="6"/>
      <c r="K468" s="6"/>
      <c r="L468" s="6"/>
    </row>
    <row r="469" spans="1:12">
      <c r="A469" s="7" t="s">
        <v>533</v>
      </c>
      <c r="B469" s="2"/>
      <c r="C469" s="2"/>
      <c r="D469" s="2"/>
      <c r="E469" s="2"/>
      <c r="F469" s="3"/>
      <c r="G469" s="3"/>
      <c r="H469" s="3"/>
      <c r="I469" s="3"/>
      <c r="J469" s="3"/>
      <c r="K469" s="3"/>
      <c r="L469" s="3"/>
    </row>
    <row r="470" spans="1:12">
      <c r="A470" s="156" t="s">
        <v>437</v>
      </c>
    </row>
    <row r="472" spans="1:12">
      <c r="C472" t="str">
        <f>nmMTAll</f>
        <v>Stay on Maintenance</v>
      </c>
    </row>
    <row r="473" spans="1:12">
      <c r="C473" s="208" t="s">
        <v>412</v>
      </c>
      <c r="D473" t="str">
        <f>nmYr1</f>
        <v>Year 2</v>
      </c>
      <c r="E473" s="213">
        <f>calcPath1MTCost_Yr1+calcPath2MTCost_Yr1+calcPath3MTCost_Yr1+calcPath4MTCost_Yr1+calcPath5MTCost_Yr1+calcPath6MTCost_Yr1+calcPath7MTCost_Yr1+calcPath8MTCost_Yr1</f>
        <v>0</v>
      </c>
      <c r="F473" t="s">
        <v>513</v>
      </c>
    </row>
    <row r="474" spans="1:12">
      <c r="C474" s="208" t="s">
        <v>412</v>
      </c>
      <c r="D474" t="str">
        <f>nmYr2</f>
        <v>Year 3</v>
      </c>
      <c r="E474" s="213">
        <f>calcPath1MTCost_Yr2+calcPath2MTCost_Yr2+calcPath3MTCost_Yr2+calcPath4MTCost_Yr2+calcPath5MTCost_Yr2+calcPath6MTCost_Yr2+calcPath7MTCost_Yr2+calcPath8MTCost_Yr2</f>
        <v>0</v>
      </c>
      <c r="F474" t="s">
        <v>514</v>
      </c>
    </row>
    <row r="475" spans="1:12">
      <c r="C475" s="208" t="s">
        <v>412</v>
      </c>
      <c r="D475" t="str">
        <f>nmYr3</f>
        <v>Year 4</v>
      </c>
      <c r="E475" s="213">
        <f>calcPath1MTCost_Yr3+calcPath2MTCost_Yr3+calcPath3MTCost_Yr3+calcPath4MTCost_Yr3+calcPath5MTCost_Yr3+calcPath6MTCost_Yr3+calcPath7MTCost_Yr3+calcPath8MTCost_Yr3</f>
        <v>0</v>
      </c>
      <c r="F475" t="s">
        <v>515</v>
      </c>
    </row>
    <row r="476" spans="1:12" ht="1.5" customHeight="1">
      <c r="C476" s="208"/>
      <c r="D476" s="209"/>
      <c r="E476" s="212"/>
    </row>
    <row r="477" spans="1:12">
      <c r="C477" s="208"/>
      <c r="D477" t="s">
        <v>12</v>
      </c>
      <c r="E477" s="213">
        <f>calcPath1MTCost_AllYears+calcPath2MTCost_AllYears+calcPath3MTCost_AllYears+calcPath4MTCost_AllYears+calcPath5MTCost_AllYears+calcPath6MTCost_AllYears+calcPath7MTCost_AllYears+calcPath8MTCost_AllYears</f>
        <v>0</v>
      </c>
      <c r="F477" t="s">
        <v>516</v>
      </c>
    </row>
    <row r="479" spans="1:12">
      <c r="C479" t="str">
        <f>nmNewSub</f>
        <v>New Subscription SRP</v>
      </c>
    </row>
    <row r="480" spans="1:12">
      <c r="D480" t="str">
        <f>nmTotal1Yr</f>
        <v>1 Year Investment</v>
      </c>
      <c r="E480" s="213">
        <f>calcPath1SubSRP+calcPath2SubSRP+calcPath3SubSRP+calcPath4SubSRP+calcPath5SubSRP+calcPath6SubSRP+calcPath7SubSRP+calcPath8SubSRP</f>
        <v>0</v>
      </c>
      <c r="F480" t="s">
        <v>517</v>
      </c>
    </row>
    <row r="481" spans="3:6">
      <c r="D481" t="str">
        <f>nmTotal3Yr</f>
        <v>3 Year Investment</v>
      </c>
      <c r="E481" s="213">
        <f>calcPath1SubSRP3Yr+calcPath2SubSRP3Yr+calcPath3SubSRP3Yr+calcPath4SubSRP3Yr+calcPath5SubSRP3Yr+calcPath6SubSRP3Yr+calcPath7SubSRP3Yr+calcPath8SubSRP3Yr</f>
        <v>0</v>
      </c>
      <c r="F481" t="s">
        <v>704</v>
      </c>
    </row>
    <row r="482" spans="3:6">
      <c r="E482" s="211"/>
    </row>
    <row r="483" spans="3:6">
      <c r="C483" t="str">
        <f>nmMigrateFY1</f>
        <v>Switch in Year 2</v>
      </c>
      <c r="E483" s="211"/>
    </row>
    <row r="484" spans="3:6">
      <c r="C484" s="208" t="s">
        <v>411</v>
      </c>
      <c r="D484" t="str">
        <f>nmYr1</f>
        <v>Year 2</v>
      </c>
      <c r="E484" s="213">
        <f>calcPath1Yr1_CostYr1+calcPath2Yr1_CostYr1+calcPath3Yr1_CostYr1+calcPath4Yr1_CostYr1+calcPath5Yr1_CostYr1+calcPath6Yr1_CostYr1+calcPath7Yr1_CostYr1+calcPath8Yr1_CostYr1</f>
        <v>0</v>
      </c>
      <c r="F484" t="s">
        <v>518</v>
      </c>
    </row>
    <row r="485" spans="3:6">
      <c r="C485" s="208" t="s">
        <v>411</v>
      </c>
      <c r="D485" t="str">
        <f>nmYr2</f>
        <v>Year 3</v>
      </c>
      <c r="E485" s="213">
        <f>calcPath1Yr1_CostYr2+calcPath2Yr1_CostYr2+calcPath3Yr1_CostYr2+calcPath4Yr1_CostYr2+calcPath5Yr1_CostYr2+calcPath6Yr1_CostYr2+calcPath7Yr1_CostYr2+calcPath8Yr1_CostYr2</f>
        <v>0</v>
      </c>
      <c r="F485" t="s">
        <v>519</v>
      </c>
    </row>
    <row r="486" spans="3:6">
      <c r="C486" s="208" t="s">
        <v>411</v>
      </c>
      <c r="D486" t="str">
        <f>nmYr3</f>
        <v>Year 4</v>
      </c>
      <c r="E486" s="213">
        <f>calcPath1Yr1_CostYr3+calcPath2Yr1_CostYr3+calcPath3Yr1_CostYr3+calcPath4Yr1_CostYr3+calcPath5Yr1_CostYr3+calcPath6Yr1_CostYr3+calcPath7Yr1_CostYr3+calcPath8Yr1_CostYr3</f>
        <v>0</v>
      </c>
      <c r="F486" t="s">
        <v>520</v>
      </c>
    </row>
    <row r="487" spans="3:6" ht="1.5" customHeight="1">
      <c r="C487" s="208"/>
      <c r="D487" s="209"/>
      <c r="E487" s="212"/>
    </row>
    <row r="488" spans="3:6">
      <c r="C488" s="208"/>
      <c r="D488" t="s">
        <v>12</v>
      </c>
      <c r="E488" s="213">
        <f>calcPath1Yr1_CostTotal+calcPath2Yr1_CostTotal+calcPath3Yr1_CostTotal+calcPath4Yr1_CostTotal+calcPath5Yr1_CostTotal+calcPath6Yr1_CostTotal+calcPath7Yr1_CostTotal+calcPath8Yr1_CostTotal</f>
        <v>0</v>
      </c>
      <c r="F488" t="s">
        <v>521</v>
      </c>
    </row>
    <row r="489" spans="3:6">
      <c r="C489" s="208"/>
      <c r="D489" t="str">
        <f>nmSavings</f>
        <v>SRP Discount</v>
      </c>
      <c r="E489" s="213">
        <f>calcPath1Yr1_SRPDisc+calcPath2Yr1_SRPDisc+calcPath3Yr1_SRPDisc+calcPath4Yr1_SRPDisc+calcPath5Yr1_SRPDisc+calcPath6Yr1_SRPDisc+calcPath7Yr1_SRPDisc+calcPath8Yr1_SRPDisc</f>
        <v>0</v>
      </c>
      <c r="F489" t="s">
        <v>522</v>
      </c>
    </row>
    <row r="490" spans="3:6">
      <c r="C490" s="208"/>
      <c r="D490" t="str">
        <f>nmM2SMaintDiff</f>
        <v>Discount off Staying on Maintenance</v>
      </c>
      <c r="E490" s="213">
        <f>calcPath1Yr1_MaintDiff+calcPath2Yr1_MaintDiff+calcPath3Yr1_MaintDiff+calcPath4Yr1_MaintDiff+calcPath5Yr1_MaintDiff+calcPath6Yr1_MaintDiff+calcPath7Yr1_MaintDiff+calcPath8Yr1_MaintDiff</f>
        <v>0</v>
      </c>
      <c r="F490" t="s">
        <v>649</v>
      </c>
    </row>
    <row r="491" spans="3:6">
      <c r="E491" s="211"/>
    </row>
    <row r="492" spans="3:6">
      <c r="C492" t="str">
        <f>nmMigrateFY2</f>
        <v>Switch in Year 3</v>
      </c>
      <c r="E492" s="211"/>
    </row>
    <row r="493" spans="3:6">
      <c r="C493" s="208" t="s">
        <v>412</v>
      </c>
      <c r="D493" t="str">
        <f>nmYr1</f>
        <v>Year 2</v>
      </c>
      <c r="E493" s="213">
        <f>calcPath1Yr2_CostYr1+calcPath2Yr2_CostYr1+calcPath3Yr2_CostYr1+calcPath4Yr2_CostYr1+calcPath5Yr2_CostYr1+calcPath6Yr2_CostYr1+calcPath7Yr2_CostYr1+calcPath8Yr2_CostYr1</f>
        <v>0</v>
      </c>
      <c r="F493" t="s">
        <v>523</v>
      </c>
    </row>
    <row r="494" spans="3:6">
      <c r="C494" s="208" t="s">
        <v>411</v>
      </c>
      <c r="D494" t="str">
        <f>nmYr2</f>
        <v>Year 3</v>
      </c>
      <c r="E494" s="213">
        <f>calcPath1Yr2_CostYr2+calcPath2Yr2_CostYr2+calcPath3Yr2_CostYr2+calcPath4Yr2_CostYr2+calcPath5Yr2_CostYr2+calcPath6Yr2_CostYr2+calcPath7Yr2_CostYr2+calcPath8Yr2_CostYr2</f>
        <v>0</v>
      </c>
      <c r="F494" t="s">
        <v>524</v>
      </c>
    </row>
    <row r="495" spans="3:6">
      <c r="C495" s="208" t="s">
        <v>411</v>
      </c>
      <c r="D495" t="str">
        <f>nmYr3</f>
        <v>Year 4</v>
      </c>
      <c r="E495" s="213">
        <f>calcPath1Yr2_CostYr3+calcPath2Yr2_CostYr3+calcPath3Yr2_CostYr3+calcPath4Yr2_CostYr3+calcPath5Yr2_CostYr3+calcPath6Yr2_CostYr3+calcPath7Yr2_CostYr3+calcPath8Yr2_CostYr3</f>
        <v>0</v>
      </c>
      <c r="F495" t="s">
        <v>525</v>
      </c>
    </row>
    <row r="496" spans="3:6" ht="1.5" customHeight="1">
      <c r="C496" s="208"/>
      <c r="D496" s="209"/>
      <c r="E496" s="212"/>
    </row>
    <row r="497" spans="3:6">
      <c r="C497" s="208"/>
      <c r="D497" t="s">
        <v>12</v>
      </c>
      <c r="E497" s="213">
        <f>calcPath1Yr2_CostTotal+calcPath2Yr2_CostTotal+calcPath3Yr2_CostTotal+calcPath4Yr2_CostTotal+calcPath5Yr2_CostTotal+calcPath6Yr2_CostTotal+calcPath7Yr2_CostTotal+calcPath8Yr2_CostTotal</f>
        <v>0</v>
      </c>
      <c r="F497" t="s">
        <v>526</v>
      </c>
    </row>
    <row r="498" spans="3:6">
      <c r="C498" s="208"/>
      <c r="D498" t="str">
        <f>nmSavings</f>
        <v>SRP Discount</v>
      </c>
      <c r="E498" s="213">
        <f>calcPath1Yr2_SRPDisc+calcPath2Yr2_SRPDisc+calcPath3Yr2_SRPDisc+calcPath4Yr2_SRPDisc+calcPath5Yr2_SRPDisc+calcPath6Yr2_SRPDisc+calcPath7Yr2_SRPDisc+calcPath8Yr2_SRPDisc</f>
        <v>0</v>
      </c>
      <c r="F498" t="s">
        <v>527</v>
      </c>
    </row>
    <row r="499" spans="3:6">
      <c r="C499" s="208"/>
      <c r="D499" t="str">
        <f>nmM2SMaintDiff</f>
        <v>Discount off Staying on Maintenance</v>
      </c>
      <c r="E499" s="213">
        <f>calcPath1Yr2_MaintDiff+calcPath2Yr2_MaintDiff+calcPath3Yr2_MaintDiff+calcPath4Yr2_MaintDiff+calcPath5Yr2_MaintDiff+calcPath6Yr2_MaintDiff+calcPath7Yr2_MaintDiff+calcPath8Yr2_MaintDiff</f>
        <v>0</v>
      </c>
      <c r="F499" t="s">
        <v>650</v>
      </c>
    </row>
    <row r="500" spans="3:6">
      <c r="E500" s="211"/>
    </row>
    <row r="501" spans="3:6">
      <c r="C501" t="str">
        <f>nmMigrateFY3</f>
        <v>Switch in Year 4</v>
      </c>
      <c r="E501" s="211"/>
    </row>
    <row r="502" spans="3:6">
      <c r="C502" s="208" t="s">
        <v>412</v>
      </c>
      <c r="D502" t="str">
        <f>nmYr1</f>
        <v>Year 2</v>
      </c>
      <c r="E502" s="213">
        <f>calcPath1Yr3_CostYr1+calcPath2Yr3_CostYr1+calcPath3Yr3_CostYr1+calcPath4Yr3_CostYr1+calcPath5Yr3_CostYr1+calcPath6Yr3_CostYr1+calcPath7Yr3_CostYr1+calcPath8Yr3_CostYr1</f>
        <v>0</v>
      </c>
      <c r="F502" t="s">
        <v>528</v>
      </c>
    </row>
    <row r="503" spans="3:6">
      <c r="C503" s="208" t="s">
        <v>412</v>
      </c>
      <c r="D503" t="str">
        <f>nmYr2</f>
        <v>Year 3</v>
      </c>
      <c r="E503" s="213">
        <f>calcPath1Yr3_CostYr2+calcPath2Yr3_CostYr2+calcPath3Yr3_CostYr2+calcPath4Yr3_CostYr2+calcPath5Yr3_CostYr2+calcPath6Yr3_CostYr2+calcPath7Yr3_CostYr2+calcPath8Yr3_CostYr2</f>
        <v>0</v>
      </c>
      <c r="F503" t="s">
        <v>529</v>
      </c>
    </row>
    <row r="504" spans="3:6">
      <c r="C504" s="208" t="s">
        <v>411</v>
      </c>
      <c r="D504" t="str">
        <f>nmYr3</f>
        <v>Year 4</v>
      </c>
      <c r="E504" s="213">
        <f>calcPath1Yr3_CostYr3+calcPath2Yr3_CostYr3+calcPath3Yr3_CostYr3+calcPath4Yr3_CostYr3+calcPath5Yr3_CostYr3+calcPath6Yr3_CostYr3+calcPath7Yr3_CostYr3+calcPath8Yr3_CostYr3</f>
        <v>0</v>
      </c>
      <c r="F504" t="s">
        <v>530</v>
      </c>
    </row>
    <row r="505" spans="3:6" ht="1.5" customHeight="1">
      <c r="C505" s="208"/>
      <c r="D505" s="209"/>
      <c r="E505" s="212"/>
    </row>
    <row r="506" spans="3:6">
      <c r="C506" s="208"/>
      <c r="D506" t="s">
        <v>12</v>
      </c>
      <c r="E506" s="213">
        <f>calcPath1Yr3_CostTotal+calcPath2Yr3_CostTotal+calcPath3Yr3_CostTotal+calcPath4Yr3_CostTotal+calcPath5Yr3_CostTotal+calcPath6Yr3_CostTotal+calcPath7Yr3_CostTotal+calcPath8Yr3_CostTotal</f>
        <v>0</v>
      </c>
      <c r="F506" t="s">
        <v>531</v>
      </c>
    </row>
    <row r="507" spans="3:6">
      <c r="C507" s="208"/>
      <c r="D507" t="str">
        <f>nmSavings</f>
        <v>SRP Discount</v>
      </c>
      <c r="E507" s="213">
        <f>calcPath1Yr3_SRPDisc+calcPath2Yr3_SRPDisc+calcPath3Yr3_SRPDisc+calcPath4Yr3_SRPDisc+calcPath5Yr3_SRPDisc+calcPath6Yr3_SRPDisc+calcPath7Yr3_SRPDisc+calcPath8Yr3_SRPDisc</f>
        <v>0</v>
      </c>
      <c r="F507" t="s">
        <v>532</v>
      </c>
    </row>
    <row r="508" spans="3:6">
      <c r="C508" s="208"/>
      <c r="D508" t="str">
        <f>nmM2SMaintDiff</f>
        <v>Discount off Staying on Maintenance</v>
      </c>
      <c r="E508" s="213">
        <f>calcPath1Yr3_MaintDiff+calcPath2Yr3_MaintDiff+calcPath3Yr3_MaintDiff+calcPath4Yr3_MaintDiff+calcPath5Yr3_MaintDiff+calcPath6Yr3_MaintDiff+calcPath7Yr3_MaintDiff+calcPath8Yr3_MaintDiff</f>
        <v>0</v>
      </c>
      <c r="F508" t="s">
        <v>651</v>
      </c>
    </row>
    <row r="509" spans="3:6">
      <c r="E509" s="211"/>
    </row>
    <row r="510" spans="3:6">
      <c r="C510" t="str">
        <f>nmYr4</f>
        <v>Year 5 - Projected Subscription</v>
      </c>
      <c r="E510" s="211"/>
    </row>
    <row r="511" spans="3:6">
      <c r="C511" s="208"/>
      <c r="D511" t="s">
        <v>576</v>
      </c>
      <c r="E511" s="213">
        <f>calcPath1Yr4Cost+calcPath2Yr4Cost+calcPath3Yr4Cost+calcPath4Yr4Cost+calcPath5Yr4Cost+calcPath6Yr4Cost+calcPath7Yr4Cost+calcPath8Yr4Cost</f>
        <v>0</v>
      </c>
      <c r="F511" t="s">
        <v>577</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2060"/>
  </sheetPr>
  <dimension ref="A1:H151"/>
  <sheetViews>
    <sheetView topLeftCell="D1" workbookViewId="0">
      <selection activeCell="E8" sqref="E8"/>
    </sheetView>
  </sheetViews>
  <sheetFormatPr defaultRowHeight="14.25" customHeight="1"/>
  <cols>
    <col min="1" max="3" width="4.69921875" customWidth="1"/>
    <col min="4" max="4" width="27.5" bestFit="1" customWidth="1"/>
    <col min="5" max="5" width="34.8984375" bestFit="1" customWidth="1"/>
    <col min="6" max="6" width="29.09765625" bestFit="1" customWidth="1"/>
    <col min="7" max="8" width="32.5" bestFit="1" customWidth="1"/>
    <col min="9" max="9" width="8.796875" customWidth="1"/>
    <col min="15" max="15" width="8.796875" customWidth="1"/>
    <col min="21" max="21" width="8.796875" customWidth="1"/>
    <col min="27" max="27" width="8.796875" customWidth="1"/>
  </cols>
  <sheetData>
    <row r="1" spans="1:8" ht="18">
      <c r="A1" s="206" t="s">
        <v>626</v>
      </c>
      <c r="B1" s="86"/>
      <c r="C1" s="85"/>
      <c r="D1" s="85"/>
      <c r="E1" s="85"/>
      <c r="F1" s="85"/>
      <c r="G1" s="80"/>
      <c r="H1" s="80"/>
    </row>
    <row r="2" spans="1:8">
      <c r="A2" s="6"/>
      <c r="B2" s="6"/>
      <c r="C2" s="6"/>
      <c r="D2" s="6"/>
      <c r="E2" s="6"/>
      <c r="F2" s="6"/>
      <c r="G2" s="6"/>
      <c r="H2" s="6"/>
    </row>
    <row r="3" spans="1:8">
      <c r="A3" s="6"/>
      <c r="B3" s="6"/>
      <c r="C3" s="6"/>
      <c r="D3" s="6" t="s">
        <v>633</v>
      </c>
      <c r="E3" s="89"/>
      <c r="F3" s="6"/>
      <c r="G3" s="6"/>
      <c r="H3" s="6"/>
    </row>
    <row r="4" spans="1:8">
      <c r="A4" s="6"/>
      <c r="B4" s="6"/>
      <c r="C4" s="6"/>
      <c r="D4" s="6"/>
      <c r="E4" s="6"/>
      <c r="F4" s="6"/>
      <c r="G4" s="6"/>
      <c r="H4" s="6"/>
    </row>
    <row r="5" spans="1:8">
      <c r="A5" s="341" t="s">
        <v>711</v>
      </c>
      <c r="B5" s="342"/>
      <c r="C5" s="342"/>
      <c r="D5" s="342"/>
      <c r="E5" s="342"/>
      <c r="F5" s="343"/>
      <c r="G5" s="343"/>
      <c r="H5" s="343"/>
    </row>
    <row r="6" spans="1:8">
      <c r="A6" s="6"/>
      <c r="B6" s="6"/>
      <c r="C6" s="6"/>
      <c r="D6" s="6"/>
      <c r="E6" s="6"/>
      <c r="F6" s="6"/>
      <c r="G6" s="6"/>
      <c r="H6" s="6"/>
    </row>
    <row r="7" spans="1:8">
      <c r="A7" s="7" t="str">
        <f>nmInvOpt&amp;" - "&amp;nmPath1</f>
        <v>Maintenance to Subscription Analysis - Product 1</v>
      </c>
      <c r="B7" s="2"/>
      <c r="C7" s="2"/>
      <c r="D7" s="2"/>
      <c r="E7" s="2"/>
      <c r="F7" s="3"/>
      <c r="G7" s="3"/>
      <c r="H7" s="3"/>
    </row>
    <row r="9" spans="1:8">
      <c r="E9" s="89" t="str">
        <f>nmM2SCost</f>
        <v>Investment to Switch</v>
      </c>
      <c r="F9" s="89" t="str">
        <f>nmM2SSavings</f>
        <v>Discount off New SRP</v>
      </c>
      <c r="G9" s="89" t="str">
        <f>nmM2SMaintDiff</f>
        <v>Discount off Staying on Maintenance</v>
      </c>
    </row>
    <row r="10" spans="1:8">
      <c r="D10" s="89" t="str">
        <f>nmMigrateFY1</f>
        <v>Switch in Year 2</v>
      </c>
      <c r="E10" s="306">
        <f>calcPath1Yr1_CostTotal</f>
        <v>0</v>
      </c>
      <c r="F10" s="306">
        <f>calcPath1Yr1_SRPDisc</f>
        <v>0</v>
      </c>
      <c r="G10" s="306">
        <f>calcPath1Yr1_MaintDiff</f>
        <v>0</v>
      </c>
    </row>
    <row r="11" spans="1:8">
      <c r="D11" s="89" t="str">
        <f>nmMigrateFY2</f>
        <v>Switch in Year 3</v>
      </c>
      <c r="E11" s="306">
        <f>calcPath1Yr2_CostTotal</f>
        <v>0</v>
      </c>
      <c r="F11" s="306">
        <f>calcPath1Yr2_SRPDisc</f>
        <v>0</v>
      </c>
      <c r="G11" s="306">
        <f>calcPath1Yr2_MaintDiff</f>
        <v>0</v>
      </c>
    </row>
    <row r="12" spans="1:8">
      <c r="D12" s="89" t="str">
        <f>nmMigrateFY3</f>
        <v>Switch in Year 4</v>
      </c>
      <c r="E12" s="306">
        <f>calcPath1Yr3_CostTotal</f>
        <v>0</v>
      </c>
      <c r="F12" s="306">
        <f>calcPath1Yr3_SRPDisc</f>
        <v>0</v>
      </c>
      <c r="G12" s="306">
        <f>calcPath1Yr3_MaintDiff</f>
        <v>0</v>
      </c>
    </row>
    <row r="13" spans="1:8">
      <c r="A13" s="6"/>
      <c r="B13" s="6"/>
      <c r="C13" s="6"/>
      <c r="D13" s="6"/>
      <c r="E13" s="307"/>
      <c r="F13" s="307"/>
      <c r="G13" s="307"/>
      <c r="H13" s="6"/>
    </row>
    <row r="14" spans="1:8">
      <c r="A14" s="7" t="str">
        <f>nmInvOpt&amp;" - "&amp;nmPath2</f>
        <v>Maintenance to Subscription Analysis - Product 2</v>
      </c>
      <c r="B14" s="2"/>
      <c r="C14" s="2"/>
      <c r="D14" s="2"/>
      <c r="E14" s="308"/>
      <c r="F14" s="309"/>
      <c r="G14" s="309"/>
      <c r="H14" s="3"/>
    </row>
    <row r="15" spans="1:8">
      <c r="E15" s="310"/>
      <c r="F15" s="310"/>
      <c r="G15" s="310"/>
    </row>
    <row r="16" spans="1:8">
      <c r="E16" s="311" t="str">
        <f>nmM2SCost</f>
        <v>Investment to Switch</v>
      </c>
      <c r="F16" s="311" t="str">
        <f>nmM2SSavings</f>
        <v>Discount off New SRP</v>
      </c>
      <c r="G16" s="312" t="str">
        <f>nmM2SMaintDiff</f>
        <v>Discount off Staying on Maintenance</v>
      </c>
    </row>
    <row r="17" spans="1:8">
      <c r="D17" s="89" t="str">
        <f>nmMigrateFY1</f>
        <v>Switch in Year 2</v>
      </c>
      <c r="E17" s="306">
        <f>calcPath2Yr1_CostTotal</f>
        <v>0</v>
      </c>
      <c r="F17" s="306">
        <f>calcPath2Yr1_SRPDisc</f>
        <v>0</v>
      </c>
      <c r="G17" s="306">
        <f>calcPath2Yr1_MaintDiff</f>
        <v>0</v>
      </c>
    </row>
    <row r="18" spans="1:8">
      <c r="D18" s="89" t="str">
        <f>nmMigrateFY2</f>
        <v>Switch in Year 3</v>
      </c>
      <c r="E18" s="306">
        <f>calcPath2Yr2_CostTotal</f>
        <v>0</v>
      </c>
      <c r="F18" s="306">
        <f>calcPath2Yr2_SRPDisc</f>
        <v>0</v>
      </c>
      <c r="G18" s="306">
        <f>calcPath2Yr2_MaintDiff</f>
        <v>0</v>
      </c>
    </row>
    <row r="19" spans="1:8">
      <c r="D19" s="89" t="str">
        <f>nmMigrateFY3</f>
        <v>Switch in Year 4</v>
      </c>
      <c r="E19" s="306">
        <f>calcPath2Yr3_CostTotal</f>
        <v>0</v>
      </c>
      <c r="F19" s="306">
        <f>calcPath2Yr3_SRPDisc</f>
        <v>0</v>
      </c>
      <c r="G19" s="306">
        <f>calcPath2Yr3_MaintDiff</f>
        <v>0</v>
      </c>
    </row>
    <row r="20" spans="1:8">
      <c r="A20" s="6"/>
      <c r="B20" s="6"/>
      <c r="C20" s="6"/>
      <c r="D20" s="6"/>
      <c r="E20" s="307"/>
      <c r="F20" s="307"/>
      <c r="G20" s="307"/>
      <c r="H20" s="6"/>
    </row>
    <row r="21" spans="1:8">
      <c r="A21" s="7" t="str">
        <f>nmInvOpt&amp;" - "&amp;nmPath3</f>
        <v>Maintenance to Subscription Analysis - Product 3</v>
      </c>
      <c r="B21" s="2"/>
      <c r="C21" s="2"/>
      <c r="D21" s="2"/>
      <c r="E21" s="308"/>
      <c r="F21" s="309"/>
      <c r="G21" s="309"/>
      <c r="H21" s="3"/>
    </row>
    <row r="22" spans="1:8">
      <c r="E22" s="310"/>
      <c r="F22" s="310"/>
      <c r="G22" s="310"/>
    </row>
    <row r="23" spans="1:8">
      <c r="E23" s="311" t="str">
        <f>nmM2SCost</f>
        <v>Investment to Switch</v>
      </c>
      <c r="F23" s="311" t="str">
        <f>nmM2SSavings</f>
        <v>Discount off New SRP</v>
      </c>
      <c r="G23" s="312" t="str">
        <f>nmM2SMaintDiff</f>
        <v>Discount off Staying on Maintenance</v>
      </c>
    </row>
    <row r="24" spans="1:8">
      <c r="D24" s="89" t="str">
        <f>nmMigrateFY1</f>
        <v>Switch in Year 2</v>
      </c>
      <c r="E24" s="306">
        <f>calcPath3Yr1_CostTotal</f>
        <v>0</v>
      </c>
      <c r="F24" s="306">
        <f>calcPath3Yr1_SRPDisc</f>
        <v>0</v>
      </c>
      <c r="G24" s="306">
        <f>calcPath3Yr1_MaintDiff</f>
        <v>0</v>
      </c>
    </row>
    <row r="25" spans="1:8">
      <c r="D25" s="89" t="str">
        <f>nmMigrateFY2</f>
        <v>Switch in Year 3</v>
      </c>
      <c r="E25" s="306">
        <f>calcPath3Yr2_CostTotal</f>
        <v>0</v>
      </c>
      <c r="F25" s="306">
        <f>calcPath3Yr2_SRPDisc</f>
        <v>0</v>
      </c>
      <c r="G25" s="306">
        <f>calcPath3Yr2_MaintDiff</f>
        <v>0</v>
      </c>
    </row>
    <row r="26" spans="1:8">
      <c r="D26" s="89" t="str">
        <f>nmMigrateFY3</f>
        <v>Switch in Year 4</v>
      </c>
      <c r="E26" s="306">
        <f>calcPath3Yr3_CostTotal</f>
        <v>0</v>
      </c>
      <c r="F26" s="306">
        <f>calcPath3Yr3_SRPDisc</f>
        <v>0</v>
      </c>
      <c r="G26" s="306">
        <f>calcPath3Yr3_MaintDiff</f>
        <v>0</v>
      </c>
    </row>
    <row r="27" spans="1:8">
      <c r="A27" s="6"/>
      <c r="B27" s="6"/>
      <c r="C27" s="6"/>
      <c r="D27" s="6"/>
      <c r="E27" s="307"/>
      <c r="F27" s="307"/>
      <c r="G27" s="307"/>
      <c r="H27" s="6"/>
    </row>
    <row r="28" spans="1:8">
      <c r="A28" s="7" t="str">
        <f>nmInvOpt&amp;" - "&amp;nmPath4</f>
        <v>Maintenance to Subscription Analysis - Product 4</v>
      </c>
      <c r="B28" s="2"/>
      <c r="C28" s="2"/>
      <c r="D28" s="2"/>
      <c r="E28" s="308"/>
      <c r="F28" s="309"/>
      <c r="G28" s="309"/>
      <c r="H28" s="3"/>
    </row>
    <row r="29" spans="1:8">
      <c r="E29" s="310"/>
      <c r="F29" s="310"/>
      <c r="G29" s="310"/>
    </row>
    <row r="30" spans="1:8">
      <c r="E30" s="311" t="str">
        <f>nmM2SCost</f>
        <v>Investment to Switch</v>
      </c>
      <c r="F30" s="311" t="str">
        <f>nmM2SSavings</f>
        <v>Discount off New SRP</v>
      </c>
      <c r="G30" s="312" t="str">
        <f>nmM2SMaintDiff</f>
        <v>Discount off Staying on Maintenance</v>
      </c>
    </row>
    <row r="31" spans="1:8">
      <c r="D31" s="89" t="str">
        <f>nmMigrateFY1</f>
        <v>Switch in Year 2</v>
      </c>
      <c r="E31" s="306">
        <f>calcPath4Yr1_CostTotal</f>
        <v>0</v>
      </c>
      <c r="F31" s="306">
        <f>calcPath4Yr1_SRPDisc</f>
        <v>0</v>
      </c>
      <c r="G31" s="306">
        <f>calcPath4Yr1_MaintDiff</f>
        <v>0</v>
      </c>
    </row>
    <row r="32" spans="1:8">
      <c r="D32" s="89" t="str">
        <f>nmMigrateFY2</f>
        <v>Switch in Year 3</v>
      </c>
      <c r="E32" s="306">
        <f>calcPath4Yr2_CostTotal</f>
        <v>0</v>
      </c>
      <c r="F32" s="306">
        <f>calcPath4Yr2_SRPDisc</f>
        <v>0</v>
      </c>
      <c r="G32" s="306">
        <f>calcPath4Yr2_MaintDiff</f>
        <v>0</v>
      </c>
    </row>
    <row r="33" spans="1:8">
      <c r="D33" s="89" t="str">
        <f>nmMigrateFY3</f>
        <v>Switch in Year 4</v>
      </c>
      <c r="E33" s="306">
        <f>calcPath4Yr3_CostTotal</f>
        <v>0</v>
      </c>
      <c r="F33" s="306">
        <f>calcPath4Yr3_SRPDisc</f>
        <v>0</v>
      </c>
      <c r="G33" s="306">
        <f>calcPath4Yr3_MaintDiff</f>
        <v>0</v>
      </c>
    </row>
    <row r="34" spans="1:8">
      <c r="A34" s="6"/>
      <c r="B34" s="6"/>
      <c r="C34" s="6"/>
      <c r="D34" s="6"/>
      <c r="E34" s="307"/>
      <c r="F34" s="307"/>
      <c r="G34" s="307"/>
      <c r="H34" s="6"/>
    </row>
    <row r="35" spans="1:8">
      <c r="A35" s="7" t="str">
        <f>nmInvOpt&amp;" - "&amp;nmPath5</f>
        <v>Maintenance to Subscription Analysis - Product 5</v>
      </c>
      <c r="B35" s="2"/>
      <c r="C35" s="2"/>
      <c r="D35" s="2"/>
      <c r="E35" s="308"/>
      <c r="F35" s="309"/>
      <c r="G35" s="309"/>
      <c r="H35" s="3"/>
    </row>
    <row r="36" spans="1:8">
      <c r="E36" s="310"/>
      <c r="F36" s="310"/>
      <c r="G36" s="310"/>
    </row>
    <row r="37" spans="1:8">
      <c r="E37" s="311" t="str">
        <f>nmM2SCost</f>
        <v>Investment to Switch</v>
      </c>
      <c r="F37" s="311" t="str">
        <f>nmM2SSavings</f>
        <v>Discount off New SRP</v>
      </c>
      <c r="G37" s="312" t="str">
        <f>nmM2SMaintDiff</f>
        <v>Discount off Staying on Maintenance</v>
      </c>
    </row>
    <row r="38" spans="1:8">
      <c r="D38" s="89" t="str">
        <f>nmMigrateFY1</f>
        <v>Switch in Year 2</v>
      </c>
      <c r="E38" s="306">
        <f>calcPath5Yr1_CostTotal</f>
        <v>0</v>
      </c>
      <c r="F38" s="306">
        <f>calcPath5Yr1_SRPDisc</f>
        <v>0</v>
      </c>
      <c r="G38" s="306">
        <f>calcPath5Yr1_MaintDiff</f>
        <v>0</v>
      </c>
    </row>
    <row r="39" spans="1:8">
      <c r="D39" s="89" t="str">
        <f>nmMigrateFY2</f>
        <v>Switch in Year 3</v>
      </c>
      <c r="E39" s="306">
        <f>calcPath5Yr2_CostTotal</f>
        <v>0</v>
      </c>
      <c r="F39" s="306">
        <f>calcPath5Yr2_SRPDisc</f>
        <v>0</v>
      </c>
      <c r="G39" s="306">
        <f>calcPath5Yr2_MaintDiff</f>
        <v>0</v>
      </c>
    </row>
    <row r="40" spans="1:8">
      <c r="D40" s="89" t="str">
        <f>nmMigrateFY3</f>
        <v>Switch in Year 4</v>
      </c>
      <c r="E40" s="306">
        <f>calcPath5Yr3_CostTotal</f>
        <v>0</v>
      </c>
      <c r="F40" s="306">
        <f>calcPath5Yr3_SRPDisc</f>
        <v>0</v>
      </c>
      <c r="G40" s="306">
        <f>calcPath5Yr3_MaintDiff</f>
        <v>0</v>
      </c>
    </row>
    <row r="41" spans="1:8">
      <c r="A41" s="6"/>
      <c r="B41" s="6"/>
      <c r="C41" s="6"/>
      <c r="D41" s="6"/>
      <c r="E41" s="307"/>
      <c r="F41" s="307"/>
      <c r="G41" s="307"/>
      <c r="H41" s="6"/>
    </row>
    <row r="42" spans="1:8">
      <c r="A42" s="7" t="str">
        <f>nmInvOpt&amp;" - "&amp;nmPath6</f>
        <v>Maintenance to Subscription Analysis - Product 6</v>
      </c>
      <c r="B42" s="2"/>
      <c r="C42" s="2"/>
      <c r="D42" s="2"/>
      <c r="E42" s="308"/>
      <c r="F42" s="309"/>
      <c r="G42" s="309"/>
      <c r="H42" s="3"/>
    </row>
    <row r="43" spans="1:8">
      <c r="E43" s="310"/>
      <c r="F43" s="310"/>
      <c r="G43" s="310"/>
    </row>
    <row r="44" spans="1:8">
      <c r="E44" s="311" t="str">
        <f>nmM2SCost</f>
        <v>Investment to Switch</v>
      </c>
      <c r="F44" s="311" t="str">
        <f>nmM2SSavings</f>
        <v>Discount off New SRP</v>
      </c>
      <c r="G44" s="312" t="str">
        <f>nmM2SMaintDiff</f>
        <v>Discount off Staying on Maintenance</v>
      </c>
    </row>
    <row r="45" spans="1:8">
      <c r="D45" s="89" t="str">
        <f>nmMigrateFY1</f>
        <v>Switch in Year 2</v>
      </c>
      <c r="E45" s="306">
        <f>calcPath6Yr1_CostTotal</f>
        <v>0</v>
      </c>
      <c r="F45" s="306">
        <f>calcPath6Yr1_SRPDisc</f>
        <v>0</v>
      </c>
      <c r="G45" s="306">
        <f>calcPath6Yr1_MaintDiff</f>
        <v>0</v>
      </c>
    </row>
    <row r="46" spans="1:8">
      <c r="D46" s="89" t="str">
        <f>nmMigrateFY2</f>
        <v>Switch in Year 3</v>
      </c>
      <c r="E46" s="306">
        <f>calcPath6Yr2_CostTotal</f>
        <v>0</v>
      </c>
      <c r="F46" s="306">
        <f>calcPath6Yr2_SRPDisc</f>
        <v>0</v>
      </c>
      <c r="G46" s="306">
        <f>calcPath6Yr2_MaintDiff</f>
        <v>0</v>
      </c>
    </row>
    <row r="47" spans="1:8">
      <c r="D47" s="89" t="str">
        <f>nmMigrateFY3</f>
        <v>Switch in Year 4</v>
      </c>
      <c r="E47" s="306">
        <f>calcPath6Yr3_CostTotal</f>
        <v>0</v>
      </c>
      <c r="F47" s="306">
        <f>calcPath6Yr3_SRPDisc</f>
        <v>0</v>
      </c>
      <c r="G47" s="306">
        <f>calcPath6Yr3_MaintDiff</f>
        <v>0</v>
      </c>
    </row>
    <row r="48" spans="1:8">
      <c r="A48" s="6"/>
      <c r="B48" s="6"/>
      <c r="C48" s="6"/>
      <c r="D48" s="6"/>
      <c r="E48" s="307"/>
      <c r="F48" s="307"/>
      <c r="G48" s="307"/>
      <c r="H48" s="6"/>
    </row>
    <row r="49" spans="1:8">
      <c r="A49" s="7" t="str">
        <f>nmInvOpt&amp;" - "&amp;nmPath7</f>
        <v>Maintenance to Subscription Analysis - Product 7</v>
      </c>
      <c r="B49" s="2"/>
      <c r="C49" s="2"/>
      <c r="D49" s="2"/>
      <c r="E49" s="308"/>
      <c r="F49" s="309"/>
      <c r="G49" s="309"/>
      <c r="H49" s="3"/>
    </row>
    <row r="50" spans="1:8">
      <c r="E50" s="310"/>
      <c r="F50" s="310"/>
      <c r="G50" s="310"/>
    </row>
    <row r="51" spans="1:8">
      <c r="E51" s="311" t="str">
        <f>nmM2SCost</f>
        <v>Investment to Switch</v>
      </c>
      <c r="F51" s="311" t="str">
        <f>nmM2SSavings</f>
        <v>Discount off New SRP</v>
      </c>
      <c r="G51" s="312" t="str">
        <f>nmM2SMaintDiff</f>
        <v>Discount off Staying on Maintenance</v>
      </c>
    </row>
    <row r="52" spans="1:8">
      <c r="D52" s="89" t="str">
        <f>nmMigrateFY1</f>
        <v>Switch in Year 2</v>
      </c>
      <c r="E52" s="306">
        <f>calcPath7Yr1_CostTotal</f>
        <v>0</v>
      </c>
      <c r="F52" s="306">
        <f>calcPath7Yr1_SRPDisc</f>
        <v>0</v>
      </c>
      <c r="G52" s="306">
        <f>calcPath7Yr1_MaintDiff</f>
        <v>0</v>
      </c>
    </row>
    <row r="53" spans="1:8">
      <c r="D53" s="89" t="str">
        <f>nmMigrateFY2</f>
        <v>Switch in Year 3</v>
      </c>
      <c r="E53" s="306">
        <f>calcPath7Yr2_CostTotal</f>
        <v>0</v>
      </c>
      <c r="F53" s="306">
        <f>calcPath7Yr2_SRPDisc</f>
        <v>0</v>
      </c>
      <c r="G53" s="306">
        <f>calcPath7Yr2_MaintDiff</f>
        <v>0</v>
      </c>
    </row>
    <row r="54" spans="1:8">
      <c r="D54" s="89" t="str">
        <f>nmMigrateFY3</f>
        <v>Switch in Year 4</v>
      </c>
      <c r="E54" s="306">
        <f>calcPath7Yr3_CostTotal</f>
        <v>0</v>
      </c>
      <c r="F54" s="306">
        <f>calcPath7Yr3_SRPDisc</f>
        <v>0</v>
      </c>
      <c r="G54" s="306">
        <f>calcPath7Yr3_MaintDiff</f>
        <v>0</v>
      </c>
    </row>
    <row r="55" spans="1:8">
      <c r="A55" s="6"/>
      <c r="B55" s="6"/>
      <c r="C55" s="6"/>
      <c r="D55" s="6"/>
      <c r="E55" s="307"/>
      <c r="F55" s="307"/>
      <c r="G55" s="307"/>
      <c r="H55" s="6"/>
    </row>
    <row r="56" spans="1:8">
      <c r="A56" s="7" t="str">
        <f>nmInvOpt&amp;" - "&amp;nmPath8</f>
        <v>Maintenance to Subscription Analysis - Product 8</v>
      </c>
      <c r="B56" s="2"/>
      <c r="C56" s="2"/>
      <c r="D56" s="2"/>
      <c r="E56" s="308"/>
      <c r="F56" s="309"/>
      <c r="G56" s="309"/>
      <c r="H56" s="3"/>
    </row>
    <row r="57" spans="1:8">
      <c r="E57" s="310"/>
      <c r="F57" s="310"/>
      <c r="G57" s="310"/>
    </row>
    <row r="58" spans="1:8">
      <c r="E58" s="311" t="str">
        <f>nmM2SCost</f>
        <v>Investment to Switch</v>
      </c>
      <c r="F58" s="311" t="str">
        <f>nmM2SSavings</f>
        <v>Discount off New SRP</v>
      </c>
      <c r="G58" s="312" t="str">
        <f>nmM2SMaintDiff</f>
        <v>Discount off Staying on Maintenance</v>
      </c>
    </row>
    <row r="59" spans="1:8">
      <c r="D59" s="89" t="str">
        <f>nmMigrateFY1</f>
        <v>Switch in Year 2</v>
      </c>
      <c r="E59" s="306">
        <f>calcPath8Yr1_CostTotal</f>
        <v>0</v>
      </c>
      <c r="F59" s="306">
        <f>calcPath8Yr1_SRPDisc</f>
        <v>0</v>
      </c>
      <c r="G59" s="306">
        <f>calcPath8Yr1_MaintDiff</f>
        <v>0</v>
      </c>
    </row>
    <row r="60" spans="1:8">
      <c r="D60" s="89" t="str">
        <f>nmMigrateFY2</f>
        <v>Switch in Year 3</v>
      </c>
      <c r="E60" s="306">
        <f>calcPath8Yr2_CostTotal</f>
        <v>0</v>
      </c>
      <c r="F60" s="306">
        <f>calcPath8Yr2_SRPDisc</f>
        <v>0</v>
      </c>
      <c r="G60" s="306">
        <f>calcPath8Yr2_MaintDiff</f>
        <v>0</v>
      </c>
    </row>
    <row r="61" spans="1:8">
      <c r="D61" s="89" t="str">
        <f>nmMigrateFY3</f>
        <v>Switch in Year 4</v>
      </c>
      <c r="E61" s="306">
        <f>calcPath8Yr3_CostTotal</f>
        <v>0</v>
      </c>
      <c r="F61" s="306">
        <f>calcPath8Yr3_SRPDisc</f>
        <v>0</v>
      </c>
      <c r="G61" s="306">
        <f>calcPath8Yr3_MaintDiff</f>
        <v>0</v>
      </c>
    </row>
    <row r="62" spans="1:8">
      <c r="A62" s="6"/>
      <c r="B62" s="6"/>
      <c r="C62" s="6"/>
      <c r="D62" s="6"/>
      <c r="E62" s="307"/>
      <c r="F62" s="307"/>
      <c r="G62" s="307"/>
      <c r="H62" s="6"/>
    </row>
    <row r="63" spans="1:8">
      <c r="A63" s="7" t="str">
        <f>nmInvOpt&amp;" - "&amp;nmTotal</f>
        <v>Maintenance to Subscription Analysis - Total</v>
      </c>
      <c r="B63" s="2"/>
      <c r="C63" s="2"/>
      <c r="D63" s="2"/>
      <c r="E63" s="308"/>
      <c r="F63" s="309"/>
      <c r="G63" s="309"/>
      <c r="H63" s="3"/>
    </row>
    <row r="64" spans="1:8">
      <c r="E64" s="310"/>
      <c r="F64" s="310"/>
      <c r="G64" s="310"/>
    </row>
    <row r="65" spans="1:8">
      <c r="E65" s="311" t="str">
        <f>nmM2SCost</f>
        <v>Investment to Switch</v>
      </c>
      <c r="F65" s="311" t="str">
        <f>nmM2SSavings</f>
        <v>Discount off New SRP</v>
      </c>
      <c r="G65" s="312" t="str">
        <f>nmM2SMaintDiff</f>
        <v>Discount off Staying on Maintenance</v>
      </c>
    </row>
    <row r="66" spans="1:8">
      <c r="D66" s="89" t="str">
        <f>nmMigrateFY1</f>
        <v>Switch in Year 2</v>
      </c>
      <c r="E66" s="306">
        <f>calcTotalYr1_CostTotal</f>
        <v>0</v>
      </c>
      <c r="F66" s="306">
        <f>calcTotalYr1_SRPDisc</f>
        <v>0</v>
      </c>
      <c r="G66" s="306">
        <f>calcTotalYr1_MaintDiff</f>
        <v>0</v>
      </c>
    </row>
    <row r="67" spans="1:8">
      <c r="D67" s="89" t="str">
        <f>nmMigrateFY2</f>
        <v>Switch in Year 3</v>
      </c>
      <c r="E67" s="306">
        <f>calcTotalYr2_CostTotal</f>
        <v>0</v>
      </c>
      <c r="F67" s="306">
        <f>calcTotalYr2_SRPDisc</f>
        <v>0</v>
      </c>
      <c r="G67" s="306">
        <f>calcTotalYr2_MaintDiff</f>
        <v>0</v>
      </c>
    </row>
    <row r="68" spans="1:8">
      <c r="D68" s="89" t="str">
        <f>nmMigrateFY3</f>
        <v>Switch in Year 4</v>
      </c>
      <c r="E68" s="306">
        <f>calcTotalYr3_CostTotal</f>
        <v>0</v>
      </c>
      <c r="F68" s="306">
        <f>calcTotalYr3_SRPDisc</f>
        <v>0</v>
      </c>
      <c r="G68" s="306">
        <f>calcTotalYr3_MaintDiff</f>
        <v>0</v>
      </c>
    </row>
    <row r="69" spans="1:8">
      <c r="A69" s="6"/>
      <c r="B69" s="6"/>
      <c r="C69" s="6"/>
      <c r="D69" s="6"/>
      <c r="E69" s="6"/>
      <c r="F69" s="6"/>
      <c r="G69" s="6"/>
      <c r="H69" s="6"/>
    </row>
    <row r="70" spans="1:8">
      <c r="A70" s="341" t="str">
        <f>nmCostBreakdownAnaly</f>
        <v>Cost Breakdown Analysis</v>
      </c>
      <c r="B70" s="342"/>
      <c r="C70" s="342"/>
      <c r="D70" s="342"/>
      <c r="E70" s="342"/>
      <c r="F70" s="343"/>
      <c r="G70" s="343"/>
      <c r="H70" s="343"/>
    </row>
    <row r="71" spans="1:8">
      <c r="A71" s="6"/>
      <c r="B71" s="6"/>
      <c r="C71" s="6"/>
      <c r="D71" s="6"/>
      <c r="E71" s="6"/>
      <c r="F71" s="6"/>
      <c r="G71" s="6"/>
      <c r="H71" s="6"/>
    </row>
    <row r="72" spans="1:8">
      <c r="A72" s="7" t="str">
        <f>nmInvOpt&amp;" - "&amp;nmPath1</f>
        <v>Maintenance to Subscription Analysis - Product 1</v>
      </c>
      <c r="B72" s="2"/>
      <c r="C72" s="2"/>
      <c r="D72" s="2"/>
      <c r="E72" s="2"/>
      <c r="F72" s="3"/>
      <c r="G72" s="3"/>
      <c r="H72" s="3"/>
    </row>
    <row r="74" spans="1:8">
      <c r="E74" s="89" t="str">
        <f>nmYr1</f>
        <v>Year 2</v>
      </c>
      <c r="F74" s="89" t="str">
        <f>nmYr2</f>
        <v>Year 3</v>
      </c>
      <c r="G74" s="89" t="str">
        <f>nmYr3</f>
        <v>Year 4</v>
      </c>
      <c r="H74" s="89" t="str">
        <f>nmTotal</f>
        <v>Total</v>
      </c>
    </row>
    <row r="75" spans="1:8">
      <c r="D75" s="89" t="str">
        <f>nmMigrateFY1</f>
        <v>Switch in Year 2</v>
      </c>
      <c r="E75" s="306">
        <f>calcPath1Yr1_CostYr1</f>
        <v>0</v>
      </c>
      <c r="F75" s="306">
        <f>calcPath1Yr1_CostYr2</f>
        <v>0</v>
      </c>
      <c r="G75" s="306">
        <f>calcPath1Yr1_CostYr3</f>
        <v>0</v>
      </c>
      <c r="H75" s="306">
        <f>calcPath1Yr1_CostTotal</f>
        <v>0</v>
      </c>
    </row>
    <row r="76" spans="1:8">
      <c r="D76" s="89" t="str">
        <f>nmMigrateFY2</f>
        <v>Switch in Year 3</v>
      </c>
      <c r="E76" s="306">
        <f>calcPath1Yr2_CostYr1</f>
        <v>0</v>
      </c>
      <c r="F76" s="306">
        <f>calcPath1Yr2_CostYr2</f>
        <v>0</v>
      </c>
      <c r="G76" s="306">
        <f>calcPath1Yr2_CostYr3</f>
        <v>0</v>
      </c>
      <c r="H76" s="306">
        <f>calcPath1Yr2_CostTotal</f>
        <v>0</v>
      </c>
    </row>
    <row r="77" spans="1:8">
      <c r="D77" s="89" t="str">
        <f>nmMigrateFY3</f>
        <v>Switch in Year 4</v>
      </c>
      <c r="E77" s="306">
        <f>calcPath1Yr3_CostYr1</f>
        <v>0</v>
      </c>
      <c r="F77" s="306">
        <f>calcPath1Yr3_CostYr2</f>
        <v>0</v>
      </c>
      <c r="G77" s="306">
        <f>calcPath1Yr3_CostYr3</f>
        <v>0</v>
      </c>
      <c r="H77" s="306">
        <f>calcPath1Yr3_CostTotal</f>
        <v>0</v>
      </c>
    </row>
    <row r="78" spans="1:8">
      <c r="D78" s="89" t="str">
        <f>nmMTAll</f>
        <v>Stay on Maintenance</v>
      </c>
      <c r="E78" s="306">
        <f>calcPath1MTCost_Yr1</f>
        <v>0</v>
      </c>
      <c r="F78" s="306">
        <f>calcPath1MTCost_Yr2</f>
        <v>0</v>
      </c>
      <c r="G78" s="306">
        <f>calcPath1MTCost_Yr3</f>
        <v>0</v>
      </c>
      <c r="H78" s="306">
        <f>calcPath1MTCost_AllYears</f>
        <v>0</v>
      </c>
    </row>
    <row r="79" spans="1:8">
      <c r="D79" s="89" t="str">
        <f>nmNewSub</f>
        <v>New Subscription SRP</v>
      </c>
      <c r="E79" s="306">
        <f>calcPath1SubSRP</f>
        <v>0</v>
      </c>
      <c r="F79" s="306">
        <f>calcPath1SubSRP</f>
        <v>0</v>
      </c>
      <c r="G79" s="306">
        <f>calcPath1SubSRP</f>
        <v>0</v>
      </c>
      <c r="H79" s="306">
        <f>calcPath1SubSRP3Yr</f>
        <v>0</v>
      </c>
    </row>
    <row r="80" spans="1:8">
      <c r="A80" s="6"/>
      <c r="B80" s="6"/>
      <c r="C80" s="6"/>
      <c r="D80" s="6"/>
      <c r="E80" s="6"/>
      <c r="F80" s="6"/>
      <c r="G80" s="6"/>
      <c r="H80" s="6"/>
    </row>
    <row r="81" spans="1:8">
      <c r="A81" s="7" t="str">
        <f>nmInvOpt&amp;" - "&amp;nmPath2</f>
        <v>Maintenance to Subscription Analysis - Product 2</v>
      </c>
      <c r="B81" s="2"/>
      <c r="C81" s="2"/>
      <c r="D81" s="2"/>
      <c r="E81" s="2"/>
      <c r="F81" s="3"/>
      <c r="G81" s="3"/>
      <c r="H81" s="3"/>
    </row>
    <row r="83" spans="1:8">
      <c r="E83" s="89" t="str">
        <f>nmYr1</f>
        <v>Year 2</v>
      </c>
      <c r="F83" s="89" t="str">
        <f>nmYr2</f>
        <v>Year 3</v>
      </c>
      <c r="G83" s="89" t="str">
        <f>nmYr3</f>
        <v>Year 4</v>
      </c>
      <c r="H83" s="89" t="str">
        <f>nmTotal</f>
        <v>Total</v>
      </c>
    </row>
    <row r="84" spans="1:8">
      <c r="D84" s="89" t="str">
        <f>nmMigrateFY1</f>
        <v>Switch in Year 2</v>
      </c>
      <c r="E84" s="306">
        <f>calcPath2Yr1_CostYr1</f>
        <v>0</v>
      </c>
      <c r="F84" s="306">
        <f>calcPath2Yr1_CostYr2</f>
        <v>0</v>
      </c>
      <c r="G84" s="306">
        <f>calcPath2Yr1_CostYr3</f>
        <v>0</v>
      </c>
      <c r="H84" s="306">
        <f>calcPath2Yr1_CostTotal</f>
        <v>0</v>
      </c>
    </row>
    <row r="85" spans="1:8">
      <c r="D85" s="89" t="str">
        <f>nmMigrateFY2</f>
        <v>Switch in Year 3</v>
      </c>
      <c r="E85" s="306">
        <f>calcPath2Yr2_CostYr1</f>
        <v>0</v>
      </c>
      <c r="F85" s="306">
        <f>calcPath2Yr2_CostYr2</f>
        <v>0</v>
      </c>
      <c r="G85" s="306">
        <f>calcPath2Yr2_CostYr3</f>
        <v>0</v>
      </c>
      <c r="H85" s="306">
        <f>calcPath2Yr2_CostTotal</f>
        <v>0</v>
      </c>
    </row>
    <row r="86" spans="1:8">
      <c r="D86" s="89" t="str">
        <f>nmMigrateFY3</f>
        <v>Switch in Year 4</v>
      </c>
      <c r="E86" s="306">
        <f>calcPath2Yr3_CostYr1</f>
        <v>0</v>
      </c>
      <c r="F86" s="306">
        <f>calcPath2Yr3_CostYr2</f>
        <v>0</v>
      </c>
      <c r="G86" s="306">
        <f>calcPath2Yr3_CostYr3</f>
        <v>0</v>
      </c>
      <c r="H86" s="306">
        <f>calcPath2Yr3_CostTotal</f>
        <v>0</v>
      </c>
    </row>
    <row r="87" spans="1:8">
      <c r="D87" s="89" t="str">
        <f>nmMTAll</f>
        <v>Stay on Maintenance</v>
      </c>
      <c r="E87" s="306">
        <f>calcPath2MTCost_Yr1</f>
        <v>0</v>
      </c>
      <c r="F87" s="306">
        <f>calcPath2MTCost_Yr2</f>
        <v>0</v>
      </c>
      <c r="G87" s="306">
        <f>calcPath2MTCost_Yr3</f>
        <v>0</v>
      </c>
      <c r="H87" s="306">
        <f>calcPath2MTCost_AllYears</f>
        <v>0</v>
      </c>
    </row>
    <row r="88" spans="1:8">
      <c r="D88" s="89" t="str">
        <f>nmNewSub</f>
        <v>New Subscription SRP</v>
      </c>
      <c r="E88" s="306">
        <f>calcPath2SubSRP</f>
        <v>0</v>
      </c>
      <c r="F88" s="306">
        <f>calcPath2SubSRP</f>
        <v>0</v>
      </c>
      <c r="G88" s="306">
        <f>calcPath2SubSRP</f>
        <v>0</v>
      </c>
      <c r="H88" s="306">
        <f>calcPath2SubSRP3Yr</f>
        <v>0</v>
      </c>
    </row>
    <row r="89" spans="1:8">
      <c r="A89" s="6"/>
      <c r="B89" s="6"/>
      <c r="C89" s="6"/>
      <c r="D89" s="6"/>
      <c r="E89" s="6"/>
      <c r="F89" s="6"/>
      <c r="G89" s="6"/>
      <c r="H89" s="6"/>
    </row>
    <row r="90" spans="1:8">
      <c r="A90" s="7" t="str">
        <f>nmInvOpt&amp;" - "&amp;nmPath3</f>
        <v>Maintenance to Subscription Analysis - Product 3</v>
      </c>
      <c r="B90" s="2"/>
      <c r="C90" s="2"/>
      <c r="D90" s="2"/>
      <c r="E90" s="2"/>
      <c r="F90" s="3"/>
      <c r="G90" s="3"/>
      <c r="H90" s="3"/>
    </row>
    <row r="92" spans="1:8">
      <c r="E92" s="89" t="str">
        <f>nmYr1</f>
        <v>Year 2</v>
      </c>
      <c r="F92" s="89" t="str">
        <f>nmYr2</f>
        <v>Year 3</v>
      </c>
      <c r="G92" s="89" t="str">
        <f>nmYr3</f>
        <v>Year 4</v>
      </c>
      <c r="H92" s="89" t="str">
        <f>nmTotal</f>
        <v>Total</v>
      </c>
    </row>
    <row r="93" spans="1:8">
      <c r="D93" s="89" t="str">
        <f>nmMigrateFY1</f>
        <v>Switch in Year 2</v>
      </c>
      <c r="E93" s="306">
        <f>calcPath3Yr1_CostYr1</f>
        <v>0</v>
      </c>
      <c r="F93" s="306">
        <f>calcPath3Yr1_CostYr2</f>
        <v>0</v>
      </c>
      <c r="G93" s="306">
        <f>calcPath3Yr1_CostYr3</f>
        <v>0</v>
      </c>
      <c r="H93" s="306">
        <f>calcPath3Yr1_CostTotal</f>
        <v>0</v>
      </c>
    </row>
    <row r="94" spans="1:8">
      <c r="D94" s="89" t="str">
        <f>nmMigrateFY2</f>
        <v>Switch in Year 3</v>
      </c>
      <c r="E94" s="306">
        <f>calcPath3Yr2_CostYr1</f>
        <v>0</v>
      </c>
      <c r="F94" s="306">
        <f>calcPath3Yr2_CostYr2</f>
        <v>0</v>
      </c>
      <c r="G94" s="306">
        <f>calcPath3Yr2_CostYr3</f>
        <v>0</v>
      </c>
      <c r="H94" s="306">
        <f>calcPath3Yr2_CostTotal</f>
        <v>0</v>
      </c>
    </row>
    <row r="95" spans="1:8">
      <c r="D95" s="89" t="str">
        <f>nmMigrateFY3</f>
        <v>Switch in Year 4</v>
      </c>
      <c r="E95" s="306">
        <f>calcPath3Yr3_CostYr1</f>
        <v>0</v>
      </c>
      <c r="F95" s="306">
        <f>calcPath3Yr3_CostYr2</f>
        <v>0</v>
      </c>
      <c r="G95" s="306">
        <f>calcPath3Yr3_CostYr3</f>
        <v>0</v>
      </c>
      <c r="H95" s="306">
        <f>calcPath3Yr3_CostTotal</f>
        <v>0</v>
      </c>
    </row>
    <row r="96" spans="1:8">
      <c r="D96" s="89" t="str">
        <f>nmMTAll</f>
        <v>Stay on Maintenance</v>
      </c>
      <c r="E96" s="306">
        <f>calcPath3MTCost_Yr1</f>
        <v>0</v>
      </c>
      <c r="F96" s="306">
        <f>calcPath3MTCost_Yr2</f>
        <v>0</v>
      </c>
      <c r="G96" s="306">
        <f>calcPath3MTCost_Yr3</f>
        <v>0</v>
      </c>
      <c r="H96" s="306">
        <f>calcPath3MTCost_AllYears</f>
        <v>0</v>
      </c>
    </row>
    <row r="97" spans="1:8">
      <c r="D97" s="89" t="str">
        <f>nmNewSub</f>
        <v>New Subscription SRP</v>
      </c>
      <c r="E97" s="306">
        <f>calcPath3SubSRP</f>
        <v>0</v>
      </c>
      <c r="F97" s="306">
        <f>calcPath3SubSRP</f>
        <v>0</v>
      </c>
      <c r="G97" s="306">
        <f>calcPath3SubSRP</f>
        <v>0</v>
      </c>
      <c r="H97" s="306">
        <f>calcPath3SubSRP3Yr</f>
        <v>0</v>
      </c>
    </row>
    <row r="98" spans="1:8">
      <c r="A98" s="6"/>
      <c r="B98" s="6"/>
      <c r="C98" s="6"/>
      <c r="D98" s="6"/>
      <c r="E98" s="6"/>
      <c r="F98" s="6"/>
      <c r="G98" s="6"/>
      <c r="H98" s="6"/>
    </row>
    <row r="99" spans="1:8">
      <c r="A99" s="7" t="str">
        <f>nmInvOpt&amp;" - "&amp;nmPath4</f>
        <v>Maintenance to Subscription Analysis - Product 4</v>
      </c>
      <c r="B99" s="2"/>
      <c r="C99" s="2"/>
      <c r="D99" s="2"/>
      <c r="E99" s="2"/>
      <c r="F99" s="3"/>
      <c r="G99" s="3"/>
      <c r="H99" s="3"/>
    </row>
    <row r="101" spans="1:8">
      <c r="E101" s="89" t="str">
        <f>nmYr1</f>
        <v>Year 2</v>
      </c>
      <c r="F101" s="89" t="str">
        <f>nmYr2</f>
        <v>Year 3</v>
      </c>
      <c r="G101" s="89" t="str">
        <f>nmYr3</f>
        <v>Year 4</v>
      </c>
      <c r="H101" s="89" t="str">
        <f>nmTotal</f>
        <v>Total</v>
      </c>
    </row>
    <row r="102" spans="1:8">
      <c r="D102" s="89" t="str">
        <f>nmMigrateFY1</f>
        <v>Switch in Year 2</v>
      </c>
      <c r="E102" s="306">
        <f>calcPath4Yr1_CostYr1</f>
        <v>0</v>
      </c>
      <c r="F102" s="306">
        <f>calcPath4Yr1_CostYr2</f>
        <v>0</v>
      </c>
      <c r="G102" s="306">
        <f>calcPath4Yr1_CostYr3</f>
        <v>0</v>
      </c>
      <c r="H102" s="306">
        <f>calcPath4Yr1_CostTotal</f>
        <v>0</v>
      </c>
    </row>
    <row r="103" spans="1:8">
      <c r="D103" s="89" t="str">
        <f>nmMigrateFY2</f>
        <v>Switch in Year 3</v>
      </c>
      <c r="E103" s="306">
        <f>calcPath4Yr2_CostYr1</f>
        <v>0</v>
      </c>
      <c r="F103" s="306">
        <f>calcPath4Yr2_CostYr2</f>
        <v>0</v>
      </c>
      <c r="G103" s="306">
        <f>calcPath4Yr2_CostYr3</f>
        <v>0</v>
      </c>
      <c r="H103" s="306">
        <f>calcPath4Yr2_CostTotal</f>
        <v>0</v>
      </c>
    </row>
    <row r="104" spans="1:8">
      <c r="D104" s="89" t="str">
        <f>nmMigrateFY3</f>
        <v>Switch in Year 4</v>
      </c>
      <c r="E104" s="306">
        <f>calcPath4Yr3_CostYr1</f>
        <v>0</v>
      </c>
      <c r="F104" s="306">
        <f>calcPath4Yr3_CostYr2</f>
        <v>0</v>
      </c>
      <c r="G104" s="306">
        <f>calcPath4Yr3_CostYr3</f>
        <v>0</v>
      </c>
      <c r="H104" s="306">
        <f>calcPath4Yr3_CostTotal</f>
        <v>0</v>
      </c>
    </row>
    <row r="105" spans="1:8">
      <c r="D105" s="89" t="str">
        <f>nmMTAll</f>
        <v>Stay on Maintenance</v>
      </c>
      <c r="E105" s="306">
        <f>calcPath4MTCost_Yr1</f>
        <v>0</v>
      </c>
      <c r="F105" s="306">
        <f>calcPath4MTCost_Yr2</f>
        <v>0</v>
      </c>
      <c r="G105" s="306">
        <f>calcPath4MTCost_Yr3</f>
        <v>0</v>
      </c>
      <c r="H105" s="306">
        <f>calcPath4MTCost_AllYears</f>
        <v>0</v>
      </c>
    </row>
    <row r="106" spans="1:8">
      <c r="D106" s="89" t="str">
        <f>nmNewSub</f>
        <v>New Subscription SRP</v>
      </c>
      <c r="E106" s="306">
        <f>calcPath4SubSRP</f>
        <v>0</v>
      </c>
      <c r="F106" s="306">
        <f>calcPath4SubSRP</f>
        <v>0</v>
      </c>
      <c r="G106" s="306">
        <f>calcPath4SubSRP</f>
        <v>0</v>
      </c>
      <c r="H106" s="306">
        <f>calcPath4SubSRP3Yr</f>
        <v>0</v>
      </c>
    </row>
    <row r="107" spans="1:8">
      <c r="A107" s="6"/>
      <c r="B107" s="6"/>
      <c r="C107" s="6"/>
      <c r="D107" s="6"/>
      <c r="E107" s="6"/>
      <c r="F107" s="6"/>
      <c r="G107" s="6"/>
      <c r="H107" s="6"/>
    </row>
    <row r="108" spans="1:8">
      <c r="A108" s="7" t="str">
        <f>nmInvOpt&amp;" - "&amp;nmPath5</f>
        <v>Maintenance to Subscription Analysis - Product 5</v>
      </c>
      <c r="B108" s="2"/>
      <c r="C108" s="2"/>
      <c r="D108" s="2"/>
      <c r="E108" s="2"/>
      <c r="F108" s="3"/>
      <c r="G108" s="3"/>
      <c r="H108" s="3"/>
    </row>
    <row r="110" spans="1:8">
      <c r="E110" s="89" t="str">
        <f>nmYr1</f>
        <v>Year 2</v>
      </c>
      <c r="F110" s="89" t="str">
        <f>nmYr2</f>
        <v>Year 3</v>
      </c>
      <c r="G110" s="89" t="str">
        <f>nmYr3</f>
        <v>Year 4</v>
      </c>
      <c r="H110" s="89" t="str">
        <f>nmTotal</f>
        <v>Total</v>
      </c>
    </row>
    <row r="111" spans="1:8">
      <c r="D111" s="89" t="str">
        <f>nmMigrateFY1</f>
        <v>Switch in Year 2</v>
      </c>
      <c r="E111" s="306">
        <f>calcPath5Yr1_CostYr1</f>
        <v>0</v>
      </c>
      <c r="F111" s="306">
        <f>calcPath5Yr1_CostYr2</f>
        <v>0</v>
      </c>
      <c r="G111" s="306">
        <f>calcPath5Yr1_CostYr3</f>
        <v>0</v>
      </c>
      <c r="H111" s="306">
        <f>calcPath5Yr1_CostTotal</f>
        <v>0</v>
      </c>
    </row>
    <row r="112" spans="1:8">
      <c r="D112" s="89" t="str">
        <f>nmMigrateFY2</f>
        <v>Switch in Year 3</v>
      </c>
      <c r="E112" s="306">
        <f>calcPath5Yr2_CostYr1</f>
        <v>0</v>
      </c>
      <c r="F112" s="306">
        <f>calcPath5Yr2_CostYr2</f>
        <v>0</v>
      </c>
      <c r="G112" s="306">
        <f>calcPath5Yr2_CostYr3</f>
        <v>0</v>
      </c>
      <c r="H112" s="306">
        <f>calcPath5Yr2_CostTotal</f>
        <v>0</v>
      </c>
    </row>
    <row r="113" spans="1:8">
      <c r="D113" s="89" t="str">
        <f>nmMigrateFY3</f>
        <v>Switch in Year 4</v>
      </c>
      <c r="E113" s="306">
        <f>calcPath5Yr3_CostYr1</f>
        <v>0</v>
      </c>
      <c r="F113" s="306">
        <f>calcPath5Yr3_CostYr2</f>
        <v>0</v>
      </c>
      <c r="G113" s="306">
        <f>calcPath5Yr3_CostYr3</f>
        <v>0</v>
      </c>
      <c r="H113" s="306">
        <f>calcPath5Yr3_CostTotal</f>
        <v>0</v>
      </c>
    </row>
    <row r="114" spans="1:8">
      <c r="D114" s="89" t="str">
        <f>nmMTAll</f>
        <v>Stay on Maintenance</v>
      </c>
      <c r="E114" s="306">
        <f>calcPath5MTCost_Yr1</f>
        <v>0</v>
      </c>
      <c r="F114" s="306">
        <f>calcPath5MTCost_Yr2</f>
        <v>0</v>
      </c>
      <c r="G114" s="306">
        <f>calcPath5MTCost_Yr3</f>
        <v>0</v>
      </c>
      <c r="H114" s="306">
        <f>calcPath5MTCost_AllYears</f>
        <v>0</v>
      </c>
    </row>
    <row r="115" spans="1:8">
      <c r="D115" s="89" t="str">
        <f>nmNewSub</f>
        <v>New Subscription SRP</v>
      </c>
      <c r="E115" s="306">
        <f>calcPath5SubSRP</f>
        <v>0</v>
      </c>
      <c r="F115" s="306">
        <f>calcPath5SubSRP</f>
        <v>0</v>
      </c>
      <c r="G115" s="306">
        <f>calcPath5SubSRP</f>
        <v>0</v>
      </c>
      <c r="H115" s="306">
        <f>calcPath5SubSRP3Yr</f>
        <v>0</v>
      </c>
    </row>
    <row r="116" spans="1:8">
      <c r="A116" s="6"/>
      <c r="B116" s="6"/>
      <c r="C116" s="6"/>
      <c r="D116" s="6"/>
      <c r="E116" s="6"/>
      <c r="F116" s="6"/>
      <c r="G116" s="6"/>
      <c r="H116" s="6"/>
    </row>
    <row r="117" spans="1:8">
      <c r="A117" s="7" t="str">
        <f>nmInvOpt&amp;" - "&amp;nmPath6</f>
        <v>Maintenance to Subscription Analysis - Product 6</v>
      </c>
      <c r="B117" s="2"/>
      <c r="C117" s="2"/>
      <c r="D117" s="2"/>
      <c r="E117" s="2"/>
      <c r="F117" s="3"/>
      <c r="G117" s="3"/>
      <c r="H117" s="3"/>
    </row>
    <row r="119" spans="1:8">
      <c r="E119" s="89" t="str">
        <f>nmYr1</f>
        <v>Year 2</v>
      </c>
      <c r="F119" s="89" t="str">
        <f>nmYr2</f>
        <v>Year 3</v>
      </c>
      <c r="G119" s="89" t="str">
        <f>nmYr3</f>
        <v>Year 4</v>
      </c>
      <c r="H119" s="89" t="str">
        <f>nmTotal</f>
        <v>Total</v>
      </c>
    </row>
    <row r="120" spans="1:8">
      <c r="D120" s="89" t="str">
        <f>nmMigrateFY1</f>
        <v>Switch in Year 2</v>
      </c>
      <c r="E120" s="306">
        <f>calcPath6Yr1_CostYr1</f>
        <v>0</v>
      </c>
      <c r="F120" s="306">
        <f>calcPath6Yr1_CostYr2</f>
        <v>0</v>
      </c>
      <c r="G120" s="306">
        <f>calcPath6Yr1_CostYr3</f>
        <v>0</v>
      </c>
      <c r="H120" s="306">
        <f>calcPath6Yr1_CostTotal</f>
        <v>0</v>
      </c>
    </row>
    <row r="121" spans="1:8">
      <c r="D121" s="89" t="str">
        <f>nmMigrateFY2</f>
        <v>Switch in Year 3</v>
      </c>
      <c r="E121" s="306">
        <f>calcPath6Yr2_CostYr1</f>
        <v>0</v>
      </c>
      <c r="F121" s="306">
        <f>calcPath6Yr2_CostYr2</f>
        <v>0</v>
      </c>
      <c r="G121" s="306">
        <f>calcPath6Yr2_CostYr3</f>
        <v>0</v>
      </c>
      <c r="H121" s="306">
        <f>calcPath6Yr2_CostTotal</f>
        <v>0</v>
      </c>
    </row>
    <row r="122" spans="1:8">
      <c r="D122" s="89" t="str">
        <f>nmMigrateFY3</f>
        <v>Switch in Year 4</v>
      </c>
      <c r="E122" s="306">
        <f>calcPath6Yr3_CostYr1</f>
        <v>0</v>
      </c>
      <c r="F122" s="306">
        <f>calcPath6Yr3_CostYr2</f>
        <v>0</v>
      </c>
      <c r="G122" s="306">
        <f>calcPath6Yr3_CostYr3</f>
        <v>0</v>
      </c>
      <c r="H122" s="306">
        <f>calcPath6Yr3_CostTotal</f>
        <v>0</v>
      </c>
    </row>
    <row r="123" spans="1:8">
      <c r="D123" s="89" t="str">
        <f>nmMTAll</f>
        <v>Stay on Maintenance</v>
      </c>
      <c r="E123" s="306">
        <f>calcPath6MTCost_Yr1</f>
        <v>0</v>
      </c>
      <c r="F123" s="306">
        <f>calcPath6MTCost_Yr2</f>
        <v>0</v>
      </c>
      <c r="G123" s="306">
        <f>calcPath6MTCost_Yr3</f>
        <v>0</v>
      </c>
      <c r="H123" s="306">
        <f>calcPath6MTCost_AllYears</f>
        <v>0</v>
      </c>
    </row>
    <row r="124" spans="1:8">
      <c r="D124" s="89" t="str">
        <f>nmNewSub</f>
        <v>New Subscription SRP</v>
      </c>
      <c r="E124" s="306">
        <f>calcPath6SubSRP</f>
        <v>0</v>
      </c>
      <c r="F124" s="306">
        <f>calcPath6SubSRP</f>
        <v>0</v>
      </c>
      <c r="G124" s="306">
        <f>calcPath6SubSRP</f>
        <v>0</v>
      </c>
      <c r="H124" s="306">
        <f>calcPath6SubSRP3Yr</f>
        <v>0</v>
      </c>
    </row>
    <row r="125" spans="1:8">
      <c r="A125" s="6"/>
      <c r="B125" s="6"/>
      <c r="C125" s="6"/>
      <c r="D125" s="6"/>
      <c r="E125" s="6"/>
      <c r="F125" s="6"/>
      <c r="G125" s="6"/>
      <c r="H125" s="6"/>
    </row>
    <row r="126" spans="1:8">
      <c r="A126" s="7" t="str">
        <f>nmInvOpt&amp;" - "&amp;nmPath7</f>
        <v>Maintenance to Subscription Analysis - Product 7</v>
      </c>
      <c r="B126" s="2"/>
      <c r="C126" s="2"/>
      <c r="D126" s="2"/>
      <c r="E126" s="2"/>
      <c r="F126" s="3"/>
      <c r="G126" s="3"/>
      <c r="H126" s="3"/>
    </row>
    <row r="128" spans="1:8">
      <c r="E128" s="89" t="str">
        <f>nmYr1</f>
        <v>Year 2</v>
      </c>
      <c r="F128" s="89" t="str">
        <f>nmYr2</f>
        <v>Year 3</v>
      </c>
      <c r="G128" s="89" t="str">
        <f>nmYr3</f>
        <v>Year 4</v>
      </c>
      <c r="H128" s="89" t="str">
        <f>nmTotal</f>
        <v>Total</v>
      </c>
    </row>
    <row r="129" spans="1:8">
      <c r="D129" s="89" t="str">
        <f>nmMigrateFY1</f>
        <v>Switch in Year 2</v>
      </c>
      <c r="E129" s="306">
        <f>calcPath7Yr1_CostYr1</f>
        <v>0</v>
      </c>
      <c r="F129" s="306">
        <f>calcPath7Yr1_CostYr2</f>
        <v>0</v>
      </c>
      <c r="G129" s="306">
        <f>calcPath7Yr1_CostYr3</f>
        <v>0</v>
      </c>
      <c r="H129" s="306">
        <f>calcPath7Yr1_CostTotal</f>
        <v>0</v>
      </c>
    </row>
    <row r="130" spans="1:8">
      <c r="D130" s="89" t="str">
        <f>nmMigrateFY2</f>
        <v>Switch in Year 3</v>
      </c>
      <c r="E130" s="306">
        <f>calcPath7Yr2_CostYr1</f>
        <v>0</v>
      </c>
      <c r="F130" s="306">
        <f>calcPath7Yr2_CostYr2</f>
        <v>0</v>
      </c>
      <c r="G130" s="306">
        <f>calcPath7Yr2_CostYr3</f>
        <v>0</v>
      </c>
      <c r="H130" s="306">
        <f>calcPath7Yr2_CostTotal</f>
        <v>0</v>
      </c>
    </row>
    <row r="131" spans="1:8">
      <c r="D131" s="89" t="str">
        <f>nmMigrateFY3</f>
        <v>Switch in Year 4</v>
      </c>
      <c r="E131" s="306">
        <f>calcPath7Yr3_CostYr1</f>
        <v>0</v>
      </c>
      <c r="F131" s="306">
        <f>calcPath7Yr3_CostYr2</f>
        <v>0</v>
      </c>
      <c r="G131" s="306">
        <f>calcPath7Yr3_CostYr3</f>
        <v>0</v>
      </c>
      <c r="H131" s="306">
        <f>calcPath7Yr3_CostTotal</f>
        <v>0</v>
      </c>
    </row>
    <row r="132" spans="1:8">
      <c r="D132" s="89" t="str">
        <f>nmMTAll</f>
        <v>Stay on Maintenance</v>
      </c>
      <c r="E132" s="306">
        <f>calcPath7MTCost_Yr1</f>
        <v>0</v>
      </c>
      <c r="F132" s="306">
        <f>calcPath7MTCost_Yr2</f>
        <v>0</v>
      </c>
      <c r="G132" s="306">
        <f>calcPath7MTCost_Yr3</f>
        <v>0</v>
      </c>
      <c r="H132" s="306">
        <f>calcPath7MTCost_AllYears</f>
        <v>0</v>
      </c>
    </row>
    <row r="133" spans="1:8">
      <c r="D133" s="89" t="str">
        <f>nmNewSub</f>
        <v>New Subscription SRP</v>
      </c>
      <c r="E133" s="306">
        <f>calcPath7SubSRP</f>
        <v>0</v>
      </c>
      <c r="F133" s="306">
        <f>calcPath7SubSRP</f>
        <v>0</v>
      </c>
      <c r="G133" s="306">
        <f>calcPath7SubSRP</f>
        <v>0</v>
      </c>
      <c r="H133" s="306">
        <f>calcPath7SubSRP3Yr</f>
        <v>0</v>
      </c>
    </row>
    <row r="134" spans="1:8">
      <c r="A134" s="6"/>
      <c r="B134" s="6"/>
      <c r="C134" s="6"/>
      <c r="D134" s="6"/>
      <c r="E134" s="6"/>
      <c r="F134" s="6"/>
      <c r="G134" s="6"/>
      <c r="H134" s="6"/>
    </row>
    <row r="135" spans="1:8">
      <c r="A135" s="7" t="str">
        <f>nmInvOpt&amp;" - "&amp;nmPath8</f>
        <v>Maintenance to Subscription Analysis - Product 8</v>
      </c>
      <c r="B135" s="2"/>
      <c r="C135" s="2"/>
      <c r="D135" s="2"/>
      <c r="E135" s="2"/>
      <c r="F135" s="3"/>
      <c r="G135" s="3"/>
      <c r="H135" s="3"/>
    </row>
    <row r="137" spans="1:8">
      <c r="E137" s="89" t="str">
        <f>nmYr1</f>
        <v>Year 2</v>
      </c>
      <c r="F137" s="89" t="str">
        <f>nmYr2</f>
        <v>Year 3</v>
      </c>
      <c r="G137" s="89" t="str">
        <f>nmYr3</f>
        <v>Year 4</v>
      </c>
      <c r="H137" s="89" t="str">
        <f>nmTotal</f>
        <v>Total</v>
      </c>
    </row>
    <row r="138" spans="1:8">
      <c r="D138" s="89" t="str">
        <f>nmMigrateFY1</f>
        <v>Switch in Year 2</v>
      </c>
      <c r="E138" s="306">
        <f>calcPath8Yr1_CostYr1</f>
        <v>0</v>
      </c>
      <c r="F138" s="306">
        <f>calcPath8Yr1_CostYr2</f>
        <v>0</v>
      </c>
      <c r="G138" s="306">
        <f>calcPath8Yr1_CostYr3</f>
        <v>0</v>
      </c>
      <c r="H138" s="306">
        <f>calcPath8Yr1_CostTotal</f>
        <v>0</v>
      </c>
    </row>
    <row r="139" spans="1:8">
      <c r="D139" s="89" t="str">
        <f>nmMigrateFY2</f>
        <v>Switch in Year 3</v>
      </c>
      <c r="E139" s="306">
        <f>calcPath8Yr2_CostYr1</f>
        <v>0</v>
      </c>
      <c r="F139" s="306">
        <f>calcPath8Yr2_CostYr2</f>
        <v>0</v>
      </c>
      <c r="G139" s="306">
        <f>calcPath8Yr2_CostYr3</f>
        <v>0</v>
      </c>
      <c r="H139" s="306">
        <f>calcPath8Yr2_CostTotal</f>
        <v>0</v>
      </c>
    </row>
    <row r="140" spans="1:8">
      <c r="D140" s="89" t="str">
        <f>nmMigrateFY3</f>
        <v>Switch in Year 4</v>
      </c>
      <c r="E140" s="306">
        <f>calcPath8Yr3_CostYr1</f>
        <v>0</v>
      </c>
      <c r="F140" s="306">
        <f>calcPath8Yr3_CostYr2</f>
        <v>0</v>
      </c>
      <c r="G140" s="306">
        <f>calcPath8Yr3_CostYr3</f>
        <v>0</v>
      </c>
      <c r="H140" s="306">
        <f>calcPath8Yr3_CostTotal</f>
        <v>0</v>
      </c>
    </row>
    <row r="141" spans="1:8">
      <c r="D141" s="89" t="str">
        <f>nmMTAll</f>
        <v>Stay on Maintenance</v>
      </c>
      <c r="E141" s="306">
        <f>calcPath8MTCost_Yr1</f>
        <v>0</v>
      </c>
      <c r="F141" s="306">
        <f>calcPath8MTCost_Yr2</f>
        <v>0</v>
      </c>
      <c r="G141" s="306">
        <f>calcPath8MTCost_Yr3</f>
        <v>0</v>
      </c>
      <c r="H141" s="306">
        <f>calcPath8MTCost_AllYears</f>
        <v>0</v>
      </c>
    </row>
    <row r="142" spans="1:8">
      <c r="D142" s="89" t="str">
        <f>nmNewSub</f>
        <v>New Subscription SRP</v>
      </c>
      <c r="E142" s="306">
        <f>calcPath8SubSRP</f>
        <v>0</v>
      </c>
      <c r="F142" s="306">
        <f>calcPath8SubSRP</f>
        <v>0</v>
      </c>
      <c r="G142" s="306">
        <f>calcPath8SubSRP</f>
        <v>0</v>
      </c>
      <c r="H142" s="306">
        <f>calcPath8SubSRP3Yr</f>
        <v>0</v>
      </c>
    </row>
    <row r="143" spans="1:8">
      <c r="A143" s="6"/>
      <c r="B143" s="6"/>
      <c r="C143" s="6"/>
      <c r="D143" s="6"/>
      <c r="E143" s="6"/>
      <c r="F143" s="6"/>
      <c r="G143" s="6"/>
      <c r="H143" s="6"/>
    </row>
    <row r="144" spans="1:8">
      <c r="A144" s="7" t="str">
        <f>nmInvOpt&amp;" - "&amp;nmTotal</f>
        <v>Maintenance to Subscription Analysis - Total</v>
      </c>
      <c r="B144" s="2"/>
      <c r="C144" s="2"/>
      <c r="D144" s="2"/>
      <c r="E144" s="2"/>
      <c r="F144" s="3"/>
      <c r="G144" s="3"/>
      <c r="H144" s="3"/>
    </row>
    <row r="146" spans="4:8">
      <c r="E146" s="89" t="str">
        <f>nmYr1</f>
        <v>Year 2</v>
      </c>
      <c r="F146" s="89" t="str">
        <f>nmYr2</f>
        <v>Year 3</v>
      </c>
      <c r="G146" s="89" t="str">
        <f>nmYr3</f>
        <v>Year 4</v>
      </c>
      <c r="H146" s="89" t="str">
        <f>nmTotal</f>
        <v>Total</v>
      </c>
    </row>
    <row r="147" spans="4:8">
      <c r="D147" s="89" t="str">
        <f>nmMigrateFY1</f>
        <v>Switch in Year 2</v>
      </c>
      <c r="E147" s="306">
        <f>calcTotalYr1_CostYr1</f>
        <v>0</v>
      </c>
      <c r="F147" s="306">
        <f>calcTotalYr1_CostYr2</f>
        <v>0</v>
      </c>
      <c r="G147" s="306">
        <f>calcTotalYr1_CostYr3</f>
        <v>0</v>
      </c>
      <c r="H147" s="306">
        <f>calcTotalYr1_CostTotal</f>
        <v>0</v>
      </c>
    </row>
    <row r="148" spans="4:8">
      <c r="D148" s="89" t="str">
        <f>nmMigrateFY2</f>
        <v>Switch in Year 3</v>
      </c>
      <c r="E148" s="306">
        <f>calcTotalYr2_CostYr1</f>
        <v>0</v>
      </c>
      <c r="F148" s="306">
        <f>calcTotalYr2_CostYr2</f>
        <v>0</v>
      </c>
      <c r="G148" s="306">
        <f>calcTotalYr2_CostYr3</f>
        <v>0</v>
      </c>
      <c r="H148" s="306">
        <f>calcTotalYr2_CostTotal</f>
        <v>0</v>
      </c>
    </row>
    <row r="149" spans="4:8">
      <c r="D149" s="89" t="str">
        <f>nmMigrateFY3</f>
        <v>Switch in Year 4</v>
      </c>
      <c r="E149" s="306">
        <f>calcTotalYr3_CostYr1</f>
        <v>0</v>
      </c>
      <c r="F149" s="306">
        <f>calcTotalYr3_CostYr2</f>
        <v>0</v>
      </c>
      <c r="G149" s="306">
        <f>calcTotalYr3_CostYr3</f>
        <v>0</v>
      </c>
      <c r="H149" s="306">
        <f>calcTotalYr3_CostTotal</f>
        <v>0</v>
      </c>
    </row>
    <row r="150" spans="4:8">
      <c r="D150" s="89" t="str">
        <f>nmMTAll</f>
        <v>Stay on Maintenance</v>
      </c>
      <c r="E150" s="306">
        <f>calcTotalMTCost_Yr1</f>
        <v>0</v>
      </c>
      <c r="F150" s="306">
        <f>calcTotalMTCost_Yr2</f>
        <v>0</v>
      </c>
      <c r="G150" s="306">
        <f>calcTotalMTCost_Yr3</f>
        <v>0</v>
      </c>
      <c r="H150" s="306">
        <f>calcTotalMTCost_AllYears</f>
        <v>0</v>
      </c>
    </row>
    <row r="151" spans="4:8">
      <c r="D151" s="89" t="str">
        <f>nmNewSub</f>
        <v>New Subscription SRP</v>
      </c>
      <c r="E151" s="306">
        <f>calcTotalSubSRP</f>
        <v>0</v>
      </c>
      <c r="F151" s="306">
        <f>calcTotalSubSRP</f>
        <v>0</v>
      </c>
      <c r="G151" s="306">
        <f>calcTotalSubSRP</f>
        <v>0</v>
      </c>
      <c r="H151" s="306">
        <f>calcTotalSubSRP3Yr</f>
        <v>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H8607"/>
  <sheetViews>
    <sheetView zoomScaleNormal="100" workbookViewId="0">
      <selection activeCell="B1" sqref="A1:XFD1048576"/>
    </sheetView>
  </sheetViews>
  <sheetFormatPr defaultRowHeight="14.25" customHeight="1"/>
  <cols>
    <col min="1" max="1" width="28.59765625" bestFit="1" customWidth="1"/>
    <col min="2" max="2" width="15.59765625" bestFit="1" customWidth="1"/>
    <col min="4" max="4" width="14.59765625" bestFit="1" customWidth="1"/>
  </cols>
  <sheetData>
    <row r="1" spans="1:8" s="344" customFormat="1" ht="14.25" customHeight="1">
      <c r="A1" s="345" t="s">
        <v>724</v>
      </c>
    </row>
    <row r="3" spans="1:8" ht="14.25" customHeight="1">
      <c r="A3" t="s">
        <v>754</v>
      </c>
      <c r="B3" s="347">
        <v>43223.780451388891</v>
      </c>
      <c r="D3" t="s">
        <v>758</v>
      </c>
      <c r="E3">
        <f>COUNTIF(B:B,"#N/A")</f>
        <v>0</v>
      </c>
      <c r="G3" t="s">
        <v>773</v>
      </c>
      <c r="H3">
        <f>COUNTIF(A:A,"*--&gt;*")</f>
        <v>200</v>
      </c>
    </row>
    <row r="4" spans="1:8" ht="14.25" customHeight="1">
      <c r="A4" t="s">
        <v>755</v>
      </c>
      <c r="B4" t="s">
        <v>346</v>
      </c>
      <c r="D4" t="s">
        <v>759</v>
      </c>
      <c r="E4">
        <f>COUNTIF(B:B,"#DIV/0!")</f>
        <v>0</v>
      </c>
    </row>
    <row r="5" spans="1:8" ht="14.25" customHeight="1">
      <c r="A5" t="s">
        <v>756</v>
      </c>
      <c r="B5">
        <v>2</v>
      </c>
      <c r="D5" t="s">
        <v>760</v>
      </c>
      <c r="E5">
        <f>COUNTIF(B:B,"#REF!")</f>
        <v>0</v>
      </c>
    </row>
    <row r="6" spans="1:8" ht="14.25" customHeight="1">
      <c r="A6" t="s">
        <v>210</v>
      </c>
      <c r="B6" t="s">
        <v>214</v>
      </c>
      <c r="D6" t="s">
        <v>761</v>
      </c>
      <c r="E6">
        <f>COUNTIF(B:B,"#NAME?")</f>
        <v>0</v>
      </c>
    </row>
    <row r="7" spans="1:8" ht="14.25" customHeight="1">
      <c r="A7" t="s">
        <v>757</v>
      </c>
      <c r="B7">
        <v>3</v>
      </c>
      <c r="D7" t="s">
        <v>762</v>
      </c>
      <c r="E7">
        <f>COUNTIF(B:B,"#VALUE!")</f>
        <v>0</v>
      </c>
    </row>
    <row r="9" spans="1:8" s="344" customFormat="1" ht="14.25" customHeight="1">
      <c r="A9" s="345" t="s">
        <v>1420</v>
      </c>
    </row>
    <row r="11" spans="1:8" ht="14.25" customHeight="1">
      <c r="A11" t="s">
        <v>753</v>
      </c>
      <c r="B11" s="346">
        <v>705</v>
      </c>
    </row>
    <row r="13" spans="1:8" ht="14.25" customHeight="1">
      <c r="A13" t="s">
        <v>581</v>
      </c>
    </row>
    <row r="14" spans="1:8" ht="14.25" customHeight="1">
      <c r="A14" t="s">
        <v>214</v>
      </c>
      <c r="B14">
        <v>705</v>
      </c>
    </row>
    <row r="15" spans="1:8" ht="14.25" customHeight="1">
      <c r="A15" t="s">
        <v>215</v>
      </c>
      <c r="B15">
        <v>845</v>
      </c>
    </row>
    <row r="16" spans="1:8" ht="14.25" customHeight="1">
      <c r="A16" t="s">
        <v>2009</v>
      </c>
      <c r="B16">
        <v>845</v>
      </c>
    </row>
    <row r="17" spans="1:2" ht="14.25" customHeight="1">
      <c r="A17" t="s">
        <v>586</v>
      </c>
      <c r="B17">
        <v>2395</v>
      </c>
    </row>
    <row r="19" spans="1:2" ht="14.25" customHeight="1">
      <c r="A19" t="s">
        <v>268</v>
      </c>
    </row>
    <row r="20" spans="1:2" ht="14.25" customHeight="1">
      <c r="A20" t="s">
        <v>699</v>
      </c>
      <c r="B20">
        <v>3715</v>
      </c>
    </row>
    <row r="21" spans="1:2" ht="14.25" customHeight="1">
      <c r="A21" t="s">
        <v>588</v>
      </c>
      <c r="B21">
        <v>11145</v>
      </c>
    </row>
    <row r="24" spans="1:2" ht="14.25" customHeight="1">
      <c r="A24" t="s">
        <v>769</v>
      </c>
    </row>
    <row r="26" spans="1:2" ht="14.25" customHeight="1">
      <c r="A26" t="s">
        <v>1180</v>
      </c>
    </row>
    <row r="27" spans="1:2" ht="14.25" customHeight="1">
      <c r="A27" t="s">
        <v>1178</v>
      </c>
      <c r="B27">
        <v>1125</v>
      </c>
    </row>
    <row r="28" spans="1:2" ht="14.25" customHeight="1">
      <c r="A28" t="s">
        <v>1179</v>
      </c>
      <c r="B28">
        <v>1125</v>
      </c>
    </row>
    <row r="29" spans="1:2" ht="14.25" customHeight="1">
      <c r="A29" t="s">
        <v>2030</v>
      </c>
      <c r="B29">
        <v>1125</v>
      </c>
    </row>
    <row r="30" spans="1:2" ht="14.25" customHeight="1">
      <c r="A30" t="s">
        <v>586</v>
      </c>
      <c r="B30">
        <v>3375</v>
      </c>
    </row>
    <row r="31" spans="1:2" ht="14.25" customHeight="1">
      <c r="A31" t="s">
        <v>770</v>
      </c>
      <c r="B31">
        <v>7770</v>
      </c>
    </row>
    <row r="32" spans="1:2" ht="14.25" customHeight="1">
      <c r="A32" t="s">
        <v>770</v>
      </c>
      <c r="B32">
        <v>0.69717362045760434</v>
      </c>
    </row>
    <row r="34" spans="1:2">
      <c r="A34" t="s">
        <v>1181</v>
      </c>
    </row>
    <row r="35" spans="1:2">
      <c r="A35" t="s">
        <v>1182</v>
      </c>
      <c r="B35">
        <v>705</v>
      </c>
    </row>
    <row r="36" spans="1:2">
      <c r="A36" t="s">
        <v>1179</v>
      </c>
      <c r="B36">
        <v>1180</v>
      </c>
    </row>
    <row r="37" spans="1:2">
      <c r="A37" t="s">
        <v>2030</v>
      </c>
      <c r="B37">
        <v>1180</v>
      </c>
    </row>
    <row r="38" spans="1:2">
      <c r="A38" t="s">
        <v>586</v>
      </c>
      <c r="B38">
        <v>3065</v>
      </c>
    </row>
    <row r="39" spans="1:2">
      <c r="A39" t="s">
        <v>770</v>
      </c>
      <c r="B39">
        <v>8080</v>
      </c>
    </row>
    <row r="40" spans="1:2">
      <c r="A40" t="s">
        <v>770</v>
      </c>
      <c r="B40">
        <v>0.72498878420816515</v>
      </c>
    </row>
    <row r="42" spans="1:2">
      <c r="A42" t="s">
        <v>2031</v>
      </c>
    </row>
    <row r="43" spans="1:2">
      <c r="A43" t="s">
        <v>1182</v>
      </c>
      <c r="B43">
        <v>705</v>
      </c>
    </row>
    <row r="44" spans="1:2">
      <c r="A44" t="s">
        <v>2032</v>
      </c>
      <c r="B44">
        <v>845</v>
      </c>
    </row>
    <row r="45" spans="1:2">
      <c r="A45" t="s">
        <v>2030</v>
      </c>
      <c r="B45">
        <v>1180</v>
      </c>
    </row>
    <row r="46" spans="1:2">
      <c r="A46" t="s">
        <v>586</v>
      </c>
      <c r="B46">
        <v>2730</v>
      </c>
    </row>
    <row r="47" spans="1:2">
      <c r="A47" t="s">
        <v>770</v>
      </c>
      <c r="B47">
        <v>8415</v>
      </c>
    </row>
    <row r="48" spans="1:2">
      <c r="A48" t="s">
        <v>770</v>
      </c>
      <c r="B48">
        <v>0.7550471063257066</v>
      </c>
    </row>
    <row r="50" spans="1:2">
      <c r="A50" t="s">
        <v>1943</v>
      </c>
      <c r="B50">
        <v>1239</v>
      </c>
    </row>
    <row r="52" spans="1:2" s="344" customFormat="1">
      <c r="A52" s="345" t="s">
        <v>1872</v>
      </c>
    </row>
    <row r="54" spans="1:2">
      <c r="A54" t="s">
        <v>753</v>
      </c>
      <c r="B54" s="346">
        <v>705</v>
      </c>
    </row>
    <row r="56" spans="1:2">
      <c r="A56" t="s">
        <v>581</v>
      </c>
    </row>
    <row r="57" spans="1:2">
      <c r="A57" t="s">
        <v>214</v>
      </c>
      <c r="B57">
        <v>705</v>
      </c>
    </row>
    <row r="58" spans="1:2">
      <c r="A58" t="s">
        <v>215</v>
      </c>
      <c r="B58">
        <v>845</v>
      </c>
    </row>
    <row r="59" spans="1:2">
      <c r="A59" t="s">
        <v>2009</v>
      </c>
      <c r="B59">
        <v>845</v>
      </c>
    </row>
    <row r="60" spans="1:2">
      <c r="A60" t="s">
        <v>586</v>
      </c>
      <c r="B60">
        <v>2395</v>
      </c>
    </row>
    <row r="62" spans="1:2">
      <c r="A62" t="s">
        <v>268</v>
      </c>
    </row>
    <row r="63" spans="1:2">
      <c r="A63" t="s">
        <v>699</v>
      </c>
      <c r="B63">
        <v>3290</v>
      </c>
    </row>
    <row r="64" spans="1:2">
      <c r="A64" t="s">
        <v>588</v>
      </c>
      <c r="B64">
        <v>9870</v>
      </c>
    </row>
    <row r="67" spans="1:2">
      <c r="A67" t="s">
        <v>769</v>
      </c>
    </row>
    <row r="69" spans="1:2">
      <c r="A69" t="s">
        <v>1180</v>
      </c>
    </row>
    <row r="70" spans="1:2">
      <c r="A70" t="s">
        <v>1178</v>
      </c>
      <c r="B70">
        <v>1210</v>
      </c>
    </row>
    <row r="71" spans="1:2">
      <c r="A71" t="s">
        <v>1179</v>
      </c>
      <c r="B71">
        <v>1210</v>
      </c>
    </row>
    <row r="72" spans="1:2">
      <c r="A72" t="s">
        <v>2030</v>
      </c>
      <c r="B72">
        <v>1210</v>
      </c>
    </row>
    <row r="73" spans="1:2">
      <c r="A73" t="s">
        <v>586</v>
      </c>
      <c r="B73">
        <v>3630</v>
      </c>
    </row>
    <row r="74" spans="1:2">
      <c r="A74" t="s">
        <v>770</v>
      </c>
      <c r="B74">
        <v>6240</v>
      </c>
    </row>
    <row r="75" spans="1:2">
      <c r="A75" t="s">
        <v>770</v>
      </c>
      <c r="B75">
        <v>0.63221884498480241</v>
      </c>
    </row>
    <row r="77" spans="1:2">
      <c r="A77" t="s">
        <v>1181</v>
      </c>
    </row>
    <row r="78" spans="1:2">
      <c r="A78" t="s">
        <v>1182</v>
      </c>
      <c r="B78">
        <v>705</v>
      </c>
    </row>
    <row r="79" spans="1:2">
      <c r="A79" t="s">
        <v>1179</v>
      </c>
      <c r="B79">
        <v>1270</v>
      </c>
    </row>
    <row r="80" spans="1:2">
      <c r="A80" t="s">
        <v>2030</v>
      </c>
      <c r="B80">
        <v>1270</v>
      </c>
    </row>
    <row r="81" spans="1:2">
      <c r="A81" t="s">
        <v>586</v>
      </c>
      <c r="B81">
        <v>3245</v>
      </c>
    </row>
    <row r="82" spans="1:2">
      <c r="A82" t="s">
        <v>770</v>
      </c>
      <c r="B82">
        <v>6625</v>
      </c>
    </row>
    <row r="83" spans="1:2">
      <c r="A83" t="s">
        <v>770</v>
      </c>
      <c r="B83">
        <v>0.67122593718338397</v>
      </c>
    </row>
    <row r="85" spans="1:2">
      <c r="A85" t="s">
        <v>2031</v>
      </c>
    </row>
    <row r="86" spans="1:2">
      <c r="A86" t="s">
        <v>1182</v>
      </c>
      <c r="B86">
        <v>705</v>
      </c>
    </row>
    <row r="87" spans="1:2">
      <c r="A87" t="s">
        <v>2032</v>
      </c>
      <c r="B87">
        <v>845</v>
      </c>
    </row>
    <row r="88" spans="1:2">
      <c r="A88" t="s">
        <v>2030</v>
      </c>
      <c r="B88">
        <v>1270</v>
      </c>
    </row>
    <row r="89" spans="1:2">
      <c r="A89" t="s">
        <v>586</v>
      </c>
      <c r="B89">
        <v>2820</v>
      </c>
    </row>
    <row r="90" spans="1:2">
      <c r="A90" t="s">
        <v>770</v>
      </c>
      <c r="B90">
        <v>7050</v>
      </c>
    </row>
    <row r="91" spans="1:2">
      <c r="A91" t="s">
        <v>770</v>
      </c>
      <c r="B91">
        <v>0.7142857142857143</v>
      </c>
    </row>
    <row r="93" spans="1:2">
      <c r="A93" t="s">
        <v>1943</v>
      </c>
      <c r="B93">
        <v>1333.5</v>
      </c>
    </row>
    <row r="95" spans="1:2" s="344" customFormat="1">
      <c r="A95" s="345" t="s">
        <v>725</v>
      </c>
    </row>
    <row r="97" spans="1:2">
      <c r="A97" t="s">
        <v>753</v>
      </c>
      <c r="B97" s="346">
        <v>705</v>
      </c>
    </row>
    <row r="99" spans="1:2">
      <c r="A99" t="s">
        <v>581</v>
      </c>
    </row>
    <row r="100" spans="1:2">
      <c r="A100" t="s">
        <v>214</v>
      </c>
      <c r="B100">
        <v>705</v>
      </c>
    </row>
    <row r="101" spans="1:2">
      <c r="A101" t="s">
        <v>215</v>
      </c>
      <c r="B101">
        <v>845</v>
      </c>
    </row>
    <row r="102" spans="1:2">
      <c r="A102" t="s">
        <v>2009</v>
      </c>
      <c r="B102">
        <v>845</v>
      </c>
    </row>
    <row r="103" spans="1:2">
      <c r="A103" t="s">
        <v>586</v>
      </c>
      <c r="B103">
        <v>2395</v>
      </c>
    </row>
    <row r="105" spans="1:2">
      <c r="A105" t="s">
        <v>268</v>
      </c>
    </row>
    <row r="106" spans="1:2">
      <c r="A106" t="s">
        <v>699</v>
      </c>
      <c r="B106">
        <v>2820</v>
      </c>
    </row>
    <row r="107" spans="1:2">
      <c r="A107" t="s">
        <v>588</v>
      </c>
      <c r="B107">
        <v>8460</v>
      </c>
    </row>
    <row r="110" spans="1:2">
      <c r="A110" t="s">
        <v>769</v>
      </c>
    </row>
    <row r="112" spans="1:2">
      <c r="A112" t="s">
        <v>1180</v>
      </c>
    </row>
    <row r="113" spans="1:2">
      <c r="A113" t="s">
        <v>1178</v>
      </c>
      <c r="B113">
        <v>925</v>
      </c>
    </row>
    <row r="114" spans="1:2">
      <c r="A114" t="s">
        <v>1179</v>
      </c>
      <c r="B114">
        <v>925</v>
      </c>
    </row>
    <row r="115" spans="1:2">
      <c r="A115" t="s">
        <v>2030</v>
      </c>
      <c r="B115">
        <v>925</v>
      </c>
    </row>
    <row r="116" spans="1:2">
      <c r="A116" t="s">
        <v>586</v>
      </c>
      <c r="B116">
        <v>2775</v>
      </c>
    </row>
    <row r="117" spans="1:2">
      <c r="A117" t="s">
        <v>770</v>
      </c>
      <c r="B117">
        <v>5685</v>
      </c>
    </row>
    <row r="118" spans="1:2">
      <c r="A118" t="s">
        <v>770</v>
      </c>
      <c r="B118">
        <v>0.67198581560283688</v>
      </c>
    </row>
    <row r="120" spans="1:2">
      <c r="A120" t="s">
        <v>1181</v>
      </c>
    </row>
    <row r="121" spans="1:2">
      <c r="A121" t="s">
        <v>1182</v>
      </c>
      <c r="B121">
        <v>705</v>
      </c>
    </row>
    <row r="122" spans="1:2">
      <c r="A122" t="s">
        <v>1179</v>
      </c>
      <c r="B122">
        <v>970</v>
      </c>
    </row>
    <row r="123" spans="1:2">
      <c r="A123" t="s">
        <v>2030</v>
      </c>
      <c r="B123">
        <v>970</v>
      </c>
    </row>
    <row r="124" spans="1:2">
      <c r="A124" t="s">
        <v>586</v>
      </c>
      <c r="B124">
        <v>2645</v>
      </c>
    </row>
    <row r="125" spans="1:2">
      <c r="A125" t="s">
        <v>770</v>
      </c>
      <c r="B125">
        <v>5815</v>
      </c>
    </row>
    <row r="126" spans="1:2">
      <c r="A126" t="s">
        <v>770</v>
      </c>
      <c r="B126">
        <v>0.68735224586288413</v>
      </c>
    </row>
    <row r="128" spans="1:2">
      <c r="A128" t="s">
        <v>2031</v>
      </c>
    </row>
    <row r="129" spans="1:2">
      <c r="A129" t="s">
        <v>1182</v>
      </c>
      <c r="B129">
        <v>705</v>
      </c>
    </row>
    <row r="130" spans="1:2">
      <c r="A130" t="s">
        <v>2032</v>
      </c>
      <c r="B130">
        <v>845</v>
      </c>
    </row>
    <row r="131" spans="1:2">
      <c r="A131" t="s">
        <v>2030</v>
      </c>
      <c r="B131">
        <v>970</v>
      </c>
    </row>
    <row r="132" spans="1:2">
      <c r="A132" t="s">
        <v>586</v>
      </c>
      <c r="B132">
        <v>2520</v>
      </c>
    </row>
    <row r="133" spans="1:2">
      <c r="A133" t="s">
        <v>770</v>
      </c>
      <c r="B133">
        <v>5940</v>
      </c>
    </row>
    <row r="134" spans="1:2">
      <c r="A134" t="s">
        <v>770</v>
      </c>
      <c r="B134">
        <v>0.7021276595744681</v>
      </c>
    </row>
    <row r="136" spans="1:2">
      <c r="A136" t="s">
        <v>1943</v>
      </c>
      <c r="B136">
        <v>1018.5</v>
      </c>
    </row>
    <row r="138" spans="1:2" s="344" customFormat="1">
      <c r="A138" s="345" t="s">
        <v>726</v>
      </c>
    </row>
    <row r="140" spans="1:2">
      <c r="A140" t="s">
        <v>753</v>
      </c>
      <c r="B140" s="346">
        <v>705</v>
      </c>
    </row>
    <row r="142" spans="1:2">
      <c r="A142" t="s">
        <v>581</v>
      </c>
    </row>
    <row r="143" spans="1:2">
      <c r="A143" t="s">
        <v>214</v>
      </c>
      <c r="B143">
        <v>705</v>
      </c>
    </row>
    <row r="144" spans="1:2">
      <c r="A144" t="s">
        <v>215</v>
      </c>
      <c r="B144">
        <v>845</v>
      </c>
    </row>
    <row r="145" spans="1:2">
      <c r="A145" t="s">
        <v>2009</v>
      </c>
      <c r="B145">
        <v>845</v>
      </c>
    </row>
    <row r="146" spans="1:2">
      <c r="A146" t="s">
        <v>586</v>
      </c>
      <c r="B146">
        <v>2395</v>
      </c>
    </row>
    <row r="148" spans="1:2">
      <c r="A148" t="s">
        <v>268</v>
      </c>
    </row>
    <row r="149" spans="1:2">
      <c r="A149" t="s">
        <v>699</v>
      </c>
      <c r="B149">
        <v>2540</v>
      </c>
    </row>
    <row r="150" spans="1:2">
      <c r="A150" t="s">
        <v>588</v>
      </c>
      <c r="B150">
        <v>7620</v>
      </c>
    </row>
    <row r="153" spans="1:2">
      <c r="A153" t="s">
        <v>769</v>
      </c>
    </row>
    <row r="155" spans="1:2">
      <c r="A155" t="s">
        <v>1180</v>
      </c>
    </row>
    <row r="156" spans="1:2">
      <c r="A156" t="s">
        <v>1178</v>
      </c>
      <c r="B156">
        <v>670</v>
      </c>
    </row>
    <row r="157" spans="1:2">
      <c r="A157" t="s">
        <v>1179</v>
      </c>
      <c r="B157">
        <v>670</v>
      </c>
    </row>
    <row r="158" spans="1:2">
      <c r="A158" t="s">
        <v>2030</v>
      </c>
      <c r="B158">
        <v>670</v>
      </c>
    </row>
    <row r="159" spans="1:2">
      <c r="A159" t="s">
        <v>586</v>
      </c>
      <c r="B159">
        <v>2010</v>
      </c>
    </row>
    <row r="160" spans="1:2">
      <c r="A160" t="s">
        <v>770</v>
      </c>
      <c r="B160">
        <v>5610</v>
      </c>
    </row>
    <row r="161" spans="1:2">
      <c r="A161" t="s">
        <v>770</v>
      </c>
      <c r="B161">
        <v>0.73622047244094491</v>
      </c>
    </row>
    <row r="163" spans="1:2">
      <c r="A163" t="s">
        <v>1181</v>
      </c>
    </row>
    <row r="164" spans="1:2">
      <c r="A164" t="s">
        <v>1182</v>
      </c>
      <c r="B164">
        <v>705</v>
      </c>
    </row>
    <row r="165" spans="1:2">
      <c r="A165" t="s">
        <v>1179</v>
      </c>
      <c r="B165">
        <v>705</v>
      </c>
    </row>
    <row r="166" spans="1:2">
      <c r="A166" t="s">
        <v>2030</v>
      </c>
      <c r="B166">
        <v>705</v>
      </c>
    </row>
    <row r="167" spans="1:2">
      <c r="A167" t="s">
        <v>586</v>
      </c>
      <c r="B167">
        <v>2115</v>
      </c>
    </row>
    <row r="168" spans="1:2">
      <c r="A168" t="s">
        <v>770</v>
      </c>
      <c r="B168">
        <v>5505</v>
      </c>
    </row>
    <row r="169" spans="1:2">
      <c r="A169" t="s">
        <v>770</v>
      </c>
      <c r="B169">
        <v>0.72244094488188981</v>
      </c>
    </row>
    <row r="171" spans="1:2">
      <c r="A171" t="s">
        <v>2031</v>
      </c>
    </row>
    <row r="172" spans="1:2">
      <c r="A172" t="s">
        <v>1182</v>
      </c>
      <c r="B172">
        <v>705</v>
      </c>
    </row>
    <row r="173" spans="1:2">
      <c r="A173" t="s">
        <v>2032</v>
      </c>
      <c r="B173">
        <v>845</v>
      </c>
    </row>
    <row r="174" spans="1:2">
      <c r="A174" t="s">
        <v>2030</v>
      </c>
      <c r="B174">
        <v>705</v>
      </c>
    </row>
    <row r="175" spans="1:2">
      <c r="A175" t="s">
        <v>586</v>
      </c>
      <c r="B175">
        <v>2255</v>
      </c>
    </row>
    <row r="176" spans="1:2">
      <c r="A176" t="s">
        <v>770</v>
      </c>
      <c r="B176">
        <v>5365</v>
      </c>
    </row>
    <row r="177" spans="1:2">
      <c r="A177" t="s">
        <v>770</v>
      </c>
      <c r="B177">
        <v>0.70406824146981628</v>
      </c>
    </row>
    <row r="179" spans="1:2">
      <c r="A179" t="s">
        <v>1943</v>
      </c>
      <c r="B179">
        <v>740.25</v>
      </c>
    </row>
    <row r="181" spans="1:2" s="344" customFormat="1">
      <c r="A181" s="345" t="s">
        <v>1801</v>
      </c>
    </row>
    <row r="183" spans="1:2">
      <c r="A183" t="s">
        <v>753</v>
      </c>
      <c r="B183" s="346">
        <v>705</v>
      </c>
    </row>
    <row r="185" spans="1:2">
      <c r="A185" t="s">
        <v>581</v>
      </c>
    </row>
    <row r="186" spans="1:2">
      <c r="A186" t="s">
        <v>214</v>
      </c>
      <c r="B186">
        <v>705</v>
      </c>
    </row>
    <row r="187" spans="1:2">
      <c r="A187" t="s">
        <v>215</v>
      </c>
      <c r="B187">
        <v>845</v>
      </c>
    </row>
    <row r="188" spans="1:2">
      <c r="A188" t="s">
        <v>2009</v>
      </c>
      <c r="B188">
        <v>845</v>
      </c>
    </row>
    <row r="189" spans="1:2">
      <c r="A189" t="s">
        <v>586</v>
      </c>
      <c r="B189">
        <v>2395</v>
      </c>
    </row>
    <row r="191" spans="1:2">
      <c r="A191" t="s">
        <v>268</v>
      </c>
    </row>
    <row r="192" spans="1:2">
      <c r="A192" t="s">
        <v>699</v>
      </c>
      <c r="B192">
        <v>2820</v>
      </c>
    </row>
    <row r="193" spans="1:2">
      <c r="A193" t="s">
        <v>588</v>
      </c>
      <c r="B193">
        <v>8460</v>
      </c>
    </row>
    <row r="196" spans="1:2">
      <c r="A196" t="s">
        <v>769</v>
      </c>
    </row>
    <row r="198" spans="1:2">
      <c r="A198" t="s">
        <v>1180</v>
      </c>
    </row>
    <row r="199" spans="1:2">
      <c r="A199" t="s">
        <v>1178</v>
      </c>
      <c r="B199">
        <v>925</v>
      </c>
    </row>
    <row r="200" spans="1:2">
      <c r="A200" t="s">
        <v>1179</v>
      </c>
      <c r="B200">
        <v>925</v>
      </c>
    </row>
    <row r="201" spans="1:2">
      <c r="A201" t="s">
        <v>2030</v>
      </c>
      <c r="B201">
        <v>925</v>
      </c>
    </row>
    <row r="202" spans="1:2">
      <c r="A202" t="s">
        <v>586</v>
      </c>
      <c r="B202">
        <v>2775</v>
      </c>
    </row>
    <row r="203" spans="1:2">
      <c r="A203" t="s">
        <v>770</v>
      </c>
      <c r="B203">
        <v>5685</v>
      </c>
    </row>
    <row r="204" spans="1:2">
      <c r="A204" t="s">
        <v>770</v>
      </c>
      <c r="B204">
        <v>0.67198581560283688</v>
      </c>
    </row>
    <row r="206" spans="1:2">
      <c r="A206" t="s">
        <v>1181</v>
      </c>
    </row>
    <row r="207" spans="1:2">
      <c r="A207" t="s">
        <v>1182</v>
      </c>
      <c r="B207">
        <v>705</v>
      </c>
    </row>
    <row r="208" spans="1:2">
      <c r="A208" t="s">
        <v>1179</v>
      </c>
      <c r="B208">
        <v>970</v>
      </c>
    </row>
    <row r="209" spans="1:2">
      <c r="A209" t="s">
        <v>2030</v>
      </c>
      <c r="B209">
        <v>970</v>
      </c>
    </row>
    <row r="210" spans="1:2">
      <c r="A210" t="s">
        <v>586</v>
      </c>
      <c r="B210">
        <v>2645</v>
      </c>
    </row>
    <row r="211" spans="1:2">
      <c r="A211" t="s">
        <v>770</v>
      </c>
      <c r="B211">
        <v>5815</v>
      </c>
    </row>
    <row r="212" spans="1:2">
      <c r="A212" t="s">
        <v>770</v>
      </c>
      <c r="B212">
        <v>0.68735224586288413</v>
      </c>
    </row>
    <row r="214" spans="1:2">
      <c r="A214" t="s">
        <v>2031</v>
      </c>
    </row>
    <row r="215" spans="1:2">
      <c r="A215" t="s">
        <v>1182</v>
      </c>
      <c r="B215">
        <v>705</v>
      </c>
    </row>
    <row r="216" spans="1:2">
      <c r="A216" t="s">
        <v>2032</v>
      </c>
      <c r="B216">
        <v>845</v>
      </c>
    </row>
    <row r="217" spans="1:2">
      <c r="A217" t="s">
        <v>2030</v>
      </c>
      <c r="B217">
        <v>970</v>
      </c>
    </row>
    <row r="218" spans="1:2">
      <c r="A218" t="s">
        <v>586</v>
      </c>
      <c r="B218">
        <v>2520</v>
      </c>
    </row>
    <row r="219" spans="1:2">
      <c r="A219" t="s">
        <v>770</v>
      </c>
      <c r="B219">
        <v>5940</v>
      </c>
    </row>
    <row r="220" spans="1:2">
      <c r="A220" t="s">
        <v>770</v>
      </c>
      <c r="B220">
        <v>0.7021276595744681</v>
      </c>
    </row>
    <row r="222" spans="1:2">
      <c r="A222" t="s">
        <v>1943</v>
      </c>
      <c r="B222">
        <v>1018.5</v>
      </c>
    </row>
    <row r="224" spans="1:2" s="344" customFormat="1">
      <c r="A224" s="345" t="s">
        <v>1802</v>
      </c>
    </row>
    <row r="226" spans="1:2">
      <c r="A226" t="s">
        <v>753</v>
      </c>
      <c r="B226" s="346">
        <v>705</v>
      </c>
    </row>
    <row r="228" spans="1:2">
      <c r="A228" t="s">
        <v>581</v>
      </c>
    </row>
    <row r="229" spans="1:2">
      <c r="A229" t="s">
        <v>214</v>
      </c>
      <c r="B229">
        <v>705</v>
      </c>
    </row>
    <row r="230" spans="1:2">
      <c r="A230" t="s">
        <v>215</v>
      </c>
      <c r="B230">
        <v>845</v>
      </c>
    </row>
    <row r="231" spans="1:2">
      <c r="A231" t="s">
        <v>2009</v>
      </c>
      <c r="B231">
        <v>845</v>
      </c>
    </row>
    <row r="232" spans="1:2">
      <c r="A232" t="s">
        <v>586</v>
      </c>
      <c r="B232">
        <v>2395</v>
      </c>
    </row>
    <row r="234" spans="1:2">
      <c r="A234" t="s">
        <v>268</v>
      </c>
    </row>
    <row r="235" spans="1:2">
      <c r="A235" t="s">
        <v>699</v>
      </c>
      <c r="B235">
        <v>2540</v>
      </c>
    </row>
    <row r="236" spans="1:2">
      <c r="A236" t="s">
        <v>588</v>
      </c>
      <c r="B236">
        <v>7620</v>
      </c>
    </row>
    <row r="239" spans="1:2">
      <c r="A239" t="s">
        <v>769</v>
      </c>
    </row>
    <row r="241" spans="1:2">
      <c r="A241" t="s">
        <v>1180</v>
      </c>
    </row>
    <row r="242" spans="1:2">
      <c r="A242" t="s">
        <v>1178</v>
      </c>
      <c r="B242">
        <v>670</v>
      </c>
    </row>
    <row r="243" spans="1:2">
      <c r="A243" t="s">
        <v>1179</v>
      </c>
      <c r="B243">
        <v>670</v>
      </c>
    </row>
    <row r="244" spans="1:2">
      <c r="A244" t="s">
        <v>2030</v>
      </c>
      <c r="B244">
        <v>670</v>
      </c>
    </row>
    <row r="245" spans="1:2">
      <c r="A245" t="s">
        <v>586</v>
      </c>
      <c r="B245">
        <v>2010</v>
      </c>
    </row>
    <row r="246" spans="1:2">
      <c r="A246" t="s">
        <v>770</v>
      </c>
      <c r="B246">
        <v>5610</v>
      </c>
    </row>
    <row r="247" spans="1:2">
      <c r="A247" t="s">
        <v>770</v>
      </c>
      <c r="B247">
        <v>0.73622047244094491</v>
      </c>
    </row>
    <row r="249" spans="1:2">
      <c r="A249" t="s">
        <v>1181</v>
      </c>
    </row>
    <row r="250" spans="1:2">
      <c r="A250" t="s">
        <v>1182</v>
      </c>
      <c r="B250">
        <v>705</v>
      </c>
    </row>
    <row r="251" spans="1:2">
      <c r="A251" t="s">
        <v>1179</v>
      </c>
      <c r="B251">
        <v>705</v>
      </c>
    </row>
    <row r="252" spans="1:2">
      <c r="A252" t="s">
        <v>2030</v>
      </c>
      <c r="B252">
        <v>705</v>
      </c>
    </row>
    <row r="253" spans="1:2">
      <c r="A253" t="s">
        <v>586</v>
      </c>
      <c r="B253">
        <v>2115</v>
      </c>
    </row>
    <row r="254" spans="1:2">
      <c r="A254" t="s">
        <v>770</v>
      </c>
      <c r="B254">
        <v>5505</v>
      </c>
    </row>
    <row r="255" spans="1:2">
      <c r="A255" t="s">
        <v>770</v>
      </c>
      <c r="B255">
        <v>0.72244094488188981</v>
      </c>
    </row>
    <row r="257" spans="1:2">
      <c r="A257" t="s">
        <v>2031</v>
      </c>
    </row>
    <row r="258" spans="1:2">
      <c r="A258" t="s">
        <v>1182</v>
      </c>
      <c r="B258">
        <v>705</v>
      </c>
    </row>
    <row r="259" spans="1:2">
      <c r="A259" t="s">
        <v>2032</v>
      </c>
      <c r="B259">
        <v>845</v>
      </c>
    </row>
    <row r="260" spans="1:2">
      <c r="A260" t="s">
        <v>2030</v>
      </c>
      <c r="B260">
        <v>705</v>
      </c>
    </row>
    <row r="261" spans="1:2">
      <c r="A261" t="s">
        <v>586</v>
      </c>
      <c r="B261">
        <v>2255</v>
      </c>
    </row>
    <row r="262" spans="1:2">
      <c r="A262" t="s">
        <v>770</v>
      </c>
      <c r="B262">
        <v>5365</v>
      </c>
    </row>
    <row r="263" spans="1:2">
      <c r="A263" t="s">
        <v>770</v>
      </c>
      <c r="B263">
        <v>0.70406824146981628</v>
      </c>
    </row>
    <row r="265" spans="1:2">
      <c r="A265" t="s">
        <v>1943</v>
      </c>
      <c r="B265">
        <v>740.25</v>
      </c>
    </row>
    <row r="267" spans="1:2" s="344" customFormat="1">
      <c r="A267" s="345" t="s">
        <v>727</v>
      </c>
    </row>
    <row r="269" spans="1:2">
      <c r="A269" t="s">
        <v>753</v>
      </c>
      <c r="B269" s="346">
        <v>970</v>
      </c>
    </row>
    <row r="271" spans="1:2">
      <c r="A271" t="s">
        <v>581</v>
      </c>
    </row>
    <row r="272" spans="1:2">
      <c r="A272" t="s">
        <v>214</v>
      </c>
      <c r="B272">
        <v>970</v>
      </c>
    </row>
    <row r="273" spans="1:2">
      <c r="A273" t="s">
        <v>215</v>
      </c>
      <c r="B273">
        <v>1165</v>
      </c>
    </row>
    <row r="274" spans="1:2">
      <c r="A274" t="s">
        <v>2009</v>
      </c>
      <c r="B274">
        <v>1165</v>
      </c>
    </row>
    <row r="275" spans="1:2">
      <c r="A275" t="s">
        <v>586</v>
      </c>
      <c r="B275">
        <v>3300</v>
      </c>
    </row>
    <row r="277" spans="1:2">
      <c r="A277" t="s">
        <v>268</v>
      </c>
    </row>
    <row r="278" spans="1:2">
      <c r="A278" t="s">
        <v>699</v>
      </c>
      <c r="B278">
        <v>2820</v>
      </c>
    </row>
    <row r="279" spans="1:2">
      <c r="A279" t="s">
        <v>588</v>
      </c>
      <c r="B279">
        <v>8460</v>
      </c>
    </row>
    <row r="282" spans="1:2">
      <c r="A282" t="s">
        <v>769</v>
      </c>
    </row>
    <row r="284" spans="1:2">
      <c r="A284" t="s">
        <v>1180</v>
      </c>
    </row>
    <row r="285" spans="1:2">
      <c r="A285" t="s">
        <v>1178</v>
      </c>
      <c r="B285">
        <v>925</v>
      </c>
    </row>
    <row r="286" spans="1:2">
      <c r="A286" t="s">
        <v>1179</v>
      </c>
      <c r="B286">
        <v>925</v>
      </c>
    </row>
    <row r="287" spans="1:2">
      <c r="A287" t="s">
        <v>2030</v>
      </c>
      <c r="B287">
        <v>925</v>
      </c>
    </row>
    <row r="288" spans="1:2">
      <c r="A288" t="s">
        <v>586</v>
      </c>
      <c r="B288">
        <v>2775</v>
      </c>
    </row>
    <row r="289" spans="1:2">
      <c r="A289" t="s">
        <v>770</v>
      </c>
      <c r="B289">
        <v>5685</v>
      </c>
    </row>
    <row r="290" spans="1:2">
      <c r="A290" t="s">
        <v>770</v>
      </c>
      <c r="B290">
        <v>0.67198581560283688</v>
      </c>
    </row>
    <row r="292" spans="1:2">
      <c r="A292" t="s">
        <v>1181</v>
      </c>
    </row>
    <row r="293" spans="1:2">
      <c r="A293" t="s">
        <v>1182</v>
      </c>
      <c r="B293">
        <v>970</v>
      </c>
    </row>
    <row r="294" spans="1:2">
      <c r="A294" t="s">
        <v>1179</v>
      </c>
      <c r="B294">
        <v>970</v>
      </c>
    </row>
    <row r="295" spans="1:2">
      <c r="A295" t="s">
        <v>2030</v>
      </c>
      <c r="B295">
        <v>970</v>
      </c>
    </row>
    <row r="296" spans="1:2">
      <c r="A296" t="s">
        <v>586</v>
      </c>
      <c r="B296">
        <v>2910</v>
      </c>
    </row>
    <row r="297" spans="1:2">
      <c r="A297" t="s">
        <v>770</v>
      </c>
      <c r="B297">
        <v>5550</v>
      </c>
    </row>
    <row r="298" spans="1:2">
      <c r="A298" t="s">
        <v>770</v>
      </c>
      <c r="B298">
        <v>0.65602836879432624</v>
      </c>
    </row>
    <row r="300" spans="1:2">
      <c r="A300" t="s">
        <v>2031</v>
      </c>
    </row>
    <row r="301" spans="1:2">
      <c r="A301" t="s">
        <v>1182</v>
      </c>
      <c r="B301">
        <v>970</v>
      </c>
    </row>
    <row r="302" spans="1:2">
      <c r="A302" t="s">
        <v>2032</v>
      </c>
      <c r="B302">
        <v>1165</v>
      </c>
    </row>
    <row r="303" spans="1:2">
      <c r="A303" t="s">
        <v>2030</v>
      </c>
      <c r="B303">
        <v>970</v>
      </c>
    </row>
    <row r="304" spans="1:2">
      <c r="A304" t="s">
        <v>586</v>
      </c>
      <c r="B304">
        <v>3105</v>
      </c>
    </row>
    <row r="305" spans="1:2">
      <c r="A305" t="s">
        <v>770</v>
      </c>
      <c r="B305">
        <v>5355</v>
      </c>
    </row>
    <row r="306" spans="1:2">
      <c r="A306" t="s">
        <v>770</v>
      </c>
      <c r="B306">
        <v>0.63297872340425532</v>
      </c>
    </row>
    <row r="308" spans="1:2">
      <c r="A308" t="s">
        <v>1943</v>
      </c>
      <c r="B308">
        <v>1018.5</v>
      </c>
    </row>
    <row r="310" spans="1:2" s="344" customFormat="1">
      <c r="A310" s="345" t="s">
        <v>728</v>
      </c>
    </row>
    <row r="312" spans="1:2">
      <c r="A312" t="s">
        <v>753</v>
      </c>
      <c r="B312" s="346">
        <v>970</v>
      </c>
    </row>
    <row r="314" spans="1:2">
      <c r="A314" t="s">
        <v>581</v>
      </c>
    </row>
    <row r="315" spans="1:2">
      <c r="A315" t="s">
        <v>214</v>
      </c>
      <c r="B315">
        <v>970</v>
      </c>
    </row>
    <row r="316" spans="1:2">
      <c r="A316" t="s">
        <v>215</v>
      </c>
      <c r="B316">
        <v>1165</v>
      </c>
    </row>
    <row r="317" spans="1:2">
      <c r="A317" t="s">
        <v>2009</v>
      </c>
      <c r="B317">
        <v>1165</v>
      </c>
    </row>
    <row r="318" spans="1:2">
      <c r="A318" t="s">
        <v>586</v>
      </c>
      <c r="B318">
        <v>3300</v>
      </c>
    </row>
    <row r="320" spans="1:2">
      <c r="A320" t="s">
        <v>268</v>
      </c>
    </row>
    <row r="321" spans="1:2">
      <c r="A321" t="s">
        <v>699</v>
      </c>
      <c r="B321">
        <v>2540</v>
      </c>
    </row>
    <row r="322" spans="1:2">
      <c r="A322" t="s">
        <v>588</v>
      </c>
      <c r="B322">
        <v>7620</v>
      </c>
    </row>
    <row r="325" spans="1:2">
      <c r="A325" t="s">
        <v>769</v>
      </c>
    </row>
    <row r="327" spans="1:2">
      <c r="A327" t="s">
        <v>1180</v>
      </c>
    </row>
    <row r="328" spans="1:2">
      <c r="A328" t="s">
        <v>1178</v>
      </c>
      <c r="B328">
        <v>670</v>
      </c>
    </row>
    <row r="329" spans="1:2">
      <c r="A329" t="s">
        <v>1179</v>
      </c>
      <c r="B329">
        <v>670</v>
      </c>
    </row>
    <row r="330" spans="1:2">
      <c r="A330" t="s">
        <v>2030</v>
      </c>
      <c r="B330">
        <v>670</v>
      </c>
    </row>
    <row r="331" spans="1:2">
      <c r="A331" t="s">
        <v>586</v>
      </c>
      <c r="B331">
        <v>2010</v>
      </c>
    </row>
    <row r="332" spans="1:2">
      <c r="A332" t="s">
        <v>770</v>
      </c>
      <c r="B332">
        <v>5610</v>
      </c>
    </row>
    <row r="333" spans="1:2">
      <c r="A333" t="s">
        <v>770</v>
      </c>
      <c r="B333">
        <v>0.73622047244094491</v>
      </c>
    </row>
    <row r="335" spans="1:2">
      <c r="A335" t="s">
        <v>1181</v>
      </c>
    </row>
    <row r="336" spans="1:2">
      <c r="A336" t="s">
        <v>1182</v>
      </c>
      <c r="B336">
        <v>970</v>
      </c>
    </row>
    <row r="337" spans="1:2">
      <c r="A337" t="s">
        <v>1179</v>
      </c>
      <c r="B337">
        <v>705</v>
      </c>
    </row>
    <row r="338" spans="1:2">
      <c r="A338" t="s">
        <v>2030</v>
      </c>
      <c r="B338">
        <v>705</v>
      </c>
    </row>
    <row r="339" spans="1:2">
      <c r="A339" t="s">
        <v>586</v>
      </c>
      <c r="B339">
        <v>2380</v>
      </c>
    </row>
    <row r="340" spans="1:2">
      <c r="A340" t="s">
        <v>770</v>
      </c>
      <c r="B340">
        <v>5240</v>
      </c>
    </row>
    <row r="341" spans="1:2">
      <c r="A341" t="s">
        <v>770</v>
      </c>
      <c r="B341">
        <v>0.68766404199475062</v>
      </c>
    </row>
    <row r="343" spans="1:2">
      <c r="A343" t="s">
        <v>2031</v>
      </c>
    </row>
    <row r="344" spans="1:2">
      <c r="A344" t="s">
        <v>1182</v>
      </c>
      <c r="B344">
        <v>970</v>
      </c>
    </row>
    <row r="345" spans="1:2">
      <c r="A345" t="s">
        <v>2032</v>
      </c>
      <c r="B345">
        <v>1165</v>
      </c>
    </row>
    <row r="346" spans="1:2">
      <c r="A346" t="s">
        <v>2030</v>
      </c>
      <c r="B346">
        <v>705</v>
      </c>
    </row>
    <row r="347" spans="1:2">
      <c r="A347" t="s">
        <v>586</v>
      </c>
      <c r="B347">
        <v>2840</v>
      </c>
    </row>
    <row r="348" spans="1:2">
      <c r="A348" t="s">
        <v>770</v>
      </c>
      <c r="B348">
        <v>4780</v>
      </c>
    </row>
    <row r="349" spans="1:2">
      <c r="A349" t="s">
        <v>770</v>
      </c>
      <c r="B349">
        <v>0.62729658792650922</v>
      </c>
    </row>
    <row r="351" spans="1:2">
      <c r="A351" t="s">
        <v>1943</v>
      </c>
      <c r="B351">
        <v>740.25</v>
      </c>
    </row>
    <row r="353" spans="1:2" s="344" customFormat="1">
      <c r="A353" s="345" t="s">
        <v>1902</v>
      </c>
    </row>
    <row r="355" spans="1:2">
      <c r="A355" t="s">
        <v>753</v>
      </c>
      <c r="B355" s="346">
        <v>1370</v>
      </c>
    </row>
    <row r="357" spans="1:2">
      <c r="A357" t="s">
        <v>581</v>
      </c>
    </row>
    <row r="358" spans="1:2">
      <c r="A358" t="s">
        <v>214</v>
      </c>
      <c r="B358">
        <v>1370</v>
      </c>
    </row>
    <row r="359" spans="1:2">
      <c r="A359" t="s">
        <v>215</v>
      </c>
      <c r="B359">
        <v>1645</v>
      </c>
    </row>
    <row r="360" spans="1:2">
      <c r="A360" t="s">
        <v>2009</v>
      </c>
      <c r="B360">
        <v>1645</v>
      </c>
    </row>
    <row r="361" spans="1:2">
      <c r="A361" t="s">
        <v>586</v>
      </c>
      <c r="B361">
        <v>4660</v>
      </c>
    </row>
    <row r="363" spans="1:2">
      <c r="A363" t="s">
        <v>268</v>
      </c>
    </row>
    <row r="364" spans="1:2">
      <c r="A364" t="s">
        <v>699</v>
      </c>
      <c r="B364">
        <v>3715</v>
      </c>
    </row>
    <row r="365" spans="1:2">
      <c r="A365" t="s">
        <v>588</v>
      </c>
      <c r="B365">
        <v>11145</v>
      </c>
    </row>
    <row r="368" spans="1:2">
      <c r="A368" t="s">
        <v>769</v>
      </c>
    </row>
    <row r="370" spans="1:2">
      <c r="A370" t="s">
        <v>1180</v>
      </c>
    </row>
    <row r="371" spans="1:2">
      <c r="A371" t="s">
        <v>1178</v>
      </c>
      <c r="B371">
        <v>1125</v>
      </c>
    </row>
    <row r="372" spans="1:2">
      <c r="A372" t="s">
        <v>1179</v>
      </c>
      <c r="B372">
        <v>1125</v>
      </c>
    </row>
    <row r="373" spans="1:2">
      <c r="A373" t="s">
        <v>2030</v>
      </c>
      <c r="B373">
        <v>1125</v>
      </c>
    </row>
    <row r="374" spans="1:2">
      <c r="A374" t="s">
        <v>586</v>
      </c>
      <c r="B374">
        <v>3375</v>
      </c>
    </row>
    <row r="375" spans="1:2">
      <c r="A375" t="s">
        <v>770</v>
      </c>
      <c r="B375">
        <v>7770</v>
      </c>
    </row>
    <row r="376" spans="1:2">
      <c r="A376" t="s">
        <v>770</v>
      </c>
      <c r="B376">
        <v>0.69717362045760434</v>
      </c>
    </row>
    <row r="378" spans="1:2">
      <c r="A378" t="s">
        <v>1181</v>
      </c>
    </row>
    <row r="379" spans="1:2">
      <c r="A379" t="s">
        <v>1182</v>
      </c>
      <c r="B379">
        <v>1370</v>
      </c>
    </row>
    <row r="380" spans="1:2">
      <c r="A380" t="s">
        <v>1179</v>
      </c>
      <c r="B380">
        <v>1180</v>
      </c>
    </row>
    <row r="381" spans="1:2">
      <c r="A381" t="s">
        <v>2030</v>
      </c>
      <c r="B381">
        <v>1180</v>
      </c>
    </row>
    <row r="382" spans="1:2">
      <c r="A382" t="s">
        <v>586</v>
      </c>
      <c r="B382">
        <v>3730</v>
      </c>
    </row>
    <row r="383" spans="1:2">
      <c r="A383" t="s">
        <v>770</v>
      </c>
      <c r="B383">
        <v>7415</v>
      </c>
    </row>
    <row r="384" spans="1:2">
      <c r="A384" t="s">
        <v>770</v>
      </c>
      <c r="B384">
        <v>0.66532077164647829</v>
      </c>
    </row>
    <row r="386" spans="1:2">
      <c r="A386" t="s">
        <v>2031</v>
      </c>
    </row>
    <row r="387" spans="1:2">
      <c r="A387" t="s">
        <v>1182</v>
      </c>
      <c r="B387">
        <v>1370</v>
      </c>
    </row>
    <row r="388" spans="1:2">
      <c r="A388" t="s">
        <v>2032</v>
      </c>
      <c r="B388">
        <v>1645</v>
      </c>
    </row>
    <row r="389" spans="1:2">
      <c r="A389" t="s">
        <v>2030</v>
      </c>
      <c r="B389">
        <v>1180</v>
      </c>
    </row>
    <row r="390" spans="1:2">
      <c r="A390" t="s">
        <v>586</v>
      </c>
      <c r="B390">
        <v>4195</v>
      </c>
    </row>
    <row r="391" spans="1:2">
      <c r="A391" t="s">
        <v>770</v>
      </c>
      <c r="B391">
        <v>6950</v>
      </c>
    </row>
    <row r="392" spans="1:2">
      <c r="A392" t="s">
        <v>770</v>
      </c>
      <c r="B392">
        <v>0.62359802602063708</v>
      </c>
    </row>
    <row r="394" spans="1:2">
      <c r="A394" t="s">
        <v>1943</v>
      </c>
      <c r="B394">
        <v>1239</v>
      </c>
    </row>
    <row r="396" spans="1:2" s="344" customFormat="1">
      <c r="A396" s="345" t="s">
        <v>1724</v>
      </c>
    </row>
    <row r="398" spans="1:2">
      <c r="A398" t="s">
        <v>753</v>
      </c>
      <c r="B398" s="346">
        <v>1370</v>
      </c>
    </row>
    <row r="400" spans="1:2">
      <c r="A400" t="s">
        <v>581</v>
      </c>
    </row>
    <row r="401" spans="1:2">
      <c r="A401" t="s">
        <v>214</v>
      </c>
      <c r="B401">
        <v>1370</v>
      </c>
    </row>
    <row r="402" spans="1:2">
      <c r="A402" t="s">
        <v>215</v>
      </c>
      <c r="B402">
        <v>1645</v>
      </c>
    </row>
    <row r="403" spans="1:2">
      <c r="A403" t="s">
        <v>2009</v>
      </c>
      <c r="B403">
        <v>1645</v>
      </c>
    </row>
    <row r="404" spans="1:2">
      <c r="A404" t="s">
        <v>586</v>
      </c>
      <c r="B404">
        <v>4660</v>
      </c>
    </row>
    <row r="406" spans="1:2">
      <c r="A406" t="s">
        <v>268</v>
      </c>
    </row>
    <row r="407" spans="1:2">
      <c r="A407" t="s">
        <v>699</v>
      </c>
      <c r="B407">
        <v>3275</v>
      </c>
    </row>
    <row r="408" spans="1:2">
      <c r="A408" t="s">
        <v>588</v>
      </c>
      <c r="B408">
        <v>9825</v>
      </c>
    </row>
    <row r="411" spans="1:2">
      <c r="A411" t="s">
        <v>769</v>
      </c>
    </row>
    <row r="413" spans="1:2">
      <c r="A413" t="s">
        <v>1180</v>
      </c>
    </row>
    <row r="414" spans="1:2">
      <c r="A414" t="s">
        <v>1178</v>
      </c>
      <c r="B414">
        <v>1305</v>
      </c>
    </row>
    <row r="415" spans="1:2">
      <c r="A415" t="s">
        <v>1179</v>
      </c>
      <c r="B415">
        <v>1305</v>
      </c>
    </row>
    <row r="416" spans="1:2">
      <c r="A416" t="s">
        <v>2030</v>
      </c>
      <c r="B416">
        <v>1305</v>
      </c>
    </row>
    <row r="417" spans="1:2">
      <c r="A417" t="s">
        <v>586</v>
      </c>
      <c r="B417">
        <v>3915</v>
      </c>
    </row>
    <row r="418" spans="1:2">
      <c r="A418" t="s">
        <v>770</v>
      </c>
      <c r="B418">
        <v>5910</v>
      </c>
    </row>
    <row r="419" spans="1:2">
      <c r="A419" t="s">
        <v>770</v>
      </c>
      <c r="B419">
        <v>0.60152671755725196</v>
      </c>
    </row>
    <row r="421" spans="1:2">
      <c r="A421" t="s">
        <v>1181</v>
      </c>
    </row>
    <row r="422" spans="1:2">
      <c r="A422" t="s">
        <v>1182</v>
      </c>
      <c r="B422">
        <v>1370</v>
      </c>
    </row>
    <row r="423" spans="1:2">
      <c r="A423" t="s">
        <v>1179</v>
      </c>
      <c r="B423">
        <v>1370</v>
      </c>
    </row>
    <row r="424" spans="1:2">
      <c r="A424" t="s">
        <v>2030</v>
      </c>
      <c r="B424">
        <v>1370</v>
      </c>
    </row>
    <row r="425" spans="1:2">
      <c r="A425" t="s">
        <v>586</v>
      </c>
      <c r="B425">
        <v>4110</v>
      </c>
    </row>
    <row r="426" spans="1:2">
      <c r="A426" t="s">
        <v>770</v>
      </c>
      <c r="B426">
        <v>5715</v>
      </c>
    </row>
    <row r="427" spans="1:2">
      <c r="A427" t="s">
        <v>770</v>
      </c>
      <c r="B427">
        <v>0.58167938931297714</v>
      </c>
    </row>
    <row r="429" spans="1:2">
      <c r="A429" t="s">
        <v>2031</v>
      </c>
    </row>
    <row r="430" spans="1:2">
      <c r="A430" t="s">
        <v>1182</v>
      </c>
      <c r="B430">
        <v>1370</v>
      </c>
    </row>
    <row r="431" spans="1:2">
      <c r="A431" t="s">
        <v>2032</v>
      </c>
      <c r="B431">
        <v>1645</v>
      </c>
    </row>
    <row r="432" spans="1:2">
      <c r="A432" t="s">
        <v>2030</v>
      </c>
      <c r="B432">
        <v>1370</v>
      </c>
    </row>
    <row r="433" spans="1:2">
      <c r="A433" t="s">
        <v>586</v>
      </c>
      <c r="B433">
        <v>4385</v>
      </c>
    </row>
    <row r="434" spans="1:2">
      <c r="A434" t="s">
        <v>770</v>
      </c>
      <c r="B434">
        <v>5440</v>
      </c>
    </row>
    <row r="435" spans="1:2">
      <c r="A435" t="s">
        <v>770</v>
      </c>
      <c r="B435">
        <v>0.5536895674300254</v>
      </c>
    </row>
    <row r="437" spans="1:2">
      <c r="A437" t="s">
        <v>1943</v>
      </c>
      <c r="B437">
        <v>1438.5</v>
      </c>
    </row>
    <row r="439" spans="1:2" s="344" customFormat="1">
      <c r="A439" s="345" t="s">
        <v>1725</v>
      </c>
    </row>
    <row r="441" spans="1:2">
      <c r="A441" t="s">
        <v>753</v>
      </c>
      <c r="B441" s="346">
        <v>7600</v>
      </c>
    </row>
    <row r="443" spans="1:2">
      <c r="A443" t="s">
        <v>581</v>
      </c>
    </row>
    <row r="444" spans="1:2">
      <c r="A444" t="s">
        <v>214</v>
      </c>
      <c r="B444">
        <v>7600</v>
      </c>
    </row>
    <row r="445" spans="1:2">
      <c r="A445" t="s">
        <v>215</v>
      </c>
      <c r="B445">
        <v>9120</v>
      </c>
    </row>
    <row r="446" spans="1:2">
      <c r="A446" t="s">
        <v>2009</v>
      </c>
      <c r="B446">
        <v>9120</v>
      </c>
    </row>
    <row r="447" spans="1:2">
      <c r="A447" t="s">
        <v>586</v>
      </c>
      <c r="B447">
        <v>25840</v>
      </c>
    </row>
    <row r="449" spans="1:2">
      <c r="A449" t="s">
        <v>268</v>
      </c>
    </row>
    <row r="450" spans="1:2">
      <c r="A450" t="s">
        <v>699</v>
      </c>
      <c r="B450">
        <v>24930</v>
      </c>
    </row>
    <row r="451" spans="1:2">
      <c r="A451" t="s">
        <v>588</v>
      </c>
      <c r="B451">
        <v>74790</v>
      </c>
    </row>
    <row r="454" spans="1:2">
      <c r="A454" t="s">
        <v>769</v>
      </c>
    </row>
    <row r="456" spans="1:2">
      <c r="A456" t="s">
        <v>1180</v>
      </c>
    </row>
    <row r="457" spans="1:2">
      <c r="A457" t="s">
        <v>1178</v>
      </c>
      <c r="B457">
        <v>7255</v>
      </c>
    </row>
    <row r="458" spans="1:2">
      <c r="A458" t="s">
        <v>1179</v>
      </c>
      <c r="B458">
        <v>7255</v>
      </c>
    </row>
    <row r="459" spans="1:2">
      <c r="A459" t="s">
        <v>2030</v>
      </c>
      <c r="B459">
        <v>7255</v>
      </c>
    </row>
    <row r="460" spans="1:2">
      <c r="A460" t="s">
        <v>586</v>
      </c>
      <c r="B460">
        <v>21765</v>
      </c>
    </row>
    <row r="461" spans="1:2">
      <c r="A461" t="s">
        <v>770</v>
      </c>
      <c r="B461">
        <v>53025</v>
      </c>
    </row>
    <row r="462" spans="1:2">
      <c r="A462" t="s">
        <v>770</v>
      </c>
      <c r="B462">
        <v>0.70898515844364218</v>
      </c>
    </row>
    <row r="464" spans="1:2">
      <c r="A464" t="s">
        <v>1181</v>
      </c>
    </row>
    <row r="465" spans="1:2">
      <c r="A465" t="s">
        <v>1182</v>
      </c>
      <c r="B465">
        <v>7600</v>
      </c>
    </row>
    <row r="466" spans="1:2">
      <c r="A466" t="s">
        <v>1179</v>
      </c>
      <c r="B466">
        <v>7620</v>
      </c>
    </row>
    <row r="467" spans="1:2">
      <c r="A467" t="s">
        <v>2030</v>
      </c>
      <c r="B467">
        <v>7620</v>
      </c>
    </row>
    <row r="468" spans="1:2">
      <c r="A468" t="s">
        <v>586</v>
      </c>
      <c r="B468">
        <v>22840</v>
      </c>
    </row>
    <row r="469" spans="1:2">
      <c r="A469" t="s">
        <v>770</v>
      </c>
      <c r="B469">
        <v>51950</v>
      </c>
    </row>
    <row r="470" spans="1:2">
      <c r="A470" t="s">
        <v>770</v>
      </c>
      <c r="B470">
        <v>0.69461157908811333</v>
      </c>
    </row>
    <row r="472" spans="1:2">
      <c r="A472" t="s">
        <v>2031</v>
      </c>
    </row>
    <row r="473" spans="1:2">
      <c r="A473" t="s">
        <v>1182</v>
      </c>
      <c r="B473">
        <v>7600</v>
      </c>
    </row>
    <row r="474" spans="1:2">
      <c r="A474" t="s">
        <v>2032</v>
      </c>
      <c r="B474">
        <v>9120</v>
      </c>
    </row>
    <row r="475" spans="1:2">
      <c r="A475" t="s">
        <v>2030</v>
      </c>
      <c r="B475">
        <v>7620</v>
      </c>
    </row>
    <row r="476" spans="1:2">
      <c r="A476" t="s">
        <v>586</v>
      </c>
      <c r="B476">
        <v>24340</v>
      </c>
    </row>
    <row r="477" spans="1:2">
      <c r="A477" t="s">
        <v>770</v>
      </c>
      <c r="B477">
        <v>50450</v>
      </c>
    </row>
    <row r="478" spans="1:2">
      <c r="A478" t="s">
        <v>770</v>
      </c>
      <c r="B478">
        <v>0.67455542184784067</v>
      </c>
    </row>
    <row r="480" spans="1:2">
      <c r="A480" t="s">
        <v>1943</v>
      </c>
      <c r="B480">
        <v>8001</v>
      </c>
    </row>
    <row r="482" spans="1:2" s="344" customFormat="1">
      <c r="A482" s="345" t="s">
        <v>1726</v>
      </c>
    </row>
    <row r="484" spans="1:2">
      <c r="A484" t="s">
        <v>753</v>
      </c>
      <c r="B484" s="346">
        <v>1700</v>
      </c>
    </row>
    <row r="486" spans="1:2">
      <c r="A486" t="s">
        <v>581</v>
      </c>
    </row>
    <row r="487" spans="1:2">
      <c r="A487" t="s">
        <v>214</v>
      </c>
      <c r="B487">
        <v>1700</v>
      </c>
    </row>
    <row r="488" spans="1:2">
      <c r="A488" t="s">
        <v>215</v>
      </c>
      <c r="B488">
        <v>2040</v>
      </c>
    </row>
    <row r="489" spans="1:2">
      <c r="A489" t="s">
        <v>2009</v>
      </c>
      <c r="B489">
        <v>2040</v>
      </c>
    </row>
    <row r="490" spans="1:2">
      <c r="A490" t="s">
        <v>586</v>
      </c>
      <c r="B490">
        <v>5780</v>
      </c>
    </row>
    <row r="492" spans="1:2">
      <c r="A492" t="s">
        <v>268</v>
      </c>
    </row>
    <row r="493" spans="1:2">
      <c r="A493" t="s">
        <v>699</v>
      </c>
      <c r="B493">
        <v>6955</v>
      </c>
    </row>
    <row r="494" spans="1:2">
      <c r="A494" t="s">
        <v>588</v>
      </c>
      <c r="B494">
        <v>20865</v>
      </c>
    </row>
    <row r="497" spans="1:2">
      <c r="A497" t="s">
        <v>769</v>
      </c>
    </row>
    <row r="499" spans="1:2">
      <c r="A499" t="s">
        <v>1180</v>
      </c>
    </row>
    <row r="500" spans="1:2">
      <c r="A500" t="s">
        <v>1178</v>
      </c>
      <c r="B500">
        <v>1620</v>
      </c>
    </row>
    <row r="501" spans="1:2">
      <c r="A501" t="s">
        <v>1179</v>
      </c>
      <c r="B501">
        <v>1620</v>
      </c>
    </row>
    <row r="502" spans="1:2">
      <c r="A502" t="s">
        <v>2030</v>
      </c>
      <c r="B502">
        <v>1620</v>
      </c>
    </row>
    <row r="503" spans="1:2">
      <c r="A503" t="s">
        <v>586</v>
      </c>
      <c r="B503">
        <v>4860</v>
      </c>
    </row>
    <row r="504" spans="1:2">
      <c r="A504" t="s">
        <v>770</v>
      </c>
      <c r="B504">
        <v>16005</v>
      </c>
    </row>
    <row r="505" spans="1:2">
      <c r="A505" t="s">
        <v>770</v>
      </c>
      <c r="B505">
        <v>0.76707404744787921</v>
      </c>
    </row>
    <row r="507" spans="1:2">
      <c r="A507" t="s">
        <v>1181</v>
      </c>
    </row>
    <row r="508" spans="1:2">
      <c r="A508" t="s">
        <v>1182</v>
      </c>
      <c r="B508">
        <v>1700</v>
      </c>
    </row>
    <row r="509" spans="1:2">
      <c r="A509" t="s">
        <v>1179</v>
      </c>
      <c r="B509">
        <v>1700</v>
      </c>
    </row>
    <row r="510" spans="1:2">
      <c r="A510" t="s">
        <v>2030</v>
      </c>
      <c r="B510">
        <v>1700</v>
      </c>
    </row>
    <row r="511" spans="1:2">
      <c r="A511" t="s">
        <v>586</v>
      </c>
      <c r="B511">
        <v>5100</v>
      </c>
    </row>
    <row r="512" spans="1:2">
      <c r="A512" t="s">
        <v>770</v>
      </c>
      <c r="B512">
        <v>15765</v>
      </c>
    </row>
    <row r="513" spans="1:2">
      <c r="A513" t="s">
        <v>770</v>
      </c>
      <c r="B513">
        <v>0.7555715312724659</v>
      </c>
    </row>
    <row r="515" spans="1:2">
      <c r="A515" t="s">
        <v>2031</v>
      </c>
    </row>
    <row r="516" spans="1:2">
      <c r="A516" t="s">
        <v>1182</v>
      </c>
      <c r="B516">
        <v>1700</v>
      </c>
    </row>
    <row r="517" spans="1:2">
      <c r="A517" t="s">
        <v>2032</v>
      </c>
      <c r="B517">
        <v>2040</v>
      </c>
    </row>
    <row r="518" spans="1:2">
      <c r="A518" t="s">
        <v>2030</v>
      </c>
      <c r="B518">
        <v>1700</v>
      </c>
    </row>
    <row r="519" spans="1:2">
      <c r="A519" t="s">
        <v>586</v>
      </c>
      <c r="B519">
        <v>5440</v>
      </c>
    </row>
    <row r="520" spans="1:2">
      <c r="A520" t="s">
        <v>770</v>
      </c>
      <c r="B520">
        <v>15425</v>
      </c>
    </row>
    <row r="521" spans="1:2">
      <c r="A521" t="s">
        <v>770</v>
      </c>
      <c r="B521">
        <v>0.73927630002396361</v>
      </c>
    </row>
    <row r="523" spans="1:2">
      <c r="A523" t="s">
        <v>1943</v>
      </c>
      <c r="B523">
        <v>1785</v>
      </c>
    </row>
    <row r="525" spans="1:2" s="344" customFormat="1">
      <c r="A525" s="345" t="s">
        <v>1727</v>
      </c>
    </row>
    <row r="527" spans="1:2">
      <c r="A527" t="s">
        <v>753</v>
      </c>
      <c r="B527" s="346">
        <v>1040</v>
      </c>
    </row>
    <row r="529" spans="1:2">
      <c r="A529" t="s">
        <v>581</v>
      </c>
    </row>
    <row r="530" spans="1:2">
      <c r="A530" t="s">
        <v>214</v>
      </c>
      <c r="B530">
        <v>1040</v>
      </c>
    </row>
    <row r="531" spans="1:2">
      <c r="A531" t="s">
        <v>215</v>
      </c>
      <c r="B531">
        <v>1250</v>
      </c>
    </row>
    <row r="532" spans="1:2">
      <c r="A532" t="s">
        <v>2009</v>
      </c>
      <c r="B532">
        <v>1250</v>
      </c>
    </row>
    <row r="533" spans="1:2">
      <c r="A533" t="s">
        <v>586</v>
      </c>
      <c r="B533">
        <v>3540</v>
      </c>
    </row>
    <row r="535" spans="1:2">
      <c r="A535" t="s">
        <v>268</v>
      </c>
    </row>
    <row r="536" spans="1:2">
      <c r="A536" t="s">
        <v>699</v>
      </c>
      <c r="B536">
        <v>4280</v>
      </c>
    </row>
    <row r="537" spans="1:2">
      <c r="A537" t="s">
        <v>588</v>
      </c>
      <c r="B537">
        <v>12840</v>
      </c>
    </row>
    <row r="540" spans="1:2">
      <c r="A540" t="s">
        <v>769</v>
      </c>
    </row>
    <row r="542" spans="1:2">
      <c r="A542" t="s">
        <v>1180</v>
      </c>
    </row>
    <row r="543" spans="1:2">
      <c r="A543" t="s">
        <v>1178</v>
      </c>
      <c r="B543">
        <v>990</v>
      </c>
    </row>
    <row r="544" spans="1:2">
      <c r="A544" t="s">
        <v>1179</v>
      </c>
      <c r="B544">
        <v>990</v>
      </c>
    </row>
    <row r="545" spans="1:2">
      <c r="A545" t="s">
        <v>2030</v>
      </c>
      <c r="B545">
        <v>990</v>
      </c>
    </row>
    <row r="546" spans="1:2">
      <c r="A546" t="s">
        <v>586</v>
      </c>
      <c r="B546">
        <v>2970</v>
      </c>
    </row>
    <row r="547" spans="1:2">
      <c r="A547" t="s">
        <v>770</v>
      </c>
      <c r="B547">
        <v>9870</v>
      </c>
    </row>
    <row r="548" spans="1:2">
      <c r="A548" t="s">
        <v>770</v>
      </c>
      <c r="B548">
        <v>0.76869158878504673</v>
      </c>
    </row>
    <row r="550" spans="1:2">
      <c r="A550" t="s">
        <v>1181</v>
      </c>
    </row>
    <row r="551" spans="1:2">
      <c r="A551" t="s">
        <v>1182</v>
      </c>
      <c r="B551">
        <v>1040</v>
      </c>
    </row>
    <row r="552" spans="1:2">
      <c r="A552" t="s">
        <v>1179</v>
      </c>
      <c r="B552">
        <v>1040</v>
      </c>
    </row>
    <row r="553" spans="1:2">
      <c r="A553" t="s">
        <v>2030</v>
      </c>
      <c r="B553">
        <v>1040</v>
      </c>
    </row>
    <row r="554" spans="1:2">
      <c r="A554" t="s">
        <v>586</v>
      </c>
      <c r="B554">
        <v>3120</v>
      </c>
    </row>
    <row r="555" spans="1:2">
      <c r="A555" t="s">
        <v>770</v>
      </c>
      <c r="B555">
        <v>9720</v>
      </c>
    </row>
    <row r="556" spans="1:2">
      <c r="A556" t="s">
        <v>770</v>
      </c>
      <c r="B556">
        <v>0.7570093457943925</v>
      </c>
    </row>
    <row r="558" spans="1:2">
      <c r="A558" t="s">
        <v>2031</v>
      </c>
    </row>
    <row r="559" spans="1:2">
      <c r="A559" t="s">
        <v>1182</v>
      </c>
      <c r="B559">
        <v>1040</v>
      </c>
    </row>
    <row r="560" spans="1:2">
      <c r="A560" t="s">
        <v>2032</v>
      </c>
      <c r="B560">
        <v>1250</v>
      </c>
    </row>
    <row r="561" spans="1:2">
      <c r="A561" t="s">
        <v>2030</v>
      </c>
      <c r="B561">
        <v>1040</v>
      </c>
    </row>
    <row r="562" spans="1:2">
      <c r="A562" t="s">
        <v>586</v>
      </c>
      <c r="B562">
        <v>3330</v>
      </c>
    </row>
    <row r="563" spans="1:2">
      <c r="A563" t="s">
        <v>770</v>
      </c>
      <c r="B563">
        <v>9510</v>
      </c>
    </row>
    <row r="564" spans="1:2">
      <c r="A564" t="s">
        <v>770</v>
      </c>
      <c r="B564">
        <v>0.74065420560747663</v>
      </c>
    </row>
    <row r="566" spans="1:2">
      <c r="A566" t="s">
        <v>1943</v>
      </c>
      <c r="B566">
        <v>1092</v>
      </c>
    </row>
    <row r="568" spans="1:2" s="344" customFormat="1">
      <c r="A568" s="345" t="s">
        <v>1728</v>
      </c>
    </row>
    <row r="570" spans="1:2">
      <c r="A570" t="s">
        <v>753</v>
      </c>
      <c r="B570" s="346">
        <v>1005</v>
      </c>
    </row>
    <row r="572" spans="1:2">
      <c r="A572" t="s">
        <v>581</v>
      </c>
    </row>
    <row r="573" spans="1:2">
      <c r="A573" t="s">
        <v>214</v>
      </c>
      <c r="B573">
        <v>1005</v>
      </c>
    </row>
    <row r="574" spans="1:2">
      <c r="A574" t="s">
        <v>215</v>
      </c>
      <c r="B574">
        <v>1205</v>
      </c>
    </row>
    <row r="575" spans="1:2">
      <c r="A575" t="s">
        <v>2009</v>
      </c>
      <c r="B575">
        <v>1205</v>
      </c>
    </row>
    <row r="576" spans="1:2">
      <c r="A576" t="s">
        <v>586</v>
      </c>
      <c r="B576">
        <v>3415</v>
      </c>
    </row>
    <row r="578" spans="1:2">
      <c r="A578" t="s">
        <v>268</v>
      </c>
    </row>
    <row r="579" spans="1:2">
      <c r="A579" t="s">
        <v>699</v>
      </c>
      <c r="B579">
        <v>4060</v>
      </c>
    </row>
    <row r="580" spans="1:2">
      <c r="A580" t="s">
        <v>588</v>
      </c>
      <c r="B580">
        <v>12180</v>
      </c>
    </row>
    <row r="583" spans="1:2">
      <c r="A583" t="s">
        <v>769</v>
      </c>
    </row>
    <row r="585" spans="1:2">
      <c r="A585" t="s">
        <v>1180</v>
      </c>
    </row>
    <row r="586" spans="1:2">
      <c r="A586" t="s">
        <v>1178</v>
      </c>
      <c r="B586">
        <v>960</v>
      </c>
    </row>
    <row r="587" spans="1:2">
      <c r="A587" t="s">
        <v>1179</v>
      </c>
      <c r="B587">
        <v>960</v>
      </c>
    </row>
    <row r="588" spans="1:2">
      <c r="A588" t="s">
        <v>2030</v>
      </c>
      <c r="B588">
        <v>960</v>
      </c>
    </row>
    <row r="589" spans="1:2">
      <c r="A589" t="s">
        <v>586</v>
      </c>
      <c r="B589">
        <v>2880</v>
      </c>
    </row>
    <row r="590" spans="1:2">
      <c r="A590" t="s">
        <v>770</v>
      </c>
      <c r="B590">
        <v>9300</v>
      </c>
    </row>
    <row r="591" spans="1:2">
      <c r="A591" t="s">
        <v>770</v>
      </c>
      <c r="B591">
        <v>0.76354679802955661</v>
      </c>
    </row>
    <row r="593" spans="1:2">
      <c r="A593" t="s">
        <v>1181</v>
      </c>
    </row>
    <row r="594" spans="1:2">
      <c r="A594" t="s">
        <v>1182</v>
      </c>
      <c r="B594">
        <v>1005</v>
      </c>
    </row>
    <row r="595" spans="1:2">
      <c r="A595" t="s">
        <v>1179</v>
      </c>
      <c r="B595">
        <v>1010</v>
      </c>
    </row>
    <row r="596" spans="1:2">
      <c r="A596" t="s">
        <v>2030</v>
      </c>
      <c r="B596">
        <v>1010</v>
      </c>
    </row>
    <row r="597" spans="1:2">
      <c r="A597" t="s">
        <v>586</v>
      </c>
      <c r="B597">
        <v>3025</v>
      </c>
    </row>
    <row r="598" spans="1:2">
      <c r="A598" t="s">
        <v>770</v>
      </c>
      <c r="B598">
        <v>9155</v>
      </c>
    </row>
    <row r="599" spans="1:2">
      <c r="A599" t="s">
        <v>770</v>
      </c>
      <c r="B599">
        <v>0.75164203612479474</v>
      </c>
    </row>
    <row r="601" spans="1:2">
      <c r="A601" t="s">
        <v>2031</v>
      </c>
    </row>
    <row r="602" spans="1:2">
      <c r="A602" t="s">
        <v>1182</v>
      </c>
      <c r="B602">
        <v>1005</v>
      </c>
    </row>
    <row r="603" spans="1:2">
      <c r="A603" t="s">
        <v>2032</v>
      </c>
      <c r="B603">
        <v>1205</v>
      </c>
    </row>
    <row r="604" spans="1:2">
      <c r="A604" t="s">
        <v>2030</v>
      </c>
      <c r="B604">
        <v>1010</v>
      </c>
    </row>
    <row r="605" spans="1:2">
      <c r="A605" t="s">
        <v>586</v>
      </c>
      <c r="B605">
        <v>3220</v>
      </c>
    </row>
    <row r="606" spans="1:2">
      <c r="A606" t="s">
        <v>770</v>
      </c>
      <c r="B606">
        <v>8960</v>
      </c>
    </row>
    <row r="607" spans="1:2">
      <c r="A607" t="s">
        <v>770</v>
      </c>
      <c r="B607">
        <v>0.73563218390804597</v>
      </c>
    </row>
    <row r="609" spans="1:2">
      <c r="A609" t="s">
        <v>1943</v>
      </c>
      <c r="B609">
        <v>1060.5</v>
      </c>
    </row>
    <row r="611" spans="1:2" s="344" customFormat="1">
      <c r="A611" s="345" t="s">
        <v>1729</v>
      </c>
    </row>
    <row r="613" spans="1:2">
      <c r="A613" t="s">
        <v>753</v>
      </c>
      <c r="B613" s="346">
        <v>3555</v>
      </c>
    </row>
    <row r="615" spans="1:2">
      <c r="A615" t="s">
        <v>581</v>
      </c>
    </row>
    <row r="616" spans="1:2">
      <c r="A616" t="s">
        <v>214</v>
      </c>
      <c r="B616">
        <v>3555</v>
      </c>
    </row>
    <row r="617" spans="1:2">
      <c r="A617" t="s">
        <v>215</v>
      </c>
      <c r="B617">
        <v>4265</v>
      </c>
    </row>
    <row r="618" spans="1:2">
      <c r="A618" t="s">
        <v>2009</v>
      </c>
      <c r="B618">
        <v>4265</v>
      </c>
    </row>
    <row r="619" spans="1:2">
      <c r="A619" t="s">
        <v>586</v>
      </c>
      <c r="B619">
        <v>12085</v>
      </c>
    </row>
    <row r="621" spans="1:2">
      <c r="A621" t="s">
        <v>268</v>
      </c>
    </row>
    <row r="622" spans="1:2">
      <c r="A622" t="s">
        <v>699</v>
      </c>
      <c r="B622">
        <v>14500</v>
      </c>
    </row>
    <row r="623" spans="1:2">
      <c r="A623" t="s">
        <v>588</v>
      </c>
      <c r="B623">
        <v>43500</v>
      </c>
    </row>
    <row r="626" spans="1:2">
      <c r="A626" t="s">
        <v>769</v>
      </c>
    </row>
    <row r="628" spans="1:2">
      <c r="A628" t="s">
        <v>1180</v>
      </c>
    </row>
    <row r="629" spans="1:2">
      <c r="A629" t="s">
        <v>1178</v>
      </c>
      <c r="B629">
        <v>3390</v>
      </c>
    </row>
    <row r="630" spans="1:2">
      <c r="A630" t="s">
        <v>1179</v>
      </c>
      <c r="B630">
        <v>3390</v>
      </c>
    </row>
    <row r="631" spans="1:2">
      <c r="A631" t="s">
        <v>2030</v>
      </c>
      <c r="B631">
        <v>3390</v>
      </c>
    </row>
    <row r="632" spans="1:2">
      <c r="A632" t="s">
        <v>586</v>
      </c>
      <c r="B632">
        <v>10170</v>
      </c>
    </row>
    <row r="633" spans="1:2">
      <c r="A633" t="s">
        <v>770</v>
      </c>
      <c r="B633">
        <v>33330</v>
      </c>
    </row>
    <row r="634" spans="1:2">
      <c r="A634" t="s">
        <v>770</v>
      </c>
      <c r="B634">
        <v>0.76620689655172414</v>
      </c>
    </row>
    <row r="636" spans="1:2">
      <c r="A636" t="s">
        <v>1181</v>
      </c>
    </row>
    <row r="637" spans="1:2">
      <c r="A637" t="s">
        <v>1182</v>
      </c>
      <c r="B637">
        <v>3555</v>
      </c>
    </row>
    <row r="638" spans="1:2">
      <c r="A638" t="s">
        <v>1179</v>
      </c>
      <c r="B638">
        <v>3560</v>
      </c>
    </row>
    <row r="639" spans="1:2">
      <c r="A639" t="s">
        <v>2030</v>
      </c>
      <c r="B639">
        <v>3560</v>
      </c>
    </row>
    <row r="640" spans="1:2">
      <c r="A640" t="s">
        <v>586</v>
      </c>
      <c r="B640">
        <v>10675</v>
      </c>
    </row>
    <row r="641" spans="1:2">
      <c r="A641" t="s">
        <v>770</v>
      </c>
      <c r="B641">
        <v>32825</v>
      </c>
    </row>
    <row r="642" spans="1:2">
      <c r="A642" t="s">
        <v>770</v>
      </c>
      <c r="B642">
        <v>0.75459770114942526</v>
      </c>
    </row>
    <row r="644" spans="1:2">
      <c r="A644" t="s">
        <v>2031</v>
      </c>
    </row>
    <row r="645" spans="1:2">
      <c r="A645" t="s">
        <v>1182</v>
      </c>
      <c r="B645">
        <v>3555</v>
      </c>
    </row>
    <row r="646" spans="1:2">
      <c r="A646" t="s">
        <v>2032</v>
      </c>
      <c r="B646">
        <v>4265</v>
      </c>
    </row>
    <row r="647" spans="1:2">
      <c r="A647" t="s">
        <v>2030</v>
      </c>
      <c r="B647">
        <v>3560</v>
      </c>
    </row>
    <row r="648" spans="1:2">
      <c r="A648" t="s">
        <v>586</v>
      </c>
      <c r="B648">
        <v>11380</v>
      </c>
    </row>
    <row r="649" spans="1:2">
      <c r="A649" t="s">
        <v>770</v>
      </c>
      <c r="B649">
        <v>32120</v>
      </c>
    </row>
    <row r="650" spans="1:2">
      <c r="A650" t="s">
        <v>770</v>
      </c>
      <c r="B650">
        <v>0.73839080459770112</v>
      </c>
    </row>
    <row r="652" spans="1:2">
      <c r="A652" t="s">
        <v>1943</v>
      </c>
      <c r="B652">
        <v>3738</v>
      </c>
    </row>
    <row r="654" spans="1:2" s="344" customFormat="1">
      <c r="A654" s="345" t="s">
        <v>1983</v>
      </c>
    </row>
    <row r="656" spans="1:2">
      <c r="A656" t="s">
        <v>753</v>
      </c>
      <c r="B656" s="346">
        <v>185</v>
      </c>
    </row>
    <row r="658" spans="1:2">
      <c r="A658" t="s">
        <v>581</v>
      </c>
    </row>
    <row r="659" spans="1:2">
      <c r="A659" t="s">
        <v>214</v>
      </c>
      <c r="B659">
        <v>185</v>
      </c>
    </row>
    <row r="660" spans="1:2">
      <c r="A660" t="s">
        <v>215</v>
      </c>
      <c r="B660">
        <v>205</v>
      </c>
    </row>
    <row r="661" spans="1:2">
      <c r="A661" t="s">
        <v>2009</v>
      </c>
      <c r="B661">
        <v>245</v>
      </c>
    </row>
    <row r="662" spans="1:2">
      <c r="A662" t="s">
        <v>586</v>
      </c>
      <c r="B662">
        <v>635</v>
      </c>
    </row>
    <row r="664" spans="1:2">
      <c r="A664" t="s">
        <v>268</v>
      </c>
    </row>
    <row r="665" spans="1:2">
      <c r="A665" t="s">
        <v>699</v>
      </c>
      <c r="B665">
        <v>590</v>
      </c>
    </row>
    <row r="666" spans="1:2">
      <c r="A666" t="s">
        <v>588</v>
      </c>
      <c r="B666">
        <v>1770</v>
      </c>
    </row>
    <row r="669" spans="1:2">
      <c r="A669" t="s">
        <v>769</v>
      </c>
    </row>
    <row r="671" spans="1:2">
      <c r="A671" t="s">
        <v>1180</v>
      </c>
    </row>
    <row r="672" spans="1:2">
      <c r="A672" t="s">
        <v>1178</v>
      </c>
      <c r="B672">
        <v>185</v>
      </c>
    </row>
    <row r="673" spans="1:2">
      <c r="A673" t="s">
        <v>1179</v>
      </c>
      <c r="B673">
        <v>185</v>
      </c>
    </row>
    <row r="674" spans="1:2">
      <c r="A674" t="s">
        <v>2030</v>
      </c>
      <c r="B674">
        <v>185</v>
      </c>
    </row>
    <row r="675" spans="1:2">
      <c r="A675" t="s">
        <v>586</v>
      </c>
      <c r="B675">
        <v>555</v>
      </c>
    </row>
    <row r="676" spans="1:2">
      <c r="A676" t="s">
        <v>770</v>
      </c>
      <c r="B676">
        <v>1215</v>
      </c>
    </row>
    <row r="677" spans="1:2">
      <c r="A677" t="s">
        <v>770</v>
      </c>
      <c r="B677">
        <v>0.68644067796610164</v>
      </c>
    </row>
    <row r="679" spans="1:2">
      <c r="A679" t="s">
        <v>1181</v>
      </c>
    </row>
    <row r="680" spans="1:2">
      <c r="A680" t="s">
        <v>1182</v>
      </c>
      <c r="B680">
        <v>185</v>
      </c>
    </row>
    <row r="681" spans="1:2">
      <c r="A681" t="s">
        <v>1179</v>
      </c>
      <c r="B681">
        <v>195</v>
      </c>
    </row>
    <row r="682" spans="1:2">
      <c r="A682" t="s">
        <v>2030</v>
      </c>
      <c r="B682">
        <v>195</v>
      </c>
    </row>
    <row r="683" spans="1:2">
      <c r="A683" t="s">
        <v>586</v>
      </c>
      <c r="B683">
        <v>575</v>
      </c>
    </row>
    <row r="684" spans="1:2">
      <c r="A684" t="s">
        <v>770</v>
      </c>
      <c r="B684">
        <v>1195</v>
      </c>
    </row>
    <row r="685" spans="1:2">
      <c r="A685" t="s">
        <v>770</v>
      </c>
      <c r="B685">
        <v>0.67514124293785316</v>
      </c>
    </row>
    <row r="687" spans="1:2">
      <c r="A687" t="s">
        <v>2031</v>
      </c>
    </row>
    <row r="688" spans="1:2">
      <c r="A688" t="s">
        <v>1182</v>
      </c>
      <c r="B688">
        <v>185</v>
      </c>
    </row>
    <row r="689" spans="1:2">
      <c r="A689" t="s">
        <v>2032</v>
      </c>
      <c r="B689">
        <v>205</v>
      </c>
    </row>
    <row r="690" spans="1:2">
      <c r="A690" t="s">
        <v>2030</v>
      </c>
      <c r="B690">
        <v>205</v>
      </c>
    </row>
    <row r="691" spans="1:2">
      <c r="A691" t="s">
        <v>586</v>
      </c>
      <c r="B691">
        <v>595</v>
      </c>
    </row>
    <row r="692" spans="1:2">
      <c r="A692" t="s">
        <v>770</v>
      </c>
      <c r="B692">
        <v>1175</v>
      </c>
    </row>
    <row r="693" spans="1:2">
      <c r="A693" t="s">
        <v>770</v>
      </c>
      <c r="B693">
        <v>0.66384180790960456</v>
      </c>
    </row>
    <row r="695" spans="1:2">
      <c r="A695" t="s">
        <v>1943</v>
      </c>
      <c r="B695">
        <v>215.25</v>
      </c>
    </row>
    <row r="697" spans="1:2" s="344" customFormat="1">
      <c r="A697" s="345" t="s">
        <v>729</v>
      </c>
    </row>
    <row r="699" spans="1:2">
      <c r="A699" t="s">
        <v>753</v>
      </c>
      <c r="B699" s="346">
        <v>760</v>
      </c>
    </row>
    <row r="701" spans="1:2">
      <c r="A701" t="s">
        <v>581</v>
      </c>
    </row>
    <row r="702" spans="1:2">
      <c r="A702" t="s">
        <v>214</v>
      </c>
      <c r="B702">
        <v>760</v>
      </c>
    </row>
    <row r="703" spans="1:2">
      <c r="A703" t="s">
        <v>215</v>
      </c>
      <c r="B703">
        <v>910</v>
      </c>
    </row>
    <row r="704" spans="1:2">
      <c r="A704" t="s">
        <v>2009</v>
      </c>
      <c r="B704">
        <v>910</v>
      </c>
    </row>
    <row r="705" spans="1:2">
      <c r="A705" t="s">
        <v>586</v>
      </c>
      <c r="B705">
        <v>2580</v>
      </c>
    </row>
    <row r="707" spans="1:2">
      <c r="A707" t="s">
        <v>268</v>
      </c>
    </row>
    <row r="708" spans="1:2">
      <c r="A708" t="s">
        <v>699</v>
      </c>
      <c r="B708">
        <v>3715</v>
      </c>
    </row>
    <row r="709" spans="1:2">
      <c r="A709" t="s">
        <v>588</v>
      </c>
      <c r="B709">
        <v>11145</v>
      </c>
    </row>
    <row r="712" spans="1:2">
      <c r="A712" t="s">
        <v>769</v>
      </c>
    </row>
    <row r="714" spans="1:2">
      <c r="A714" t="s">
        <v>1180</v>
      </c>
    </row>
    <row r="715" spans="1:2">
      <c r="A715" t="s">
        <v>1178</v>
      </c>
      <c r="B715">
        <v>1125</v>
      </c>
    </row>
    <row r="716" spans="1:2">
      <c r="A716" t="s">
        <v>1179</v>
      </c>
      <c r="B716">
        <v>1125</v>
      </c>
    </row>
    <row r="717" spans="1:2">
      <c r="A717" t="s">
        <v>2030</v>
      </c>
      <c r="B717">
        <v>1125</v>
      </c>
    </row>
    <row r="718" spans="1:2">
      <c r="A718" t="s">
        <v>586</v>
      </c>
      <c r="B718">
        <v>3375</v>
      </c>
    </row>
    <row r="719" spans="1:2">
      <c r="A719" t="s">
        <v>770</v>
      </c>
      <c r="B719">
        <v>7770</v>
      </c>
    </row>
    <row r="720" spans="1:2">
      <c r="A720" t="s">
        <v>770</v>
      </c>
      <c r="B720">
        <v>0.69717362045760434</v>
      </c>
    </row>
    <row r="722" spans="1:2">
      <c r="A722" t="s">
        <v>1181</v>
      </c>
    </row>
    <row r="723" spans="1:2">
      <c r="A723" t="s">
        <v>1182</v>
      </c>
      <c r="B723">
        <v>760</v>
      </c>
    </row>
    <row r="724" spans="1:2">
      <c r="A724" t="s">
        <v>1179</v>
      </c>
      <c r="B724">
        <v>1180</v>
      </c>
    </row>
    <row r="725" spans="1:2">
      <c r="A725" t="s">
        <v>2030</v>
      </c>
      <c r="B725">
        <v>1180</v>
      </c>
    </row>
    <row r="726" spans="1:2">
      <c r="A726" t="s">
        <v>586</v>
      </c>
      <c r="B726">
        <v>3120</v>
      </c>
    </row>
    <row r="727" spans="1:2">
      <c r="A727" t="s">
        <v>770</v>
      </c>
      <c r="B727">
        <v>8025</v>
      </c>
    </row>
    <row r="728" spans="1:2">
      <c r="A728" t="s">
        <v>770</v>
      </c>
      <c r="B728">
        <v>0.72005383580080751</v>
      </c>
    </row>
    <row r="730" spans="1:2">
      <c r="A730" t="s">
        <v>2031</v>
      </c>
    </row>
    <row r="731" spans="1:2">
      <c r="A731" t="s">
        <v>1182</v>
      </c>
      <c r="B731">
        <v>760</v>
      </c>
    </row>
    <row r="732" spans="1:2">
      <c r="A732" t="s">
        <v>2032</v>
      </c>
      <c r="B732">
        <v>910</v>
      </c>
    </row>
    <row r="733" spans="1:2">
      <c r="A733" t="s">
        <v>2030</v>
      </c>
      <c r="B733">
        <v>1180</v>
      </c>
    </row>
    <row r="734" spans="1:2">
      <c r="A734" t="s">
        <v>586</v>
      </c>
      <c r="B734">
        <v>2850</v>
      </c>
    </row>
    <row r="735" spans="1:2">
      <c r="A735" t="s">
        <v>770</v>
      </c>
      <c r="B735">
        <v>8295</v>
      </c>
    </row>
    <row r="736" spans="1:2">
      <c r="A736" t="s">
        <v>770</v>
      </c>
      <c r="B736">
        <v>0.74427994616419924</v>
      </c>
    </row>
    <row r="738" spans="1:2">
      <c r="A738" t="s">
        <v>1943</v>
      </c>
      <c r="B738">
        <v>1239</v>
      </c>
    </row>
    <row r="740" spans="1:2" s="344" customFormat="1">
      <c r="A740" s="345" t="s">
        <v>1873</v>
      </c>
    </row>
    <row r="742" spans="1:2">
      <c r="A742" t="s">
        <v>753</v>
      </c>
      <c r="B742" s="346">
        <v>760</v>
      </c>
    </row>
    <row r="744" spans="1:2">
      <c r="A744" t="s">
        <v>581</v>
      </c>
    </row>
    <row r="745" spans="1:2">
      <c r="A745" t="s">
        <v>214</v>
      </c>
      <c r="B745">
        <v>760</v>
      </c>
    </row>
    <row r="746" spans="1:2">
      <c r="A746" t="s">
        <v>215</v>
      </c>
      <c r="B746">
        <v>910</v>
      </c>
    </row>
    <row r="747" spans="1:2">
      <c r="A747" t="s">
        <v>2009</v>
      </c>
      <c r="B747">
        <v>910</v>
      </c>
    </row>
    <row r="748" spans="1:2">
      <c r="A748" t="s">
        <v>586</v>
      </c>
      <c r="B748">
        <v>2580</v>
      </c>
    </row>
    <row r="750" spans="1:2">
      <c r="A750" t="s">
        <v>268</v>
      </c>
    </row>
    <row r="751" spans="1:2">
      <c r="A751" t="s">
        <v>699</v>
      </c>
      <c r="B751">
        <v>3290</v>
      </c>
    </row>
    <row r="752" spans="1:2">
      <c r="A752" t="s">
        <v>588</v>
      </c>
      <c r="B752">
        <v>9870</v>
      </c>
    </row>
    <row r="755" spans="1:2">
      <c r="A755" t="s">
        <v>769</v>
      </c>
    </row>
    <row r="757" spans="1:2">
      <c r="A757" t="s">
        <v>1180</v>
      </c>
    </row>
    <row r="758" spans="1:2">
      <c r="A758" t="s">
        <v>1178</v>
      </c>
      <c r="B758">
        <v>1210</v>
      </c>
    </row>
    <row r="759" spans="1:2">
      <c r="A759" t="s">
        <v>1179</v>
      </c>
      <c r="B759">
        <v>1210</v>
      </c>
    </row>
    <row r="760" spans="1:2">
      <c r="A760" t="s">
        <v>2030</v>
      </c>
      <c r="B760">
        <v>1210</v>
      </c>
    </row>
    <row r="761" spans="1:2">
      <c r="A761" t="s">
        <v>586</v>
      </c>
      <c r="B761">
        <v>3630</v>
      </c>
    </row>
    <row r="762" spans="1:2">
      <c r="A762" t="s">
        <v>770</v>
      </c>
      <c r="B762">
        <v>6240</v>
      </c>
    </row>
    <row r="763" spans="1:2">
      <c r="A763" t="s">
        <v>770</v>
      </c>
      <c r="B763">
        <v>0.63221884498480241</v>
      </c>
    </row>
    <row r="765" spans="1:2">
      <c r="A765" t="s">
        <v>1181</v>
      </c>
    </row>
    <row r="766" spans="1:2">
      <c r="A766" t="s">
        <v>1182</v>
      </c>
      <c r="B766">
        <v>760</v>
      </c>
    </row>
    <row r="767" spans="1:2">
      <c r="A767" t="s">
        <v>1179</v>
      </c>
      <c r="B767">
        <v>1270</v>
      </c>
    </row>
    <row r="768" spans="1:2">
      <c r="A768" t="s">
        <v>2030</v>
      </c>
      <c r="B768">
        <v>1270</v>
      </c>
    </row>
    <row r="769" spans="1:2">
      <c r="A769" t="s">
        <v>586</v>
      </c>
      <c r="B769">
        <v>3300</v>
      </c>
    </row>
    <row r="770" spans="1:2">
      <c r="A770" t="s">
        <v>770</v>
      </c>
      <c r="B770">
        <v>6570</v>
      </c>
    </row>
    <row r="771" spans="1:2">
      <c r="A771" t="s">
        <v>770</v>
      </c>
      <c r="B771">
        <v>0.66565349544072949</v>
      </c>
    </row>
    <row r="773" spans="1:2">
      <c r="A773" t="s">
        <v>2031</v>
      </c>
    </row>
    <row r="774" spans="1:2">
      <c r="A774" t="s">
        <v>1182</v>
      </c>
      <c r="B774">
        <v>760</v>
      </c>
    </row>
    <row r="775" spans="1:2">
      <c r="A775" t="s">
        <v>2032</v>
      </c>
      <c r="B775">
        <v>910</v>
      </c>
    </row>
    <row r="776" spans="1:2">
      <c r="A776" t="s">
        <v>2030</v>
      </c>
      <c r="B776">
        <v>1270</v>
      </c>
    </row>
    <row r="777" spans="1:2">
      <c r="A777" t="s">
        <v>586</v>
      </c>
      <c r="B777">
        <v>2940</v>
      </c>
    </row>
    <row r="778" spans="1:2">
      <c r="A778" t="s">
        <v>770</v>
      </c>
      <c r="B778">
        <v>6930</v>
      </c>
    </row>
    <row r="779" spans="1:2">
      <c r="A779" t="s">
        <v>770</v>
      </c>
      <c r="B779">
        <v>0.7021276595744681</v>
      </c>
    </row>
    <row r="781" spans="1:2">
      <c r="A781" t="s">
        <v>1943</v>
      </c>
      <c r="B781">
        <v>1333.5</v>
      </c>
    </row>
    <row r="783" spans="1:2" s="344" customFormat="1">
      <c r="A783" s="345" t="s">
        <v>1730</v>
      </c>
    </row>
    <row r="785" spans="1:2">
      <c r="A785" t="s">
        <v>753</v>
      </c>
      <c r="B785" s="346">
        <v>760</v>
      </c>
    </row>
    <row r="787" spans="1:2">
      <c r="A787" t="s">
        <v>581</v>
      </c>
    </row>
    <row r="788" spans="1:2">
      <c r="A788" t="s">
        <v>214</v>
      </c>
      <c r="B788">
        <v>760</v>
      </c>
    </row>
    <row r="789" spans="1:2">
      <c r="A789" t="s">
        <v>215</v>
      </c>
      <c r="B789">
        <v>910</v>
      </c>
    </row>
    <row r="790" spans="1:2">
      <c r="A790" t="s">
        <v>2009</v>
      </c>
      <c r="B790">
        <v>910</v>
      </c>
    </row>
    <row r="791" spans="1:2">
      <c r="A791" t="s">
        <v>586</v>
      </c>
      <c r="B791">
        <v>2580</v>
      </c>
    </row>
    <row r="793" spans="1:2">
      <c r="A793" t="s">
        <v>268</v>
      </c>
    </row>
    <row r="794" spans="1:2">
      <c r="A794" t="s">
        <v>699</v>
      </c>
      <c r="B794">
        <v>3275</v>
      </c>
    </row>
    <row r="795" spans="1:2">
      <c r="A795" t="s">
        <v>588</v>
      </c>
      <c r="B795">
        <v>9825</v>
      </c>
    </row>
    <row r="798" spans="1:2">
      <c r="A798" t="s">
        <v>769</v>
      </c>
    </row>
    <row r="800" spans="1:2">
      <c r="A800" t="s">
        <v>1180</v>
      </c>
    </row>
    <row r="801" spans="1:2">
      <c r="A801" t="s">
        <v>1178</v>
      </c>
      <c r="B801">
        <v>1305</v>
      </c>
    </row>
    <row r="802" spans="1:2">
      <c r="A802" t="s">
        <v>1179</v>
      </c>
      <c r="B802">
        <v>1305</v>
      </c>
    </row>
    <row r="803" spans="1:2">
      <c r="A803" t="s">
        <v>2030</v>
      </c>
      <c r="B803">
        <v>1305</v>
      </c>
    </row>
    <row r="804" spans="1:2">
      <c r="A804" t="s">
        <v>586</v>
      </c>
      <c r="B804">
        <v>3915</v>
      </c>
    </row>
    <row r="805" spans="1:2">
      <c r="A805" t="s">
        <v>770</v>
      </c>
      <c r="B805">
        <v>5910</v>
      </c>
    </row>
    <row r="806" spans="1:2">
      <c r="A806" t="s">
        <v>770</v>
      </c>
      <c r="B806">
        <v>0.60152671755725196</v>
      </c>
    </row>
    <row r="808" spans="1:2">
      <c r="A808" t="s">
        <v>1181</v>
      </c>
    </row>
    <row r="809" spans="1:2">
      <c r="A809" t="s">
        <v>1182</v>
      </c>
      <c r="B809">
        <v>760</v>
      </c>
    </row>
    <row r="810" spans="1:2">
      <c r="A810" t="s">
        <v>1179</v>
      </c>
      <c r="B810">
        <v>1370</v>
      </c>
    </row>
    <row r="811" spans="1:2">
      <c r="A811" t="s">
        <v>2030</v>
      </c>
      <c r="B811">
        <v>1370</v>
      </c>
    </row>
    <row r="812" spans="1:2">
      <c r="A812" t="s">
        <v>586</v>
      </c>
      <c r="B812">
        <v>3500</v>
      </c>
    </row>
    <row r="813" spans="1:2">
      <c r="A813" t="s">
        <v>770</v>
      </c>
      <c r="B813">
        <v>6325</v>
      </c>
    </row>
    <row r="814" spans="1:2">
      <c r="A814" t="s">
        <v>770</v>
      </c>
      <c r="B814">
        <v>0.64376590330788808</v>
      </c>
    </row>
    <row r="816" spans="1:2">
      <c r="A816" t="s">
        <v>2031</v>
      </c>
    </row>
    <row r="817" spans="1:2">
      <c r="A817" t="s">
        <v>1182</v>
      </c>
      <c r="B817">
        <v>760</v>
      </c>
    </row>
    <row r="818" spans="1:2">
      <c r="A818" t="s">
        <v>2032</v>
      </c>
      <c r="B818">
        <v>910</v>
      </c>
    </row>
    <row r="819" spans="1:2">
      <c r="A819" t="s">
        <v>2030</v>
      </c>
      <c r="B819">
        <v>1370</v>
      </c>
    </row>
    <row r="820" spans="1:2">
      <c r="A820" t="s">
        <v>586</v>
      </c>
      <c r="B820">
        <v>3040</v>
      </c>
    </row>
    <row r="821" spans="1:2">
      <c r="A821" t="s">
        <v>770</v>
      </c>
      <c r="B821">
        <v>6785</v>
      </c>
    </row>
    <row r="822" spans="1:2">
      <c r="A822" t="s">
        <v>770</v>
      </c>
      <c r="B822">
        <v>0.69058524173027991</v>
      </c>
    </row>
    <row r="824" spans="1:2">
      <c r="A824" t="s">
        <v>1943</v>
      </c>
      <c r="B824">
        <v>1438.5</v>
      </c>
    </row>
    <row r="826" spans="1:2" s="344" customFormat="1">
      <c r="A826" s="345" t="s">
        <v>1917</v>
      </c>
    </row>
    <row r="828" spans="1:2">
      <c r="A828" t="s">
        <v>753</v>
      </c>
      <c r="B828" s="346">
        <v>760</v>
      </c>
    </row>
    <row r="830" spans="1:2">
      <c r="A830" t="s">
        <v>581</v>
      </c>
    </row>
    <row r="831" spans="1:2">
      <c r="A831" t="s">
        <v>214</v>
      </c>
      <c r="B831">
        <v>760</v>
      </c>
    </row>
    <row r="832" spans="1:2">
      <c r="A832" t="s">
        <v>215</v>
      </c>
      <c r="B832">
        <v>910</v>
      </c>
    </row>
    <row r="833" spans="1:2">
      <c r="A833" t="s">
        <v>2009</v>
      </c>
      <c r="B833">
        <v>910</v>
      </c>
    </row>
    <row r="834" spans="1:2">
      <c r="A834" t="s">
        <v>586</v>
      </c>
      <c r="B834">
        <v>2580</v>
      </c>
    </row>
    <row r="836" spans="1:2">
      <c r="A836" t="s">
        <v>268</v>
      </c>
    </row>
    <row r="837" spans="1:2">
      <c r="A837" t="s">
        <v>699</v>
      </c>
      <c r="B837">
        <v>2565</v>
      </c>
    </row>
    <row r="838" spans="1:2">
      <c r="A838" t="s">
        <v>588</v>
      </c>
      <c r="B838">
        <v>7695</v>
      </c>
    </row>
    <row r="841" spans="1:2">
      <c r="A841" t="s">
        <v>769</v>
      </c>
    </row>
    <row r="843" spans="1:2">
      <c r="A843" t="s">
        <v>1180</v>
      </c>
    </row>
    <row r="844" spans="1:2">
      <c r="A844" t="s">
        <v>1178</v>
      </c>
      <c r="B844">
        <v>750</v>
      </c>
    </row>
    <row r="845" spans="1:2">
      <c r="A845" t="s">
        <v>1179</v>
      </c>
      <c r="B845">
        <v>750</v>
      </c>
    </row>
    <row r="846" spans="1:2">
      <c r="A846" t="s">
        <v>2030</v>
      </c>
      <c r="B846">
        <v>750</v>
      </c>
    </row>
    <row r="847" spans="1:2">
      <c r="A847" t="s">
        <v>586</v>
      </c>
      <c r="B847">
        <v>2250</v>
      </c>
    </row>
    <row r="848" spans="1:2">
      <c r="A848" t="s">
        <v>770</v>
      </c>
      <c r="B848">
        <v>5445</v>
      </c>
    </row>
    <row r="849" spans="1:2">
      <c r="A849" t="s">
        <v>770</v>
      </c>
      <c r="B849">
        <v>0.70760233918128657</v>
      </c>
    </row>
    <row r="851" spans="1:2">
      <c r="A851" t="s">
        <v>1181</v>
      </c>
    </row>
    <row r="852" spans="1:2">
      <c r="A852" t="s">
        <v>1182</v>
      </c>
      <c r="B852">
        <v>760</v>
      </c>
    </row>
    <row r="853" spans="1:2">
      <c r="A853" t="s">
        <v>1179</v>
      </c>
      <c r="B853">
        <v>790</v>
      </c>
    </row>
    <row r="854" spans="1:2">
      <c r="A854" t="s">
        <v>2030</v>
      </c>
      <c r="B854">
        <v>790</v>
      </c>
    </row>
    <row r="855" spans="1:2">
      <c r="A855" t="s">
        <v>586</v>
      </c>
      <c r="B855">
        <v>2340</v>
      </c>
    </row>
    <row r="856" spans="1:2">
      <c r="A856" t="s">
        <v>770</v>
      </c>
      <c r="B856">
        <v>5355</v>
      </c>
    </row>
    <row r="857" spans="1:2">
      <c r="A857" t="s">
        <v>770</v>
      </c>
      <c r="B857">
        <v>0.69590643274853803</v>
      </c>
    </row>
    <row r="859" spans="1:2">
      <c r="A859" t="s">
        <v>2031</v>
      </c>
    </row>
    <row r="860" spans="1:2">
      <c r="A860" t="s">
        <v>1182</v>
      </c>
      <c r="B860">
        <v>760</v>
      </c>
    </row>
    <row r="861" spans="1:2">
      <c r="A861" t="s">
        <v>2032</v>
      </c>
      <c r="B861">
        <v>910</v>
      </c>
    </row>
    <row r="862" spans="1:2">
      <c r="A862" t="s">
        <v>2030</v>
      </c>
      <c r="B862">
        <v>790</v>
      </c>
    </row>
    <row r="863" spans="1:2">
      <c r="A863" t="s">
        <v>586</v>
      </c>
      <c r="B863">
        <v>2460</v>
      </c>
    </row>
    <row r="864" spans="1:2">
      <c r="A864" t="s">
        <v>770</v>
      </c>
      <c r="B864">
        <v>5235</v>
      </c>
    </row>
    <row r="865" spans="1:2">
      <c r="A865" t="s">
        <v>770</v>
      </c>
      <c r="B865">
        <v>0.68031189083820665</v>
      </c>
    </row>
    <row r="867" spans="1:2">
      <c r="A867" t="s">
        <v>1943</v>
      </c>
      <c r="B867">
        <v>829.5</v>
      </c>
    </row>
    <row r="869" spans="1:2" s="344" customFormat="1">
      <c r="A869" s="345" t="s">
        <v>1918</v>
      </c>
    </row>
    <row r="871" spans="1:2">
      <c r="A871" t="s">
        <v>753</v>
      </c>
      <c r="B871" s="346">
        <v>760</v>
      </c>
    </row>
    <row r="873" spans="1:2">
      <c r="A873" t="s">
        <v>581</v>
      </c>
    </row>
    <row r="874" spans="1:2">
      <c r="A874" t="s">
        <v>214</v>
      </c>
      <c r="B874">
        <v>760</v>
      </c>
    </row>
    <row r="875" spans="1:2">
      <c r="A875" t="s">
        <v>215</v>
      </c>
      <c r="B875">
        <v>910</v>
      </c>
    </row>
    <row r="876" spans="1:2">
      <c r="A876" t="s">
        <v>2009</v>
      </c>
      <c r="B876">
        <v>910</v>
      </c>
    </row>
    <row r="877" spans="1:2">
      <c r="A877" t="s">
        <v>586</v>
      </c>
      <c r="B877">
        <v>2580</v>
      </c>
    </row>
    <row r="879" spans="1:2">
      <c r="A879" t="s">
        <v>268</v>
      </c>
    </row>
    <row r="880" spans="1:2">
      <c r="A880" t="s">
        <v>699</v>
      </c>
      <c r="B880">
        <v>3115</v>
      </c>
    </row>
    <row r="881" spans="1:2">
      <c r="A881" t="s">
        <v>588</v>
      </c>
      <c r="B881">
        <v>9345</v>
      </c>
    </row>
    <row r="884" spans="1:2">
      <c r="A884" t="s">
        <v>769</v>
      </c>
    </row>
    <row r="886" spans="1:2">
      <c r="A886" t="s">
        <v>1180</v>
      </c>
    </row>
    <row r="887" spans="1:2">
      <c r="A887" t="s">
        <v>1178</v>
      </c>
      <c r="B887">
        <v>970</v>
      </c>
    </row>
    <row r="888" spans="1:2">
      <c r="A888" t="s">
        <v>1179</v>
      </c>
      <c r="B888">
        <v>970</v>
      </c>
    </row>
    <row r="889" spans="1:2">
      <c r="A889" t="s">
        <v>2030</v>
      </c>
      <c r="B889">
        <v>970</v>
      </c>
    </row>
    <row r="890" spans="1:2">
      <c r="A890" t="s">
        <v>586</v>
      </c>
      <c r="B890">
        <v>2910</v>
      </c>
    </row>
    <row r="891" spans="1:2">
      <c r="A891" t="s">
        <v>770</v>
      </c>
      <c r="B891">
        <v>6435</v>
      </c>
    </row>
    <row r="892" spans="1:2">
      <c r="A892" t="s">
        <v>770</v>
      </c>
      <c r="B892">
        <v>0.6886035313001605</v>
      </c>
    </row>
    <row r="894" spans="1:2">
      <c r="A894" t="s">
        <v>1181</v>
      </c>
    </row>
    <row r="895" spans="1:2">
      <c r="A895" t="s">
        <v>1182</v>
      </c>
      <c r="B895">
        <v>760</v>
      </c>
    </row>
    <row r="896" spans="1:2">
      <c r="A896" t="s">
        <v>1179</v>
      </c>
      <c r="B896">
        <v>1020</v>
      </c>
    </row>
    <row r="897" spans="1:2">
      <c r="A897" t="s">
        <v>2030</v>
      </c>
      <c r="B897">
        <v>1020</v>
      </c>
    </row>
    <row r="898" spans="1:2">
      <c r="A898" t="s">
        <v>586</v>
      </c>
      <c r="B898">
        <v>2800</v>
      </c>
    </row>
    <row r="899" spans="1:2">
      <c r="A899" t="s">
        <v>770</v>
      </c>
      <c r="B899">
        <v>6545</v>
      </c>
    </row>
    <row r="900" spans="1:2">
      <c r="A900" t="s">
        <v>770</v>
      </c>
      <c r="B900">
        <v>0.70037453183520604</v>
      </c>
    </row>
    <row r="902" spans="1:2">
      <c r="A902" t="s">
        <v>2031</v>
      </c>
    </row>
    <row r="903" spans="1:2">
      <c r="A903" t="s">
        <v>1182</v>
      </c>
      <c r="B903">
        <v>760</v>
      </c>
    </row>
    <row r="904" spans="1:2">
      <c r="A904" t="s">
        <v>2032</v>
      </c>
      <c r="B904">
        <v>910</v>
      </c>
    </row>
    <row r="905" spans="1:2">
      <c r="A905" t="s">
        <v>2030</v>
      </c>
      <c r="B905">
        <v>1020</v>
      </c>
    </row>
    <row r="906" spans="1:2">
      <c r="A906" t="s">
        <v>586</v>
      </c>
      <c r="B906">
        <v>2690</v>
      </c>
    </row>
    <row r="907" spans="1:2">
      <c r="A907" t="s">
        <v>770</v>
      </c>
      <c r="B907">
        <v>6655</v>
      </c>
    </row>
    <row r="908" spans="1:2">
      <c r="A908" t="s">
        <v>770</v>
      </c>
      <c r="B908">
        <v>0.71214553237025147</v>
      </c>
    </row>
    <row r="910" spans="1:2">
      <c r="A910" t="s">
        <v>1943</v>
      </c>
      <c r="B910">
        <v>1071</v>
      </c>
    </row>
    <row r="912" spans="1:2" s="344" customFormat="1">
      <c r="A912" s="345" t="s">
        <v>730</v>
      </c>
    </row>
    <row r="914" spans="1:2">
      <c r="A914" t="s">
        <v>753</v>
      </c>
      <c r="B914" s="346">
        <v>855</v>
      </c>
    </row>
    <row r="916" spans="1:2">
      <c r="A916" t="s">
        <v>581</v>
      </c>
    </row>
    <row r="917" spans="1:2">
      <c r="A917" t="s">
        <v>214</v>
      </c>
      <c r="B917">
        <v>855</v>
      </c>
    </row>
    <row r="918" spans="1:2">
      <c r="A918" t="s">
        <v>215</v>
      </c>
      <c r="B918">
        <v>1025</v>
      </c>
    </row>
    <row r="919" spans="1:2">
      <c r="A919" t="s">
        <v>2009</v>
      </c>
      <c r="B919">
        <v>1025</v>
      </c>
    </row>
    <row r="920" spans="1:2">
      <c r="A920" t="s">
        <v>586</v>
      </c>
      <c r="B920">
        <v>2905</v>
      </c>
    </row>
    <row r="922" spans="1:2">
      <c r="A922" t="s">
        <v>268</v>
      </c>
    </row>
    <row r="923" spans="1:2">
      <c r="A923" t="s">
        <v>699</v>
      </c>
      <c r="B923">
        <v>3715</v>
      </c>
    </row>
    <row r="924" spans="1:2">
      <c r="A924" t="s">
        <v>588</v>
      </c>
      <c r="B924">
        <v>11145</v>
      </c>
    </row>
    <row r="927" spans="1:2">
      <c r="A927" t="s">
        <v>769</v>
      </c>
    </row>
    <row r="929" spans="1:2">
      <c r="A929" t="s">
        <v>1180</v>
      </c>
    </row>
    <row r="930" spans="1:2">
      <c r="A930" t="s">
        <v>1178</v>
      </c>
      <c r="B930">
        <v>1125</v>
      </c>
    </row>
    <row r="931" spans="1:2">
      <c r="A931" t="s">
        <v>1179</v>
      </c>
      <c r="B931">
        <v>1125</v>
      </c>
    </row>
    <row r="932" spans="1:2">
      <c r="A932" t="s">
        <v>2030</v>
      </c>
      <c r="B932">
        <v>1125</v>
      </c>
    </row>
    <row r="933" spans="1:2">
      <c r="A933" t="s">
        <v>586</v>
      </c>
      <c r="B933">
        <v>3375</v>
      </c>
    </row>
    <row r="934" spans="1:2">
      <c r="A934" t="s">
        <v>770</v>
      </c>
      <c r="B934">
        <v>7770</v>
      </c>
    </row>
    <row r="935" spans="1:2">
      <c r="A935" t="s">
        <v>770</v>
      </c>
      <c r="B935">
        <v>0.69717362045760434</v>
      </c>
    </row>
    <row r="937" spans="1:2">
      <c r="A937" t="s">
        <v>1181</v>
      </c>
    </row>
    <row r="938" spans="1:2">
      <c r="A938" t="s">
        <v>1182</v>
      </c>
      <c r="B938">
        <v>855</v>
      </c>
    </row>
    <row r="939" spans="1:2">
      <c r="A939" t="s">
        <v>1179</v>
      </c>
      <c r="B939">
        <v>1180</v>
      </c>
    </row>
    <row r="940" spans="1:2">
      <c r="A940" t="s">
        <v>2030</v>
      </c>
      <c r="B940">
        <v>1180</v>
      </c>
    </row>
    <row r="941" spans="1:2">
      <c r="A941" t="s">
        <v>586</v>
      </c>
      <c r="B941">
        <v>3215</v>
      </c>
    </row>
    <row r="942" spans="1:2">
      <c r="A942" t="s">
        <v>770</v>
      </c>
      <c r="B942">
        <v>7930</v>
      </c>
    </row>
    <row r="943" spans="1:2">
      <c r="A943" t="s">
        <v>770</v>
      </c>
      <c r="B943">
        <v>0.71152983400628089</v>
      </c>
    </row>
    <row r="945" spans="1:2">
      <c r="A945" t="s">
        <v>2031</v>
      </c>
    </row>
    <row r="946" spans="1:2">
      <c r="A946" t="s">
        <v>1182</v>
      </c>
      <c r="B946">
        <v>855</v>
      </c>
    </row>
    <row r="947" spans="1:2">
      <c r="A947" t="s">
        <v>2032</v>
      </c>
      <c r="B947">
        <v>1025</v>
      </c>
    </row>
    <row r="948" spans="1:2">
      <c r="A948" t="s">
        <v>2030</v>
      </c>
      <c r="B948">
        <v>1180</v>
      </c>
    </row>
    <row r="949" spans="1:2">
      <c r="A949" t="s">
        <v>586</v>
      </c>
      <c r="B949">
        <v>3060</v>
      </c>
    </row>
    <row r="950" spans="1:2">
      <c r="A950" t="s">
        <v>770</v>
      </c>
      <c r="B950">
        <v>8085</v>
      </c>
    </row>
    <row r="951" spans="1:2">
      <c r="A951" t="s">
        <v>770</v>
      </c>
      <c r="B951">
        <v>0.72543741588156119</v>
      </c>
    </row>
    <row r="953" spans="1:2">
      <c r="A953" t="s">
        <v>1943</v>
      </c>
      <c r="B953">
        <v>1239</v>
      </c>
    </row>
    <row r="955" spans="1:2" s="344" customFormat="1">
      <c r="A955" s="345" t="s">
        <v>1874</v>
      </c>
    </row>
    <row r="957" spans="1:2">
      <c r="A957" t="s">
        <v>753</v>
      </c>
      <c r="B957" s="346">
        <v>855</v>
      </c>
    </row>
    <row r="959" spans="1:2">
      <c r="A959" t="s">
        <v>581</v>
      </c>
    </row>
    <row r="960" spans="1:2">
      <c r="A960" t="s">
        <v>214</v>
      </c>
      <c r="B960">
        <v>855</v>
      </c>
    </row>
    <row r="961" spans="1:2">
      <c r="A961" t="s">
        <v>215</v>
      </c>
      <c r="B961">
        <v>1025</v>
      </c>
    </row>
    <row r="962" spans="1:2">
      <c r="A962" t="s">
        <v>2009</v>
      </c>
      <c r="B962">
        <v>1025</v>
      </c>
    </row>
    <row r="963" spans="1:2">
      <c r="A963" t="s">
        <v>586</v>
      </c>
      <c r="B963">
        <v>2905</v>
      </c>
    </row>
    <row r="965" spans="1:2">
      <c r="A965" t="s">
        <v>268</v>
      </c>
    </row>
    <row r="966" spans="1:2">
      <c r="A966" t="s">
        <v>699</v>
      </c>
      <c r="B966">
        <v>3290</v>
      </c>
    </row>
    <row r="967" spans="1:2">
      <c r="A967" t="s">
        <v>588</v>
      </c>
      <c r="B967">
        <v>9870</v>
      </c>
    </row>
    <row r="970" spans="1:2">
      <c r="A970" t="s">
        <v>769</v>
      </c>
    </row>
    <row r="972" spans="1:2">
      <c r="A972" t="s">
        <v>1180</v>
      </c>
    </row>
    <row r="973" spans="1:2">
      <c r="A973" t="s">
        <v>1178</v>
      </c>
      <c r="B973">
        <v>1210</v>
      </c>
    </row>
    <row r="974" spans="1:2">
      <c r="A974" t="s">
        <v>1179</v>
      </c>
      <c r="B974">
        <v>1210</v>
      </c>
    </row>
    <row r="975" spans="1:2">
      <c r="A975" t="s">
        <v>2030</v>
      </c>
      <c r="B975">
        <v>1210</v>
      </c>
    </row>
    <row r="976" spans="1:2">
      <c r="A976" t="s">
        <v>586</v>
      </c>
      <c r="B976">
        <v>3630</v>
      </c>
    </row>
    <row r="977" spans="1:2">
      <c r="A977" t="s">
        <v>770</v>
      </c>
      <c r="B977">
        <v>6240</v>
      </c>
    </row>
    <row r="978" spans="1:2">
      <c r="A978" t="s">
        <v>770</v>
      </c>
      <c r="B978">
        <v>0.63221884498480241</v>
      </c>
    </row>
    <row r="980" spans="1:2">
      <c r="A980" t="s">
        <v>1181</v>
      </c>
    </row>
    <row r="981" spans="1:2">
      <c r="A981" t="s">
        <v>1182</v>
      </c>
      <c r="B981">
        <v>855</v>
      </c>
    </row>
    <row r="982" spans="1:2">
      <c r="A982" t="s">
        <v>1179</v>
      </c>
      <c r="B982">
        <v>1270</v>
      </c>
    </row>
    <row r="983" spans="1:2">
      <c r="A983" t="s">
        <v>2030</v>
      </c>
      <c r="B983">
        <v>1270</v>
      </c>
    </row>
    <row r="984" spans="1:2">
      <c r="A984" t="s">
        <v>586</v>
      </c>
      <c r="B984">
        <v>3395</v>
      </c>
    </row>
    <row r="985" spans="1:2">
      <c r="A985" t="s">
        <v>770</v>
      </c>
      <c r="B985">
        <v>6475</v>
      </c>
    </row>
    <row r="986" spans="1:2">
      <c r="A986" t="s">
        <v>770</v>
      </c>
      <c r="B986">
        <v>0.65602836879432624</v>
      </c>
    </row>
    <row r="988" spans="1:2">
      <c r="A988" t="s">
        <v>2031</v>
      </c>
    </row>
    <row r="989" spans="1:2">
      <c r="A989" t="s">
        <v>1182</v>
      </c>
      <c r="B989">
        <v>855</v>
      </c>
    </row>
    <row r="990" spans="1:2">
      <c r="A990" t="s">
        <v>2032</v>
      </c>
      <c r="B990">
        <v>1025</v>
      </c>
    </row>
    <row r="991" spans="1:2">
      <c r="A991" t="s">
        <v>2030</v>
      </c>
      <c r="B991">
        <v>1270</v>
      </c>
    </row>
    <row r="992" spans="1:2">
      <c r="A992" t="s">
        <v>586</v>
      </c>
      <c r="B992">
        <v>3150</v>
      </c>
    </row>
    <row r="993" spans="1:2">
      <c r="A993" t="s">
        <v>770</v>
      </c>
      <c r="B993">
        <v>6720</v>
      </c>
    </row>
    <row r="994" spans="1:2">
      <c r="A994" t="s">
        <v>770</v>
      </c>
      <c r="B994">
        <v>0.68085106382978722</v>
      </c>
    </row>
    <row r="996" spans="1:2">
      <c r="A996" t="s">
        <v>1943</v>
      </c>
      <c r="B996">
        <v>1333.5</v>
      </c>
    </row>
    <row r="998" spans="1:2" s="344" customFormat="1">
      <c r="A998" s="345" t="s">
        <v>1932</v>
      </c>
    </row>
    <row r="1000" spans="1:2">
      <c r="A1000" t="s">
        <v>753</v>
      </c>
      <c r="B1000" s="346">
        <v>855</v>
      </c>
    </row>
    <row r="1002" spans="1:2">
      <c r="A1002" t="s">
        <v>581</v>
      </c>
    </row>
    <row r="1003" spans="1:2">
      <c r="A1003" t="s">
        <v>214</v>
      </c>
      <c r="B1003">
        <v>855</v>
      </c>
    </row>
    <row r="1004" spans="1:2">
      <c r="A1004" t="s">
        <v>215</v>
      </c>
      <c r="B1004">
        <v>1025</v>
      </c>
    </row>
    <row r="1005" spans="1:2">
      <c r="A1005" t="s">
        <v>2009</v>
      </c>
      <c r="B1005">
        <v>1025</v>
      </c>
    </row>
    <row r="1006" spans="1:2">
      <c r="A1006" t="s">
        <v>586</v>
      </c>
      <c r="B1006">
        <v>2905</v>
      </c>
    </row>
    <row r="1008" spans="1:2">
      <c r="A1008" t="s">
        <v>268</v>
      </c>
    </row>
    <row r="1009" spans="1:2">
      <c r="A1009" t="s">
        <v>699</v>
      </c>
      <c r="B1009">
        <v>2565</v>
      </c>
    </row>
    <row r="1010" spans="1:2">
      <c r="A1010" t="s">
        <v>588</v>
      </c>
      <c r="B1010">
        <v>7695</v>
      </c>
    </row>
    <row r="1013" spans="1:2">
      <c r="A1013" t="s">
        <v>769</v>
      </c>
    </row>
    <row r="1015" spans="1:2">
      <c r="A1015" t="s">
        <v>1180</v>
      </c>
    </row>
    <row r="1016" spans="1:2">
      <c r="A1016" t="s">
        <v>1178</v>
      </c>
      <c r="B1016">
        <v>750</v>
      </c>
    </row>
    <row r="1017" spans="1:2">
      <c r="A1017" t="s">
        <v>1179</v>
      </c>
      <c r="B1017">
        <v>750</v>
      </c>
    </row>
    <row r="1018" spans="1:2">
      <c r="A1018" t="s">
        <v>2030</v>
      </c>
      <c r="B1018">
        <v>750</v>
      </c>
    </row>
    <row r="1019" spans="1:2">
      <c r="A1019" t="s">
        <v>586</v>
      </c>
      <c r="B1019">
        <v>2250</v>
      </c>
    </row>
    <row r="1020" spans="1:2">
      <c r="A1020" t="s">
        <v>770</v>
      </c>
      <c r="B1020">
        <v>5445</v>
      </c>
    </row>
    <row r="1021" spans="1:2">
      <c r="A1021" t="s">
        <v>770</v>
      </c>
      <c r="B1021">
        <v>0.70760233918128657</v>
      </c>
    </row>
    <row r="1023" spans="1:2">
      <c r="A1023" t="s">
        <v>1181</v>
      </c>
    </row>
    <row r="1024" spans="1:2">
      <c r="A1024" t="s">
        <v>1182</v>
      </c>
      <c r="B1024">
        <v>855</v>
      </c>
    </row>
    <row r="1025" spans="1:2">
      <c r="A1025" t="s">
        <v>1179</v>
      </c>
      <c r="B1025">
        <v>790</v>
      </c>
    </row>
    <row r="1026" spans="1:2">
      <c r="A1026" t="s">
        <v>2030</v>
      </c>
      <c r="B1026">
        <v>790</v>
      </c>
    </row>
    <row r="1027" spans="1:2">
      <c r="A1027" t="s">
        <v>586</v>
      </c>
      <c r="B1027">
        <v>2435</v>
      </c>
    </row>
    <row r="1028" spans="1:2">
      <c r="A1028" t="s">
        <v>770</v>
      </c>
      <c r="B1028">
        <v>5260</v>
      </c>
    </row>
    <row r="1029" spans="1:2">
      <c r="A1029" t="s">
        <v>770</v>
      </c>
      <c r="B1029">
        <v>0.68356075373619229</v>
      </c>
    </row>
    <row r="1031" spans="1:2">
      <c r="A1031" t="s">
        <v>2031</v>
      </c>
    </row>
    <row r="1032" spans="1:2">
      <c r="A1032" t="s">
        <v>1182</v>
      </c>
      <c r="B1032">
        <v>855</v>
      </c>
    </row>
    <row r="1033" spans="1:2">
      <c r="A1033" t="s">
        <v>2032</v>
      </c>
      <c r="B1033">
        <v>1025</v>
      </c>
    </row>
    <row r="1034" spans="1:2">
      <c r="A1034" t="s">
        <v>2030</v>
      </c>
      <c r="B1034">
        <v>790</v>
      </c>
    </row>
    <row r="1035" spans="1:2">
      <c r="A1035" t="s">
        <v>586</v>
      </c>
      <c r="B1035">
        <v>2670</v>
      </c>
    </row>
    <row r="1036" spans="1:2">
      <c r="A1036" t="s">
        <v>770</v>
      </c>
      <c r="B1036">
        <v>5025</v>
      </c>
    </row>
    <row r="1037" spans="1:2">
      <c r="A1037" t="s">
        <v>770</v>
      </c>
      <c r="B1037">
        <v>0.65302144249512672</v>
      </c>
    </row>
    <row r="1039" spans="1:2">
      <c r="A1039" t="s">
        <v>1943</v>
      </c>
      <c r="B1039">
        <v>829.5</v>
      </c>
    </row>
    <row r="1041" spans="1:2" s="344" customFormat="1">
      <c r="A1041" s="345" t="s">
        <v>1788</v>
      </c>
    </row>
    <row r="1043" spans="1:2">
      <c r="A1043" t="s">
        <v>753</v>
      </c>
      <c r="B1043" s="346">
        <v>1020</v>
      </c>
    </row>
    <row r="1045" spans="1:2">
      <c r="A1045" t="s">
        <v>581</v>
      </c>
    </row>
    <row r="1046" spans="1:2">
      <c r="A1046" t="s">
        <v>214</v>
      </c>
      <c r="B1046">
        <v>1020</v>
      </c>
    </row>
    <row r="1047" spans="1:2">
      <c r="A1047" t="s">
        <v>215</v>
      </c>
      <c r="B1047">
        <v>1225</v>
      </c>
    </row>
    <row r="1048" spans="1:2">
      <c r="A1048" t="s">
        <v>2009</v>
      </c>
      <c r="B1048">
        <v>1225</v>
      </c>
    </row>
    <row r="1049" spans="1:2">
      <c r="A1049" t="s">
        <v>586</v>
      </c>
      <c r="B1049">
        <v>3470</v>
      </c>
    </row>
    <row r="1051" spans="1:2">
      <c r="A1051" t="s">
        <v>268</v>
      </c>
    </row>
    <row r="1052" spans="1:2">
      <c r="A1052" t="s">
        <v>699</v>
      </c>
      <c r="B1052">
        <v>3715</v>
      </c>
    </row>
    <row r="1053" spans="1:2">
      <c r="A1053" t="s">
        <v>588</v>
      </c>
      <c r="B1053">
        <v>11145</v>
      </c>
    </row>
    <row r="1056" spans="1:2">
      <c r="A1056" t="s">
        <v>769</v>
      </c>
    </row>
    <row r="1058" spans="1:2">
      <c r="A1058" t="s">
        <v>1180</v>
      </c>
    </row>
    <row r="1059" spans="1:2">
      <c r="A1059" t="s">
        <v>1178</v>
      </c>
      <c r="B1059">
        <v>1125</v>
      </c>
    </row>
    <row r="1060" spans="1:2">
      <c r="A1060" t="s">
        <v>1179</v>
      </c>
      <c r="B1060">
        <v>1125</v>
      </c>
    </row>
    <row r="1061" spans="1:2">
      <c r="A1061" t="s">
        <v>2030</v>
      </c>
      <c r="B1061">
        <v>1125</v>
      </c>
    </row>
    <row r="1062" spans="1:2">
      <c r="A1062" t="s">
        <v>586</v>
      </c>
      <c r="B1062">
        <v>3375</v>
      </c>
    </row>
    <row r="1063" spans="1:2">
      <c r="A1063" t="s">
        <v>770</v>
      </c>
      <c r="B1063">
        <v>7770</v>
      </c>
    </row>
    <row r="1064" spans="1:2">
      <c r="A1064" t="s">
        <v>770</v>
      </c>
      <c r="B1064">
        <v>0.69717362045760434</v>
      </c>
    </row>
    <row r="1066" spans="1:2">
      <c r="A1066" t="s">
        <v>1181</v>
      </c>
    </row>
    <row r="1067" spans="1:2">
      <c r="A1067" t="s">
        <v>1182</v>
      </c>
      <c r="B1067">
        <v>1020</v>
      </c>
    </row>
    <row r="1068" spans="1:2">
      <c r="A1068" t="s">
        <v>1179</v>
      </c>
      <c r="B1068">
        <v>1180</v>
      </c>
    </row>
    <row r="1069" spans="1:2">
      <c r="A1069" t="s">
        <v>2030</v>
      </c>
      <c r="B1069">
        <v>1180</v>
      </c>
    </row>
    <row r="1070" spans="1:2">
      <c r="A1070" t="s">
        <v>586</v>
      </c>
      <c r="B1070">
        <v>3380</v>
      </c>
    </row>
    <row r="1071" spans="1:2">
      <c r="A1071" t="s">
        <v>770</v>
      </c>
      <c r="B1071">
        <v>7765</v>
      </c>
    </row>
    <row r="1072" spans="1:2">
      <c r="A1072" t="s">
        <v>770</v>
      </c>
      <c r="B1072">
        <v>0.69672498878420819</v>
      </c>
    </row>
    <row r="1074" spans="1:2">
      <c r="A1074" t="s">
        <v>2031</v>
      </c>
    </row>
    <row r="1075" spans="1:2">
      <c r="A1075" t="s">
        <v>1182</v>
      </c>
      <c r="B1075">
        <v>1020</v>
      </c>
    </row>
    <row r="1076" spans="1:2">
      <c r="A1076" t="s">
        <v>2032</v>
      </c>
      <c r="B1076">
        <v>1225</v>
      </c>
    </row>
    <row r="1077" spans="1:2">
      <c r="A1077" t="s">
        <v>2030</v>
      </c>
      <c r="B1077">
        <v>1180</v>
      </c>
    </row>
    <row r="1078" spans="1:2">
      <c r="A1078" t="s">
        <v>586</v>
      </c>
      <c r="B1078">
        <v>3425</v>
      </c>
    </row>
    <row r="1079" spans="1:2">
      <c r="A1079" t="s">
        <v>770</v>
      </c>
      <c r="B1079">
        <v>7720</v>
      </c>
    </row>
    <row r="1080" spans="1:2">
      <c r="A1080" t="s">
        <v>770</v>
      </c>
      <c r="B1080">
        <v>0.69268730372364284</v>
      </c>
    </row>
    <row r="1082" spans="1:2">
      <c r="A1082" t="s">
        <v>1943</v>
      </c>
      <c r="B1082">
        <v>1239</v>
      </c>
    </row>
    <row r="1084" spans="1:2" s="344" customFormat="1">
      <c r="A1084" s="345" t="s">
        <v>1905</v>
      </c>
    </row>
    <row r="1086" spans="1:2">
      <c r="A1086" t="s">
        <v>753</v>
      </c>
      <c r="B1086" s="346">
        <v>1005</v>
      </c>
    </row>
    <row r="1088" spans="1:2">
      <c r="A1088" t="s">
        <v>581</v>
      </c>
    </row>
    <row r="1089" spans="1:2">
      <c r="A1089" t="s">
        <v>214</v>
      </c>
      <c r="B1089">
        <v>1005</v>
      </c>
    </row>
    <row r="1090" spans="1:2">
      <c r="A1090" t="s">
        <v>215</v>
      </c>
      <c r="B1090">
        <v>1205</v>
      </c>
    </row>
    <row r="1091" spans="1:2">
      <c r="A1091" t="s">
        <v>2009</v>
      </c>
      <c r="B1091">
        <v>1205</v>
      </c>
    </row>
    <row r="1092" spans="1:2">
      <c r="A1092" t="s">
        <v>586</v>
      </c>
      <c r="B1092">
        <v>3415</v>
      </c>
    </row>
    <row r="1094" spans="1:2">
      <c r="A1094" t="s">
        <v>268</v>
      </c>
    </row>
    <row r="1095" spans="1:2">
      <c r="A1095" t="s">
        <v>699</v>
      </c>
      <c r="B1095">
        <v>3715</v>
      </c>
    </row>
    <row r="1096" spans="1:2">
      <c r="A1096" t="s">
        <v>588</v>
      </c>
      <c r="B1096">
        <v>11145</v>
      </c>
    </row>
    <row r="1099" spans="1:2">
      <c r="A1099" t="s">
        <v>769</v>
      </c>
    </row>
    <row r="1101" spans="1:2">
      <c r="A1101" t="s">
        <v>1180</v>
      </c>
    </row>
    <row r="1102" spans="1:2">
      <c r="A1102" t="s">
        <v>1178</v>
      </c>
      <c r="B1102">
        <v>1125</v>
      </c>
    </row>
    <row r="1103" spans="1:2">
      <c r="A1103" t="s">
        <v>1179</v>
      </c>
      <c r="B1103">
        <v>1125</v>
      </c>
    </row>
    <row r="1104" spans="1:2">
      <c r="A1104" t="s">
        <v>2030</v>
      </c>
      <c r="B1104">
        <v>1125</v>
      </c>
    </row>
    <row r="1105" spans="1:2">
      <c r="A1105" t="s">
        <v>586</v>
      </c>
      <c r="B1105">
        <v>3375</v>
      </c>
    </row>
    <row r="1106" spans="1:2">
      <c r="A1106" t="s">
        <v>770</v>
      </c>
      <c r="B1106">
        <v>7770</v>
      </c>
    </row>
    <row r="1107" spans="1:2">
      <c r="A1107" t="s">
        <v>770</v>
      </c>
      <c r="B1107">
        <v>0.69717362045760434</v>
      </c>
    </row>
    <row r="1109" spans="1:2">
      <c r="A1109" t="s">
        <v>1181</v>
      </c>
    </row>
    <row r="1110" spans="1:2">
      <c r="A1110" t="s">
        <v>1182</v>
      </c>
      <c r="B1110">
        <v>1005</v>
      </c>
    </row>
    <row r="1111" spans="1:2">
      <c r="A1111" t="s">
        <v>1179</v>
      </c>
      <c r="B1111">
        <v>1180</v>
      </c>
    </row>
    <row r="1112" spans="1:2">
      <c r="A1112" t="s">
        <v>2030</v>
      </c>
      <c r="B1112">
        <v>1180</v>
      </c>
    </row>
    <row r="1113" spans="1:2">
      <c r="A1113" t="s">
        <v>586</v>
      </c>
      <c r="B1113">
        <v>3365</v>
      </c>
    </row>
    <row r="1114" spans="1:2">
      <c r="A1114" t="s">
        <v>770</v>
      </c>
      <c r="B1114">
        <v>7780</v>
      </c>
    </row>
    <row r="1115" spans="1:2">
      <c r="A1115" t="s">
        <v>770</v>
      </c>
      <c r="B1115">
        <v>0.69807088380439664</v>
      </c>
    </row>
    <row r="1117" spans="1:2">
      <c r="A1117" t="s">
        <v>2031</v>
      </c>
    </row>
    <row r="1118" spans="1:2">
      <c r="A1118" t="s">
        <v>1182</v>
      </c>
      <c r="B1118">
        <v>1005</v>
      </c>
    </row>
    <row r="1119" spans="1:2">
      <c r="A1119" t="s">
        <v>2032</v>
      </c>
      <c r="B1119">
        <v>1205</v>
      </c>
    </row>
    <row r="1120" spans="1:2">
      <c r="A1120" t="s">
        <v>2030</v>
      </c>
      <c r="B1120">
        <v>1180</v>
      </c>
    </row>
    <row r="1121" spans="1:2">
      <c r="A1121" t="s">
        <v>586</v>
      </c>
      <c r="B1121">
        <v>3390</v>
      </c>
    </row>
    <row r="1122" spans="1:2">
      <c r="A1122" t="s">
        <v>770</v>
      </c>
      <c r="B1122">
        <v>7755</v>
      </c>
    </row>
    <row r="1123" spans="1:2">
      <c r="A1123" t="s">
        <v>770</v>
      </c>
      <c r="B1123">
        <v>0.69582772543741589</v>
      </c>
    </row>
    <row r="1125" spans="1:2">
      <c r="A1125" t="s">
        <v>1943</v>
      </c>
      <c r="B1125">
        <v>1239</v>
      </c>
    </row>
    <row r="1127" spans="1:2" s="344" customFormat="1">
      <c r="A1127" s="345" t="s">
        <v>1906</v>
      </c>
    </row>
    <row r="1129" spans="1:2">
      <c r="A1129" t="s">
        <v>753</v>
      </c>
      <c r="B1129" s="346">
        <v>1005</v>
      </c>
    </row>
    <row r="1131" spans="1:2">
      <c r="A1131" t="s">
        <v>581</v>
      </c>
    </row>
    <row r="1132" spans="1:2">
      <c r="A1132" t="s">
        <v>214</v>
      </c>
      <c r="B1132">
        <v>1005</v>
      </c>
    </row>
    <row r="1133" spans="1:2">
      <c r="A1133" t="s">
        <v>215</v>
      </c>
      <c r="B1133">
        <v>1205</v>
      </c>
    </row>
    <row r="1134" spans="1:2">
      <c r="A1134" t="s">
        <v>2009</v>
      </c>
      <c r="B1134">
        <v>1205</v>
      </c>
    </row>
    <row r="1135" spans="1:2">
      <c r="A1135" t="s">
        <v>586</v>
      </c>
      <c r="B1135">
        <v>3415</v>
      </c>
    </row>
    <row r="1137" spans="1:2">
      <c r="A1137" t="s">
        <v>268</v>
      </c>
    </row>
    <row r="1138" spans="1:2">
      <c r="A1138" t="s">
        <v>699</v>
      </c>
      <c r="B1138">
        <v>3290</v>
      </c>
    </row>
    <row r="1139" spans="1:2">
      <c r="A1139" t="s">
        <v>588</v>
      </c>
      <c r="B1139">
        <v>9870</v>
      </c>
    </row>
    <row r="1142" spans="1:2">
      <c r="A1142" t="s">
        <v>769</v>
      </c>
    </row>
    <row r="1144" spans="1:2">
      <c r="A1144" t="s">
        <v>1180</v>
      </c>
    </row>
    <row r="1145" spans="1:2">
      <c r="A1145" t="s">
        <v>1178</v>
      </c>
      <c r="B1145">
        <v>1210</v>
      </c>
    </row>
    <row r="1146" spans="1:2">
      <c r="A1146" t="s">
        <v>1179</v>
      </c>
      <c r="B1146">
        <v>1210</v>
      </c>
    </row>
    <row r="1147" spans="1:2">
      <c r="A1147" t="s">
        <v>2030</v>
      </c>
      <c r="B1147">
        <v>1210</v>
      </c>
    </row>
    <row r="1148" spans="1:2">
      <c r="A1148" t="s">
        <v>586</v>
      </c>
      <c r="B1148">
        <v>3630</v>
      </c>
    </row>
    <row r="1149" spans="1:2">
      <c r="A1149" t="s">
        <v>770</v>
      </c>
      <c r="B1149">
        <v>6240</v>
      </c>
    </row>
    <row r="1150" spans="1:2">
      <c r="A1150" t="s">
        <v>770</v>
      </c>
      <c r="B1150">
        <v>0.63221884498480241</v>
      </c>
    </row>
    <row r="1152" spans="1:2">
      <c r="A1152" t="s">
        <v>1181</v>
      </c>
    </row>
    <row r="1153" spans="1:2">
      <c r="A1153" t="s">
        <v>1182</v>
      </c>
      <c r="B1153">
        <v>1005</v>
      </c>
    </row>
    <row r="1154" spans="1:2">
      <c r="A1154" t="s">
        <v>1179</v>
      </c>
      <c r="B1154">
        <v>1270</v>
      </c>
    </row>
    <row r="1155" spans="1:2">
      <c r="A1155" t="s">
        <v>2030</v>
      </c>
      <c r="B1155">
        <v>1270</v>
      </c>
    </row>
    <row r="1156" spans="1:2">
      <c r="A1156" t="s">
        <v>586</v>
      </c>
      <c r="B1156">
        <v>3545</v>
      </c>
    </row>
    <row r="1157" spans="1:2">
      <c r="A1157" t="s">
        <v>770</v>
      </c>
      <c r="B1157">
        <v>6325</v>
      </c>
    </row>
    <row r="1158" spans="1:2">
      <c r="A1158" t="s">
        <v>770</v>
      </c>
      <c r="B1158">
        <v>0.64083080040526852</v>
      </c>
    </row>
    <row r="1160" spans="1:2">
      <c r="A1160" t="s">
        <v>2031</v>
      </c>
    </row>
    <row r="1161" spans="1:2">
      <c r="A1161" t="s">
        <v>1182</v>
      </c>
      <c r="B1161">
        <v>1005</v>
      </c>
    </row>
    <row r="1162" spans="1:2">
      <c r="A1162" t="s">
        <v>2032</v>
      </c>
      <c r="B1162">
        <v>1205</v>
      </c>
    </row>
    <row r="1163" spans="1:2">
      <c r="A1163" t="s">
        <v>2030</v>
      </c>
      <c r="B1163">
        <v>1270</v>
      </c>
    </row>
    <row r="1164" spans="1:2">
      <c r="A1164" t="s">
        <v>586</v>
      </c>
      <c r="B1164">
        <v>3480</v>
      </c>
    </row>
    <row r="1165" spans="1:2">
      <c r="A1165" t="s">
        <v>770</v>
      </c>
      <c r="B1165">
        <v>6390</v>
      </c>
    </row>
    <row r="1166" spans="1:2">
      <c r="A1166" t="s">
        <v>770</v>
      </c>
      <c r="B1166">
        <v>0.64741641337386013</v>
      </c>
    </row>
    <row r="1168" spans="1:2">
      <c r="A1168" t="s">
        <v>1943</v>
      </c>
      <c r="B1168">
        <v>1333.5</v>
      </c>
    </row>
    <row r="1170" spans="1:2" s="344" customFormat="1">
      <c r="A1170" s="345" t="s">
        <v>731</v>
      </c>
    </row>
    <row r="1172" spans="1:2">
      <c r="A1172" t="s">
        <v>753</v>
      </c>
      <c r="B1172" s="346">
        <v>725</v>
      </c>
    </row>
    <row r="1174" spans="1:2">
      <c r="A1174" t="s">
        <v>581</v>
      </c>
    </row>
    <row r="1175" spans="1:2">
      <c r="A1175" t="s">
        <v>214</v>
      </c>
      <c r="B1175">
        <v>725</v>
      </c>
    </row>
    <row r="1176" spans="1:2">
      <c r="A1176" t="s">
        <v>215</v>
      </c>
      <c r="B1176">
        <v>870</v>
      </c>
    </row>
    <row r="1177" spans="1:2">
      <c r="A1177" t="s">
        <v>2009</v>
      </c>
      <c r="B1177">
        <v>870</v>
      </c>
    </row>
    <row r="1178" spans="1:2">
      <c r="A1178" t="s">
        <v>586</v>
      </c>
      <c r="B1178">
        <v>2465</v>
      </c>
    </row>
    <row r="1180" spans="1:2">
      <c r="A1180" t="s">
        <v>268</v>
      </c>
    </row>
    <row r="1181" spans="1:2">
      <c r="A1181" t="s">
        <v>699</v>
      </c>
      <c r="B1181">
        <v>3715</v>
      </c>
    </row>
    <row r="1182" spans="1:2">
      <c r="A1182" t="s">
        <v>588</v>
      </c>
      <c r="B1182">
        <v>11145</v>
      </c>
    </row>
    <row r="1185" spans="1:2">
      <c r="A1185" t="s">
        <v>769</v>
      </c>
    </row>
    <row r="1187" spans="1:2">
      <c r="A1187" t="s">
        <v>1180</v>
      </c>
    </row>
    <row r="1188" spans="1:2">
      <c r="A1188" t="s">
        <v>1178</v>
      </c>
      <c r="B1188">
        <v>1125</v>
      </c>
    </row>
    <row r="1189" spans="1:2">
      <c r="A1189" t="s">
        <v>1179</v>
      </c>
      <c r="B1189">
        <v>1125</v>
      </c>
    </row>
    <row r="1190" spans="1:2">
      <c r="A1190" t="s">
        <v>2030</v>
      </c>
      <c r="B1190">
        <v>1125</v>
      </c>
    </row>
    <row r="1191" spans="1:2">
      <c r="A1191" t="s">
        <v>586</v>
      </c>
      <c r="B1191">
        <v>3375</v>
      </c>
    </row>
    <row r="1192" spans="1:2">
      <c r="A1192" t="s">
        <v>770</v>
      </c>
      <c r="B1192">
        <v>7770</v>
      </c>
    </row>
    <row r="1193" spans="1:2">
      <c r="A1193" t="s">
        <v>770</v>
      </c>
      <c r="B1193">
        <v>0.69717362045760434</v>
      </c>
    </row>
    <row r="1195" spans="1:2">
      <c r="A1195" t="s">
        <v>1181</v>
      </c>
    </row>
    <row r="1196" spans="1:2">
      <c r="A1196" t="s">
        <v>1182</v>
      </c>
      <c r="B1196">
        <v>725</v>
      </c>
    </row>
    <row r="1197" spans="1:2">
      <c r="A1197" t="s">
        <v>1179</v>
      </c>
      <c r="B1197">
        <v>1180</v>
      </c>
    </row>
    <row r="1198" spans="1:2">
      <c r="A1198" t="s">
        <v>2030</v>
      </c>
      <c r="B1198">
        <v>1180</v>
      </c>
    </row>
    <row r="1199" spans="1:2">
      <c r="A1199" t="s">
        <v>586</v>
      </c>
      <c r="B1199">
        <v>3085</v>
      </c>
    </row>
    <row r="1200" spans="1:2">
      <c r="A1200" t="s">
        <v>770</v>
      </c>
      <c r="B1200">
        <v>8060</v>
      </c>
    </row>
    <row r="1201" spans="1:2">
      <c r="A1201" t="s">
        <v>770</v>
      </c>
      <c r="B1201">
        <v>0.72319425751458055</v>
      </c>
    </row>
    <row r="1203" spans="1:2">
      <c r="A1203" t="s">
        <v>2031</v>
      </c>
    </row>
    <row r="1204" spans="1:2">
      <c r="A1204" t="s">
        <v>1182</v>
      </c>
      <c r="B1204">
        <v>725</v>
      </c>
    </row>
    <row r="1205" spans="1:2">
      <c r="A1205" t="s">
        <v>2032</v>
      </c>
      <c r="B1205">
        <v>870</v>
      </c>
    </row>
    <row r="1206" spans="1:2">
      <c r="A1206" t="s">
        <v>2030</v>
      </c>
      <c r="B1206">
        <v>1180</v>
      </c>
    </row>
    <row r="1207" spans="1:2">
      <c r="A1207" t="s">
        <v>586</v>
      </c>
      <c r="B1207">
        <v>2775</v>
      </c>
    </row>
    <row r="1208" spans="1:2">
      <c r="A1208" t="s">
        <v>770</v>
      </c>
      <c r="B1208">
        <v>8370</v>
      </c>
    </row>
    <row r="1209" spans="1:2">
      <c r="A1209" t="s">
        <v>770</v>
      </c>
      <c r="B1209">
        <v>0.75100942126514136</v>
      </c>
    </row>
    <row r="1211" spans="1:2">
      <c r="A1211" t="s">
        <v>1943</v>
      </c>
      <c r="B1211">
        <v>1239</v>
      </c>
    </row>
    <row r="1213" spans="1:2" s="344" customFormat="1">
      <c r="A1213" s="345" t="s">
        <v>1875</v>
      </c>
    </row>
    <row r="1215" spans="1:2">
      <c r="A1215" t="s">
        <v>753</v>
      </c>
      <c r="B1215" s="346">
        <v>725</v>
      </c>
    </row>
    <row r="1217" spans="1:2">
      <c r="A1217" t="s">
        <v>581</v>
      </c>
    </row>
    <row r="1218" spans="1:2">
      <c r="A1218" t="s">
        <v>214</v>
      </c>
      <c r="B1218">
        <v>725</v>
      </c>
    </row>
    <row r="1219" spans="1:2">
      <c r="A1219" t="s">
        <v>215</v>
      </c>
      <c r="B1219">
        <v>870</v>
      </c>
    </row>
    <row r="1220" spans="1:2">
      <c r="A1220" t="s">
        <v>2009</v>
      </c>
      <c r="B1220">
        <v>870</v>
      </c>
    </row>
    <row r="1221" spans="1:2">
      <c r="A1221" t="s">
        <v>586</v>
      </c>
      <c r="B1221">
        <v>2465</v>
      </c>
    </row>
    <row r="1223" spans="1:2">
      <c r="A1223" t="s">
        <v>268</v>
      </c>
    </row>
    <row r="1224" spans="1:2">
      <c r="A1224" t="s">
        <v>699</v>
      </c>
      <c r="B1224">
        <v>3290</v>
      </c>
    </row>
    <row r="1225" spans="1:2">
      <c r="A1225" t="s">
        <v>588</v>
      </c>
      <c r="B1225">
        <v>9870</v>
      </c>
    </row>
    <row r="1228" spans="1:2">
      <c r="A1228" t="s">
        <v>769</v>
      </c>
    </row>
    <row r="1230" spans="1:2">
      <c r="A1230" t="s">
        <v>1180</v>
      </c>
    </row>
    <row r="1231" spans="1:2">
      <c r="A1231" t="s">
        <v>1178</v>
      </c>
      <c r="B1231">
        <v>1210</v>
      </c>
    </row>
    <row r="1232" spans="1:2">
      <c r="A1232" t="s">
        <v>1179</v>
      </c>
      <c r="B1232">
        <v>1210</v>
      </c>
    </row>
    <row r="1233" spans="1:2">
      <c r="A1233" t="s">
        <v>2030</v>
      </c>
      <c r="B1233">
        <v>1210</v>
      </c>
    </row>
    <row r="1234" spans="1:2">
      <c r="A1234" t="s">
        <v>586</v>
      </c>
      <c r="B1234">
        <v>3630</v>
      </c>
    </row>
    <row r="1235" spans="1:2">
      <c r="A1235" t="s">
        <v>770</v>
      </c>
      <c r="B1235">
        <v>6240</v>
      </c>
    </row>
    <row r="1236" spans="1:2">
      <c r="A1236" t="s">
        <v>770</v>
      </c>
      <c r="B1236">
        <v>0.63221884498480241</v>
      </c>
    </row>
    <row r="1238" spans="1:2">
      <c r="A1238" t="s">
        <v>1181</v>
      </c>
    </row>
    <row r="1239" spans="1:2">
      <c r="A1239" t="s">
        <v>1182</v>
      </c>
      <c r="B1239">
        <v>725</v>
      </c>
    </row>
    <row r="1240" spans="1:2">
      <c r="A1240" t="s">
        <v>1179</v>
      </c>
      <c r="B1240">
        <v>1270</v>
      </c>
    </row>
    <row r="1241" spans="1:2">
      <c r="A1241" t="s">
        <v>2030</v>
      </c>
      <c r="B1241">
        <v>1270</v>
      </c>
    </row>
    <row r="1242" spans="1:2">
      <c r="A1242" t="s">
        <v>586</v>
      </c>
      <c r="B1242">
        <v>3265</v>
      </c>
    </row>
    <row r="1243" spans="1:2">
      <c r="A1243" t="s">
        <v>770</v>
      </c>
      <c r="B1243">
        <v>6605</v>
      </c>
    </row>
    <row r="1244" spans="1:2">
      <c r="A1244" t="s">
        <v>770</v>
      </c>
      <c r="B1244">
        <v>0.66919959473150958</v>
      </c>
    </row>
    <row r="1246" spans="1:2">
      <c r="A1246" t="s">
        <v>2031</v>
      </c>
    </row>
    <row r="1247" spans="1:2">
      <c r="A1247" t="s">
        <v>1182</v>
      </c>
      <c r="B1247">
        <v>725</v>
      </c>
    </row>
    <row r="1248" spans="1:2">
      <c r="A1248" t="s">
        <v>2032</v>
      </c>
      <c r="B1248">
        <v>870</v>
      </c>
    </row>
    <row r="1249" spans="1:2">
      <c r="A1249" t="s">
        <v>2030</v>
      </c>
      <c r="B1249">
        <v>1270</v>
      </c>
    </row>
    <row r="1250" spans="1:2">
      <c r="A1250" t="s">
        <v>586</v>
      </c>
      <c r="B1250">
        <v>2865</v>
      </c>
    </row>
    <row r="1251" spans="1:2">
      <c r="A1251" t="s">
        <v>770</v>
      </c>
      <c r="B1251">
        <v>7005</v>
      </c>
    </row>
    <row r="1252" spans="1:2">
      <c r="A1252" t="s">
        <v>770</v>
      </c>
      <c r="B1252">
        <v>0.70972644376899696</v>
      </c>
    </row>
    <row r="1254" spans="1:2">
      <c r="A1254" t="s">
        <v>1943</v>
      </c>
      <c r="B1254">
        <v>1333.5</v>
      </c>
    </row>
    <row r="1256" spans="1:2" s="344" customFormat="1">
      <c r="A1256" s="345" t="s">
        <v>1919</v>
      </c>
    </row>
    <row r="1258" spans="1:2">
      <c r="A1258" t="s">
        <v>753</v>
      </c>
      <c r="B1258" s="346">
        <v>725</v>
      </c>
    </row>
    <row r="1260" spans="1:2">
      <c r="A1260" t="s">
        <v>581</v>
      </c>
    </row>
    <row r="1261" spans="1:2">
      <c r="A1261" t="s">
        <v>214</v>
      </c>
      <c r="B1261">
        <v>725</v>
      </c>
    </row>
    <row r="1262" spans="1:2">
      <c r="A1262" t="s">
        <v>215</v>
      </c>
      <c r="B1262">
        <v>870</v>
      </c>
    </row>
    <row r="1263" spans="1:2">
      <c r="A1263" t="s">
        <v>2009</v>
      </c>
      <c r="B1263">
        <v>870</v>
      </c>
    </row>
    <row r="1264" spans="1:2">
      <c r="A1264" t="s">
        <v>586</v>
      </c>
      <c r="B1264">
        <v>2465</v>
      </c>
    </row>
    <row r="1266" spans="1:2">
      <c r="A1266" t="s">
        <v>268</v>
      </c>
    </row>
    <row r="1267" spans="1:2">
      <c r="A1267" t="s">
        <v>699</v>
      </c>
      <c r="B1267">
        <v>2565</v>
      </c>
    </row>
    <row r="1268" spans="1:2">
      <c r="A1268" t="s">
        <v>588</v>
      </c>
      <c r="B1268">
        <v>7695</v>
      </c>
    </row>
    <row r="1271" spans="1:2">
      <c r="A1271" t="s">
        <v>769</v>
      </c>
    </row>
    <row r="1273" spans="1:2">
      <c r="A1273" t="s">
        <v>1180</v>
      </c>
    </row>
    <row r="1274" spans="1:2">
      <c r="A1274" t="s">
        <v>1178</v>
      </c>
      <c r="B1274">
        <v>750</v>
      </c>
    </row>
    <row r="1275" spans="1:2">
      <c r="A1275" t="s">
        <v>1179</v>
      </c>
      <c r="B1275">
        <v>750</v>
      </c>
    </row>
    <row r="1276" spans="1:2">
      <c r="A1276" t="s">
        <v>2030</v>
      </c>
      <c r="B1276">
        <v>750</v>
      </c>
    </row>
    <row r="1277" spans="1:2">
      <c r="A1277" t="s">
        <v>586</v>
      </c>
      <c r="B1277">
        <v>2250</v>
      </c>
    </row>
    <row r="1278" spans="1:2">
      <c r="A1278" t="s">
        <v>770</v>
      </c>
      <c r="B1278">
        <v>5445</v>
      </c>
    </row>
    <row r="1279" spans="1:2">
      <c r="A1279" t="s">
        <v>770</v>
      </c>
      <c r="B1279">
        <v>0.70760233918128657</v>
      </c>
    </row>
    <row r="1281" spans="1:2">
      <c r="A1281" t="s">
        <v>1181</v>
      </c>
    </row>
    <row r="1282" spans="1:2">
      <c r="A1282" t="s">
        <v>1182</v>
      </c>
      <c r="B1282">
        <v>725</v>
      </c>
    </row>
    <row r="1283" spans="1:2">
      <c r="A1283" t="s">
        <v>1179</v>
      </c>
      <c r="B1283">
        <v>790</v>
      </c>
    </row>
    <row r="1284" spans="1:2">
      <c r="A1284" t="s">
        <v>2030</v>
      </c>
      <c r="B1284">
        <v>790</v>
      </c>
    </row>
    <row r="1285" spans="1:2">
      <c r="A1285" t="s">
        <v>586</v>
      </c>
      <c r="B1285">
        <v>2305</v>
      </c>
    </row>
    <row r="1286" spans="1:2">
      <c r="A1286" t="s">
        <v>770</v>
      </c>
      <c r="B1286">
        <v>5390</v>
      </c>
    </row>
    <row r="1287" spans="1:2">
      <c r="A1287" t="s">
        <v>770</v>
      </c>
      <c r="B1287">
        <v>0.70045484080571796</v>
      </c>
    </row>
    <row r="1289" spans="1:2">
      <c r="A1289" t="s">
        <v>2031</v>
      </c>
    </row>
    <row r="1290" spans="1:2">
      <c r="A1290" t="s">
        <v>1182</v>
      </c>
      <c r="B1290">
        <v>725</v>
      </c>
    </row>
    <row r="1291" spans="1:2">
      <c r="A1291" t="s">
        <v>2032</v>
      </c>
      <c r="B1291">
        <v>870</v>
      </c>
    </row>
    <row r="1292" spans="1:2">
      <c r="A1292" t="s">
        <v>2030</v>
      </c>
      <c r="B1292">
        <v>790</v>
      </c>
    </row>
    <row r="1293" spans="1:2">
      <c r="A1293" t="s">
        <v>586</v>
      </c>
      <c r="B1293">
        <v>2385</v>
      </c>
    </row>
    <row r="1294" spans="1:2">
      <c r="A1294" t="s">
        <v>770</v>
      </c>
      <c r="B1294">
        <v>5310</v>
      </c>
    </row>
    <row r="1295" spans="1:2">
      <c r="A1295" t="s">
        <v>770</v>
      </c>
      <c r="B1295">
        <v>0.6900584795321637</v>
      </c>
    </row>
    <row r="1297" spans="1:2">
      <c r="A1297" t="s">
        <v>1943</v>
      </c>
      <c r="B1297">
        <v>829.5</v>
      </c>
    </row>
    <row r="1299" spans="1:2" s="344" customFormat="1">
      <c r="A1299" s="345" t="s">
        <v>1803</v>
      </c>
    </row>
    <row r="1301" spans="1:2">
      <c r="A1301" t="s">
        <v>753</v>
      </c>
      <c r="B1301" s="346">
        <v>1220</v>
      </c>
    </row>
    <row r="1303" spans="1:2">
      <c r="A1303" t="s">
        <v>581</v>
      </c>
    </row>
    <row r="1304" spans="1:2">
      <c r="A1304" t="s">
        <v>214</v>
      </c>
      <c r="B1304">
        <v>1220</v>
      </c>
    </row>
    <row r="1305" spans="1:2">
      <c r="A1305" t="s">
        <v>215</v>
      </c>
      <c r="B1305">
        <v>1465</v>
      </c>
    </row>
    <row r="1306" spans="1:2">
      <c r="A1306" t="s">
        <v>2009</v>
      </c>
      <c r="B1306">
        <v>1465</v>
      </c>
    </row>
    <row r="1307" spans="1:2">
      <c r="A1307" t="s">
        <v>586</v>
      </c>
      <c r="B1307">
        <v>4150</v>
      </c>
    </row>
    <row r="1309" spans="1:2">
      <c r="A1309" t="s">
        <v>268</v>
      </c>
    </row>
    <row r="1310" spans="1:2">
      <c r="A1310" t="s">
        <v>699</v>
      </c>
      <c r="B1310">
        <v>3715</v>
      </c>
    </row>
    <row r="1311" spans="1:2">
      <c r="A1311" t="s">
        <v>588</v>
      </c>
      <c r="B1311">
        <v>11145</v>
      </c>
    </row>
    <row r="1314" spans="1:2">
      <c r="A1314" t="s">
        <v>769</v>
      </c>
    </row>
    <row r="1316" spans="1:2">
      <c r="A1316" t="s">
        <v>1180</v>
      </c>
    </row>
    <row r="1317" spans="1:2">
      <c r="A1317" t="s">
        <v>1178</v>
      </c>
      <c r="B1317">
        <v>1125</v>
      </c>
    </row>
    <row r="1318" spans="1:2">
      <c r="A1318" t="s">
        <v>1179</v>
      </c>
      <c r="B1318">
        <v>1125</v>
      </c>
    </row>
    <row r="1319" spans="1:2">
      <c r="A1319" t="s">
        <v>2030</v>
      </c>
      <c r="B1319">
        <v>1125</v>
      </c>
    </row>
    <row r="1320" spans="1:2">
      <c r="A1320" t="s">
        <v>586</v>
      </c>
      <c r="B1320">
        <v>3375</v>
      </c>
    </row>
    <row r="1321" spans="1:2">
      <c r="A1321" t="s">
        <v>770</v>
      </c>
      <c r="B1321">
        <v>7770</v>
      </c>
    </row>
    <row r="1322" spans="1:2">
      <c r="A1322" t="s">
        <v>770</v>
      </c>
      <c r="B1322">
        <v>0.69717362045760434</v>
      </c>
    </row>
    <row r="1324" spans="1:2">
      <c r="A1324" t="s">
        <v>1181</v>
      </c>
    </row>
    <row r="1325" spans="1:2">
      <c r="A1325" t="s">
        <v>1182</v>
      </c>
      <c r="B1325">
        <v>1220</v>
      </c>
    </row>
    <row r="1326" spans="1:2">
      <c r="A1326" t="s">
        <v>1179</v>
      </c>
      <c r="B1326">
        <v>1180</v>
      </c>
    </row>
    <row r="1327" spans="1:2">
      <c r="A1327" t="s">
        <v>2030</v>
      </c>
      <c r="B1327">
        <v>1180</v>
      </c>
    </row>
    <row r="1328" spans="1:2">
      <c r="A1328" t="s">
        <v>586</v>
      </c>
      <c r="B1328">
        <v>3580</v>
      </c>
    </row>
    <row r="1329" spans="1:2">
      <c r="A1329" t="s">
        <v>770</v>
      </c>
      <c r="B1329">
        <v>7565</v>
      </c>
    </row>
    <row r="1330" spans="1:2">
      <c r="A1330" t="s">
        <v>770</v>
      </c>
      <c r="B1330">
        <v>0.67877972184836255</v>
      </c>
    </row>
    <row r="1332" spans="1:2">
      <c r="A1332" t="s">
        <v>2031</v>
      </c>
    </row>
    <row r="1333" spans="1:2">
      <c r="A1333" t="s">
        <v>1182</v>
      </c>
      <c r="B1333">
        <v>1220</v>
      </c>
    </row>
    <row r="1334" spans="1:2">
      <c r="A1334" t="s">
        <v>2032</v>
      </c>
      <c r="B1334">
        <v>1465</v>
      </c>
    </row>
    <row r="1335" spans="1:2">
      <c r="A1335" t="s">
        <v>2030</v>
      </c>
      <c r="B1335">
        <v>1180</v>
      </c>
    </row>
    <row r="1336" spans="1:2">
      <c r="A1336" t="s">
        <v>586</v>
      </c>
      <c r="B1336">
        <v>3865</v>
      </c>
    </row>
    <row r="1337" spans="1:2">
      <c r="A1337" t="s">
        <v>770</v>
      </c>
      <c r="B1337">
        <v>7280</v>
      </c>
    </row>
    <row r="1338" spans="1:2">
      <c r="A1338" t="s">
        <v>770</v>
      </c>
      <c r="B1338">
        <v>0.65320771646478237</v>
      </c>
    </row>
    <row r="1340" spans="1:2">
      <c r="A1340" t="s">
        <v>1943</v>
      </c>
      <c r="B1340">
        <v>1239</v>
      </c>
    </row>
    <row r="1342" spans="1:2" s="344" customFormat="1">
      <c r="A1342" s="345" t="s">
        <v>1876</v>
      </c>
    </row>
    <row r="1344" spans="1:2">
      <c r="A1344" t="s">
        <v>753</v>
      </c>
      <c r="B1344" s="346">
        <v>1220</v>
      </c>
    </row>
    <row r="1346" spans="1:2">
      <c r="A1346" t="s">
        <v>581</v>
      </c>
    </row>
    <row r="1347" spans="1:2">
      <c r="A1347" t="s">
        <v>214</v>
      </c>
      <c r="B1347">
        <v>1220</v>
      </c>
    </row>
    <row r="1348" spans="1:2">
      <c r="A1348" t="s">
        <v>215</v>
      </c>
      <c r="B1348">
        <v>1465</v>
      </c>
    </row>
    <row r="1349" spans="1:2">
      <c r="A1349" t="s">
        <v>2009</v>
      </c>
      <c r="B1349">
        <v>1465</v>
      </c>
    </row>
    <row r="1350" spans="1:2">
      <c r="A1350" t="s">
        <v>586</v>
      </c>
      <c r="B1350">
        <v>4150</v>
      </c>
    </row>
    <row r="1352" spans="1:2">
      <c r="A1352" t="s">
        <v>268</v>
      </c>
    </row>
    <row r="1353" spans="1:2">
      <c r="A1353" t="s">
        <v>699</v>
      </c>
      <c r="B1353">
        <v>3290</v>
      </c>
    </row>
    <row r="1354" spans="1:2">
      <c r="A1354" t="s">
        <v>588</v>
      </c>
      <c r="B1354">
        <v>9870</v>
      </c>
    </row>
    <row r="1357" spans="1:2">
      <c r="A1357" t="s">
        <v>769</v>
      </c>
    </row>
    <row r="1359" spans="1:2">
      <c r="A1359" t="s">
        <v>1180</v>
      </c>
    </row>
    <row r="1360" spans="1:2">
      <c r="A1360" t="s">
        <v>1178</v>
      </c>
      <c r="B1360">
        <v>1210</v>
      </c>
    </row>
    <row r="1361" spans="1:2">
      <c r="A1361" t="s">
        <v>1179</v>
      </c>
      <c r="B1361">
        <v>1210</v>
      </c>
    </row>
    <row r="1362" spans="1:2">
      <c r="A1362" t="s">
        <v>2030</v>
      </c>
      <c r="B1362">
        <v>1210</v>
      </c>
    </row>
    <row r="1363" spans="1:2">
      <c r="A1363" t="s">
        <v>586</v>
      </c>
      <c r="B1363">
        <v>3630</v>
      </c>
    </row>
    <row r="1364" spans="1:2">
      <c r="A1364" t="s">
        <v>770</v>
      </c>
      <c r="B1364">
        <v>6240</v>
      </c>
    </row>
    <row r="1365" spans="1:2">
      <c r="A1365" t="s">
        <v>770</v>
      </c>
      <c r="B1365">
        <v>0.63221884498480241</v>
      </c>
    </row>
    <row r="1367" spans="1:2">
      <c r="A1367" t="s">
        <v>1181</v>
      </c>
    </row>
    <row r="1368" spans="1:2">
      <c r="A1368" t="s">
        <v>1182</v>
      </c>
      <c r="B1368">
        <v>1220</v>
      </c>
    </row>
    <row r="1369" spans="1:2">
      <c r="A1369" t="s">
        <v>1179</v>
      </c>
      <c r="B1369">
        <v>1270</v>
      </c>
    </row>
    <row r="1370" spans="1:2">
      <c r="A1370" t="s">
        <v>2030</v>
      </c>
      <c r="B1370">
        <v>1270</v>
      </c>
    </row>
    <row r="1371" spans="1:2">
      <c r="A1371" t="s">
        <v>586</v>
      </c>
      <c r="B1371">
        <v>3760</v>
      </c>
    </row>
    <row r="1372" spans="1:2">
      <c r="A1372" t="s">
        <v>770</v>
      </c>
      <c r="B1372">
        <v>6110</v>
      </c>
    </row>
    <row r="1373" spans="1:2">
      <c r="A1373" t="s">
        <v>770</v>
      </c>
      <c r="B1373">
        <v>0.61904761904761907</v>
      </c>
    </row>
    <row r="1375" spans="1:2">
      <c r="A1375" t="s">
        <v>2031</v>
      </c>
    </row>
    <row r="1376" spans="1:2">
      <c r="A1376" t="s">
        <v>1182</v>
      </c>
      <c r="B1376">
        <v>1220</v>
      </c>
    </row>
    <row r="1377" spans="1:2">
      <c r="A1377" t="s">
        <v>2032</v>
      </c>
      <c r="B1377">
        <v>1465</v>
      </c>
    </row>
    <row r="1378" spans="1:2">
      <c r="A1378" t="s">
        <v>2030</v>
      </c>
      <c r="B1378">
        <v>1270</v>
      </c>
    </row>
    <row r="1379" spans="1:2">
      <c r="A1379" t="s">
        <v>586</v>
      </c>
      <c r="B1379">
        <v>3955</v>
      </c>
    </row>
    <row r="1380" spans="1:2">
      <c r="A1380" t="s">
        <v>770</v>
      </c>
      <c r="B1380">
        <v>5915</v>
      </c>
    </row>
    <row r="1381" spans="1:2">
      <c r="A1381" t="s">
        <v>770</v>
      </c>
      <c r="B1381">
        <v>0.599290780141844</v>
      </c>
    </row>
    <row r="1383" spans="1:2">
      <c r="A1383" t="s">
        <v>1943</v>
      </c>
      <c r="B1383">
        <v>1333.5</v>
      </c>
    </row>
    <row r="1385" spans="1:2" s="344" customFormat="1">
      <c r="A1385" s="345" t="s">
        <v>1789</v>
      </c>
    </row>
    <row r="1387" spans="1:2">
      <c r="A1387" t="s">
        <v>753</v>
      </c>
      <c r="B1387" s="346">
        <v>935</v>
      </c>
    </row>
    <row r="1389" spans="1:2">
      <c r="A1389" t="s">
        <v>581</v>
      </c>
    </row>
    <row r="1390" spans="1:2">
      <c r="A1390" t="s">
        <v>214</v>
      </c>
      <c r="B1390">
        <v>935</v>
      </c>
    </row>
    <row r="1391" spans="1:2">
      <c r="A1391" t="s">
        <v>215</v>
      </c>
      <c r="B1391">
        <v>1120</v>
      </c>
    </row>
    <row r="1392" spans="1:2">
      <c r="A1392" t="s">
        <v>2009</v>
      </c>
      <c r="B1392">
        <v>1120</v>
      </c>
    </row>
    <row r="1393" spans="1:2">
      <c r="A1393" t="s">
        <v>586</v>
      </c>
      <c r="B1393">
        <v>3175</v>
      </c>
    </row>
    <row r="1395" spans="1:2">
      <c r="A1395" t="s">
        <v>268</v>
      </c>
    </row>
    <row r="1396" spans="1:2">
      <c r="A1396" t="s">
        <v>699</v>
      </c>
      <c r="B1396">
        <v>3715</v>
      </c>
    </row>
    <row r="1397" spans="1:2">
      <c r="A1397" t="s">
        <v>588</v>
      </c>
      <c r="B1397">
        <v>11145</v>
      </c>
    </row>
    <row r="1400" spans="1:2">
      <c r="A1400" t="s">
        <v>769</v>
      </c>
    </row>
    <row r="1402" spans="1:2">
      <c r="A1402" t="s">
        <v>1180</v>
      </c>
    </row>
    <row r="1403" spans="1:2">
      <c r="A1403" t="s">
        <v>1178</v>
      </c>
      <c r="B1403">
        <v>1125</v>
      </c>
    </row>
    <row r="1404" spans="1:2">
      <c r="A1404" t="s">
        <v>1179</v>
      </c>
      <c r="B1404">
        <v>1125</v>
      </c>
    </row>
    <row r="1405" spans="1:2">
      <c r="A1405" t="s">
        <v>2030</v>
      </c>
      <c r="B1405">
        <v>1125</v>
      </c>
    </row>
    <row r="1406" spans="1:2">
      <c r="A1406" t="s">
        <v>586</v>
      </c>
      <c r="B1406">
        <v>3375</v>
      </c>
    </row>
    <row r="1407" spans="1:2">
      <c r="A1407" t="s">
        <v>770</v>
      </c>
      <c r="B1407">
        <v>7770</v>
      </c>
    </row>
    <row r="1408" spans="1:2">
      <c r="A1408" t="s">
        <v>770</v>
      </c>
      <c r="B1408">
        <v>0.69717362045760434</v>
      </c>
    </row>
    <row r="1410" spans="1:2">
      <c r="A1410" t="s">
        <v>1181</v>
      </c>
    </row>
    <row r="1411" spans="1:2">
      <c r="A1411" t="s">
        <v>1182</v>
      </c>
      <c r="B1411">
        <v>935</v>
      </c>
    </row>
    <row r="1412" spans="1:2">
      <c r="A1412" t="s">
        <v>1179</v>
      </c>
      <c r="B1412">
        <v>1180</v>
      </c>
    </row>
    <row r="1413" spans="1:2">
      <c r="A1413" t="s">
        <v>2030</v>
      </c>
      <c r="B1413">
        <v>1180</v>
      </c>
    </row>
    <row r="1414" spans="1:2">
      <c r="A1414" t="s">
        <v>586</v>
      </c>
      <c r="B1414">
        <v>3295</v>
      </c>
    </row>
    <row r="1415" spans="1:2">
      <c r="A1415" t="s">
        <v>770</v>
      </c>
      <c r="B1415">
        <v>7850</v>
      </c>
    </row>
    <row r="1416" spans="1:2">
      <c r="A1416" t="s">
        <v>770</v>
      </c>
      <c r="B1416">
        <v>0.70435172723194261</v>
      </c>
    </row>
    <row r="1418" spans="1:2">
      <c r="A1418" t="s">
        <v>2031</v>
      </c>
    </row>
    <row r="1419" spans="1:2">
      <c r="A1419" t="s">
        <v>1182</v>
      </c>
      <c r="B1419">
        <v>935</v>
      </c>
    </row>
    <row r="1420" spans="1:2">
      <c r="A1420" t="s">
        <v>2032</v>
      </c>
      <c r="B1420">
        <v>1120</v>
      </c>
    </row>
    <row r="1421" spans="1:2">
      <c r="A1421" t="s">
        <v>2030</v>
      </c>
      <c r="B1421">
        <v>1180</v>
      </c>
    </row>
    <row r="1422" spans="1:2">
      <c r="A1422" t="s">
        <v>586</v>
      </c>
      <c r="B1422">
        <v>3235</v>
      </c>
    </row>
    <row r="1423" spans="1:2">
      <c r="A1423" t="s">
        <v>770</v>
      </c>
      <c r="B1423">
        <v>7910</v>
      </c>
    </row>
    <row r="1424" spans="1:2">
      <c r="A1424" t="s">
        <v>770</v>
      </c>
      <c r="B1424">
        <v>0.7097353073126963</v>
      </c>
    </row>
    <row r="1426" spans="1:2">
      <c r="A1426" t="s">
        <v>1943</v>
      </c>
      <c r="B1426">
        <v>1239</v>
      </c>
    </row>
    <row r="1428" spans="1:2" s="344" customFormat="1">
      <c r="A1428" s="345" t="s">
        <v>1877</v>
      </c>
    </row>
    <row r="1430" spans="1:2">
      <c r="A1430" t="s">
        <v>753</v>
      </c>
      <c r="B1430" s="346">
        <v>935</v>
      </c>
    </row>
    <row r="1432" spans="1:2">
      <c r="A1432" t="s">
        <v>581</v>
      </c>
    </row>
    <row r="1433" spans="1:2">
      <c r="A1433" t="s">
        <v>214</v>
      </c>
      <c r="B1433">
        <v>935</v>
      </c>
    </row>
    <row r="1434" spans="1:2">
      <c r="A1434" t="s">
        <v>215</v>
      </c>
      <c r="B1434">
        <v>1120</v>
      </c>
    </row>
    <row r="1435" spans="1:2">
      <c r="A1435" t="s">
        <v>2009</v>
      </c>
      <c r="B1435">
        <v>1120</v>
      </c>
    </row>
    <row r="1436" spans="1:2">
      <c r="A1436" t="s">
        <v>586</v>
      </c>
      <c r="B1436">
        <v>3175</v>
      </c>
    </row>
    <row r="1438" spans="1:2">
      <c r="A1438" t="s">
        <v>268</v>
      </c>
    </row>
    <row r="1439" spans="1:2">
      <c r="A1439" t="s">
        <v>699</v>
      </c>
      <c r="B1439">
        <v>3290</v>
      </c>
    </row>
    <row r="1440" spans="1:2">
      <c r="A1440" t="s">
        <v>588</v>
      </c>
      <c r="B1440">
        <v>9870</v>
      </c>
    </row>
    <row r="1443" spans="1:2">
      <c r="A1443" t="s">
        <v>769</v>
      </c>
    </row>
    <row r="1445" spans="1:2">
      <c r="A1445" t="s">
        <v>1180</v>
      </c>
    </row>
    <row r="1446" spans="1:2">
      <c r="A1446" t="s">
        <v>1178</v>
      </c>
      <c r="B1446">
        <v>1210</v>
      </c>
    </row>
    <row r="1447" spans="1:2">
      <c r="A1447" t="s">
        <v>1179</v>
      </c>
      <c r="B1447">
        <v>1210</v>
      </c>
    </row>
    <row r="1448" spans="1:2">
      <c r="A1448" t="s">
        <v>2030</v>
      </c>
      <c r="B1448">
        <v>1210</v>
      </c>
    </row>
    <row r="1449" spans="1:2">
      <c r="A1449" t="s">
        <v>586</v>
      </c>
      <c r="B1449">
        <v>3630</v>
      </c>
    </row>
    <row r="1450" spans="1:2">
      <c r="A1450" t="s">
        <v>770</v>
      </c>
      <c r="B1450">
        <v>6240</v>
      </c>
    </row>
    <row r="1451" spans="1:2">
      <c r="A1451" t="s">
        <v>770</v>
      </c>
      <c r="B1451">
        <v>0.63221884498480241</v>
      </c>
    </row>
    <row r="1453" spans="1:2">
      <c r="A1453" t="s">
        <v>1181</v>
      </c>
    </row>
    <row r="1454" spans="1:2">
      <c r="A1454" t="s">
        <v>1182</v>
      </c>
      <c r="B1454">
        <v>935</v>
      </c>
    </row>
    <row r="1455" spans="1:2">
      <c r="A1455" t="s">
        <v>1179</v>
      </c>
      <c r="B1455">
        <v>1270</v>
      </c>
    </row>
    <row r="1456" spans="1:2">
      <c r="A1456" t="s">
        <v>2030</v>
      </c>
      <c r="B1456">
        <v>1270</v>
      </c>
    </row>
    <row r="1457" spans="1:2">
      <c r="A1457" t="s">
        <v>586</v>
      </c>
      <c r="B1457">
        <v>3475</v>
      </c>
    </row>
    <row r="1458" spans="1:2">
      <c r="A1458" t="s">
        <v>770</v>
      </c>
      <c r="B1458">
        <v>6395</v>
      </c>
    </row>
    <row r="1459" spans="1:2">
      <c r="A1459" t="s">
        <v>770</v>
      </c>
      <c r="B1459">
        <v>0.64792299898682881</v>
      </c>
    </row>
    <row r="1461" spans="1:2">
      <c r="A1461" t="s">
        <v>2031</v>
      </c>
    </row>
    <row r="1462" spans="1:2">
      <c r="A1462" t="s">
        <v>1182</v>
      </c>
      <c r="B1462">
        <v>935</v>
      </c>
    </row>
    <row r="1463" spans="1:2">
      <c r="A1463" t="s">
        <v>2032</v>
      </c>
      <c r="B1463">
        <v>1120</v>
      </c>
    </row>
    <row r="1464" spans="1:2">
      <c r="A1464" t="s">
        <v>2030</v>
      </c>
      <c r="B1464">
        <v>1270</v>
      </c>
    </row>
    <row r="1465" spans="1:2">
      <c r="A1465" t="s">
        <v>586</v>
      </c>
      <c r="B1465">
        <v>3325</v>
      </c>
    </row>
    <row r="1466" spans="1:2">
      <c r="A1466" t="s">
        <v>770</v>
      </c>
      <c r="B1466">
        <v>6545</v>
      </c>
    </row>
    <row r="1467" spans="1:2">
      <c r="A1467" t="s">
        <v>770</v>
      </c>
      <c r="B1467">
        <v>0.66312056737588654</v>
      </c>
    </row>
    <row r="1469" spans="1:2">
      <c r="A1469" t="s">
        <v>1943</v>
      </c>
      <c r="B1469">
        <v>1333.5</v>
      </c>
    </row>
    <row r="1471" spans="1:2" s="344" customFormat="1">
      <c r="A1471" s="345" t="s">
        <v>1933</v>
      </c>
    </row>
    <row r="1473" spans="1:2">
      <c r="A1473" t="s">
        <v>753</v>
      </c>
      <c r="B1473" s="346">
        <v>935</v>
      </c>
    </row>
    <row r="1475" spans="1:2">
      <c r="A1475" t="s">
        <v>581</v>
      </c>
    </row>
    <row r="1476" spans="1:2">
      <c r="A1476" t="s">
        <v>214</v>
      </c>
      <c r="B1476">
        <v>935</v>
      </c>
    </row>
    <row r="1477" spans="1:2">
      <c r="A1477" t="s">
        <v>215</v>
      </c>
      <c r="B1477">
        <v>1120</v>
      </c>
    </row>
    <row r="1478" spans="1:2">
      <c r="A1478" t="s">
        <v>2009</v>
      </c>
      <c r="B1478">
        <v>1120</v>
      </c>
    </row>
    <row r="1479" spans="1:2">
      <c r="A1479" t="s">
        <v>586</v>
      </c>
      <c r="B1479">
        <v>3175</v>
      </c>
    </row>
    <row r="1481" spans="1:2">
      <c r="A1481" t="s">
        <v>268</v>
      </c>
    </row>
    <row r="1482" spans="1:2">
      <c r="A1482" t="s">
        <v>699</v>
      </c>
      <c r="B1482">
        <v>2565</v>
      </c>
    </row>
    <row r="1483" spans="1:2">
      <c r="A1483" t="s">
        <v>588</v>
      </c>
      <c r="B1483">
        <v>7695</v>
      </c>
    </row>
    <row r="1486" spans="1:2">
      <c r="A1486" t="s">
        <v>769</v>
      </c>
    </row>
    <row r="1488" spans="1:2">
      <c r="A1488" t="s">
        <v>1180</v>
      </c>
    </row>
    <row r="1489" spans="1:2">
      <c r="A1489" t="s">
        <v>1178</v>
      </c>
      <c r="B1489">
        <v>750</v>
      </c>
    </row>
    <row r="1490" spans="1:2">
      <c r="A1490" t="s">
        <v>1179</v>
      </c>
      <c r="B1490">
        <v>750</v>
      </c>
    </row>
    <row r="1491" spans="1:2">
      <c r="A1491" t="s">
        <v>2030</v>
      </c>
      <c r="B1491">
        <v>750</v>
      </c>
    </row>
    <row r="1492" spans="1:2">
      <c r="A1492" t="s">
        <v>586</v>
      </c>
      <c r="B1492">
        <v>2250</v>
      </c>
    </row>
    <row r="1493" spans="1:2">
      <c r="A1493" t="s">
        <v>770</v>
      </c>
      <c r="B1493">
        <v>5445</v>
      </c>
    </row>
    <row r="1494" spans="1:2">
      <c r="A1494" t="s">
        <v>770</v>
      </c>
      <c r="B1494">
        <v>0.70760233918128657</v>
      </c>
    </row>
    <row r="1496" spans="1:2">
      <c r="A1496" t="s">
        <v>1181</v>
      </c>
    </row>
    <row r="1497" spans="1:2">
      <c r="A1497" t="s">
        <v>1182</v>
      </c>
      <c r="B1497">
        <v>935</v>
      </c>
    </row>
    <row r="1498" spans="1:2">
      <c r="A1498" t="s">
        <v>1179</v>
      </c>
      <c r="B1498">
        <v>790</v>
      </c>
    </row>
    <row r="1499" spans="1:2">
      <c r="A1499" t="s">
        <v>2030</v>
      </c>
      <c r="B1499">
        <v>790</v>
      </c>
    </row>
    <row r="1500" spans="1:2">
      <c r="A1500" t="s">
        <v>586</v>
      </c>
      <c r="B1500">
        <v>2515</v>
      </c>
    </row>
    <row r="1501" spans="1:2">
      <c r="A1501" t="s">
        <v>770</v>
      </c>
      <c r="B1501">
        <v>5180</v>
      </c>
    </row>
    <row r="1502" spans="1:2">
      <c r="A1502" t="s">
        <v>770</v>
      </c>
      <c r="B1502">
        <v>0.67316439246263804</v>
      </c>
    </row>
    <row r="1504" spans="1:2">
      <c r="A1504" t="s">
        <v>2031</v>
      </c>
    </row>
    <row r="1505" spans="1:2">
      <c r="A1505" t="s">
        <v>1182</v>
      </c>
      <c r="B1505">
        <v>935</v>
      </c>
    </row>
    <row r="1506" spans="1:2">
      <c r="A1506" t="s">
        <v>2032</v>
      </c>
      <c r="B1506">
        <v>1120</v>
      </c>
    </row>
    <row r="1507" spans="1:2">
      <c r="A1507" t="s">
        <v>2030</v>
      </c>
      <c r="B1507">
        <v>790</v>
      </c>
    </row>
    <row r="1508" spans="1:2">
      <c r="A1508" t="s">
        <v>586</v>
      </c>
      <c r="B1508">
        <v>2845</v>
      </c>
    </row>
    <row r="1509" spans="1:2">
      <c r="A1509" t="s">
        <v>770</v>
      </c>
      <c r="B1509">
        <v>4850</v>
      </c>
    </row>
    <row r="1510" spans="1:2">
      <c r="A1510" t="s">
        <v>770</v>
      </c>
      <c r="B1510">
        <v>0.63027940220922674</v>
      </c>
    </row>
    <row r="1512" spans="1:2">
      <c r="A1512" t="s">
        <v>1943</v>
      </c>
      <c r="B1512">
        <v>829.5</v>
      </c>
    </row>
    <row r="1514" spans="1:2" s="344" customFormat="1">
      <c r="A1514" s="345" t="s">
        <v>732</v>
      </c>
    </row>
    <row r="1516" spans="1:2">
      <c r="A1516" t="s">
        <v>753</v>
      </c>
      <c r="B1516" s="346">
        <v>220</v>
      </c>
    </row>
    <row r="1518" spans="1:2">
      <c r="A1518" t="s">
        <v>581</v>
      </c>
    </row>
    <row r="1519" spans="1:2">
      <c r="A1519" t="s">
        <v>214</v>
      </c>
      <c r="B1519">
        <v>220</v>
      </c>
    </row>
    <row r="1520" spans="1:2">
      <c r="A1520" t="s">
        <v>215</v>
      </c>
      <c r="B1520">
        <v>265</v>
      </c>
    </row>
    <row r="1521" spans="1:2">
      <c r="A1521" t="s">
        <v>2009</v>
      </c>
      <c r="B1521">
        <v>265</v>
      </c>
    </row>
    <row r="1522" spans="1:2">
      <c r="A1522" t="s">
        <v>586</v>
      </c>
      <c r="B1522">
        <v>750</v>
      </c>
    </row>
    <row r="1524" spans="1:2">
      <c r="A1524" t="s">
        <v>268</v>
      </c>
    </row>
    <row r="1525" spans="1:2">
      <c r="A1525" t="s">
        <v>699</v>
      </c>
      <c r="B1525">
        <v>685</v>
      </c>
    </row>
    <row r="1526" spans="1:2">
      <c r="A1526" t="s">
        <v>588</v>
      </c>
      <c r="B1526">
        <v>2055</v>
      </c>
    </row>
    <row r="1529" spans="1:2">
      <c r="A1529" t="s">
        <v>769</v>
      </c>
    </row>
    <row r="1531" spans="1:2">
      <c r="A1531" t="s">
        <v>1180</v>
      </c>
    </row>
    <row r="1532" spans="1:2">
      <c r="A1532" t="s">
        <v>1178</v>
      </c>
      <c r="B1532">
        <v>210</v>
      </c>
    </row>
    <row r="1533" spans="1:2">
      <c r="A1533" t="s">
        <v>1179</v>
      </c>
      <c r="B1533">
        <v>210</v>
      </c>
    </row>
    <row r="1534" spans="1:2">
      <c r="A1534" t="s">
        <v>2030</v>
      </c>
      <c r="B1534">
        <v>210</v>
      </c>
    </row>
    <row r="1535" spans="1:2">
      <c r="A1535" t="s">
        <v>586</v>
      </c>
      <c r="B1535">
        <v>630</v>
      </c>
    </row>
    <row r="1536" spans="1:2">
      <c r="A1536" t="s">
        <v>770</v>
      </c>
      <c r="B1536">
        <v>1425</v>
      </c>
    </row>
    <row r="1537" spans="1:2">
      <c r="A1537" t="s">
        <v>770</v>
      </c>
      <c r="B1537">
        <v>0.69343065693430661</v>
      </c>
    </row>
    <row r="1539" spans="1:2">
      <c r="A1539" t="s">
        <v>1181</v>
      </c>
    </row>
    <row r="1540" spans="1:2">
      <c r="A1540" t="s">
        <v>1182</v>
      </c>
      <c r="B1540">
        <v>220</v>
      </c>
    </row>
    <row r="1541" spans="1:2">
      <c r="A1541" t="s">
        <v>1179</v>
      </c>
      <c r="B1541">
        <v>220</v>
      </c>
    </row>
    <row r="1542" spans="1:2">
      <c r="A1542" t="s">
        <v>2030</v>
      </c>
      <c r="B1542">
        <v>220</v>
      </c>
    </row>
    <row r="1543" spans="1:2">
      <c r="A1543" t="s">
        <v>586</v>
      </c>
      <c r="B1543">
        <v>660</v>
      </c>
    </row>
    <row r="1544" spans="1:2">
      <c r="A1544" t="s">
        <v>770</v>
      </c>
      <c r="B1544">
        <v>1395</v>
      </c>
    </row>
    <row r="1545" spans="1:2">
      <c r="A1545" t="s">
        <v>770</v>
      </c>
      <c r="B1545">
        <v>0.67883211678832112</v>
      </c>
    </row>
    <row r="1547" spans="1:2">
      <c r="A1547" t="s">
        <v>2031</v>
      </c>
    </row>
    <row r="1548" spans="1:2">
      <c r="A1548" t="s">
        <v>1182</v>
      </c>
      <c r="B1548">
        <v>220</v>
      </c>
    </row>
    <row r="1549" spans="1:2">
      <c r="A1549" t="s">
        <v>2032</v>
      </c>
      <c r="B1549">
        <v>265</v>
      </c>
    </row>
    <row r="1550" spans="1:2">
      <c r="A1550" t="s">
        <v>2030</v>
      </c>
      <c r="B1550">
        <v>220</v>
      </c>
    </row>
    <row r="1551" spans="1:2">
      <c r="A1551" t="s">
        <v>586</v>
      </c>
      <c r="B1551">
        <v>705</v>
      </c>
    </row>
    <row r="1552" spans="1:2">
      <c r="A1552" t="s">
        <v>770</v>
      </c>
      <c r="B1552">
        <v>1350</v>
      </c>
    </row>
    <row r="1553" spans="1:2">
      <c r="A1553" t="s">
        <v>770</v>
      </c>
      <c r="B1553">
        <v>0.65693430656934304</v>
      </c>
    </row>
    <row r="1555" spans="1:2">
      <c r="A1555" t="s">
        <v>1943</v>
      </c>
      <c r="B1555">
        <v>231</v>
      </c>
    </row>
    <row r="1557" spans="1:2" s="344" customFormat="1">
      <c r="A1557" s="345" t="s">
        <v>1731</v>
      </c>
    </row>
    <row r="1559" spans="1:2">
      <c r="A1559" t="s">
        <v>753</v>
      </c>
      <c r="B1559" s="346">
        <v>220</v>
      </c>
    </row>
    <row r="1561" spans="1:2">
      <c r="A1561" t="s">
        <v>581</v>
      </c>
    </row>
    <row r="1562" spans="1:2">
      <c r="A1562" t="s">
        <v>214</v>
      </c>
      <c r="B1562">
        <v>220</v>
      </c>
    </row>
    <row r="1563" spans="1:2">
      <c r="A1563" t="s">
        <v>215</v>
      </c>
      <c r="B1563">
        <v>265</v>
      </c>
    </row>
    <row r="1564" spans="1:2">
      <c r="A1564" t="s">
        <v>2009</v>
      </c>
      <c r="B1564">
        <v>265</v>
      </c>
    </row>
    <row r="1565" spans="1:2">
      <c r="A1565" t="s">
        <v>586</v>
      </c>
      <c r="B1565">
        <v>750</v>
      </c>
    </row>
    <row r="1567" spans="1:2">
      <c r="A1567" t="s">
        <v>268</v>
      </c>
    </row>
    <row r="1568" spans="1:2">
      <c r="A1568" t="s">
        <v>699</v>
      </c>
      <c r="B1568">
        <v>0</v>
      </c>
    </row>
    <row r="1569" spans="1:2">
      <c r="A1569" t="s">
        <v>588</v>
      </c>
      <c r="B1569">
        <v>0</v>
      </c>
    </row>
    <row r="1572" spans="1:2">
      <c r="A1572" t="s">
        <v>769</v>
      </c>
    </row>
    <row r="1574" spans="1:2">
      <c r="A1574" t="s">
        <v>1180</v>
      </c>
    </row>
    <row r="1575" spans="1:2">
      <c r="A1575" t="s">
        <v>1178</v>
      </c>
      <c r="B1575">
        <v>255</v>
      </c>
    </row>
    <row r="1576" spans="1:2">
      <c r="A1576" t="s">
        <v>1179</v>
      </c>
      <c r="B1576">
        <v>255</v>
      </c>
    </row>
    <row r="1577" spans="1:2">
      <c r="A1577" t="s">
        <v>2030</v>
      </c>
      <c r="B1577">
        <v>255</v>
      </c>
    </row>
    <row r="1578" spans="1:2">
      <c r="A1578" t="s">
        <v>586</v>
      </c>
      <c r="B1578">
        <v>765</v>
      </c>
    </row>
    <row r="1579" spans="1:2">
      <c r="A1579" t="s">
        <v>770</v>
      </c>
      <c r="B1579">
        <v>-765</v>
      </c>
    </row>
    <row r="1580" spans="1:2">
      <c r="A1580" t="s">
        <v>770</v>
      </c>
      <c r="B1580">
        <v>0</v>
      </c>
    </row>
    <row r="1582" spans="1:2">
      <c r="A1582" t="s">
        <v>1181</v>
      </c>
    </row>
    <row r="1583" spans="1:2">
      <c r="A1583" t="s">
        <v>1182</v>
      </c>
      <c r="B1583">
        <v>220</v>
      </c>
    </row>
    <row r="1584" spans="1:2">
      <c r="A1584" t="s">
        <v>1179</v>
      </c>
      <c r="B1584">
        <v>270</v>
      </c>
    </row>
    <row r="1585" spans="1:2">
      <c r="A1585" t="s">
        <v>2030</v>
      </c>
      <c r="B1585">
        <v>270</v>
      </c>
    </row>
    <row r="1586" spans="1:2">
      <c r="A1586" t="s">
        <v>586</v>
      </c>
      <c r="B1586">
        <v>760</v>
      </c>
    </row>
    <row r="1587" spans="1:2">
      <c r="A1587" t="s">
        <v>770</v>
      </c>
      <c r="B1587">
        <v>-760</v>
      </c>
    </row>
    <row r="1588" spans="1:2">
      <c r="A1588" t="s">
        <v>770</v>
      </c>
      <c r="B1588">
        <v>0</v>
      </c>
    </row>
    <row r="1590" spans="1:2">
      <c r="A1590" t="s">
        <v>2031</v>
      </c>
    </row>
    <row r="1591" spans="1:2">
      <c r="A1591" t="s">
        <v>1182</v>
      </c>
      <c r="B1591">
        <v>220</v>
      </c>
    </row>
    <row r="1592" spans="1:2">
      <c r="A1592" t="s">
        <v>2032</v>
      </c>
      <c r="B1592">
        <v>265</v>
      </c>
    </row>
    <row r="1593" spans="1:2">
      <c r="A1593" t="s">
        <v>2030</v>
      </c>
      <c r="B1593">
        <v>270</v>
      </c>
    </row>
    <row r="1594" spans="1:2">
      <c r="A1594" t="s">
        <v>586</v>
      </c>
      <c r="B1594">
        <v>755</v>
      </c>
    </row>
    <row r="1595" spans="1:2">
      <c r="A1595" t="s">
        <v>770</v>
      </c>
      <c r="B1595">
        <v>-755</v>
      </c>
    </row>
    <row r="1596" spans="1:2">
      <c r="A1596" t="s">
        <v>770</v>
      </c>
      <c r="B1596">
        <v>0</v>
      </c>
    </row>
    <row r="1598" spans="1:2">
      <c r="A1598" t="s">
        <v>1943</v>
      </c>
      <c r="B1598">
        <v>283.5</v>
      </c>
    </row>
    <row r="1600" spans="1:2" s="344" customFormat="1">
      <c r="A1600" s="345" t="s">
        <v>1732</v>
      </c>
    </row>
    <row r="1602" spans="1:2">
      <c r="A1602" t="s">
        <v>753</v>
      </c>
      <c r="B1602" s="346">
        <v>220</v>
      </c>
    </row>
    <row r="1604" spans="1:2">
      <c r="A1604" t="s">
        <v>581</v>
      </c>
    </row>
    <row r="1605" spans="1:2">
      <c r="A1605" t="s">
        <v>214</v>
      </c>
      <c r="B1605">
        <v>220</v>
      </c>
    </row>
    <row r="1606" spans="1:2">
      <c r="A1606" t="s">
        <v>215</v>
      </c>
      <c r="B1606">
        <v>265</v>
      </c>
    </row>
    <row r="1607" spans="1:2">
      <c r="A1607" t="s">
        <v>2009</v>
      </c>
      <c r="B1607">
        <v>265</v>
      </c>
    </row>
    <row r="1608" spans="1:2">
      <c r="A1608" t="s">
        <v>586</v>
      </c>
      <c r="B1608">
        <v>750</v>
      </c>
    </row>
    <row r="1610" spans="1:2">
      <c r="A1610" t="s">
        <v>268</v>
      </c>
    </row>
    <row r="1611" spans="1:2">
      <c r="A1611" t="s">
        <v>699</v>
      </c>
      <c r="B1611">
        <v>0</v>
      </c>
    </row>
    <row r="1612" spans="1:2">
      <c r="A1612" t="s">
        <v>588</v>
      </c>
      <c r="B1612">
        <v>0</v>
      </c>
    </row>
    <row r="1615" spans="1:2">
      <c r="A1615" t="s">
        <v>769</v>
      </c>
    </row>
    <row r="1617" spans="1:2">
      <c r="A1617" t="s">
        <v>1180</v>
      </c>
    </row>
    <row r="1618" spans="1:2">
      <c r="A1618" t="s">
        <v>1178</v>
      </c>
      <c r="B1618">
        <v>265</v>
      </c>
    </row>
    <row r="1619" spans="1:2">
      <c r="A1619" t="s">
        <v>1179</v>
      </c>
      <c r="B1619">
        <v>265</v>
      </c>
    </row>
    <row r="1620" spans="1:2">
      <c r="A1620" t="s">
        <v>2030</v>
      </c>
      <c r="B1620">
        <v>265</v>
      </c>
    </row>
    <row r="1621" spans="1:2">
      <c r="A1621" t="s">
        <v>586</v>
      </c>
      <c r="B1621">
        <v>795</v>
      </c>
    </row>
    <row r="1622" spans="1:2">
      <c r="A1622" t="s">
        <v>770</v>
      </c>
      <c r="B1622">
        <v>-795</v>
      </c>
    </row>
    <row r="1623" spans="1:2">
      <c r="A1623" t="s">
        <v>770</v>
      </c>
      <c r="B1623">
        <v>0</v>
      </c>
    </row>
    <row r="1625" spans="1:2">
      <c r="A1625" t="s">
        <v>1181</v>
      </c>
    </row>
    <row r="1626" spans="1:2">
      <c r="A1626" t="s">
        <v>1182</v>
      </c>
      <c r="B1626">
        <v>220</v>
      </c>
    </row>
    <row r="1627" spans="1:2">
      <c r="A1627" t="s">
        <v>1179</v>
      </c>
      <c r="B1627">
        <v>280</v>
      </c>
    </row>
    <row r="1628" spans="1:2">
      <c r="A1628" t="s">
        <v>2030</v>
      </c>
      <c r="B1628">
        <v>280</v>
      </c>
    </row>
    <row r="1629" spans="1:2">
      <c r="A1629" t="s">
        <v>586</v>
      </c>
      <c r="B1629">
        <v>780</v>
      </c>
    </row>
    <row r="1630" spans="1:2">
      <c r="A1630" t="s">
        <v>770</v>
      </c>
      <c r="B1630">
        <v>-780</v>
      </c>
    </row>
    <row r="1631" spans="1:2">
      <c r="A1631" t="s">
        <v>770</v>
      </c>
      <c r="B1631">
        <v>0</v>
      </c>
    </row>
    <row r="1633" spans="1:2">
      <c r="A1633" t="s">
        <v>2031</v>
      </c>
    </row>
    <row r="1634" spans="1:2">
      <c r="A1634" t="s">
        <v>1182</v>
      </c>
      <c r="B1634">
        <v>220</v>
      </c>
    </row>
    <row r="1635" spans="1:2">
      <c r="A1635" t="s">
        <v>2032</v>
      </c>
      <c r="B1635">
        <v>265</v>
      </c>
    </row>
    <row r="1636" spans="1:2">
      <c r="A1636" t="s">
        <v>2030</v>
      </c>
      <c r="B1636">
        <v>280</v>
      </c>
    </row>
    <row r="1637" spans="1:2">
      <c r="A1637" t="s">
        <v>586</v>
      </c>
      <c r="B1637">
        <v>765</v>
      </c>
    </row>
    <row r="1638" spans="1:2">
      <c r="A1638" t="s">
        <v>770</v>
      </c>
      <c r="B1638">
        <v>-765</v>
      </c>
    </row>
    <row r="1639" spans="1:2">
      <c r="A1639" t="s">
        <v>770</v>
      </c>
      <c r="B1639">
        <v>0</v>
      </c>
    </row>
    <row r="1641" spans="1:2">
      <c r="A1641" t="s">
        <v>1943</v>
      </c>
      <c r="B1641">
        <v>294</v>
      </c>
    </row>
    <row r="1643" spans="1:2" s="344" customFormat="1">
      <c r="A1643" s="345" t="s">
        <v>733</v>
      </c>
    </row>
    <row r="1645" spans="1:2">
      <c r="A1645" t="s">
        <v>753</v>
      </c>
      <c r="B1645" s="346">
        <v>885</v>
      </c>
    </row>
    <row r="1647" spans="1:2">
      <c r="A1647" t="s">
        <v>581</v>
      </c>
    </row>
    <row r="1648" spans="1:2">
      <c r="A1648" t="s">
        <v>214</v>
      </c>
      <c r="B1648">
        <v>885</v>
      </c>
    </row>
    <row r="1649" spans="1:2">
      <c r="A1649" t="s">
        <v>215</v>
      </c>
      <c r="B1649">
        <v>1060</v>
      </c>
    </row>
    <row r="1650" spans="1:2">
      <c r="A1650" t="s">
        <v>2009</v>
      </c>
      <c r="B1650">
        <v>1060</v>
      </c>
    </row>
    <row r="1651" spans="1:2">
      <c r="A1651" t="s">
        <v>586</v>
      </c>
      <c r="B1651">
        <v>3005</v>
      </c>
    </row>
    <row r="1653" spans="1:2">
      <c r="A1653" t="s">
        <v>268</v>
      </c>
    </row>
    <row r="1654" spans="1:2">
      <c r="A1654" t="s">
        <v>699</v>
      </c>
      <c r="B1654">
        <v>3715</v>
      </c>
    </row>
    <row r="1655" spans="1:2">
      <c r="A1655" t="s">
        <v>588</v>
      </c>
      <c r="B1655">
        <v>11145</v>
      </c>
    </row>
    <row r="1658" spans="1:2">
      <c r="A1658" t="s">
        <v>769</v>
      </c>
    </row>
    <row r="1660" spans="1:2">
      <c r="A1660" t="s">
        <v>1180</v>
      </c>
    </row>
    <row r="1661" spans="1:2">
      <c r="A1661" t="s">
        <v>1178</v>
      </c>
      <c r="B1661">
        <v>1125</v>
      </c>
    </row>
    <row r="1662" spans="1:2">
      <c r="A1662" t="s">
        <v>1179</v>
      </c>
      <c r="B1662">
        <v>1125</v>
      </c>
    </row>
    <row r="1663" spans="1:2">
      <c r="A1663" t="s">
        <v>2030</v>
      </c>
      <c r="B1663">
        <v>1125</v>
      </c>
    </row>
    <row r="1664" spans="1:2">
      <c r="A1664" t="s">
        <v>586</v>
      </c>
      <c r="B1664">
        <v>3375</v>
      </c>
    </row>
    <row r="1665" spans="1:2">
      <c r="A1665" t="s">
        <v>770</v>
      </c>
      <c r="B1665">
        <v>7770</v>
      </c>
    </row>
    <row r="1666" spans="1:2">
      <c r="A1666" t="s">
        <v>770</v>
      </c>
      <c r="B1666">
        <v>0.69717362045760434</v>
      </c>
    </row>
    <row r="1668" spans="1:2">
      <c r="A1668" t="s">
        <v>1181</v>
      </c>
    </row>
    <row r="1669" spans="1:2">
      <c r="A1669" t="s">
        <v>1182</v>
      </c>
      <c r="B1669">
        <v>885</v>
      </c>
    </row>
    <row r="1670" spans="1:2">
      <c r="A1670" t="s">
        <v>1179</v>
      </c>
      <c r="B1670">
        <v>1180</v>
      </c>
    </row>
    <row r="1671" spans="1:2">
      <c r="A1671" t="s">
        <v>2030</v>
      </c>
      <c r="B1671">
        <v>1180</v>
      </c>
    </row>
    <row r="1672" spans="1:2">
      <c r="A1672" t="s">
        <v>586</v>
      </c>
      <c r="B1672">
        <v>3245</v>
      </c>
    </row>
    <row r="1673" spans="1:2">
      <c r="A1673" t="s">
        <v>770</v>
      </c>
      <c r="B1673">
        <v>7900</v>
      </c>
    </row>
    <row r="1674" spans="1:2">
      <c r="A1674" t="s">
        <v>770</v>
      </c>
      <c r="B1674">
        <v>0.708838043965904</v>
      </c>
    </row>
    <row r="1676" spans="1:2">
      <c r="A1676" t="s">
        <v>2031</v>
      </c>
    </row>
    <row r="1677" spans="1:2">
      <c r="A1677" t="s">
        <v>1182</v>
      </c>
      <c r="B1677">
        <v>885</v>
      </c>
    </row>
    <row r="1678" spans="1:2">
      <c r="A1678" t="s">
        <v>2032</v>
      </c>
      <c r="B1678">
        <v>1060</v>
      </c>
    </row>
    <row r="1679" spans="1:2">
      <c r="A1679" t="s">
        <v>2030</v>
      </c>
      <c r="B1679">
        <v>1180</v>
      </c>
    </row>
    <row r="1680" spans="1:2">
      <c r="A1680" t="s">
        <v>586</v>
      </c>
      <c r="B1680">
        <v>3125</v>
      </c>
    </row>
    <row r="1681" spans="1:2">
      <c r="A1681" t="s">
        <v>770</v>
      </c>
      <c r="B1681">
        <v>8020</v>
      </c>
    </row>
    <row r="1682" spans="1:2">
      <c r="A1682" t="s">
        <v>770</v>
      </c>
      <c r="B1682">
        <v>0.71960520412741136</v>
      </c>
    </row>
    <row r="1684" spans="1:2">
      <c r="A1684" t="s">
        <v>1943</v>
      </c>
      <c r="B1684">
        <v>1239</v>
      </c>
    </row>
    <row r="1686" spans="1:2" s="344" customFormat="1">
      <c r="A1686" s="345" t="s">
        <v>1939</v>
      </c>
    </row>
    <row r="1688" spans="1:2">
      <c r="A1688" t="s">
        <v>753</v>
      </c>
      <c r="B1688" s="346">
        <v>885</v>
      </c>
    </row>
    <row r="1690" spans="1:2">
      <c r="A1690" t="s">
        <v>581</v>
      </c>
    </row>
    <row r="1691" spans="1:2">
      <c r="A1691" t="s">
        <v>214</v>
      </c>
      <c r="B1691">
        <v>885</v>
      </c>
    </row>
    <row r="1692" spans="1:2">
      <c r="A1692" t="s">
        <v>215</v>
      </c>
      <c r="B1692">
        <v>1060</v>
      </c>
    </row>
    <row r="1693" spans="1:2">
      <c r="A1693" t="s">
        <v>2009</v>
      </c>
      <c r="B1693">
        <v>1060</v>
      </c>
    </row>
    <row r="1694" spans="1:2">
      <c r="A1694" t="s">
        <v>586</v>
      </c>
      <c r="B1694">
        <v>3005</v>
      </c>
    </row>
    <row r="1696" spans="1:2">
      <c r="A1696" t="s">
        <v>268</v>
      </c>
    </row>
    <row r="1697" spans="1:2">
      <c r="A1697" t="s">
        <v>699</v>
      </c>
      <c r="B1697">
        <v>3290</v>
      </c>
    </row>
    <row r="1698" spans="1:2">
      <c r="A1698" t="s">
        <v>588</v>
      </c>
      <c r="B1698">
        <v>9870</v>
      </c>
    </row>
    <row r="1701" spans="1:2">
      <c r="A1701" t="s">
        <v>769</v>
      </c>
    </row>
    <row r="1703" spans="1:2">
      <c r="A1703" t="s">
        <v>1180</v>
      </c>
    </row>
    <row r="1704" spans="1:2">
      <c r="A1704" t="s">
        <v>1178</v>
      </c>
      <c r="B1704">
        <v>1210</v>
      </c>
    </row>
    <row r="1705" spans="1:2">
      <c r="A1705" t="s">
        <v>1179</v>
      </c>
      <c r="B1705">
        <v>1210</v>
      </c>
    </row>
    <row r="1706" spans="1:2">
      <c r="A1706" t="s">
        <v>2030</v>
      </c>
      <c r="B1706">
        <v>1210</v>
      </c>
    </row>
    <row r="1707" spans="1:2">
      <c r="A1707" t="s">
        <v>586</v>
      </c>
      <c r="B1707">
        <v>3630</v>
      </c>
    </row>
    <row r="1708" spans="1:2">
      <c r="A1708" t="s">
        <v>770</v>
      </c>
      <c r="B1708">
        <v>6240</v>
      </c>
    </row>
    <row r="1709" spans="1:2">
      <c r="A1709" t="s">
        <v>770</v>
      </c>
      <c r="B1709">
        <v>0.63221884498480241</v>
      </c>
    </row>
    <row r="1711" spans="1:2">
      <c r="A1711" t="s">
        <v>1181</v>
      </c>
    </row>
    <row r="1712" spans="1:2">
      <c r="A1712" t="s">
        <v>1182</v>
      </c>
      <c r="B1712">
        <v>885</v>
      </c>
    </row>
    <row r="1713" spans="1:2">
      <c r="A1713" t="s">
        <v>1179</v>
      </c>
      <c r="B1713">
        <v>1270</v>
      </c>
    </row>
    <row r="1714" spans="1:2">
      <c r="A1714" t="s">
        <v>2030</v>
      </c>
      <c r="B1714">
        <v>1270</v>
      </c>
    </row>
    <row r="1715" spans="1:2">
      <c r="A1715" t="s">
        <v>586</v>
      </c>
      <c r="B1715">
        <v>3425</v>
      </c>
    </row>
    <row r="1716" spans="1:2">
      <c r="A1716" t="s">
        <v>770</v>
      </c>
      <c r="B1716">
        <v>6445</v>
      </c>
    </row>
    <row r="1717" spans="1:2">
      <c r="A1717" t="s">
        <v>770</v>
      </c>
      <c r="B1717">
        <v>0.65298885511651472</v>
      </c>
    </row>
    <row r="1719" spans="1:2">
      <c r="A1719" t="s">
        <v>2031</v>
      </c>
    </row>
    <row r="1720" spans="1:2">
      <c r="A1720" t="s">
        <v>1182</v>
      </c>
      <c r="B1720">
        <v>885</v>
      </c>
    </row>
    <row r="1721" spans="1:2">
      <c r="A1721" t="s">
        <v>2032</v>
      </c>
      <c r="B1721">
        <v>1060</v>
      </c>
    </row>
    <row r="1722" spans="1:2">
      <c r="A1722" t="s">
        <v>2030</v>
      </c>
      <c r="B1722">
        <v>1270</v>
      </c>
    </row>
    <row r="1723" spans="1:2">
      <c r="A1723" t="s">
        <v>586</v>
      </c>
      <c r="B1723">
        <v>3215</v>
      </c>
    </row>
    <row r="1724" spans="1:2">
      <c r="A1724" t="s">
        <v>770</v>
      </c>
      <c r="B1724">
        <v>6655</v>
      </c>
    </row>
    <row r="1725" spans="1:2">
      <c r="A1725" t="s">
        <v>770</v>
      </c>
      <c r="B1725">
        <v>0.67426545086119549</v>
      </c>
    </row>
    <row r="1727" spans="1:2">
      <c r="A1727" t="s">
        <v>1943</v>
      </c>
      <c r="B1727">
        <v>1333.5</v>
      </c>
    </row>
    <row r="1729" spans="1:2" s="344" customFormat="1">
      <c r="A1729" s="345" t="s">
        <v>1934</v>
      </c>
    </row>
    <row r="1731" spans="1:2">
      <c r="A1731" t="s">
        <v>753</v>
      </c>
      <c r="B1731" s="346">
        <v>885</v>
      </c>
    </row>
    <row r="1733" spans="1:2">
      <c r="A1733" t="s">
        <v>581</v>
      </c>
    </row>
    <row r="1734" spans="1:2">
      <c r="A1734" t="s">
        <v>214</v>
      </c>
      <c r="B1734">
        <v>885</v>
      </c>
    </row>
    <row r="1735" spans="1:2">
      <c r="A1735" t="s">
        <v>215</v>
      </c>
      <c r="B1735">
        <v>1060</v>
      </c>
    </row>
    <row r="1736" spans="1:2">
      <c r="A1736" t="s">
        <v>2009</v>
      </c>
      <c r="B1736">
        <v>1060</v>
      </c>
    </row>
    <row r="1737" spans="1:2">
      <c r="A1737" t="s">
        <v>586</v>
      </c>
      <c r="B1737">
        <v>3005</v>
      </c>
    </row>
    <row r="1739" spans="1:2">
      <c r="A1739" t="s">
        <v>268</v>
      </c>
    </row>
    <row r="1740" spans="1:2">
      <c r="A1740" t="s">
        <v>699</v>
      </c>
      <c r="B1740">
        <v>2565</v>
      </c>
    </row>
    <row r="1741" spans="1:2">
      <c r="A1741" t="s">
        <v>588</v>
      </c>
      <c r="B1741">
        <v>7695</v>
      </c>
    </row>
    <row r="1744" spans="1:2">
      <c r="A1744" t="s">
        <v>769</v>
      </c>
    </row>
    <row r="1746" spans="1:2">
      <c r="A1746" t="s">
        <v>1180</v>
      </c>
    </row>
    <row r="1747" spans="1:2">
      <c r="A1747" t="s">
        <v>1178</v>
      </c>
      <c r="B1747">
        <v>750</v>
      </c>
    </row>
    <row r="1748" spans="1:2">
      <c r="A1748" t="s">
        <v>1179</v>
      </c>
      <c r="B1748">
        <v>750</v>
      </c>
    </row>
    <row r="1749" spans="1:2">
      <c r="A1749" t="s">
        <v>2030</v>
      </c>
      <c r="B1749">
        <v>750</v>
      </c>
    </row>
    <row r="1750" spans="1:2">
      <c r="A1750" t="s">
        <v>586</v>
      </c>
      <c r="B1750">
        <v>2250</v>
      </c>
    </row>
    <row r="1751" spans="1:2">
      <c r="A1751" t="s">
        <v>770</v>
      </c>
      <c r="B1751">
        <v>5445</v>
      </c>
    </row>
    <row r="1752" spans="1:2">
      <c r="A1752" t="s">
        <v>770</v>
      </c>
      <c r="B1752">
        <v>0.70760233918128657</v>
      </c>
    </row>
    <row r="1754" spans="1:2">
      <c r="A1754" t="s">
        <v>1181</v>
      </c>
    </row>
    <row r="1755" spans="1:2">
      <c r="A1755" t="s">
        <v>1182</v>
      </c>
      <c r="B1755">
        <v>885</v>
      </c>
    </row>
    <row r="1756" spans="1:2">
      <c r="A1756" t="s">
        <v>1179</v>
      </c>
      <c r="B1756">
        <v>790</v>
      </c>
    </row>
    <row r="1757" spans="1:2">
      <c r="A1757" t="s">
        <v>2030</v>
      </c>
      <c r="B1757">
        <v>790</v>
      </c>
    </row>
    <row r="1758" spans="1:2">
      <c r="A1758" t="s">
        <v>586</v>
      </c>
      <c r="B1758">
        <v>2465</v>
      </c>
    </row>
    <row r="1759" spans="1:2">
      <c r="A1759" t="s">
        <v>770</v>
      </c>
      <c r="B1759">
        <v>5230</v>
      </c>
    </row>
    <row r="1760" spans="1:2">
      <c r="A1760" t="s">
        <v>770</v>
      </c>
      <c r="B1760">
        <v>0.67966211825860945</v>
      </c>
    </row>
    <row r="1762" spans="1:2">
      <c r="A1762" t="s">
        <v>2031</v>
      </c>
    </row>
    <row r="1763" spans="1:2">
      <c r="A1763" t="s">
        <v>1182</v>
      </c>
      <c r="B1763">
        <v>885</v>
      </c>
    </row>
    <row r="1764" spans="1:2">
      <c r="A1764" t="s">
        <v>2032</v>
      </c>
      <c r="B1764">
        <v>1060</v>
      </c>
    </row>
    <row r="1765" spans="1:2">
      <c r="A1765" t="s">
        <v>2030</v>
      </c>
      <c r="B1765">
        <v>790</v>
      </c>
    </row>
    <row r="1766" spans="1:2">
      <c r="A1766" t="s">
        <v>586</v>
      </c>
      <c r="B1766">
        <v>2735</v>
      </c>
    </row>
    <row r="1767" spans="1:2">
      <c r="A1767" t="s">
        <v>770</v>
      </c>
      <c r="B1767">
        <v>4960</v>
      </c>
    </row>
    <row r="1768" spans="1:2">
      <c r="A1768" t="s">
        <v>770</v>
      </c>
      <c r="B1768">
        <v>0.64457439896036384</v>
      </c>
    </row>
    <row r="1770" spans="1:2">
      <c r="A1770" t="s">
        <v>1943</v>
      </c>
      <c r="B1770">
        <v>829.5</v>
      </c>
    </row>
    <row r="1772" spans="1:2" s="344" customFormat="1">
      <c r="A1772" s="345" t="s">
        <v>1421</v>
      </c>
    </row>
    <row r="1774" spans="1:2">
      <c r="A1774" t="s">
        <v>753</v>
      </c>
      <c r="B1774" s="346">
        <v>820</v>
      </c>
    </row>
    <row r="1776" spans="1:2">
      <c r="A1776" t="s">
        <v>581</v>
      </c>
    </row>
    <row r="1777" spans="1:2">
      <c r="A1777" t="s">
        <v>214</v>
      </c>
      <c r="B1777">
        <v>820</v>
      </c>
    </row>
    <row r="1778" spans="1:2">
      <c r="A1778" t="s">
        <v>215</v>
      </c>
      <c r="B1778">
        <v>985</v>
      </c>
    </row>
    <row r="1779" spans="1:2">
      <c r="A1779" t="s">
        <v>2009</v>
      </c>
      <c r="B1779">
        <v>985</v>
      </c>
    </row>
    <row r="1780" spans="1:2">
      <c r="A1780" t="s">
        <v>586</v>
      </c>
      <c r="B1780">
        <v>2790</v>
      </c>
    </row>
    <row r="1782" spans="1:2">
      <c r="A1782" t="s">
        <v>268</v>
      </c>
    </row>
    <row r="1783" spans="1:2">
      <c r="A1783" t="s">
        <v>699</v>
      </c>
      <c r="B1783">
        <v>3715</v>
      </c>
    </row>
    <row r="1784" spans="1:2">
      <c r="A1784" t="s">
        <v>588</v>
      </c>
      <c r="B1784">
        <v>11145</v>
      </c>
    </row>
    <row r="1787" spans="1:2">
      <c r="A1787" t="s">
        <v>769</v>
      </c>
    </row>
    <row r="1789" spans="1:2">
      <c r="A1789" t="s">
        <v>1180</v>
      </c>
    </row>
    <row r="1790" spans="1:2">
      <c r="A1790" t="s">
        <v>1178</v>
      </c>
      <c r="B1790">
        <v>1125</v>
      </c>
    </row>
    <row r="1791" spans="1:2">
      <c r="A1791" t="s">
        <v>1179</v>
      </c>
      <c r="B1791">
        <v>1125</v>
      </c>
    </row>
    <row r="1792" spans="1:2">
      <c r="A1792" t="s">
        <v>2030</v>
      </c>
      <c r="B1792">
        <v>1125</v>
      </c>
    </row>
    <row r="1793" spans="1:2">
      <c r="A1793" t="s">
        <v>586</v>
      </c>
      <c r="B1793">
        <v>3375</v>
      </c>
    </row>
    <row r="1794" spans="1:2">
      <c r="A1794" t="s">
        <v>770</v>
      </c>
      <c r="B1794">
        <v>7770</v>
      </c>
    </row>
    <row r="1795" spans="1:2">
      <c r="A1795" t="s">
        <v>770</v>
      </c>
      <c r="B1795">
        <v>0.69717362045760434</v>
      </c>
    </row>
    <row r="1797" spans="1:2">
      <c r="A1797" t="s">
        <v>1181</v>
      </c>
    </row>
    <row r="1798" spans="1:2">
      <c r="A1798" t="s">
        <v>1182</v>
      </c>
      <c r="B1798">
        <v>820</v>
      </c>
    </row>
    <row r="1799" spans="1:2">
      <c r="A1799" t="s">
        <v>1179</v>
      </c>
      <c r="B1799">
        <v>1180</v>
      </c>
    </row>
    <row r="1800" spans="1:2">
      <c r="A1800" t="s">
        <v>2030</v>
      </c>
      <c r="B1800">
        <v>1180</v>
      </c>
    </row>
    <row r="1801" spans="1:2">
      <c r="A1801" t="s">
        <v>586</v>
      </c>
      <c r="B1801">
        <v>3180</v>
      </c>
    </row>
    <row r="1802" spans="1:2">
      <c r="A1802" t="s">
        <v>770</v>
      </c>
      <c r="B1802">
        <v>7965</v>
      </c>
    </row>
    <row r="1803" spans="1:2">
      <c r="A1803" t="s">
        <v>770</v>
      </c>
      <c r="B1803">
        <v>0.71467025572005383</v>
      </c>
    </row>
    <row r="1805" spans="1:2">
      <c r="A1805" t="s">
        <v>2031</v>
      </c>
    </row>
    <row r="1806" spans="1:2">
      <c r="A1806" t="s">
        <v>1182</v>
      </c>
      <c r="B1806">
        <v>820</v>
      </c>
    </row>
    <row r="1807" spans="1:2">
      <c r="A1807" t="s">
        <v>2032</v>
      </c>
      <c r="B1807">
        <v>985</v>
      </c>
    </row>
    <row r="1808" spans="1:2">
      <c r="A1808" t="s">
        <v>2030</v>
      </c>
      <c r="B1808">
        <v>1180</v>
      </c>
    </row>
    <row r="1809" spans="1:2">
      <c r="A1809" t="s">
        <v>586</v>
      </c>
      <c r="B1809">
        <v>2985</v>
      </c>
    </row>
    <row r="1810" spans="1:2">
      <c r="A1810" t="s">
        <v>770</v>
      </c>
      <c r="B1810">
        <v>8160</v>
      </c>
    </row>
    <row r="1811" spans="1:2">
      <c r="A1811" t="s">
        <v>770</v>
      </c>
      <c r="B1811">
        <v>0.73216689098250332</v>
      </c>
    </row>
    <row r="1813" spans="1:2">
      <c r="A1813" t="s">
        <v>1943</v>
      </c>
      <c r="B1813">
        <v>1239</v>
      </c>
    </row>
    <row r="1815" spans="1:2" s="344" customFormat="1">
      <c r="A1815" s="345" t="s">
        <v>1878</v>
      </c>
    </row>
    <row r="1817" spans="1:2">
      <c r="A1817" t="s">
        <v>753</v>
      </c>
      <c r="B1817" s="346">
        <v>820</v>
      </c>
    </row>
    <row r="1819" spans="1:2">
      <c r="A1819" t="s">
        <v>581</v>
      </c>
    </row>
    <row r="1820" spans="1:2">
      <c r="A1820" t="s">
        <v>214</v>
      </c>
      <c r="B1820">
        <v>820</v>
      </c>
    </row>
    <row r="1821" spans="1:2">
      <c r="A1821" t="s">
        <v>215</v>
      </c>
      <c r="B1821">
        <v>985</v>
      </c>
    </row>
    <row r="1822" spans="1:2">
      <c r="A1822" t="s">
        <v>2009</v>
      </c>
      <c r="B1822">
        <v>985</v>
      </c>
    </row>
    <row r="1823" spans="1:2">
      <c r="A1823" t="s">
        <v>586</v>
      </c>
      <c r="B1823">
        <v>2790</v>
      </c>
    </row>
    <row r="1825" spans="1:2">
      <c r="A1825" t="s">
        <v>268</v>
      </c>
    </row>
    <row r="1826" spans="1:2">
      <c r="A1826" t="s">
        <v>699</v>
      </c>
      <c r="B1826">
        <v>3290</v>
      </c>
    </row>
    <row r="1827" spans="1:2">
      <c r="A1827" t="s">
        <v>588</v>
      </c>
      <c r="B1827">
        <v>9870</v>
      </c>
    </row>
    <row r="1830" spans="1:2">
      <c r="A1830" t="s">
        <v>769</v>
      </c>
    </row>
    <row r="1832" spans="1:2">
      <c r="A1832" t="s">
        <v>1180</v>
      </c>
    </row>
    <row r="1833" spans="1:2">
      <c r="A1833" t="s">
        <v>1178</v>
      </c>
      <c r="B1833">
        <v>1210</v>
      </c>
    </row>
    <row r="1834" spans="1:2">
      <c r="A1834" t="s">
        <v>1179</v>
      </c>
      <c r="B1834">
        <v>1210</v>
      </c>
    </row>
    <row r="1835" spans="1:2">
      <c r="A1835" t="s">
        <v>2030</v>
      </c>
      <c r="B1835">
        <v>1210</v>
      </c>
    </row>
    <row r="1836" spans="1:2">
      <c r="A1836" t="s">
        <v>586</v>
      </c>
      <c r="B1836">
        <v>3630</v>
      </c>
    </row>
    <row r="1837" spans="1:2">
      <c r="A1837" t="s">
        <v>770</v>
      </c>
      <c r="B1837">
        <v>6240</v>
      </c>
    </row>
    <row r="1838" spans="1:2">
      <c r="A1838" t="s">
        <v>770</v>
      </c>
      <c r="B1838">
        <v>0.63221884498480241</v>
      </c>
    </row>
    <row r="1840" spans="1:2">
      <c r="A1840" t="s">
        <v>1181</v>
      </c>
    </row>
    <row r="1841" spans="1:2">
      <c r="A1841" t="s">
        <v>1182</v>
      </c>
      <c r="B1841">
        <v>820</v>
      </c>
    </row>
    <row r="1842" spans="1:2">
      <c r="A1842" t="s">
        <v>1179</v>
      </c>
      <c r="B1842">
        <v>1270</v>
      </c>
    </row>
    <row r="1843" spans="1:2">
      <c r="A1843" t="s">
        <v>2030</v>
      </c>
      <c r="B1843">
        <v>1270</v>
      </c>
    </row>
    <row r="1844" spans="1:2">
      <c r="A1844" t="s">
        <v>586</v>
      </c>
      <c r="B1844">
        <v>3360</v>
      </c>
    </row>
    <row r="1845" spans="1:2">
      <c r="A1845" t="s">
        <v>770</v>
      </c>
      <c r="B1845">
        <v>6510</v>
      </c>
    </row>
    <row r="1846" spans="1:2">
      <c r="A1846" t="s">
        <v>770</v>
      </c>
      <c r="B1846">
        <v>0.65957446808510634</v>
      </c>
    </row>
    <row r="1848" spans="1:2">
      <c r="A1848" t="s">
        <v>2031</v>
      </c>
    </row>
    <row r="1849" spans="1:2">
      <c r="A1849" t="s">
        <v>1182</v>
      </c>
      <c r="B1849">
        <v>820</v>
      </c>
    </row>
    <row r="1850" spans="1:2">
      <c r="A1850" t="s">
        <v>2032</v>
      </c>
      <c r="B1850">
        <v>985</v>
      </c>
    </row>
    <row r="1851" spans="1:2">
      <c r="A1851" t="s">
        <v>2030</v>
      </c>
      <c r="B1851">
        <v>1270</v>
      </c>
    </row>
    <row r="1852" spans="1:2">
      <c r="A1852" t="s">
        <v>586</v>
      </c>
      <c r="B1852">
        <v>3075</v>
      </c>
    </row>
    <row r="1853" spans="1:2">
      <c r="A1853" t="s">
        <v>770</v>
      </c>
      <c r="B1853">
        <v>6795</v>
      </c>
    </row>
    <row r="1854" spans="1:2">
      <c r="A1854" t="s">
        <v>770</v>
      </c>
      <c r="B1854">
        <v>0.68844984802431608</v>
      </c>
    </row>
    <row r="1856" spans="1:2">
      <c r="A1856" t="s">
        <v>1943</v>
      </c>
      <c r="B1856">
        <v>1333.5</v>
      </c>
    </row>
    <row r="1858" spans="1:2" s="344" customFormat="1">
      <c r="A1858" s="345" t="s">
        <v>1935</v>
      </c>
    </row>
    <row r="1860" spans="1:2">
      <c r="A1860" t="s">
        <v>753</v>
      </c>
      <c r="B1860" s="346">
        <v>820</v>
      </c>
    </row>
    <row r="1862" spans="1:2">
      <c r="A1862" t="s">
        <v>581</v>
      </c>
    </row>
    <row r="1863" spans="1:2">
      <c r="A1863" t="s">
        <v>214</v>
      </c>
      <c r="B1863">
        <v>820</v>
      </c>
    </row>
    <row r="1864" spans="1:2">
      <c r="A1864" t="s">
        <v>215</v>
      </c>
      <c r="B1864">
        <v>985</v>
      </c>
    </row>
    <row r="1865" spans="1:2">
      <c r="A1865" t="s">
        <v>2009</v>
      </c>
      <c r="B1865">
        <v>985</v>
      </c>
    </row>
    <row r="1866" spans="1:2">
      <c r="A1866" t="s">
        <v>586</v>
      </c>
      <c r="B1866">
        <v>2790</v>
      </c>
    </row>
    <row r="1868" spans="1:2">
      <c r="A1868" t="s">
        <v>268</v>
      </c>
    </row>
    <row r="1869" spans="1:2">
      <c r="A1869" t="s">
        <v>699</v>
      </c>
      <c r="B1869">
        <v>2565</v>
      </c>
    </row>
    <row r="1870" spans="1:2">
      <c r="A1870" t="s">
        <v>588</v>
      </c>
      <c r="B1870">
        <v>7695</v>
      </c>
    </row>
    <row r="1873" spans="1:2">
      <c r="A1873" t="s">
        <v>769</v>
      </c>
    </row>
    <row r="1875" spans="1:2">
      <c r="A1875" t="s">
        <v>1180</v>
      </c>
    </row>
    <row r="1876" spans="1:2">
      <c r="A1876" t="s">
        <v>1178</v>
      </c>
      <c r="B1876">
        <v>750</v>
      </c>
    </row>
    <row r="1877" spans="1:2">
      <c r="A1877" t="s">
        <v>1179</v>
      </c>
      <c r="B1877">
        <v>750</v>
      </c>
    </row>
    <row r="1878" spans="1:2">
      <c r="A1878" t="s">
        <v>2030</v>
      </c>
      <c r="B1878">
        <v>750</v>
      </c>
    </row>
    <row r="1879" spans="1:2">
      <c r="A1879" t="s">
        <v>586</v>
      </c>
      <c r="B1879">
        <v>2250</v>
      </c>
    </row>
    <row r="1880" spans="1:2">
      <c r="A1880" t="s">
        <v>770</v>
      </c>
      <c r="B1880">
        <v>5445</v>
      </c>
    </row>
    <row r="1881" spans="1:2">
      <c r="A1881" t="s">
        <v>770</v>
      </c>
      <c r="B1881">
        <v>0.70760233918128657</v>
      </c>
    </row>
    <row r="1883" spans="1:2">
      <c r="A1883" t="s">
        <v>1181</v>
      </c>
    </row>
    <row r="1884" spans="1:2">
      <c r="A1884" t="s">
        <v>1182</v>
      </c>
      <c r="B1884">
        <v>820</v>
      </c>
    </row>
    <row r="1885" spans="1:2">
      <c r="A1885" t="s">
        <v>1179</v>
      </c>
      <c r="B1885">
        <v>790</v>
      </c>
    </row>
    <row r="1886" spans="1:2">
      <c r="A1886" t="s">
        <v>2030</v>
      </c>
      <c r="B1886">
        <v>790</v>
      </c>
    </row>
    <row r="1887" spans="1:2">
      <c r="A1887" t="s">
        <v>586</v>
      </c>
      <c r="B1887">
        <v>2400</v>
      </c>
    </row>
    <row r="1888" spans="1:2">
      <c r="A1888" t="s">
        <v>770</v>
      </c>
      <c r="B1888">
        <v>5295</v>
      </c>
    </row>
    <row r="1889" spans="1:2">
      <c r="A1889" t="s">
        <v>770</v>
      </c>
      <c r="B1889">
        <v>0.68810916179337234</v>
      </c>
    </row>
    <row r="1891" spans="1:2">
      <c r="A1891" t="s">
        <v>2031</v>
      </c>
    </row>
    <row r="1892" spans="1:2">
      <c r="A1892" t="s">
        <v>1182</v>
      </c>
      <c r="B1892">
        <v>820</v>
      </c>
    </row>
    <row r="1893" spans="1:2">
      <c r="A1893" t="s">
        <v>2032</v>
      </c>
      <c r="B1893">
        <v>985</v>
      </c>
    </row>
    <row r="1894" spans="1:2">
      <c r="A1894" t="s">
        <v>2030</v>
      </c>
      <c r="B1894">
        <v>790</v>
      </c>
    </row>
    <row r="1895" spans="1:2">
      <c r="A1895" t="s">
        <v>586</v>
      </c>
      <c r="B1895">
        <v>2595</v>
      </c>
    </row>
    <row r="1896" spans="1:2">
      <c r="A1896" t="s">
        <v>770</v>
      </c>
      <c r="B1896">
        <v>5100</v>
      </c>
    </row>
    <row r="1897" spans="1:2">
      <c r="A1897" t="s">
        <v>770</v>
      </c>
      <c r="B1897">
        <v>0.66276803118908378</v>
      </c>
    </row>
    <row r="1899" spans="1:2">
      <c r="A1899" t="s">
        <v>1943</v>
      </c>
      <c r="B1899">
        <v>829.5</v>
      </c>
    </row>
    <row r="1901" spans="1:2" s="344" customFormat="1">
      <c r="A1901" s="345" t="s">
        <v>2033</v>
      </c>
    </row>
    <row r="1903" spans="1:2">
      <c r="A1903" t="s">
        <v>753</v>
      </c>
      <c r="B1903" s="346">
        <v>885</v>
      </c>
    </row>
    <row r="1905" spans="1:2">
      <c r="A1905" t="s">
        <v>581</v>
      </c>
    </row>
    <row r="1906" spans="1:2">
      <c r="A1906" t="s">
        <v>214</v>
      </c>
      <c r="B1906">
        <v>885</v>
      </c>
    </row>
    <row r="1907" spans="1:2">
      <c r="A1907" t="s">
        <v>215</v>
      </c>
      <c r="B1907">
        <v>1060</v>
      </c>
    </row>
    <row r="1908" spans="1:2">
      <c r="A1908" t="s">
        <v>2009</v>
      </c>
      <c r="B1908">
        <v>1060</v>
      </c>
    </row>
    <row r="1909" spans="1:2">
      <c r="A1909" t="s">
        <v>586</v>
      </c>
      <c r="B1909">
        <v>3005</v>
      </c>
    </row>
    <row r="1911" spans="1:2">
      <c r="A1911" t="s">
        <v>268</v>
      </c>
    </row>
    <row r="1912" spans="1:2">
      <c r="A1912" t="s">
        <v>699</v>
      </c>
      <c r="B1912">
        <v>3715</v>
      </c>
    </row>
    <row r="1913" spans="1:2">
      <c r="A1913" t="s">
        <v>588</v>
      </c>
      <c r="B1913">
        <v>11145</v>
      </c>
    </row>
    <row r="1916" spans="1:2">
      <c r="A1916" t="s">
        <v>769</v>
      </c>
    </row>
    <row r="1918" spans="1:2">
      <c r="A1918" t="s">
        <v>1180</v>
      </c>
    </row>
    <row r="1919" spans="1:2">
      <c r="A1919" t="s">
        <v>1178</v>
      </c>
      <c r="B1919">
        <v>1125</v>
      </c>
    </row>
    <row r="1920" spans="1:2">
      <c r="A1920" t="s">
        <v>1179</v>
      </c>
      <c r="B1920">
        <v>1125</v>
      </c>
    </row>
    <row r="1921" spans="1:2">
      <c r="A1921" t="s">
        <v>2030</v>
      </c>
      <c r="B1921">
        <v>1125</v>
      </c>
    </row>
    <row r="1922" spans="1:2">
      <c r="A1922" t="s">
        <v>586</v>
      </c>
      <c r="B1922">
        <v>3375</v>
      </c>
    </row>
    <row r="1923" spans="1:2">
      <c r="A1923" t="s">
        <v>770</v>
      </c>
      <c r="B1923">
        <v>7770</v>
      </c>
    </row>
    <row r="1924" spans="1:2">
      <c r="A1924" t="s">
        <v>770</v>
      </c>
      <c r="B1924">
        <v>0.69717362045760434</v>
      </c>
    </row>
    <row r="1926" spans="1:2">
      <c r="A1926" t="s">
        <v>1181</v>
      </c>
    </row>
    <row r="1927" spans="1:2">
      <c r="A1927" t="s">
        <v>1182</v>
      </c>
      <c r="B1927">
        <v>885</v>
      </c>
    </row>
    <row r="1928" spans="1:2">
      <c r="A1928" t="s">
        <v>1179</v>
      </c>
      <c r="B1928">
        <v>1180</v>
      </c>
    </row>
    <row r="1929" spans="1:2">
      <c r="A1929" t="s">
        <v>2030</v>
      </c>
      <c r="B1929">
        <v>1180</v>
      </c>
    </row>
    <row r="1930" spans="1:2">
      <c r="A1930" t="s">
        <v>586</v>
      </c>
      <c r="B1930">
        <v>3245</v>
      </c>
    </row>
    <row r="1931" spans="1:2">
      <c r="A1931" t="s">
        <v>770</v>
      </c>
      <c r="B1931">
        <v>7900</v>
      </c>
    </row>
    <row r="1932" spans="1:2">
      <c r="A1932" t="s">
        <v>770</v>
      </c>
      <c r="B1932">
        <v>0.708838043965904</v>
      </c>
    </row>
    <row r="1934" spans="1:2">
      <c r="A1934" t="s">
        <v>2031</v>
      </c>
    </row>
    <row r="1935" spans="1:2">
      <c r="A1935" t="s">
        <v>1182</v>
      </c>
      <c r="B1935">
        <v>885</v>
      </c>
    </row>
    <row r="1936" spans="1:2">
      <c r="A1936" t="s">
        <v>2032</v>
      </c>
      <c r="B1936">
        <v>1060</v>
      </c>
    </row>
    <row r="1937" spans="1:2">
      <c r="A1937" t="s">
        <v>2030</v>
      </c>
      <c r="B1937">
        <v>1180</v>
      </c>
    </row>
    <row r="1938" spans="1:2">
      <c r="A1938" t="s">
        <v>586</v>
      </c>
      <c r="B1938">
        <v>3125</v>
      </c>
    </row>
    <row r="1939" spans="1:2">
      <c r="A1939" t="s">
        <v>770</v>
      </c>
      <c r="B1939">
        <v>8020</v>
      </c>
    </row>
    <row r="1940" spans="1:2">
      <c r="A1940" t="s">
        <v>770</v>
      </c>
      <c r="B1940">
        <v>0.71960520412741136</v>
      </c>
    </row>
    <row r="1942" spans="1:2">
      <c r="A1942" t="s">
        <v>1943</v>
      </c>
      <c r="B1942">
        <v>1239</v>
      </c>
    </row>
    <row r="1944" spans="1:2" s="344" customFormat="1">
      <c r="A1944" s="345" t="s">
        <v>2034</v>
      </c>
    </row>
    <row r="1946" spans="1:2">
      <c r="A1946" t="s">
        <v>753</v>
      </c>
      <c r="B1946" s="346">
        <v>885</v>
      </c>
    </row>
    <row r="1948" spans="1:2">
      <c r="A1948" t="s">
        <v>581</v>
      </c>
    </row>
    <row r="1949" spans="1:2">
      <c r="A1949" t="s">
        <v>214</v>
      </c>
      <c r="B1949">
        <v>885</v>
      </c>
    </row>
    <row r="1950" spans="1:2">
      <c r="A1950" t="s">
        <v>215</v>
      </c>
      <c r="B1950">
        <v>1060</v>
      </c>
    </row>
    <row r="1951" spans="1:2">
      <c r="A1951" t="s">
        <v>2009</v>
      </c>
      <c r="B1951">
        <v>1060</v>
      </c>
    </row>
    <row r="1952" spans="1:2">
      <c r="A1952" t="s">
        <v>586</v>
      </c>
      <c r="B1952">
        <v>3005</v>
      </c>
    </row>
    <row r="1954" spans="1:2">
      <c r="A1954" t="s">
        <v>268</v>
      </c>
    </row>
    <row r="1955" spans="1:2">
      <c r="A1955" t="s">
        <v>699</v>
      </c>
      <c r="B1955">
        <v>3290</v>
      </c>
    </row>
    <row r="1956" spans="1:2">
      <c r="A1956" t="s">
        <v>588</v>
      </c>
      <c r="B1956">
        <v>9870</v>
      </c>
    </row>
    <row r="1959" spans="1:2">
      <c r="A1959" t="s">
        <v>769</v>
      </c>
    </row>
    <row r="1961" spans="1:2">
      <c r="A1961" t="s">
        <v>1180</v>
      </c>
    </row>
    <row r="1962" spans="1:2">
      <c r="A1962" t="s">
        <v>1178</v>
      </c>
      <c r="B1962">
        <v>1210</v>
      </c>
    </row>
    <row r="1963" spans="1:2">
      <c r="A1963" t="s">
        <v>1179</v>
      </c>
      <c r="B1963">
        <v>1210</v>
      </c>
    </row>
    <row r="1964" spans="1:2">
      <c r="A1964" t="s">
        <v>2030</v>
      </c>
      <c r="B1964">
        <v>1210</v>
      </c>
    </row>
    <row r="1965" spans="1:2">
      <c r="A1965" t="s">
        <v>586</v>
      </c>
      <c r="B1965">
        <v>3630</v>
      </c>
    </row>
    <row r="1966" spans="1:2">
      <c r="A1966" t="s">
        <v>770</v>
      </c>
      <c r="B1966">
        <v>6240</v>
      </c>
    </row>
    <row r="1967" spans="1:2">
      <c r="A1967" t="s">
        <v>770</v>
      </c>
      <c r="B1967">
        <v>0.63221884498480241</v>
      </c>
    </row>
    <row r="1969" spans="1:2">
      <c r="A1969" t="s">
        <v>1181</v>
      </c>
    </row>
    <row r="1970" spans="1:2">
      <c r="A1970" t="s">
        <v>1182</v>
      </c>
      <c r="B1970">
        <v>885</v>
      </c>
    </row>
    <row r="1971" spans="1:2">
      <c r="A1971" t="s">
        <v>1179</v>
      </c>
      <c r="B1971">
        <v>1270</v>
      </c>
    </row>
    <row r="1972" spans="1:2">
      <c r="A1972" t="s">
        <v>2030</v>
      </c>
      <c r="B1972">
        <v>1270</v>
      </c>
    </row>
    <row r="1973" spans="1:2">
      <c r="A1973" t="s">
        <v>586</v>
      </c>
      <c r="B1973">
        <v>3425</v>
      </c>
    </row>
    <row r="1974" spans="1:2">
      <c r="A1974" t="s">
        <v>770</v>
      </c>
      <c r="B1974">
        <v>6445</v>
      </c>
    </row>
    <row r="1975" spans="1:2">
      <c r="A1975" t="s">
        <v>770</v>
      </c>
      <c r="B1975">
        <v>0.65298885511651472</v>
      </c>
    </row>
    <row r="1977" spans="1:2">
      <c r="A1977" t="s">
        <v>2031</v>
      </c>
    </row>
    <row r="1978" spans="1:2">
      <c r="A1978" t="s">
        <v>1182</v>
      </c>
      <c r="B1978">
        <v>885</v>
      </c>
    </row>
    <row r="1979" spans="1:2">
      <c r="A1979" t="s">
        <v>2032</v>
      </c>
      <c r="B1979">
        <v>1060</v>
      </c>
    </row>
    <row r="1980" spans="1:2">
      <c r="A1980" t="s">
        <v>2030</v>
      </c>
      <c r="B1980">
        <v>1270</v>
      </c>
    </row>
    <row r="1981" spans="1:2">
      <c r="A1981" t="s">
        <v>586</v>
      </c>
      <c r="B1981">
        <v>3215</v>
      </c>
    </row>
    <row r="1982" spans="1:2">
      <c r="A1982" t="s">
        <v>770</v>
      </c>
      <c r="B1982">
        <v>6655</v>
      </c>
    </row>
    <row r="1983" spans="1:2">
      <c r="A1983" t="s">
        <v>770</v>
      </c>
      <c r="B1983">
        <v>0.67426545086119549</v>
      </c>
    </row>
    <row r="1985" spans="1:2">
      <c r="A1985" t="s">
        <v>1943</v>
      </c>
      <c r="B1985">
        <v>1333.5</v>
      </c>
    </row>
    <row r="1987" spans="1:2" s="344" customFormat="1">
      <c r="A1987" s="345" t="s">
        <v>2035</v>
      </c>
    </row>
    <row r="1989" spans="1:2">
      <c r="A1989" t="s">
        <v>753</v>
      </c>
      <c r="B1989" s="346">
        <v>885</v>
      </c>
    </row>
    <row r="1991" spans="1:2">
      <c r="A1991" t="s">
        <v>581</v>
      </c>
    </row>
    <row r="1992" spans="1:2">
      <c r="A1992" t="s">
        <v>214</v>
      </c>
      <c r="B1992">
        <v>885</v>
      </c>
    </row>
    <row r="1993" spans="1:2">
      <c r="A1993" t="s">
        <v>215</v>
      </c>
      <c r="B1993">
        <v>1060</v>
      </c>
    </row>
    <row r="1994" spans="1:2">
      <c r="A1994" t="s">
        <v>2009</v>
      </c>
      <c r="B1994">
        <v>1060</v>
      </c>
    </row>
    <row r="1995" spans="1:2">
      <c r="A1995" t="s">
        <v>586</v>
      </c>
      <c r="B1995">
        <v>3005</v>
      </c>
    </row>
    <row r="1997" spans="1:2">
      <c r="A1997" t="s">
        <v>268</v>
      </c>
    </row>
    <row r="1998" spans="1:2">
      <c r="A1998" t="s">
        <v>699</v>
      </c>
      <c r="B1998">
        <v>2565</v>
      </c>
    </row>
    <row r="1999" spans="1:2">
      <c r="A1999" t="s">
        <v>588</v>
      </c>
      <c r="B1999">
        <v>7695</v>
      </c>
    </row>
    <row r="2002" spans="1:2">
      <c r="A2002" t="s">
        <v>769</v>
      </c>
    </row>
    <row r="2004" spans="1:2">
      <c r="A2004" t="s">
        <v>1180</v>
      </c>
    </row>
    <row r="2005" spans="1:2">
      <c r="A2005" t="s">
        <v>1178</v>
      </c>
      <c r="B2005">
        <v>750</v>
      </c>
    </row>
    <row r="2006" spans="1:2">
      <c r="A2006" t="s">
        <v>1179</v>
      </c>
      <c r="B2006">
        <v>750</v>
      </c>
    </row>
    <row r="2007" spans="1:2">
      <c r="A2007" t="s">
        <v>2030</v>
      </c>
      <c r="B2007">
        <v>750</v>
      </c>
    </row>
    <row r="2008" spans="1:2">
      <c r="A2008" t="s">
        <v>586</v>
      </c>
      <c r="B2008">
        <v>2250</v>
      </c>
    </row>
    <row r="2009" spans="1:2">
      <c r="A2009" t="s">
        <v>770</v>
      </c>
      <c r="B2009">
        <v>5445</v>
      </c>
    </row>
    <row r="2010" spans="1:2">
      <c r="A2010" t="s">
        <v>770</v>
      </c>
      <c r="B2010">
        <v>0.70760233918128657</v>
      </c>
    </row>
    <row r="2012" spans="1:2">
      <c r="A2012" t="s">
        <v>1181</v>
      </c>
    </row>
    <row r="2013" spans="1:2">
      <c r="A2013" t="s">
        <v>1182</v>
      </c>
      <c r="B2013">
        <v>885</v>
      </c>
    </row>
    <row r="2014" spans="1:2">
      <c r="A2014" t="s">
        <v>1179</v>
      </c>
      <c r="B2014">
        <v>790</v>
      </c>
    </row>
    <row r="2015" spans="1:2">
      <c r="A2015" t="s">
        <v>2030</v>
      </c>
      <c r="B2015">
        <v>790</v>
      </c>
    </row>
    <row r="2016" spans="1:2">
      <c r="A2016" t="s">
        <v>586</v>
      </c>
      <c r="B2016">
        <v>2465</v>
      </c>
    </row>
    <row r="2017" spans="1:2">
      <c r="A2017" t="s">
        <v>770</v>
      </c>
      <c r="B2017">
        <v>5230</v>
      </c>
    </row>
    <row r="2018" spans="1:2">
      <c r="A2018" t="s">
        <v>770</v>
      </c>
      <c r="B2018">
        <v>0.67966211825860945</v>
      </c>
    </row>
    <row r="2020" spans="1:2">
      <c r="A2020" t="s">
        <v>2031</v>
      </c>
    </row>
    <row r="2021" spans="1:2">
      <c r="A2021" t="s">
        <v>1182</v>
      </c>
      <c r="B2021">
        <v>885</v>
      </c>
    </row>
    <row r="2022" spans="1:2">
      <c r="A2022" t="s">
        <v>2032</v>
      </c>
      <c r="B2022">
        <v>1060</v>
      </c>
    </row>
    <row r="2023" spans="1:2">
      <c r="A2023" t="s">
        <v>2030</v>
      </c>
      <c r="B2023">
        <v>790</v>
      </c>
    </row>
    <row r="2024" spans="1:2">
      <c r="A2024" t="s">
        <v>586</v>
      </c>
      <c r="B2024">
        <v>2735</v>
      </c>
    </row>
    <row r="2025" spans="1:2">
      <c r="A2025" t="s">
        <v>770</v>
      </c>
      <c r="B2025">
        <v>4960</v>
      </c>
    </row>
    <row r="2026" spans="1:2">
      <c r="A2026" t="s">
        <v>770</v>
      </c>
      <c r="B2026">
        <v>0.64457439896036384</v>
      </c>
    </row>
    <row r="2028" spans="1:2">
      <c r="A2028" t="s">
        <v>1943</v>
      </c>
      <c r="B2028">
        <v>829.5</v>
      </c>
    </row>
    <row r="2030" spans="1:2" s="344" customFormat="1">
      <c r="A2030" s="345" t="s">
        <v>734</v>
      </c>
    </row>
    <row r="2032" spans="1:2">
      <c r="A2032" t="s">
        <v>753</v>
      </c>
      <c r="B2032" s="346">
        <v>935</v>
      </c>
    </row>
    <row r="2034" spans="1:2">
      <c r="A2034" t="s">
        <v>581</v>
      </c>
    </row>
    <row r="2035" spans="1:2">
      <c r="A2035" t="s">
        <v>214</v>
      </c>
      <c r="B2035">
        <v>935</v>
      </c>
    </row>
    <row r="2036" spans="1:2">
      <c r="A2036" t="s">
        <v>215</v>
      </c>
      <c r="B2036">
        <v>1120</v>
      </c>
    </row>
    <row r="2037" spans="1:2">
      <c r="A2037" t="s">
        <v>2009</v>
      </c>
      <c r="B2037">
        <v>1120</v>
      </c>
    </row>
    <row r="2038" spans="1:2">
      <c r="A2038" t="s">
        <v>586</v>
      </c>
      <c r="B2038">
        <v>3175</v>
      </c>
    </row>
    <row r="2040" spans="1:2">
      <c r="A2040" t="s">
        <v>268</v>
      </c>
    </row>
    <row r="2041" spans="1:2">
      <c r="A2041" t="s">
        <v>699</v>
      </c>
      <c r="B2041">
        <v>3715</v>
      </c>
    </row>
    <row r="2042" spans="1:2">
      <c r="A2042" t="s">
        <v>588</v>
      </c>
      <c r="B2042">
        <v>11145</v>
      </c>
    </row>
    <row r="2045" spans="1:2">
      <c r="A2045" t="s">
        <v>769</v>
      </c>
    </row>
    <row r="2047" spans="1:2">
      <c r="A2047" t="s">
        <v>1180</v>
      </c>
    </row>
    <row r="2048" spans="1:2">
      <c r="A2048" t="s">
        <v>1178</v>
      </c>
      <c r="B2048">
        <v>1125</v>
      </c>
    </row>
    <row r="2049" spans="1:2">
      <c r="A2049" t="s">
        <v>1179</v>
      </c>
      <c r="B2049">
        <v>1125</v>
      </c>
    </row>
    <row r="2050" spans="1:2">
      <c r="A2050" t="s">
        <v>2030</v>
      </c>
      <c r="B2050">
        <v>1125</v>
      </c>
    </row>
    <row r="2051" spans="1:2">
      <c r="A2051" t="s">
        <v>586</v>
      </c>
      <c r="B2051">
        <v>3375</v>
      </c>
    </row>
    <row r="2052" spans="1:2">
      <c r="A2052" t="s">
        <v>770</v>
      </c>
      <c r="B2052">
        <v>7770</v>
      </c>
    </row>
    <row r="2053" spans="1:2">
      <c r="A2053" t="s">
        <v>770</v>
      </c>
      <c r="B2053">
        <v>0.69717362045760434</v>
      </c>
    </row>
    <row r="2055" spans="1:2">
      <c r="A2055" t="s">
        <v>1181</v>
      </c>
    </row>
    <row r="2056" spans="1:2">
      <c r="A2056" t="s">
        <v>1182</v>
      </c>
      <c r="B2056">
        <v>935</v>
      </c>
    </row>
    <row r="2057" spans="1:2">
      <c r="A2057" t="s">
        <v>1179</v>
      </c>
      <c r="B2057">
        <v>1180</v>
      </c>
    </row>
    <row r="2058" spans="1:2">
      <c r="A2058" t="s">
        <v>2030</v>
      </c>
      <c r="B2058">
        <v>1180</v>
      </c>
    </row>
    <row r="2059" spans="1:2">
      <c r="A2059" t="s">
        <v>586</v>
      </c>
      <c r="B2059">
        <v>3295</v>
      </c>
    </row>
    <row r="2060" spans="1:2">
      <c r="A2060" t="s">
        <v>770</v>
      </c>
      <c r="B2060">
        <v>7850</v>
      </c>
    </row>
    <row r="2061" spans="1:2">
      <c r="A2061" t="s">
        <v>770</v>
      </c>
      <c r="B2061">
        <v>0.70435172723194261</v>
      </c>
    </row>
    <row r="2063" spans="1:2">
      <c r="A2063" t="s">
        <v>2031</v>
      </c>
    </row>
    <row r="2064" spans="1:2">
      <c r="A2064" t="s">
        <v>1182</v>
      </c>
      <c r="B2064">
        <v>935</v>
      </c>
    </row>
    <row r="2065" spans="1:2">
      <c r="A2065" t="s">
        <v>2032</v>
      </c>
      <c r="B2065">
        <v>1120</v>
      </c>
    </row>
    <row r="2066" spans="1:2">
      <c r="A2066" t="s">
        <v>2030</v>
      </c>
      <c r="B2066">
        <v>1180</v>
      </c>
    </row>
    <row r="2067" spans="1:2">
      <c r="A2067" t="s">
        <v>586</v>
      </c>
      <c r="B2067">
        <v>3235</v>
      </c>
    </row>
    <row r="2068" spans="1:2">
      <c r="A2068" t="s">
        <v>770</v>
      </c>
      <c r="B2068">
        <v>7910</v>
      </c>
    </row>
    <row r="2069" spans="1:2">
      <c r="A2069" t="s">
        <v>770</v>
      </c>
      <c r="B2069">
        <v>0.7097353073126963</v>
      </c>
    </row>
    <row r="2071" spans="1:2">
      <c r="A2071" t="s">
        <v>1943</v>
      </c>
      <c r="B2071">
        <v>1239</v>
      </c>
    </row>
    <row r="2073" spans="1:2" s="344" customFormat="1">
      <c r="A2073" s="345" t="s">
        <v>1879</v>
      </c>
    </row>
    <row r="2075" spans="1:2">
      <c r="A2075" t="s">
        <v>753</v>
      </c>
      <c r="B2075" s="346">
        <v>935</v>
      </c>
    </row>
    <row r="2077" spans="1:2">
      <c r="A2077" t="s">
        <v>581</v>
      </c>
    </row>
    <row r="2078" spans="1:2">
      <c r="A2078" t="s">
        <v>214</v>
      </c>
      <c r="B2078">
        <v>935</v>
      </c>
    </row>
    <row r="2079" spans="1:2">
      <c r="A2079" t="s">
        <v>215</v>
      </c>
      <c r="B2079">
        <v>1120</v>
      </c>
    </row>
    <row r="2080" spans="1:2">
      <c r="A2080" t="s">
        <v>2009</v>
      </c>
      <c r="B2080">
        <v>1120</v>
      </c>
    </row>
    <row r="2081" spans="1:2">
      <c r="A2081" t="s">
        <v>586</v>
      </c>
      <c r="B2081">
        <v>3175</v>
      </c>
    </row>
    <row r="2083" spans="1:2">
      <c r="A2083" t="s">
        <v>268</v>
      </c>
    </row>
    <row r="2084" spans="1:2">
      <c r="A2084" t="s">
        <v>699</v>
      </c>
      <c r="B2084">
        <v>3290</v>
      </c>
    </row>
    <row r="2085" spans="1:2">
      <c r="A2085" t="s">
        <v>588</v>
      </c>
      <c r="B2085">
        <v>9870</v>
      </c>
    </row>
    <row r="2088" spans="1:2">
      <c r="A2088" t="s">
        <v>769</v>
      </c>
    </row>
    <row r="2090" spans="1:2">
      <c r="A2090" t="s">
        <v>1180</v>
      </c>
    </row>
    <row r="2091" spans="1:2">
      <c r="A2091" t="s">
        <v>1178</v>
      </c>
      <c r="B2091">
        <v>1210</v>
      </c>
    </row>
    <row r="2092" spans="1:2">
      <c r="A2092" t="s">
        <v>1179</v>
      </c>
      <c r="B2092">
        <v>1210</v>
      </c>
    </row>
    <row r="2093" spans="1:2">
      <c r="A2093" t="s">
        <v>2030</v>
      </c>
      <c r="B2093">
        <v>1210</v>
      </c>
    </row>
    <row r="2094" spans="1:2">
      <c r="A2094" t="s">
        <v>586</v>
      </c>
      <c r="B2094">
        <v>3630</v>
      </c>
    </row>
    <row r="2095" spans="1:2">
      <c r="A2095" t="s">
        <v>770</v>
      </c>
      <c r="B2095">
        <v>6240</v>
      </c>
    </row>
    <row r="2096" spans="1:2">
      <c r="A2096" t="s">
        <v>770</v>
      </c>
      <c r="B2096">
        <v>0.63221884498480241</v>
      </c>
    </row>
    <row r="2098" spans="1:2">
      <c r="A2098" t="s">
        <v>1181</v>
      </c>
    </row>
    <row r="2099" spans="1:2">
      <c r="A2099" t="s">
        <v>1182</v>
      </c>
      <c r="B2099">
        <v>935</v>
      </c>
    </row>
    <row r="2100" spans="1:2">
      <c r="A2100" t="s">
        <v>1179</v>
      </c>
      <c r="B2100">
        <v>1270</v>
      </c>
    </row>
    <row r="2101" spans="1:2">
      <c r="A2101" t="s">
        <v>2030</v>
      </c>
      <c r="B2101">
        <v>1270</v>
      </c>
    </row>
    <row r="2102" spans="1:2">
      <c r="A2102" t="s">
        <v>586</v>
      </c>
      <c r="B2102">
        <v>3475</v>
      </c>
    </row>
    <row r="2103" spans="1:2">
      <c r="A2103" t="s">
        <v>770</v>
      </c>
      <c r="B2103">
        <v>6395</v>
      </c>
    </row>
    <row r="2104" spans="1:2">
      <c r="A2104" t="s">
        <v>770</v>
      </c>
      <c r="B2104">
        <v>0.64792299898682881</v>
      </c>
    </row>
    <row r="2106" spans="1:2">
      <c r="A2106" t="s">
        <v>2031</v>
      </c>
    </row>
    <row r="2107" spans="1:2">
      <c r="A2107" t="s">
        <v>1182</v>
      </c>
      <c r="B2107">
        <v>935</v>
      </c>
    </row>
    <row r="2108" spans="1:2">
      <c r="A2108" t="s">
        <v>2032</v>
      </c>
      <c r="B2108">
        <v>1120</v>
      </c>
    </row>
    <row r="2109" spans="1:2">
      <c r="A2109" t="s">
        <v>2030</v>
      </c>
      <c r="B2109">
        <v>1270</v>
      </c>
    </row>
    <row r="2110" spans="1:2">
      <c r="A2110" t="s">
        <v>586</v>
      </c>
      <c r="B2110">
        <v>3325</v>
      </c>
    </row>
    <row r="2111" spans="1:2">
      <c r="A2111" t="s">
        <v>770</v>
      </c>
      <c r="B2111">
        <v>6545</v>
      </c>
    </row>
    <row r="2112" spans="1:2">
      <c r="A2112" t="s">
        <v>770</v>
      </c>
      <c r="B2112">
        <v>0.66312056737588654</v>
      </c>
    </row>
    <row r="2114" spans="1:2">
      <c r="A2114" t="s">
        <v>1943</v>
      </c>
      <c r="B2114">
        <v>1333.5</v>
      </c>
    </row>
    <row r="2116" spans="1:2" s="344" customFormat="1">
      <c r="A2116" s="345" t="s">
        <v>1790</v>
      </c>
    </row>
    <row r="2118" spans="1:2">
      <c r="A2118" t="s">
        <v>753</v>
      </c>
      <c r="B2118" s="346">
        <v>1595</v>
      </c>
    </row>
    <row r="2120" spans="1:2">
      <c r="A2120" t="s">
        <v>581</v>
      </c>
    </row>
    <row r="2121" spans="1:2">
      <c r="A2121" t="s">
        <v>214</v>
      </c>
      <c r="B2121">
        <v>1595</v>
      </c>
    </row>
    <row r="2122" spans="1:2">
      <c r="A2122" t="s">
        <v>215</v>
      </c>
      <c r="B2122">
        <v>1915</v>
      </c>
    </row>
    <row r="2123" spans="1:2">
      <c r="A2123" t="s">
        <v>2009</v>
      </c>
      <c r="B2123">
        <v>1915</v>
      </c>
    </row>
    <row r="2124" spans="1:2">
      <c r="A2124" t="s">
        <v>586</v>
      </c>
      <c r="B2124">
        <v>5425</v>
      </c>
    </row>
    <row r="2126" spans="1:2">
      <c r="A2126" t="s">
        <v>268</v>
      </c>
    </row>
    <row r="2127" spans="1:2">
      <c r="A2127" t="s">
        <v>699</v>
      </c>
      <c r="B2127">
        <v>3715</v>
      </c>
    </row>
    <row r="2128" spans="1:2">
      <c r="A2128" t="s">
        <v>588</v>
      </c>
      <c r="B2128">
        <v>11145</v>
      </c>
    </row>
    <row r="2131" spans="1:2">
      <c r="A2131" t="s">
        <v>769</v>
      </c>
    </row>
    <row r="2133" spans="1:2">
      <c r="A2133" t="s">
        <v>1180</v>
      </c>
    </row>
    <row r="2134" spans="1:2">
      <c r="A2134" t="s">
        <v>1178</v>
      </c>
      <c r="B2134">
        <v>1125</v>
      </c>
    </row>
    <row r="2135" spans="1:2">
      <c r="A2135" t="s">
        <v>1179</v>
      </c>
      <c r="B2135">
        <v>1125</v>
      </c>
    </row>
    <row r="2136" spans="1:2">
      <c r="A2136" t="s">
        <v>2030</v>
      </c>
      <c r="B2136">
        <v>1125</v>
      </c>
    </row>
    <row r="2137" spans="1:2">
      <c r="A2137" t="s">
        <v>586</v>
      </c>
      <c r="B2137">
        <v>3375</v>
      </c>
    </row>
    <row r="2138" spans="1:2">
      <c r="A2138" t="s">
        <v>770</v>
      </c>
      <c r="B2138">
        <v>7770</v>
      </c>
    </row>
    <row r="2139" spans="1:2">
      <c r="A2139" t="s">
        <v>770</v>
      </c>
      <c r="B2139">
        <v>0.69717362045760434</v>
      </c>
    </row>
    <row r="2141" spans="1:2">
      <c r="A2141" t="s">
        <v>1181</v>
      </c>
    </row>
    <row r="2142" spans="1:2">
      <c r="A2142" t="s">
        <v>1182</v>
      </c>
      <c r="B2142">
        <v>1595</v>
      </c>
    </row>
    <row r="2143" spans="1:2">
      <c r="A2143" t="s">
        <v>1179</v>
      </c>
      <c r="B2143">
        <v>1180</v>
      </c>
    </row>
    <row r="2144" spans="1:2">
      <c r="A2144" t="s">
        <v>2030</v>
      </c>
      <c r="B2144">
        <v>1180</v>
      </c>
    </row>
    <row r="2145" spans="1:2">
      <c r="A2145" t="s">
        <v>586</v>
      </c>
      <c r="B2145">
        <v>3955</v>
      </c>
    </row>
    <row r="2146" spans="1:2">
      <c r="A2146" t="s">
        <v>770</v>
      </c>
      <c r="B2146">
        <v>7190</v>
      </c>
    </row>
    <row r="2147" spans="1:2">
      <c r="A2147" t="s">
        <v>770</v>
      </c>
      <c r="B2147">
        <v>0.64513234634365191</v>
      </c>
    </row>
    <row r="2149" spans="1:2">
      <c r="A2149" t="s">
        <v>2031</v>
      </c>
    </row>
    <row r="2150" spans="1:2">
      <c r="A2150" t="s">
        <v>1182</v>
      </c>
      <c r="B2150">
        <v>1595</v>
      </c>
    </row>
    <row r="2151" spans="1:2">
      <c r="A2151" t="s">
        <v>2032</v>
      </c>
      <c r="B2151">
        <v>1915</v>
      </c>
    </row>
    <row r="2152" spans="1:2">
      <c r="A2152" t="s">
        <v>2030</v>
      </c>
      <c r="B2152">
        <v>1180</v>
      </c>
    </row>
    <row r="2153" spans="1:2">
      <c r="A2153" t="s">
        <v>586</v>
      </c>
      <c r="B2153">
        <v>4690</v>
      </c>
    </row>
    <row r="2154" spans="1:2">
      <c r="A2154" t="s">
        <v>770</v>
      </c>
      <c r="B2154">
        <v>6455</v>
      </c>
    </row>
    <row r="2155" spans="1:2">
      <c r="A2155" t="s">
        <v>770</v>
      </c>
      <c r="B2155">
        <v>0.57918349035441907</v>
      </c>
    </row>
    <row r="2157" spans="1:2">
      <c r="A2157" t="s">
        <v>1943</v>
      </c>
      <c r="B2157">
        <v>1239</v>
      </c>
    </row>
    <row r="2159" spans="1:2" s="344" customFormat="1">
      <c r="A2159" s="345" t="s">
        <v>1940</v>
      </c>
    </row>
    <row r="2161" spans="1:2">
      <c r="A2161" t="s">
        <v>753</v>
      </c>
      <c r="B2161" s="346">
        <v>1595</v>
      </c>
    </row>
    <row r="2163" spans="1:2">
      <c r="A2163" t="s">
        <v>581</v>
      </c>
    </row>
    <row r="2164" spans="1:2">
      <c r="A2164" t="s">
        <v>214</v>
      </c>
      <c r="B2164">
        <v>1595</v>
      </c>
    </row>
    <row r="2165" spans="1:2">
      <c r="A2165" t="s">
        <v>215</v>
      </c>
      <c r="B2165">
        <v>1915</v>
      </c>
    </row>
    <row r="2166" spans="1:2">
      <c r="A2166" t="s">
        <v>2009</v>
      </c>
      <c r="B2166">
        <v>1915</v>
      </c>
    </row>
    <row r="2167" spans="1:2">
      <c r="A2167" t="s">
        <v>586</v>
      </c>
      <c r="B2167">
        <v>5425</v>
      </c>
    </row>
    <row r="2169" spans="1:2">
      <c r="A2169" t="s">
        <v>268</v>
      </c>
    </row>
    <row r="2170" spans="1:2">
      <c r="A2170" t="s">
        <v>699</v>
      </c>
      <c r="B2170">
        <v>3290</v>
      </c>
    </row>
    <row r="2171" spans="1:2">
      <c r="A2171" t="s">
        <v>588</v>
      </c>
      <c r="B2171">
        <v>9870</v>
      </c>
    </row>
    <row r="2174" spans="1:2">
      <c r="A2174" t="s">
        <v>769</v>
      </c>
    </row>
    <row r="2176" spans="1:2">
      <c r="A2176" t="s">
        <v>1180</v>
      </c>
    </row>
    <row r="2177" spans="1:2">
      <c r="A2177" t="s">
        <v>1178</v>
      </c>
      <c r="B2177">
        <v>1210</v>
      </c>
    </row>
    <row r="2178" spans="1:2">
      <c r="A2178" t="s">
        <v>1179</v>
      </c>
      <c r="B2178">
        <v>1210</v>
      </c>
    </row>
    <row r="2179" spans="1:2">
      <c r="A2179" t="s">
        <v>2030</v>
      </c>
      <c r="B2179">
        <v>1210</v>
      </c>
    </row>
    <row r="2180" spans="1:2">
      <c r="A2180" t="s">
        <v>586</v>
      </c>
      <c r="B2180">
        <v>3630</v>
      </c>
    </row>
    <row r="2181" spans="1:2">
      <c r="A2181" t="s">
        <v>770</v>
      </c>
      <c r="B2181">
        <v>6240</v>
      </c>
    </row>
    <row r="2182" spans="1:2">
      <c r="A2182" t="s">
        <v>770</v>
      </c>
      <c r="B2182">
        <v>0.63221884498480241</v>
      </c>
    </row>
    <row r="2184" spans="1:2">
      <c r="A2184" t="s">
        <v>1181</v>
      </c>
    </row>
    <row r="2185" spans="1:2">
      <c r="A2185" t="s">
        <v>1182</v>
      </c>
      <c r="B2185">
        <v>1595</v>
      </c>
    </row>
    <row r="2186" spans="1:2">
      <c r="A2186" t="s">
        <v>1179</v>
      </c>
      <c r="B2186">
        <v>1270</v>
      </c>
    </row>
    <row r="2187" spans="1:2">
      <c r="A2187" t="s">
        <v>2030</v>
      </c>
      <c r="B2187">
        <v>1270</v>
      </c>
    </row>
    <row r="2188" spans="1:2">
      <c r="A2188" t="s">
        <v>586</v>
      </c>
      <c r="B2188">
        <v>4135</v>
      </c>
    </row>
    <row r="2189" spans="1:2">
      <c r="A2189" t="s">
        <v>770</v>
      </c>
      <c r="B2189">
        <v>5735</v>
      </c>
    </row>
    <row r="2190" spans="1:2">
      <c r="A2190" t="s">
        <v>770</v>
      </c>
      <c r="B2190">
        <v>0.58105369807497464</v>
      </c>
    </row>
    <row r="2192" spans="1:2">
      <c r="A2192" t="s">
        <v>2031</v>
      </c>
    </row>
    <row r="2193" spans="1:2">
      <c r="A2193" t="s">
        <v>1182</v>
      </c>
      <c r="B2193">
        <v>1595</v>
      </c>
    </row>
    <row r="2194" spans="1:2">
      <c r="A2194" t="s">
        <v>2032</v>
      </c>
      <c r="B2194">
        <v>1915</v>
      </c>
    </row>
    <row r="2195" spans="1:2">
      <c r="A2195" t="s">
        <v>2030</v>
      </c>
      <c r="B2195">
        <v>1270</v>
      </c>
    </row>
    <row r="2196" spans="1:2">
      <c r="A2196" t="s">
        <v>586</v>
      </c>
      <c r="B2196">
        <v>4780</v>
      </c>
    </row>
    <row r="2197" spans="1:2">
      <c r="A2197" t="s">
        <v>770</v>
      </c>
      <c r="B2197">
        <v>5090</v>
      </c>
    </row>
    <row r="2198" spans="1:2">
      <c r="A2198" t="s">
        <v>770</v>
      </c>
      <c r="B2198">
        <v>0.51570415400202629</v>
      </c>
    </row>
    <row r="2200" spans="1:2">
      <c r="A2200" t="s">
        <v>1943</v>
      </c>
      <c r="B2200">
        <v>1333.5</v>
      </c>
    </row>
    <row r="2202" spans="1:2" s="344" customFormat="1">
      <c r="A2202" s="345" t="s">
        <v>1936</v>
      </c>
    </row>
    <row r="2204" spans="1:2">
      <c r="A2204" t="s">
        <v>753</v>
      </c>
      <c r="B2204" s="346">
        <v>1595</v>
      </c>
    </row>
    <row r="2206" spans="1:2">
      <c r="A2206" t="s">
        <v>581</v>
      </c>
    </row>
    <row r="2207" spans="1:2">
      <c r="A2207" t="s">
        <v>214</v>
      </c>
      <c r="B2207">
        <v>1595</v>
      </c>
    </row>
    <row r="2208" spans="1:2">
      <c r="A2208" t="s">
        <v>215</v>
      </c>
      <c r="B2208">
        <v>1915</v>
      </c>
    </row>
    <row r="2209" spans="1:2">
      <c r="A2209" t="s">
        <v>2009</v>
      </c>
      <c r="B2209">
        <v>1915</v>
      </c>
    </row>
    <row r="2210" spans="1:2">
      <c r="A2210" t="s">
        <v>586</v>
      </c>
      <c r="B2210">
        <v>5425</v>
      </c>
    </row>
    <row r="2212" spans="1:2">
      <c r="A2212" t="s">
        <v>268</v>
      </c>
    </row>
    <row r="2213" spans="1:2">
      <c r="A2213" t="s">
        <v>699</v>
      </c>
      <c r="B2213">
        <v>2565</v>
      </c>
    </row>
    <row r="2214" spans="1:2">
      <c r="A2214" t="s">
        <v>588</v>
      </c>
      <c r="B2214">
        <v>7695</v>
      </c>
    </row>
    <row r="2217" spans="1:2">
      <c r="A2217" t="s">
        <v>769</v>
      </c>
    </row>
    <row r="2219" spans="1:2">
      <c r="A2219" t="s">
        <v>1180</v>
      </c>
    </row>
    <row r="2220" spans="1:2">
      <c r="A2220" t="s">
        <v>1178</v>
      </c>
      <c r="B2220">
        <v>750</v>
      </c>
    </row>
    <row r="2221" spans="1:2">
      <c r="A2221" t="s">
        <v>1179</v>
      </c>
      <c r="B2221">
        <v>750</v>
      </c>
    </row>
    <row r="2222" spans="1:2">
      <c r="A2222" t="s">
        <v>2030</v>
      </c>
      <c r="B2222">
        <v>750</v>
      </c>
    </row>
    <row r="2223" spans="1:2">
      <c r="A2223" t="s">
        <v>586</v>
      </c>
      <c r="B2223">
        <v>2250</v>
      </c>
    </row>
    <row r="2224" spans="1:2">
      <c r="A2224" t="s">
        <v>770</v>
      </c>
      <c r="B2224">
        <v>5445</v>
      </c>
    </row>
    <row r="2225" spans="1:2">
      <c r="A2225" t="s">
        <v>770</v>
      </c>
      <c r="B2225">
        <v>0.70760233918128657</v>
      </c>
    </row>
    <row r="2227" spans="1:2">
      <c r="A2227" t="s">
        <v>1181</v>
      </c>
    </row>
    <row r="2228" spans="1:2">
      <c r="A2228" t="s">
        <v>1182</v>
      </c>
      <c r="B2228">
        <v>1595</v>
      </c>
    </row>
    <row r="2229" spans="1:2">
      <c r="A2229" t="s">
        <v>1179</v>
      </c>
      <c r="B2229">
        <v>790</v>
      </c>
    </row>
    <row r="2230" spans="1:2">
      <c r="A2230" t="s">
        <v>2030</v>
      </c>
      <c r="B2230">
        <v>790</v>
      </c>
    </row>
    <row r="2231" spans="1:2">
      <c r="A2231" t="s">
        <v>586</v>
      </c>
      <c r="B2231">
        <v>3175</v>
      </c>
    </row>
    <row r="2232" spans="1:2">
      <c r="A2232" t="s">
        <v>770</v>
      </c>
      <c r="B2232">
        <v>4520</v>
      </c>
    </row>
    <row r="2233" spans="1:2">
      <c r="A2233" t="s">
        <v>770</v>
      </c>
      <c r="B2233">
        <v>0.58739441195581543</v>
      </c>
    </row>
    <row r="2235" spans="1:2">
      <c r="A2235" t="s">
        <v>2031</v>
      </c>
    </row>
    <row r="2236" spans="1:2">
      <c r="A2236" t="s">
        <v>1182</v>
      </c>
      <c r="B2236">
        <v>1595</v>
      </c>
    </row>
    <row r="2237" spans="1:2">
      <c r="A2237" t="s">
        <v>2032</v>
      </c>
      <c r="B2237">
        <v>1915</v>
      </c>
    </row>
    <row r="2238" spans="1:2">
      <c r="A2238" t="s">
        <v>2030</v>
      </c>
      <c r="B2238">
        <v>790</v>
      </c>
    </row>
    <row r="2239" spans="1:2">
      <c r="A2239" t="s">
        <v>586</v>
      </c>
      <c r="B2239">
        <v>4300</v>
      </c>
    </row>
    <row r="2240" spans="1:2">
      <c r="A2240" t="s">
        <v>770</v>
      </c>
      <c r="B2240">
        <v>3395</v>
      </c>
    </row>
    <row r="2241" spans="1:2">
      <c r="A2241" t="s">
        <v>770</v>
      </c>
      <c r="B2241">
        <v>0.44119558154645871</v>
      </c>
    </row>
    <row r="2243" spans="1:2">
      <c r="A2243" t="s">
        <v>1943</v>
      </c>
      <c r="B2243">
        <v>829.5</v>
      </c>
    </row>
    <row r="2245" spans="1:2" s="344" customFormat="1">
      <c r="A2245" s="345" t="s">
        <v>735</v>
      </c>
    </row>
    <row r="2247" spans="1:2">
      <c r="A2247" t="s">
        <v>753</v>
      </c>
      <c r="B2247" s="346">
        <v>365</v>
      </c>
    </row>
    <row r="2249" spans="1:2">
      <c r="A2249" t="s">
        <v>581</v>
      </c>
    </row>
    <row r="2250" spans="1:2">
      <c r="A2250" t="s">
        <v>214</v>
      </c>
      <c r="B2250">
        <v>365</v>
      </c>
    </row>
    <row r="2251" spans="1:2">
      <c r="A2251" t="s">
        <v>215</v>
      </c>
      <c r="B2251">
        <v>440</v>
      </c>
    </row>
    <row r="2252" spans="1:2">
      <c r="A2252" t="s">
        <v>2009</v>
      </c>
      <c r="B2252">
        <v>440</v>
      </c>
    </row>
    <row r="2253" spans="1:2">
      <c r="A2253" t="s">
        <v>586</v>
      </c>
      <c r="B2253">
        <v>1245</v>
      </c>
    </row>
    <row r="2255" spans="1:2">
      <c r="A2255" t="s">
        <v>268</v>
      </c>
    </row>
    <row r="2256" spans="1:2">
      <c r="A2256" t="s">
        <v>699</v>
      </c>
      <c r="B2256">
        <v>3715</v>
      </c>
    </row>
    <row r="2257" spans="1:2">
      <c r="A2257" t="s">
        <v>588</v>
      </c>
      <c r="B2257">
        <v>11145</v>
      </c>
    </row>
    <row r="2260" spans="1:2">
      <c r="A2260" t="s">
        <v>769</v>
      </c>
    </row>
    <row r="2262" spans="1:2">
      <c r="A2262" t="s">
        <v>1180</v>
      </c>
    </row>
    <row r="2263" spans="1:2">
      <c r="A2263" t="s">
        <v>1178</v>
      </c>
      <c r="B2263">
        <v>1125</v>
      </c>
    </row>
    <row r="2264" spans="1:2">
      <c r="A2264" t="s">
        <v>1179</v>
      </c>
      <c r="B2264">
        <v>1125</v>
      </c>
    </row>
    <row r="2265" spans="1:2">
      <c r="A2265" t="s">
        <v>2030</v>
      </c>
      <c r="B2265">
        <v>1125</v>
      </c>
    </row>
    <row r="2266" spans="1:2">
      <c r="A2266" t="s">
        <v>586</v>
      </c>
      <c r="B2266">
        <v>3375</v>
      </c>
    </row>
    <row r="2267" spans="1:2">
      <c r="A2267" t="s">
        <v>770</v>
      </c>
      <c r="B2267">
        <v>7770</v>
      </c>
    </row>
    <row r="2268" spans="1:2">
      <c r="A2268" t="s">
        <v>770</v>
      </c>
      <c r="B2268">
        <v>0.69717362045760434</v>
      </c>
    </row>
    <row r="2270" spans="1:2">
      <c r="A2270" t="s">
        <v>1181</v>
      </c>
    </row>
    <row r="2271" spans="1:2">
      <c r="A2271" t="s">
        <v>1182</v>
      </c>
      <c r="B2271">
        <v>365</v>
      </c>
    </row>
    <row r="2272" spans="1:2">
      <c r="A2272" t="s">
        <v>1179</v>
      </c>
      <c r="B2272">
        <v>1180</v>
      </c>
    </row>
    <row r="2273" spans="1:2">
      <c r="A2273" t="s">
        <v>2030</v>
      </c>
      <c r="B2273">
        <v>1180</v>
      </c>
    </row>
    <row r="2274" spans="1:2">
      <c r="A2274" t="s">
        <v>586</v>
      </c>
      <c r="B2274">
        <v>2725</v>
      </c>
    </row>
    <row r="2275" spans="1:2">
      <c r="A2275" t="s">
        <v>770</v>
      </c>
      <c r="B2275">
        <v>8420</v>
      </c>
    </row>
    <row r="2276" spans="1:2">
      <c r="A2276" t="s">
        <v>770</v>
      </c>
      <c r="B2276">
        <v>0.75549573799910275</v>
      </c>
    </row>
    <row r="2278" spans="1:2">
      <c r="A2278" t="s">
        <v>2031</v>
      </c>
    </row>
    <row r="2279" spans="1:2">
      <c r="A2279" t="s">
        <v>1182</v>
      </c>
      <c r="B2279">
        <v>365</v>
      </c>
    </row>
    <row r="2280" spans="1:2">
      <c r="A2280" t="s">
        <v>2032</v>
      </c>
      <c r="B2280">
        <v>440</v>
      </c>
    </row>
    <row r="2281" spans="1:2">
      <c r="A2281" t="s">
        <v>2030</v>
      </c>
      <c r="B2281">
        <v>1180</v>
      </c>
    </row>
    <row r="2282" spans="1:2">
      <c r="A2282" t="s">
        <v>586</v>
      </c>
      <c r="B2282">
        <v>1985</v>
      </c>
    </row>
    <row r="2283" spans="1:2">
      <c r="A2283" t="s">
        <v>770</v>
      </c>
      <c r="B2283">
        <v>9160</v>
      </c>
    </row>
    <row r="2284" spans="1:2">
      <c r="A2284" t="s">
        <v>770</v>
      </c>
      <c r="B2284">
        <v>0.82189322566173173</v>
      </c>
    </row>
    <row r="2286" spans="1:2">
      <c r="A2286" t="s">
        <v>1943</v>
      </c>
      <c r="B2286">
        <v>1239</v>
      </c>
    </row>
    <row r="2288" spans="1:2" s="344" customFormat="1">
      <c r="A2288" s="345" t="s">
        <v>1941</v>
      </c>
    </row>
    <row r="2290" spans="1:2">
      <c r="A2290" t="s">
        <v>753</v>
      </c>
      <c r="B2290" s="346">
        <v>365</v>
      </c>
    </row>
    <row r="2292" spans="1:2">
      <c r="A2292" t="s">
        <v>581</v>
      </c>
    </row>
    <row r="2293" spans="1:2">
      <c r="A2293" t="s">
        <v>214</v>
      </c>
      <c r="B2293">
        <v>365</v>
      </c>
    </row>
    <row r="2294" spans="1:2">
      <c r="A2294" t="s">
        <v>215</v>
      </c>
      <c r="B2294">
        <v>440</v>
      </c>
    </row>
    <row r="2295" spans="1:2">
      <c r="A2295" t="s">
        <v>2009</v>
      </c>
      <c r="B2295">
        <v>440</v>
      </c>
    </row>
    <row r="2296" spans="1:2">
      <c r="A2296" t="s">
        <v>586</v>
      </c>
      <c r="B2296">
        <v>1245</v>
      </c>
    </row>
    <row r="2298" spans="1:2">
      <c r="A2298" t="s">
        <v>268</v>
      </c>
    </row>
    <row r="2299" spans="1:2">
      <c r="A2299" t="s">
        <v>699</v>
      </c>
      <c r="B2299">
        <v>3290</v>
      </c>
    </row>
    <row r="2300" spans="1:2">
      <c r="A2300" t="s">
        <v>588</v>
      </c>
      <c r="B2300">
        <v>9870</v>
      </c>
    </row>
    <row r="2303" spans="1:2">
      <c r="A2303" t="s">
        <v>769</v>
      </c>
    </row>
    <row r="2305" spans="1:2">
      <c r="A2305" t="s">
        <v>1180</v>
      </c>
    </row>
    <row r="2306" spans="1:2">
      <c r="A2306" t="s">
        <v>1178</v>
      </c>
      <c r="B2306">
        <v>1210</v>
      </c>
    </row>
    <row r="2307" spans="1:2">
      <c r="A2307" t="s">
        <v>1179</v>
      </c>
      <c r="B2307">
        <v>1210</v>
      </c>
    </row>
    <row r="2308" spans="1:2">
      <c r="A2308" t="s">
        <v>2030</v>
      </c>
      <c r="B2308">
        <v>1210</v>
      </c>
    </row>
    <row r="2309" spans="1:2">
      <c r="A2309" t="s">
        <v>586</v>
      </c>
      <c r="B2309">
        <v>3630</v>
      </c>
    </row>
    <row r="2310" spans="1:2">
      <c r="A2310" t="s">
        <v>770</v>
      </c>
      <c r="B2310">
        <v>6240</v>
      </c>
    </row>
    <row r="2311" spans="1:2">
      <c r="A2311" t="s">
        <v>770</v>
      </c>
      <c r="B2311">
        <v>0.63221884498480241</v>
      </c>
    </row>
    <row r="2313" spans="1:2">
      <c r="A2313" t="s">
        <v>1181</v>
      </c>
    </row>
    <row r="2314" spans="1:2">
      <c r="A2314" t="s">
        <v>1182</v>
      </c>
      <c r="B2314">
        <v>365</v>
      </c>
    </row>
    <row r="2315" spans="1:2">
      <c r="A2315" t="s">
        <v>1179</v>
      </c>
      <c r="B2315">
        <v>1270</v>
      </c>
    </row>
    <row r="2316" spans="1:2">
      <c r="A2316" t="s">
        <v>2030</v>
      </c>
      <c r="B2316">
        <v>1270</v>
      </c>
    </row>
    <row r="2317" spans="1:2">
      <c r="A2317" t="s">
        <v>586</v>
      </c>
      <c r="B2317">
        <v>2905</v>
      </c>
    </row>
    <row r="2318" spans="1:2">
      <c r="A2318" t="s">
        <v>770</v>
      </c>
      <c r="B2318">
        <v>6965</v>
      </c>
    </row>
    <row r="2319" spans="1:2">
      <c r="A2319" t="s">
        <v>770</v>
      </c>
      <c r="B2319">
        <v>0.70567375886524819</v>
      </c>
    </row>
    <row r="2321" spans="1:2">
      <c r="A2321" t="s">
        <v>2031</v>
      </c>
    </row>
    <row r="2322" spans="1:2">
      <c r="A2322" t="s">
        <v>1182</v>
      </c>
      <c r="B2322">
        <v>365</v>
      </c>
    </row>
    <row r="2323" spans="1:2">
      <c r="A2323" t="s">
        <v>2032</v>
      </c>
      <c r="B2323">
        <v>440</v>
      </c>
    </row>
    <row r="2324" spans="1:2">
      <c r="A2324" t="s">
        <v>2030</v>
      </c>
      <c r="B2324">
        <v>1270</v>
      </c>
    </row>
    <row r="2325" spans="1:2">
      <c r="A2325" t="s">
        <v>586</v>
      </c>
      <c r="B2325">
        <v>2075</v>
      </c>
    </row>
    <row r="2326" spans="1:2">
      <c r="A2326" t="s">
        <v>770</v>
      </c>
      <c r="B2326">
        <v>7795</v>
      </c>
    </row>
    <row r="2327" spans="1:2">
      <c r="A2327" t="s">
        <v>770</v>
      </c>
      <c r="B2327">
        <v>0.78976697061803447</v>
      </c>
    </row>
    <row r="2329" spans="1:2">
      <c r="A2329" t="s">
        <v>1943</v>
      </c>
      <c r="B2329">
        <v>1333.5</v>
      </c>
    </row>
    <row r="2331" spans="1:2" s="344" customFormat="1">
      <c r="A2331" s="345" t="s">
        <v>1942</v>
      </c>
    </row>
    <row r="2333" spans="1:2">
      <c r="A2333" t="s">
        <v>753</v>
      </c>
      <c r="B2333" s="346">
        <v>365</v>
      </c>
    </row>
    <row r="2335" spans="1:2">
      <c r="A2335" t="s">
        <v>581</v>
      </c>
    </row>
    <row r="2336" spans="1:2">
      <c r="A2336" t="s">
        <v>214</v>
      </c>
      <c r="B2336">
        <v>365</v>
      </c>
    </row>
    <row r="2337" spans="1:2">
      <c r="A2337" t="s">
        <v>215</v>
      </c>
      <c r="B2337">
        <v>440</v>
      </c>
    </row>
    <row r="2338" spans="1:2">
      <c r="A2338" t="s">
        <v>2009</v>
      </c>
      <c r="B2338">
        <v>440</v>
      </c>
    </row>
    <row r="2339" spans="1:2">
      <c r="A2339" t="s">
        <v>586</v>
      </c>
      <c r="B2339">
        <v>1245</v>
      </c>
    </row>
    <row r="2341" spans="1:2">
      <c r="A2341" t="s">
        <v>268</v>
      </c>
    </row>
    <row r="2342" spans="1:2">
      <c r="A2342" t="s">
        <v>699</v>
      </c>
      <c r="B2342">
        <v>2565</v>
      </c>
    </row>
    <row r="2343" spans="1:2">
      <c r="A2343" t="s">
        <v>588</v>
      </c>
      <c r="B2343">
        <v>7695</v>
      </c>
    </row>
    <row r="2346" spans="1:2">
      <c r="A2346" t="s">
        <v>769</v>
      </c>
    </row>
    <row r="2348" spans="1:2">
      <c r="A2348" t="s">
        <v>1180</v>
      </c>
    </row>
    <row r="2349" spans="1:2">
      <c r="A2349" t="s">
        <v>1178</v>
      </c>
      <c r="B2349">
        <v>750</v>
      </c>
    </row>
    <row r="2350" spans="1:2">
      <c r="A2350" t="s">
        <v>1179</v>
      </c>
      <c r="B2350">
        <v>750</v>
      </c>
    </row>
    <row r="2351" spans="1:2">
      <c r="A2351" t="s">
        <v>2030</v>
      </c>
      <c r="B2351">
        <v>750</v>
      </c>
    </row>
    <row r="2352" spans="1:2">
      <c r="A2352" t="s">
        <v>586</v>
      </c>
      <c r="B2352">
        <v>2250</v>
      </c>
    </row>
    <row r="2353" spans="1:2">
      <c r="A2353" t="s">
        <v>770</v>
      </c>
      <c r="B2353">
        <v>5445</v>
      </c>
    </row>
    <row r="2354" spans="1:2">
      <c r="A2354" t="s">
        <v>770</v>
      </c>
      <c r="B2354">
        <v>0.70760233918128657</v>
      </c>
    </row>
    <row r="2356" spans="1:2">
      <c r="A2356" t="s">
        <v>1181</v>
      </c>
    </row>
    <row r="2357" spans="1:2">
      <c r="A2357" t="s">
        <v>1182</v>
      </c>
      <c r="B2357">
        <v>365</v>
      </c>
    </row>
    <row r="2358" spans="1:2">
      <c r="A2358" t="s">
        <v>1179</v>
      </c>
      <c r="B2358">
        <v>790</v>
      </c>
    </row>
    <row r="2359" spans="1:2">
      <c r="A2359" t="s">
        <v>2030</v>
      </c>
      <c r="B2359">
        <v>790</v>
      </c>
    </row>
    <row r="2360" spans="1:2">
      <c r="A2360" t="s">
        <v>586</v>
      </c>
      <c r="B2360">
        <v>1945</v>
      </c>
    </row>
    <row r="2361" spans="1:2">
      <c r="A2361" t="s">
        <v>770</v>
      </c>
      <c r="B2361">
        <v>5750</v>
      </c>
    </row>
    <row r="2362" spans="1:2">
      <c r="A2362" t="s">
        <v>770</v>
      </c>
      <c r="B2362">
        <v>0.74723846653671211</v>
      </c>
    </row>
    <row r="2364" spans="1:2">
      <c r="A2364" t="s">
        <v>2031</v>
      </c>
    </row>
    <row r="2365" spans="1:2">
      <c r="A2365" t="s">
        <v>1182</v>
      </c>
      <c r="B2365">
        <v>365</v>
      </c>
    </row>
    <row r="2366" spans="1:2">
      <c r="A2366" t="s">
        <v>2032</v>
      </c>
      <c r="B2366">
        <v>440</v>
      </c>
    </row>
    <row r="2367" spans="1:2">
      <c r="A2367" t="s">
        <v>2030</v>
      </c>
      <c r="B2367">
        <v>790</v>
      </c>
    </row>
    <row r="2368" spans="1:2">
      <c r="A2368" t="s">
        <v>586</v>
      </c>
      <c r="B2368">
        <v>1595</v>
      </c>
    </row>
    <row r="2369" spans="1:2">
      <c r="A2369" t="s">
        <v>770</v>
      </c>
      <c r="B2369">
        <v>6100</v>
      </c>
    </row>
    <row r="2370" spans="1:2">
      <c r="A2370" t="s">
        <v>770</v>
      </c>
      <c r="B2370">
        <v>0.79272254710851198</v>
      </c>
    </row>
    <row r="2372" spans="1:2">
      <c r="A2372" t="s">
        <v>1943</v>
      </c>
      <c r="B2372">
        <v>829.5</v>
      </c>
    </row>
    <row r="2374" spans="1:2" s="344" customFormat="1">
      <c r="A2374" s="345" t="s">
        <v>1733</v>
      </c>
    </row>
    <row r="2376" spans="1:2">
      <c r="A2376" t="s">
        <v>753</v>
      </c>
      <c r="B2376" s="346">
        <v>1660</v>
      </c>
    </row>
    <row r="2378" spans="1:2">
      <c r="A2378" t="s">
        <v>581</v>
      </c>
    </row>
    <row r="2379" spans="1:2">
      <c r="A2379" t="s">
        <v>214</v>
      </c>
      <c r="B2379">
        <v>1660</v>
      </c>
    </row>
    <row r="2380" spans="1:2">
      <c r="A2380" t="s">
        <v>215</v>
      </c>
      <c r="B2380">
        <v>1990</v>
      </c>
    </row>
    <row r="2381" spans="1:2">
      <c r="A2381" t="s">
        <v>2009</v>
      </c>
      <c r="B2381">
        <v>1990</v>
      </c>
    </row>
    <row r="2382" spans="1:2">
      <c r="A2382" t="s">
        <v>586</v>
      </c>
      <c r="B2382">
        <v>5640</v>
      </c>
    </row>
    <row r="2384" spans="1:2">
      <c r="A2384" t="s">
        <v>268</v>
      </c>
    </row>
    <row r="2385" spans="1:2">
      <c r="A2385" t="s">
        <v>699</v>
      </c>
      <c r="B2385">
        <v>3275</v>
      </c>
    </row>
    <row r="2386" spans="1:2">
      <c r="A2386" t="s">
        <v>588</v>
      </c>
      <c r="B2386">
        <v>9825</v>
      </c>
    </row>
    <row r="2389" spans="1:2">
      <c r="A2389" t="s">
        <v>769</v>
      </c>
    </row>
    <row r="2391" spans="1:2">
      <c r="A2391" t="s">
        <v>1180</v>
      </c>
    </row>
    <row r="2392" spans="1:2">
      <c r="A2392" t="s">
        <v>1178</v>
      </c>
      <c r="B2392">
        <v>1305</v>
      </c>
    </row>
    <row r="2393" spans="1:2">
      <c r="A2393" t="s">
        <v>1179</v>
      </c>
      <c r="B2393">
        <v>1305</v>
      </c>
    </row>
    <row r="2394" spans="1:2">
      <c r="A2394" t="s">
        <v>2030</v>
      </c>
      <c r="B2394">
        <v>1305</v>
      </c>
    </row>
    <row r="2395" spans="1:2">
      <c r="A2395" t="s">
        <v>586</v>
      </c>
      <c r="B2395">
        <v>3915</v>
      </c>
    </row>
    <row r="2396" spans="1:2">
      <c r="A2396" t="s">
        <v>770</v>
      </c>
      <c r="B2396">
        <v>5910</v>
      </c>
    </row>
    <row r="2397" spans="1:2">
      <c r="A2397" t="s">
        <v>770</v>
      </c>
      <c r="B2397">
        <v>0.60152671755725196</v>
      </c>
    </row>
    <row r="2399" spans="1:2">
      <c r="A2399" t="s">
        <v>1181</v>
      </c>
    </row>
    <row r="2400" spans="1:2">
      <c r="A2400" t="s">
        <v>1182</v>
      </c>
      <c r="B2400">
        <v>1660</v>
      </c>
    </row>
    <row r="2401" spans="1:2">
      <c r="A2401" t="s">
        <v>1179</v>
      </c>
      <c r="B2401">
        <v>1370</v>
      </c>
    </row>
    <row r="2402" spans="1:2">
      <c r="A2402" t="s">
        <v>2030</v>
      </c>
      <c r="B2402">
        <v>1370</v>
      </c>
    </row>
    <row r="2403" spans="1:2">
      <c r="A2403" t="s">
        <v>586</v>
      </c>
      <c r="B2403">
        <v>4400</v>
      </c>
    </row>
    <row r="2404" spans="1:2">
      <c r="A2404" t="s">
        <v>770</v>
      </c>
      <c r="B2404">
        <v>5425</v>
      </c>
    </row>
    <row r="2405" spans="1:2">
      <c r="A2405" t="s">
        <v>770</v>
      </c>
      <c r="B2405">
        <v>0.55216284987277353</v>
      </c>
    </row>
    <row r="2407" spans="1:2">
      <c r="A2407" t="s">
        <v>2031</v>
      </c>
    </row>
    <row r="2408" spans="1:2">
      <c r="A2408" t="s">
        <v>1182</v>
      </c>
      <c r="B2408">
        <v>1660</v>
      </c>
    </row>
    <row r="2409" spans="1:2">
      <c r="A2409" t="s">
        <v>2032</v>
      </c>
      <c r="B2409">
        <v>1990</v>
      </c>
    </row>
    <row r="2410" spans="1:2">
      <c r="A2410" t="s">
        <v>2030</v>
      </c>
      <c r="B2410">
        <v>1370</v>
      </c>
    </row>
    <row r="2411" spans="1:2">
      <c r="A2411" t="s">
        <v>586</v>
      </c>
      <c r="B2411">
        <v>5020</v>
      </c>
    </row>
    <row r="2412" spans="1:2">
      <c r="A2412" t="s">
        <v>770</v>
      </c>
      <c r="B2412">
        <v>4805</v>
      </c>
    </row>
    <row r="2413" spans="1:2">
      <c r="A2413" t="s">
        <v>770</v>
      </c>
      <c r="B2413">
        <v>0.48905852417302798</v>
      </c>
    </row>
    <row r="2415" spans="1:2">
      <c r="A2415" t="s">
        <v>1943</v>
      </c>
      <c r="B2415">
        <v>1438.5</v>
      </c>
    </row>
    <row r="2417" spans="1:2" s="344" customFormat="1">
      <c r="A2417" s="345" t="s">
        <v>736</v>
      </c>
    </row>
    <row r="2419" spans="1:2">
      <c r="A2419" t="s">
        <v>753</v>
      </c>
      <c r="B2419" s="346">
        <v>1175</v>
      </c>
    </row>
    <row r="2421" spans="1:2">
      <c r="A2421" t="s">
        <v>581</v>
      </c>
    </row>
    <row r="2422" spans="1:2">
      <c r="A2422" t="s">
        <v>214</v>
      </c>
      <c r="B2422">
        <v>1175</v>
      </c>
    </row>
    <row r="2423" spans="1:2">
      <c r="A2423" t="s">
        <v>215</v>
      </c>
      <c r="B2423">
        <v>1410</v>
      </c>
    </row>
    <row r="2424" spans="1:2">
      <c r="A2424" t="s">
        <v>2009</v>
      </c>
      <c r="B2424">
        <v>1410</v>
      </c>
    </row>
    <row r="2425" spans="1:2">
      <c r="A2425" t="s">
        <v>586</v>
      </c>
      <c r="B2425">
        <v>3995</v>
      </c>
    </row>
    <row r="2427" spans="1:2">
      <c r="A2427" t="s">
        <v>268</v>
      </c>
    </row>
    <row r="2428" spans="1:2">
      <c r="A2428" t="s">
        <v>699</v>
      </c>
      <c r="B2428">
        <v>3715</v>
      </c>
    </row>
    <row r="2429" spans="1:2">
      <c r="A2429" t="s">
        <v>588</v>
      </c>
      <c r="B2429">
        <v>11145</v>
      </c>
    </row>
    <row r="2432" spans="1:2">
      <c r="A2432" t="s">
        <v>769</v>
      </c>
    </row>
    <row r="2434" spans="1:2">
      <c r="A2434" t="s">
        <v>1180</v>
      </c>
    </row>
    <row r="2435" spans="1:2">
      <c r="A2435" t="s">
        <v>1178</v>
      </c>
      <c r="B2435">
        <v>1125</v>
      </c>
    </row>
    <row r="2436" spans="1:2">
      <c r="A2436" t="s">
        <v>1179</v>
      </c>
      <c r="B2436">
        <v>1125</v>
      </c>
    </row>
    <row r="2437" spans="1:2">
      <c r="A2437" t="s">
        <v>2030</v>
      </c>
      <c r="B2437">
        <v>1125</v>
      </c>
    </row>
    <row r="2438" spans="1:2">
      <c r="A2438" t="s">
        <v>586</v>
      </c>
      <c r="B2438">
        <v>3375</v>
      </c>
    </row>
    <row r="2439" spans="1:2">
      <c r="A2439" t="s">
        <v>770</v>
      </c>
      <c r="B2439">
        <v>7770</v>
      </c>
    </row>
    <row r="2440" spans="1:2">
      <c r="A2440" t="s">
        <v>770</v>
      </c>
      <c r="B2440">
        <v>0.69717362045760434</v>
      </c>
    </row>
    <row r="2442" spans="1:2">
      <c r="A2442" t="s">
        <v>1181</v>
      </c>
    </row>
    <row r="2443" spans="1:2">
      <c r="A2443" t="s">
        <v>1182</v>
      </c>
      <c r="B2443">
        <v>1175</v>
      </c>
    </row>
    <row r="2444" spans="1:2">
      <c r="A2444" t="s">
        <v>1179</v>
      </c>
      <c r="B2444">
        <v>1180</v>
      </c>
    </row>
    <row r="2445" spans="1:2">
      <c r="A2445" t="s">
        <v>2030</v>
      </c>
      <c r="B2445">
        <v>1180</v>
      </c>
    </row>
    <row r="2446" spans="1:2">
      <c r="A2446" t="s">
        <v>586</v>
      </c>
      <c r="B2446">
        <v>3535</v>
      </c>
    </row>
    <row r="2447" spans="1:2">
      <c r="A2447" t="s">
        <v>770</v>
      </c>
      <c r="B2447">
        <v>7610</v>
      </c>
    </row>
    <row r="2448" spans="1:2">
      <c r="A2448" t="s">
        <v>770</v>
      </c>
      <c r="B2448">
        <v>0.68281740690892778</v>
      </c>
    </row>
    <row r="2450" spans="1:2">
      <c r="A2450" t="s">
        <v>2031</v>
      </c>
    </row>
    <row r="2451" spans="1:2">
      <c r="A2451" t="s">
        <v>1182</v>
      </c>
      <c r="B2451">
        <v>1175</v>
      </c>
    </row>
    <row r="2452" spans="1:2">
      <c r="A2452" t="s">
        <v>2032</v>
      </c>
      <c r="B2452">
        <v>1410</v>
      </c>
    </row>
    <row r="2453" spans="1:2">
      <c r="A2453" t="s">
        <v>2030</v>
      </c>
      <c r="B2453">
        <v>1180</v>
      </c>
    </row>
    <row r="2454" spans="1:2">
      <c r="A2454" t="s">
        <v>586</v>
      </c>
      <c r="B2454">
        <v>3765</v>
      </c>
    </row>
    <row r="2455" spans="1:2">
      <c r="A2455" t="s">
        <v>770</v>
      </c>
      <c r="B2455">
        <v>7380</v>
      </c>
    </row>
    <row r="2456" spans="1:2">
      <c r="A2456" t="s">
        <v>770</v>
      </c>
      <c r="B2456">
        <v>0.66218034993270525</v>
      </c>
    </row>
    <row r="2458" spans="1:2">
      <c r="A2458" t="s">
        <v>1943</v>
      </c>
      <c r="B2458">
        <v>1239</v>
      </c>
    </row>
    <row r="2460" spans="1:2" s="344" customFormat="1">
      <c r="A2460" s="345" t="s">
        <v>1880</v>
      </c>
    </row>
    <row r="2462" spans="1:2">
      <c r="A2462" t="s">
        <v>753</v>
      </c>
      <c r="B2462" s="346">
        <v>1175</v>
      </c>
    </row>
    <row r="2464" spans="1:2">
      <c r="A2464" t="s">
        <v>581</v>
      </c>
    </row>
    <row r="2465" spans="1:2">
      <c r="A2465" t="s">
        <v>214</v>
      </c>
      <c r="B2465">
        <v>1175</v>
      </c>
    </row>
    <row r="2466" spans="1:2">
      <c r="A2466" t="s">
        <v>215</v>
      </c>
      <c r="B2466">
        <v>1410</v>
      </c>
    </row>
    <row r="2467" spans="1:2">
      <c r="A2467" t="s">
        <v>2009</v>
      </c>
      <c r="B2467">
        <v>1410</v>
      </c>
    </row>
    <row r="2468" spans="1:2">
      <c r="A2468" t="s">
        <v>586</v>
      </c>
      <c r="B2468">
        <v>3995</v>
      </c>
    </row>
    <row r="2470" spans="1:2">
      <c r="A2470" t="s">
        <v>268</v>
      </c>
    </row>
    <row r="2471" spans="1:2">
      <c r="A2471" t="s">
        <v>699</v>
      </c>
      <c r="B2471">
        <v>3290</v>
      </c>
    </row>
    <row r="2472" spans="1:2">
      <c r="A2472" t="s">
        <v>588</v>
      </c>
      <c r="B2472">
        <v>9870</v>
      </c>
    </row>
    <row r="2475" spans="1:2">
      <c r="A2475" t="s">
        <v>769</v>
      </c>
    </row>
    <row r="2477" spans="1:2">
      <c r="A2477" t="s">
        <v>1180</v>
      </c>
    </row>
    <row r="2478" spans="1:2">
      <c r="A2478" t="s">
        <v>1178</v>
      </c>
      <c r="B2478">
        <v>1210</v>
      </c>
    </row>
    <row r="2479" spans="1:2">
      <c r="A2479" t="s">
        <v>1179</v>
      </c>
      <c r="B2479">
        <v>1210</v>
      </c>
    </row>
    <row r="2480" spans="1:2">
      <c r="A2480" t="s">
        <v>2030</v>
      </c>
      <c r="B2480">
        <v>1210</v>
      </c>
    </row>
    <row r="2481" spans="1:2">
      <c r="A2481" t="s">
        <v>586</v>
      </c>
      <c r="B2481">
        <v>3630</v>
      </c>
    </row>
    <row r="2482" spans="1:2">
      <c r="A2482" t="s">
        <v>770</v>
      </c>
      <c r="B2482">
        <v>6240</v>
      </c>
    </row>
    <row r="2483" spans="1:2">
      <c r="A2483" t="s">
        <v>770</v>
      </c>
      <c r="B2483">
        <v>0.63221884498480241</v>
      </c>
    </row>
    <row r="2485" spans="1:2">
      <c r="A2485" t="s">
        <v>1181</v>
      </c>
    </row>
    <row r="2486" spans="1:2">
      <c r="A2486" t="s">
        <v>1182</v>
      </c>
      <c r="B2486">
        <v>1175</v>
      </c>
    </row>
    <row r="2487" spans="1:2">
      <c r="A2487" t="s">
        <v>1179</v>
      </c>
      <c r="B2487">
        <v>1270</v>
      </c>
    </row>
    <row r="2488" spans="1:2">
      <c r="A2488" t="s">
        <v>2030</v>
      </c>
      <c r="B2488">
        <v>1270</v>
      </c>
    </row>
    <row r="2489" spans="1:2">
      <c r="A2489" t="s">
        <v>586</v>
      </c>
      <c r="B2489">
        <v>3715</v>
      </c>
    </row>
    <row r="2490" spans="1:2">
      <c r="A2490" t="s">
        <v>770</v>
      </c>
      <c r="B2490">
        <v>6155</v>
      </c>
    </row>
    <row r="2491" spans="1:2">
      <c r="A2491" t="s">
        <v>770</v>
      </c>
      <c r="B2491">
        <v>0.62360688956433641</v>
      </c>
    </row>
    <row r="2493" spans="1:2">
      <c r="A2493" t="s">
        <v>2031</v>
      </c>
    </row>
    <row r="2494" spans="1:2">
      <c r="A2494" t="s">
        <v>1182</v>
      </c>
      <c r="B2494">
        <v>1175</v>
      </c>
    </row>
    <row r="2495" spans="1:2">
      <c r="A2495" t="s">
        <v>2032</v>
      </c>
      <c r="B2495">
        <v>1410</v>
      </c>
    </row>
    <row r="2496" spans="1:2">
      <c r="A2496" t="s">
        <v>2030</v>
      </c>
      <c r="B2496">
        <v>1270</v>
      </c>
    </row>
    <row r="2497" spans="1:2">
      <c r="A2497" t="s">
        <v>586</v>
      </c>
      <c r="B2497">
        <v>3855</v>
      </c>
    </row>
    <row r="2498" spans="1:2">
      <c r="A2498" t="s">
        <v>770</v>
      </c>
      <c r="B2498">
        <v>6015</v>
      </c>
    </row>
    <row r="2499" spans="1:2">
      <c r="A2499" t="s">
        <v>770</v>
      </c>
      <c r="B2499">
        <v>0.60942249240121582</v>
      </c>
    </row>
    <row r="2501" spans="1:2">
      <c r="A2501" t="s">
        <v>1943</v>
      </c>
      <c r="B2501">
        <v>1333.5</v>
      </c>
    </row>
    <row r="2503" spans="1:2" s="344" customFormat="1">
      <c r="A2503" s="345" t="s">
        <v>737</v>
      </c>
    </row>
    <row r="2505" spans="1:2">
      <c r="A2505" t="s">
        <v>753</v>
      </c>
      <c r="B2505" s="346">
        <v>900</v>
      </c>
    </row>
    <row r="2507" spans="1:2">
      <c r="A2507" t="s">
        <v>581</v>
      </c>
    </row>
    <row r="2508" spans="1:2">
      <c r="A2508" t="s">
        <v>214</v>
      </c>
      <c r="B2508">
        <v>900</v>
      </c>
    </row>
    <row r="2509" spans="1:2">
      <c r="A2509" t="s">
        <v>215</v>
      </c>
      <c r="B2509">
        <v>1080</v>
      </c>
    </row>
    <row r="2510" spans="1:2">
      <c r="A2510" t="s">
        <v>2009</v>
      </c>
      <c r="B2510">
        <v>1080</v>
      </c>
    </row>
    <row r="2511" spans="1:2">
      <c r="A2511" t="s">
        <v>586</v>
      </c>
      <c r="B2511">
        <v>3060</v>
      </c>
    </row>
    <row r="2513" spans="1:2">
      <c r="A2513" t="s">
        <v>268</v>
      </c>
    </row>
    <row r="2514" spans="1:2">
      <c r="A2514" t="s">
        <v>699</v>
      </c>
      <c r="B2514">
        <v>3715</v>
      </c>
    </row>
    <row r="2515" spans="1:2">
      <c r="A2515" t="s">
        <v>588</v>
      </c>
      <c r="B2515">
        <v>11145</v>
      </c>
    </row>
    <row r="2518" spans="1:2">
      <c r="A2518" t="s">
        <v>769</v>
      </c>
    </row>
    <row r="2520" spans="1:2">
      <c r="A2520" t="s">
        <v>1180</v>
      </c>
    </row>
    <row r="2521" spans="1:2">
      <c r="A2521" t="s">
        <v>1178</v>
      </c>
      <c r="B2521">
        <v>1125</v>
      </c>
    </row>
    <row r="2522" spans="1:2">
      <c r="A2522" t="s">
        <v>1179</v>
      </c>
      <c r="B2522">
        <v>1125</v>
      </c>
    </row>
    <row r="2523" spans="1:2">
      <c r="A2523" t="s">
        <v>2030</v>
      </c>
      <c r="B2523">
        <v>1125</v>
      </c>
    </row>
    <row r="2524" spans="1:2">
      <c r="A2524" t="s">
        <v>586</v>
      </c>
      <c r="B2524">
        <v>3375</v>
      </c>
    </row>
    <row r="2525" spans="1:2">
      <c r="A2525" t="s">
        <v>770</v>
      </c>
      <c r="B2525">
        <v>7770</v>
      </c>
    </row>
    <row r="2526" spans="1:2">
      <c r="A2526" t="s">
        <v>770</v>
      </c>
      <c r="B2526">
        <v>0.69717362045760434</v>
      </c>
    </row>
    <row r="2528" spans="1:2">
      <c r="A2528" t="s">
        <v>1181</v>
      </c>
    </row>
    <row r="2529" spans="1:2">
      <c r="A2529" t="s">
        <v>1182</v>
      </c>
      <c r="B2529">
        <v>900</v>
      </c>
    </row>
    <row r="2530" spans="1:2">
      <c r="A2530" t="s">
        <v>1179</v>
      </c>
      <c r="B2530">
        <v>1180</v>
      </c>
    </row>
    <row r="2531" spans="1:2">
      <c r="A2531" t="s">
        <v>2030</v>
      </c>
      <c r="B2531">
        <v>1180</v>
      </c>
    </row>
    <row r="2532" spans="1:2">
      <c r="A2532" t="s">
        <v>586</v>
      </c>
      <c r="B2532">
        <v>3260</v>
      </c>
    </row>
    <row r="2533" spans="1:2">
      <c r="A2533" t="s">
        <v>770</v>
      </c>
      <c r="B2533">
        <v>7885</v>
      </c>
    </row>
    <row r="2534" spans="1:2">
      <c r="A2534" t="s">
        <v>770</v>
      </c>
      <c r="B2534">
        <v>0.70749214894571555</v>
      </c>
    </row>
    <row r="2536" spans="1:2">
      <c r="A2536" t="s">
        <v>2031</v>
      </c>
    </row>
    <row r="2537" spans="1:2">
      <c r="A2537" t="s">
        <v>1182</v>
      </c>
      <c r="B2537">
        <v>900</v>
      </c>
    </row>
    <row r="2538" spans="1:2">
      <c r="A2538" t="s">
        <v>2032</v>
      </c>
      <c r="B2538">
        <v>1080</v>
      </c>
    </row>
    <row r="2539" spans="1:2">
      <c r="A2539" t="s">
        <v>2030</v>
      </c>
      <c r="B2539">
        <v>1180</v>
      </c>
    </row>
    <row r="2540" spans="1:2">
      <c r="A2540" t="s">
        <v>586</v>
      </c>
      <c r="B2540">
        <v>3160</v>
      </c>
    </row>
    <row r="2541" spans="1:2">
      <c r="A2541" t="s">
        <v>770</v>
      </c>
      <c r="B2541">
        <v>7985</v>
      </c>
    </row>
    <row r="2542" spans="1:2">
      <c r="A2542" t="s">
        <v>770</v>
      </c>
      <c r="B2542">
        <v>0.71646478241363842</v>
      </c>
    </row>
    <row r="2544" spans="1:2">
      <c r="A2544" t="s">
        <v>1943</v>
      </c>
      <c r="B2544">
        <v>1239</v>
      </c>
    </row>
    <row r="2546" spans="1:2" s="344" customFormat="1">
      <c r="A2546" s="345" t="s">
        <v>1881</v>
      </c>
    </row>
    <row r="2548" spans="1:2">
      <c r="A2548" t="s">
        <v>753</v>
      </c>
      <c r="B2548" s="346">
        <v>900</v>
      </c>
    </row>
    <row r="2550" spans="1:2">
      <c r="A2550" t="s">
        <v>581</v>
      </c>
    </row>
    <row r="2551" spans="1:2">
      <c r="A2551" t="s">
        <v>214</v>
      </c>
      <c r="B2551">
        <v>900</v>
      </c>
    </row>
    <row r="2552" spans="1:2">
      <c r="A2552" t="s">
        <v>215</v>
      </c>
      <c r="B2552">
        <v>1080</v>
      </c>
    </row>
    <row r="2553" spans="1:2">
      <c r="A2553" t="s">
        <v>2009</v>
      </c>
      <c r="B2553">
        <v>1080</v>
      </c>
    </row>
    <row r="2554" spans="1:2">
      <c r="A2554" t="s">
        <v>586</v>
      </c>
      <c r="B2554">
        <v>3060</v>
      </c>
    </row>
    <row r="2556" spans="1:2">
      <c r="A2556" t="s">
        <v>268</v>
      </c>
    </row>
    <row r="2557" spans="1:2">
      <c r="A2557" t="s">
        <v>699</v>
      </c>
      <c r="B2557">
        <v>3290</v>
      </c>
    </row>
    <row r="2558" spans="1:2">
      <c r="A2558" t="s">
        <v>588</v>
      </c>
      <c r="B2558">
        <v>9870</v>
      </c>
    </row>
    <row r="2561" spans="1:2">
      <c r="A2561" t="s">
        <v>769</v>
      </c>
    </row>
    <row r="2563" spans="1:2">
      <c r="A2563" t="s">
        <v>1180</v>
      </c>
    </row>
    <row r="2564" spans="1:2">
      <c r="A2564" t="s">
        <v>1178</v>
      </c>
      <c r="B2564">
        <v>1210</v>
      </c>
    </row>
    <row r="2565" spans="1:2">
      <c r="A2565" t="s">
        <v>1179</v>
      </c>
      <c r="B2565">
        <v>1210</v>
      </c>
    </row>
    <row r="2566" spans="1:2">
      <c r="A2566" t="s">
        <v>2030</v>
      </c>
      <c r="B2566">
        <v>1210</v>
      </c>
    </row>
    <row r="2567" spans="1:2">
      <c r="A2567" t="s">
        <v>586</v>
      </c>
      <c r="B2567">
        <v>3630</v>
      </c>
    </row>
    <row r="2568" spans="1:2">
      <c r="A2568" t="s">
        <v>770</v>
      </c>
      <c r="B2568">
        <v>6240</v>
      </c>
    </row>
    <row r="2569" spans="1:2">
      <c r="A2569" t="s">
        <v>770</v>
      </c>
      <c r="B2569">
        <v>0.63221884498480241</v>
      </c>
    </row>
    <row r="2571" spans="1:2">
      <c r="A2571" t="s">
        <v>1181</v>
      </c>
    </row>
    <row r="2572" spans="1:2">
      <c r="A2572" t="s">
        <v>1182</v>
      </c>
      <c r="B2572">
        <v>900</v>
      </c>
    </row>
    <row r="2573" spans="1:2">
      <c r="A2573" t="s">
        <v>1179</v>
      </c>
      <c r="B2573">
        <v>1270</v>
      </c>
    </row>
    <row r="2574" spans="1:2">
      <c r="A2574" t="s">
        <v>2030</v>
      </c>
      <c r="B2574">
        <v>1270</v>
      </c>
    </row>
    <row r="2575" spans="1:2">
      <c r="A2575" t="s">
        <v>586</v>
      </c>
      <c r="B2575">
        <v>3440</v>
      </c>
    </row>
    <row r="2576" spans="1:2">
      <c r="A2576" t="s">
        <v>770</v>
      </c>
      <c r="B2576">
        <v>6430</v>
      </c>
    </row>
    <row r="2577" spans="1:2">
      <c r="A2577" t="s">
        <v>770</v>
      </c>
      <c r="B2577">
        <v>0.6514690982776089</v>
      </c>
    </row>
    <row r="2579" spans="1:2">
      <c r="A2579" t="s">
        <v>2031</v>
      </c>
    </row>
    <row r="2580" spans="1:2">
      <c r="A2580" t="s">
        <v>1182</v>
      </c>
      <c r="B2580">
        <v>900</v>
      </c>
    </row>
    <row r="2581" spans="1:2">
      <c r="A2581" t="s">
        <v>2032</v>
      </c>
      <c r="B2581">
        <v>1080</v>
      </c>
    </row>
    <row r="2582" spans="1:2">
      <c r="A2582" t="s">
        <v>2030</v>
      </c>
      <c r="B2582">
        <v>1270</v>
      </c>
    </row>
    <row r="2583" spans="1:2">
      <c r="A2583" t="s">
        <v>586</v>
      </c>
      <c r="B2583">
        <v>3250</v>
      </c>
    </row>
    <row r="2584" spans="1:2">
      <c r="A2584" t="s">
        <v>770</v>
      </c>
      <c r="B2584">
        <v>6620</v>
      </c>
    </row>
    <row r="2585" spans="1:2">
      <c r="A2585" t="s">
        <v>770</v>
      </c>
      <c r="B2585">
        <v>0.6707193515704154</v>
      </c>
    </row>
    <row r="2587" spans="1:2">
      <c r="A2587" t="s">
        <v>1943</v>
      </c>
      <c r="B2587">
        <v>1333.5</v>
      </c>
    </row>
    <row r="2589" spans="1:2" s="344" customFormat="1">
      <c r="A2589" s="345" t="s">
        <v>1920</v>
      </c>
    </row>
    <row r="2591" spans="1:2">
      <c r="A2591" t="s">
        <v>753</v>
      </c>
      <c r="B2591" s="346">
        <v>900</v>
      </c>
    </row>
    <row r="2593" spans="1:2">
      <c r="A2593" t="s">
        <v>581</v>
      </c>
    </row>
    <row r="2594" spans="1:2">
      <c r="A2594" t="s">
        <v>214</v>
      </c>
      <c r="B2594">
        <v>900</v>
      </c>
    </row>
    <row r="2595" spans="1:2">
      <c r="A2595" t="s">
        <v>215</v>
      </c>
      <c r="B2595">
        <v>1080</v>
      </c>
    </row>
    <row r="2596" spans="1:2">
      <c r="A2596" t="s">
        <v>2009</v>
      </c>
      <c r="B2596">
        <v>1080</v>
      </c>
    </row>
    <row r="2597" spans="1:2">
      <c r="A2597" t="s">
        <v>586</v>
      </c>
      <c r="B2597">
        <v>3060</v>
      </c>
    </row>
    <row r="2599" spans="1:2">
      <c r="A2599" t="s">
        <v>268</v>
      </c>
    </row>
    <row r="2600" spans="1:2">
      <c r="A2600" t="s">
        <v>699</v>
      </c>
      <c r="B2600">
        <v>2565</v>
      </c>
    </row>
    <row r="2601" spans="1:2">
      <c r="A2601" t="s">
        <v>588</v>
      </c>
      <c r="B2601">
        <v>7695</v>
      </c>
    </row>
    <row r="2604" spans="1:2">
      <c r="A2604" t="s">
        <v>769</v>
      </c>
    </row>
    <row r="2606" spans="1:2">
      <c r="A2606" t="s">
        <v>1180</v>
      </c>
    </row>
    <row r="2607" spans="1:2">
      <c r="A2607" t="s">
        <v>1178</v>
      </c>
      <c r="B2607">
        <v>750</v>
      </c>
    </row>
    <row r="2608" spans="1:2">
      <c r="A2608" t="s">
        <v>1179</v>
      </c>
      <c r="B2608">
        <v>750</v>
      </c>
    </row>
    <row r="2609" spans="1:2">
      <c r="A2609" t="s">
        <v>2030</v>
      </c>
      <c r="B2609">
        <v>750</v>
      </c>
    </row>
    <row r="2610" spans="1:2">
      <c r="A2610" t="s">
        <v>586</v>
      </c>
      <c r="B2610">
        <v>2250</v>
      </c>
    </row>
    <row r="2611" spans="1:2">
      <c r="A2611" t="s">
        <v>770</v>
      </c>
      <c r="B2611">
        <v>5445</v>
      </c>
    </row>
    <row r="2612" spans="1:2">
      <c r="A2612" t="s">
        <v>770</v>
      </c>
      <c r="B2612">
        <v>0.70760233918128657</v>
      </c>
    </row>
    <row r="2614" spans="1:2">
      <c r="A2614" t="s">
        <v>1181</v>
      </c>
    </row>
    <row r="2615" spans="1:2">
      <c r="A2615" t="s">
        <v>1182</v>
      </c>
      <c r="B2615">
        <v>900</v>
      </c>
    </row>
    <row r="2616" spans="1:2">
      <c r="A2616" t="s">
        <v>1179</v>
      </c>
      <c r="B2616">
        <v>790</v>
      </c>
    </row>
    <row r="2617" spans="1:2">
      <c r="A2617" t="s">
        <v>2030</v>
      </c>
      <c r="B2617">
        <v>790</v>
      </c>
    </row>
    <row r="2618" spans="1:2">
      <c r="A2618" t="s">
        <v>586</v>
      </c>
      <c r="B2618">
        <v>2480</v>
      </c>
    </row>
    <row r="2619" spans="1:2">
      <c r="A2619" t="s">
        <v>770</v>
      </c>
      <c r="B2619">
        <v>5215</v>
      </c>
    </row>
    <row r="2620" spans="1:2">
      <c r="A2620" t="s">
        <v>770</v>
      </c>
      <c r="B2620">
        <v>0.67771280051981808</v>
      </c>
    </row>
    <row r="2622" spans="1:2">
      <c r="A2622" t="s">
        <v>2031</v>
      </c>
    </row>
    <row r="2623" spans="1:2">
      <c r="A2623" t="s">
        <v>1182</v>
      </c>
      <c r="B2623">
        <v>900</v>
      </c>
    </row>
    <row r="2624" spans="1:2">
      <c r="A2624" t="s">
        <v>2032</v>
      </c>
      <c r="B2624">
        <v>1080</v>
      </c>
    </row>
    <row r="2625" spans="1:2">
      <c r="A2625" t="s">
        <v>2030</v>
      </c>
      <c r="B2625">
        <v>790</v>
      </c>
    </row>
    <row r="2626" spans="1:2">
      <c r="A2626" t="s">
        <v>586</v>
      </c>
      <c r="B2626">
        <v>2770</v>
      </c>
    </row>
    <row r="2627" spans="1:2">
      <c r="A2627" t="s">
        <v>770</v>
      </c>
      <c r="B2627">
        <v>4925</v>
      </c>
    </row>
    <row r="2628" spans="1:2">
      <c r="A2628" t="s">
        <v>770</v>
      </c>
      <c r="B2628">
        <v>0.64002599090318391</v>
      </c>
    </row>
    <row r="2630" spans="1:2">
      <c r="A2630" t="s">
        <v>1943</v>
      </c>
      <c r="B2630">
        <v>829.5</v>
      </c>
    </row>
    <row r="2632" spans="1:2" s="344" customFormat="1">
      <c r="A2632" s="345" t="s">
        <v>738</v>
      </c>
    </row>
    <row r="2634" spans="1:2">
      <c r="A2634" t="s">
        <v>753</v>
      </c>
      <c r="B2634" s="346">
        <v>1910</v>
      </c>
    </row>
    <row r="2636" spans="1:2">
      <c r="A2636" t="s">
        <v>581</v>
      </c>
    </row>
    <row r="2637" spans="1:2">
      <c r="A2637" t="s">
        <v>214</v>
      </c>
      <c r="B2637">
        <v>1910</v>
      </c>
    </row>
    <row r="2638" spans="1:2">
      <c r="A2638" t="s">
        <v>215</v>
      </c>
      <c r="B2638">
        <v>2290</v>
      </c>
    </row>
    <row r="2639" spans="1:2">
      <c r="A2639" t="s">
        <v>2009</v>
      </c>
      <c r="B2639">
        <v>2290</v>
      </c>
    </row>
    <row r="2640" spans="1:2">
      <c r="A2640" t="s">
        <v>586</v>
      </c>
      <c r="B2640">
        <v>6490</v>
      </c>
    </row>
    <row r="2642" spans="1:2">
      <c r="A2642" t="s">
        <v>268</v>
      </c>
    </row>
    <row r="2643" spans="1:2">
      <c r="A2643" t="s">
        <v>699</v>
      </c>
      <c r="B2643">
        <v>3715</v>
      </c>
    </row>
    <row r="2644" spans="1:2">
      <c r="A2644" t="s">
        <v>588</v>
      </c>
      <c r="B2644">
        <v>11145</v>
      </c>
    </row>
    <row r="2647" spans="1:2">
      <c r="A2647" t="s">
        <v>769</v>
      </c>
    </row>
    <row r="2649" spans="1:2">
      <c r="A2649" t="s">
        <v>1180</v>
      </c>
    </row>
    <row r="2650" spans="1:2">
      <c r="A2650" t="s">
        <v>1178</v>
      </c>
      <c r="B2650">
        <v>1125</v>
      </c>
    </row>
    <row r="2651" spans="1:2">
      <c r="A2651" t="s">
        <v>1179</v>
      </c>
      <c r="B2651">
        <v>1125</v>
      </c>
    </row>
    <row r="2652" spans="1:2">
      <c r="A2652" t="s">
        <v>2030</v>
      </c>
      <c r="B2652">
        <v>1125</v>
      </c>
    </row>
    <row r="2653" spans="1:2">
      <c r="A2653" t="s">
        <v>586</v>
      </c>
      <c r="B2653">
        <v>3375</v>
      </c>
    </row>
    <row r="2654" spans="1:2">
      <c r="A2654" t="s">
        <v>770</v>
      </c>
      <c r="B2654">
        <v>7770</v>
      </c>
    </row>
    <row r="2655" spans="1:2">
      <c r="A2655" t="s">
        <v>770</v>
      </c>
      <c r="B2655">
        <v>0.69717362045760434</v>
      </c>
    </row>
    <row r="2657" spans="1:2">
      <c r="A2657" t="s">
        <v>1181</v>
      </c>
    </row>
    <row r="2658" spans="1:2">
      <c r="A2658" t="s">
        <v>1182</v>
      </c>
      <c r="B2658">
        <v>1910</v>
      </c>
    </row>
    <row r="2659" spans="1:2">
      <c r="A2659" t="s">
        <v>1179</v>
      </c>
      <c r="B2659">
        <v>1180</v>
      </c>
    </row>
    <row r="2660" spans="1:2">
      <c r="A2660" t="s">
        <v>2030</v>
      </c>
      <c r="B2660">
        <v>1180</v>
      </c>
    </row>
    <row r="2661" spans="1:2">
      <c r="A2661" t="s">
        <v>586</v>
      </c>
      <c r="B2661">
        <v>4270</v>
      </c>
    </row>
    <row r="2662" spans="1:2">
      <c r="A2662" t="s">
        <v>770</v>
      </c>
      <c r="B2662">
        <v>6875</v>
      </c>
    </row>
    <row r="2663" spans="1:2">
      <c r="A2663" t="s">
        <v>770</v>
      </c>
      <c r="B2663">
        <v>0.61686855091969495</v>
      </c>
    </row>
    <row r="2665" spans="1:2">
      <c r="A2665" t="s">
        <v>2031</v>
      </c>
    </row>
    <row r="2666" spans="1:2">
      <c r="A2666" t="s">
        <v>1182</v>
      </c>
      <c r="B2666">
        <v>1910</v>
      </c>
    </row>
    <row r="2667" spans="1:2">
      <c r="A2667" t="s">
        <v>2032</v>
      </c>
      <c r="B2667">
        <v>2290</v>
      </c>
    </row>
    <row r="2668" spans="1:2">
      <c r="A2668" t="s">
        <v>2030</v>
      </c>
      <c r="B2668">
        <v>1180</v>
      </c>
    </row>
    <row r="2669" spans="1:2">
      <c r="A2669" t="s">
        <v>586</v>
      </c>
      <c r="B2669">
        <v>5380</v>
      </c>
    </row>
    <row r="2670" spans="1:2">
      <c r="A2670" t="s">
        <v>770</v>
      </c>
      <c r="B2670">
        <v>5765</v>
      </c>
    </row>
    <row r="2671" spans="1:2">
      <c r="A2671" t="s">
        <v>770</v>
      </c>
      <c r="B2671">
        <v>0.51727231942575147</v>
      </c>
    </row>
    <row r="2673" spans="1:2">
      <c r="A2673" t="s">
        <v>1943</v>
      </c>
      <c r="B2673">
        <v>1239</v>
      </c>
    </row>
    <row r="2675" spans="1:2" s="344" customFormat="1">
      <c r="A2675" s="345" t="s">
        <v>1882</v>
      </c>
    </row>
    <row r="2677" spans="1:2">
      <c r="A2677" t="s">
        <v>753</v>
      </c>
      <c r="B2677" s="346">
        <v>1910</v>
      </c>
    </row>
    <row r="2679" spans="1:2">
      <c r="A2679" t="s">
        <v>581</v>
      </c>
    </row>
    <row r="2680" spans="1:2">
      <c r="A2680" t="s">
        <v>214</v>
      </c>
      <c r="B2680">
        <v>1910</v>
      </c>
    </row>
    <row r="2681" spans="1:2">
      <c r="A2681" t="s">
        <v>215</v>
      </c>
      <c r="B2681">
        <v>2290</v>
      </c>
    </row>
    <row r="2682" spans="1:2">
      <c r="A2682" t="s">
        <v>2009</v>
      </c>
      <c r="B2682">
        <v>2290</v>
      </c>
    </row>
    <row r="2683" spans="1:2">
      <c r="A2683" t="s">
        <v>586</v>
      </c>
      <c r="B2683">
        <v>6490</v>
      </c>
    </row>
    <row r="2685" spans="1:2">
      <c r="A2685" t="s">
        <v>268</v>
      </c>
    </row>
    <row r="2686" spans="1:2">
      <c r="A2686" t="s">
        <v>699</v>
      </c>
      <c r="B2686">
        <v>3290</v>
      </c>
    </row>
    <row r="2687" spans="1:2">
      <c r="A2687" t="s">
        <v>588</v>
      </c>
      <c r="B2687">
        <v>9870</v>
      </c>
    </row>
    <row r="2690" spans="1:2">
      <c r="A2690" t="s">
        <v>769</v>
      </c>
    </row>
    <row r="2692" spans="1:2">
      <c r="A2692" t="s">
        <v>1180</v>
      </c>
    </row>
    <row r="2693" spans="1:2">
      <c r="A2693" t="s">
        <v>1178</v>
      </c>
      <c r="B2693">
        <v>1210</v>
      </c>
    </row>
    <row r="2694" spans="1:2">
      <c r="A2694" t="s">
        <v>1179</v>
      </c>
      <c r="B2694">
        <v>1210</v>
      </c>
    </row>
    <row r="2695" spans="1:2">
      <c r="A2695" t="s">
        <v>2030</v>
      </c>
      <c r="B2695">
        <v>1210</v>
      </c>
    </row>
    <row r="2696" spans="1:2">
      <c r="A2696" t="s">
        <v>586</v>
      </c>
      <c r="B2696">
        <v>3630</v>
      </c>
    </row>
    <row r="2697" spans="1:2">
      <c r="A2697" t="s">
        <v>770</v>
      </c>
      <c r="B2697">
        <v>6240</v>
      </c>
    </row>
    <row r="2698" spans="1:2">
      <c r="A2698" t="s">
        <v>770</v>
      </c>
      <c r="B2698">
        <v>0.63221884498480241</v>
      </c>
    </row>
    <row r="2700" spans="1:2">
      <c r="A2700" t="s">
        <v>1181</v>
      </c>
    </row>
    <row r="2701" spans="1:2">
      <c r="A2701" t="s">
        <v>1182</v>
      </c>
      <c r="B2701">
        <v>1910</v>
      </c>
    </row>
    <row r="2702" spans="1:2">
      <c r="A2702" t="s">
        <v>1179</v>
      </c>
      <c r="B2702">
        <v>1270</v>
      </c>
    </row>
    <row r="2703" spans="1:2">
      <c r="A2703" t="s">
        <v>2030</v>
      </c>
      <c r="B2703">
        <v>1270</v>
      </c>
    </row>
    <row r="2704" spans="1:2">
      <c r="A2704" t="s">
        <v>586</v>
      </c>
      <c r="B2704">
        <v>4450</v>
      </c>
    </row>
    <row r="2705" spans="1:2">
      <c r="A2705" t="s">
        <v>770</v>
      </c>
      <c r="B2705">
        <v>5420</v>
      </c>
    </row>
    <row r="2706" spans="1:2">
      <c r="A2706" t="s">
        <v>770</v>
      </c>
      <c r="B2706">
        <v>0.54913880445795338</v>
      </c>
    </row>
    <row r="2708" spans="1:2">
      <c r="A2708" t="s">
        <v>2031</v>
      </c>
    </row>
    <row r="2709" spans="1:2">
      <c r="A2709" t="s">
        <v>1182</v>
      </c>
      <c r="B2709">
        <v>1910</v>
      </c>
    </row>
    <row r="2710" spans="1:2">
      <c r="A2710" t="s">
        <v>2032</v>
      </c>
      <c r="B2710">
        <v>2290</v>
      </c>
    </row>
    <row r="2711" spans="1:2">
      <c r="A2711" t="s">
        <v>2030</v>
      </c>
      <c r="B2711">
        <v>1270</v>
      </c>
    </row>
    <row r="2712" spans="1:2">
      <c r="A2712" t="s">
        <v>586</v>
      </c>
      <c r="B2712">
        <v>5470</v>
      </c>
    </row>
    <row r="2713" spans="1:2">
      <c r="A2713" t="s">
        <v>770</v>
      </c>
      <c r="B2713">
        <v>4400</v>
      </c>
    </row>
    <row r="2714" spans="1:2">
      <c r="A2714" t="s">
        <v>770</v>
      </c>
      <c r="B2714">
        <v>0.44579533941236071</v>
      </c>
    </row>
    <row r="2716" spans="1:2">
      <c r="A2716" t="s">
        <v>1943</v>
      </c>
      <c r="B2716">
        <v>1333.5</v>
      </c>
    </row>
    <row r="2718" spans="1:2" s="344" customFormat="1">
      <c r="A2718" s="345" t="s">
        <v>1921</v>
      </c>
    </row>
    <row r="2720" spans="1:2">
      <c r="A2720" t="s">
        <v>753</v>
      </c>
      <c r="B2720" s="346">
        <v>2425</v>
      </c>
    </row>
    <row r="2722" spans="1:2">
      <c r="A2722" t="s">
        <v>581</v>
      </c>
    </row>
    <row r="2723" spans="1:2">
      <c r="A2723" t="s">
        <v>214</v>
      </c>
      <c r="B2723">
        <v>2425</v>
      </c>
    </row>
    <row r="2724" spans="1:2">
      <c r="A2724" t="s">
        <v>215</v>
      </c>
      <c r="B2724">
        <v>2910</v>
      </c>
    </row>
    <row r="2725" spans="1:2">
      <c r="A2725" t="s">
        <v>2009</v>
      </c>
      <c r="B2725">
        <v>2910</v>
      </c>
    </row>
    <row r="2726" spans="1:2">
      <c r="A2726" t="s">
        <v>586</v>
      </c>
      <c r="B2726">
        <v>8245</v>
      </c>
    </row>
    <row r="2728" spans="1:2">
      <c r="A2728" t="s">
        <v>268</v>
      </c>
    </row>
    <row r="2729" spans="1:2">
      <c r="A2729" t="s">
        <v>699</v>
      </c>
      <c r="B2729">
        <v>9115</v>
      </c>
    </row>
    <row r="2730" spans="1:2">
      <c r="A2730" t="s">
        <v>588</v>
      </c>
      <c r="B2730">
        <v>27345</v>
      </c>
    </row>
    <row r="2733" spans="1:2">
      <c r="A2733" t="s">
        <v>769</v>
      </c>
    </row>
    <row r="2735" spans="1:2">
      <c r="A2735" t="s">
        <v>1180</v>
      </c>
    </row>
    <row r="2736" spans="1:2">
      <c r="A2736" t="s">
        <v>1178</v>
      </c>
      <c r="B2736">
        <v>3335</v>
      </c>
    </row>
    <row r="2737" spans="1:2">
      <c r="A2737" t="s">
        <v>1179</v>
      </c>
      <c r="B2737">
        <v>3335</v>
      </c>
    </row>
    <row r="2738" spans="1:2">
      <c r="A2738" t="s">
        <v>2030</v>
      </c>
      <c r="B2738">
        <v>3335</v>
      </c>
    </row>
    <row r="2739" spans="1:2">
      <c r="A2739" t="s">
        <v>586</v>
      </c>
      <c r="B2739">
        <v>10005</v>
      </c>
    </row>
    <row r="2740" spans="1:2">
      <c r="A2740" t="s">
        <v>770</v>
      </c>
      <c r="B2740">
        <v>17340</v>
      </c>
    </row>
    <row r="2741" spans="1:2">
      <c r="A2741" t="s">
        <v>770</v>
      </c>
      <c r="B2741">
        <v>0.63411958310477234</v>
      </c>
    </row>
    <row r="2743" spans="1:2">
      <c r="A2743" t="s">
        <v>1181</v>
      </c>
    </row>
    <row r="2744" spans="1:2">
      <c r="A2744" t="s">
        <v>1182</v>
      </c>
      <c r="B2744">
        <v>2425</v>
      </c>
    </row>
    <row r="2745" spans="1:2">
      <c r="A2745" t="s">
        <v>1179</v>
      </c>
      <c r="B2745">
        <v>3500</v>
      </c>
    </row>
    <row r="2746" spans="1:2">
      <c r="A2746" t="s">
        <v>2030</v>
      </c>
      <c r="B2746">
        <v>3500</v>
      </c>
    </row>
    <row r="2747" spans="1:2">
      <c r="A2747" t="s">
        <v>586</v>
      </c>
      <c r="B2747">
        <v>9425</v>
      </c>
    </row>
    <row r="2748" spans="1:2">
      <c r="A2748" t="s">
        <v>770</v>
      </c>
      <c r="B2748">
        <v>17920</v>
      </c>
    </row>
    <row r="2749" spans="1:2">
      <c r="A2749" t="s">
        <v>770</v>
      </c>
      <c r="B2749">
        <v>0.65533004205522039</v>
      </c>
    </row>
    <row r="2751" spans="1:2">
      <c r="A2751" t="s">
        <v>2031</v>
      </c>
    </row>
    <row r="2752" spans="1:2">
      <c r="A2752" t="s">
        <v>1182</v>
      </c>
      <c r="B2752">
        <v>2425</v>
      </c>
    </row>
    <row r="2753" spans="1:2">
      <c r="A2753" t="s">
        <v>2032</v>
      </c>
      <c r="B2753">
        <v>2910</v>
      </c>
    </row>
    <row r="2754" spans="1:2">
      <c r="A2754" t="s">
        <v>2030</v>
      </c>
      <c r="B2754">
        <v>3500</v>
      </c>
    </row>
    <row r="2755" spans="1:2">
      <c r="A2755" t="s">
        <v>586</v>
      </c>
      <c r="B2755">
        <v>8835</v>
      </c>
    </row>
    <row r="2756" spans="1:2">
      <c r="A2756" t="s">
        <v>770</v>
      </c>
      <c r="B2756">
        <v>18510</v>
      </c>
    </row>
    <row r="2757" spans="1:2">
      <c r="A2757" t="s">
        <v>770</v>
      </c>
      <c r="B2757">
        <v>0.67690619857377954</v>
      </c>
    </row>
    <row r="2759" spans="1:2">
      <c r="A2759" t="s">
        <v>1943</v>
      </c>
      <c r="B2759">
        <v>3675</v>
      </c>
    </row>
    <row r="2761" spans="1:2" s="344" customFormat="1">
      <c r="A2761" s="345" t="s">
        <v>1922</v>
      </c>
    </row>
    <row r="2763" spans="1:2">
      <c r="A2763" t="s">
        <v>753</v>
      </c>
      <c r="B2763" s="346">
        <v>2425</v>
      </c>
    </row>
    <row r="2765" spans="1:2">
      <c r="A2765" t="s">
        <v>581</v>
      </c>
    </row>
    <row r="2766" spans="1:2">
      <c r="A2766" t="s">
        <v>214</v>
      </c>
      <c r="B2766">
        <v>2425</v>
      </c>
    </row>
    <row r="2767" spans="1:2">
      <c r="A2767" t="s">
        <v>215</v>
      </c>
      <c r="B2767">
        <v>2910</v>
      </c>
    </row>
    <row r="2768" spans="1:2">
      <c r="A2768" t="s">
        <v>2009</v>
      </c>
      <c r="B2768">
        <v>2910</v>
      </c>
    </row>
    <row r="2769" spans="1:2">
      <c r="A2769" t="s">
        <v>586</v>
      </c>
      <c r="B2769">
        <v>8245</v>
      </c>
    </row>
    <row r="2771" spans="1:2">
      <c r="A2771" t="s">
        <v>268</v>
      </c>
    </row>
    <row r="2772" spans="1:2">
      <c r="A2772" t="s">
        <v>699</v>
      </c>
      <c r="B2772">
        <v>11180</v>
      </c>
    </row>
    <row r="2773" spans="1:2">
      <c r="A2773" t="s">
        <v>588</v>
      </c>
      <c r="B2773">
        <v>33540</v>
      </c>
    </row>
    <row r="2776" spans="1:2">
      <c r="A2776" t="s">
        <v>769</v>
      </c>
    </row>
    <row r="2778" spans="1:2">
      <c r="A2778" t="s">
        <v>1180</v>
      </c>
    </row>
    <row r="2779" spans="1:2">
      <c r="A2779" t="s">
        <v>1178</v>
      </c>
      <c r="B2779">
        <v>4630</v>
      </c>
    </row>
    <row r="2780" spans="1:2">
      <c r="A2780" t="s">
        <v>1179</v>
      </c>
      <c r="B2780">
        <v>4630</v>
      </c>
    </row>
    <row r="2781" spans="1:2">
      <c r="A2781" t="s">
        <v>2030</v>
      </c>
      <c r="B2781">
        <v>4630</v>
      </c>
    </row>
    <row r="2782" spans="1:2">
      <c r="A2782" t="s">
        <v>586</v>
      </c>
      <c r="B2782">
        <v>13890</v>
      </c>
    </row>
    <row r="2783" spans="1:2">
      <c r="A2783" t="s">
        <v>770</v>
      </c>
      <c r="B2783">
        <v>19650</v>
      </c>
    </row>
    <row r="2784" spans="1:2">
      <c r="A2784" t="s">
        <v>770</v>
      </c>
      <c r="B2784">
        <v>0.58586762075134169</v>
      </c>
    </row>
    <row r="2786" spans="1:2">
      <c r="A2786" t="s">
        <v>1181</v>
      </c>
    </row>
    <row r="2787" spans="1:2">
      <c r="A2787" t="s">
        <v>1182</v>
      </c>
      <c r="B2787">
        <v>2425</v>
      </c>
    </row>
    <row r="2788" spans="1:2">
      <c r="A2788" t="s">
        <v>1179</v>
      </c>
      <c r="B2788">
        <v>4860</v>
      </c>
    </row>
    <row r="2789" spans="1:2">
      <c r="A2789" t="s">
        <v>2030</v>
      </c>
      <c r="B2789">
        <v>4860</v>
      </c>
    </row>
    <row r="2790" spans="1:2">
      <c r="A2790" t="s">
        <v>586</v>
      </c>
      <c r="B2790">
        <v>12145</v>
      </c>
    </row>
    <row r="2791" spans="1:2">
      <c r="A2791" t="s">
        <v>770</v>
      </c>
      <c r="B2791">
        <v>21395</v>
      </c>
    </row>
    <row r="2792" spans="1:2">
      <c r="A2792" t="s">
        <v>770</v>
      </c>
      <c r="B2792">
        <v>0.63789505068574837</v>
      </c>
    </row>
    <row r="2794" spans="1:2">
      <c r="A2794" t="s">
        <v>2031</v>
      </c>
    </row>
    <row r="2795" spans="1:2">
      <c r="A2795" t="s">
        <v>1182</v>
      </c>
      <c r="B2795">
        <v>2425</v>
      </c>
    </row>
    <row r="2796" spans="1:2">
      <c r="A2796" t="s">
        <v>2032</v>
      </c>
      <c r="B2796">
        <v>2910</v>
      </c>
    </row>
    <row r="2797" spans="1:2">
      <c r="A2797" t="s">
        <v>2030</v>
      </c>
      <c r="B2797">
        <v>4860</v>
      </c>
    </row>
    <row r="2798" spans="1:2">
      <c r="A2798" t="s">
        <v>586</v>
      </c>
      <c r="B2798">
        <v>10195</v>
      </c>
    </row>
    <row r="2799" spans="1:2">
      <c r="A2799" t="s">
        <v>770</v>
      </c>
      <c r="B2799">
        <v>23345</v>
      </c>
    </row>
    <row r="2800" spans="1:2">
      <c r="A2800" t="s">
        <v>770</v>
      </c>
      <c r="B2800">
        <v>0.69603458556946929</v>
      </c>
    </row>
    <row r="2802" spans="1:2">
      <c r="A2802" t="s">
        <v>1943</v>
      </c>
      <c r="B2802">
        <v>5103</v>
      </c>
    </row>
    <row r="2804" spans="1:2" s="344" customFormat="1">
      <c r="A2804" s="345" t="s">
        <v>1980</v>
      </c>
    </row>
    <row r="2806" spans="1:2">
      <c r="A2806" t="s">
        <v>753</v>
      </c>
      <c r="B2806" s="346">
        <v>3495</v>
      </c>
    </row>
    <row r="2808" spans="1:2">
      <c r="A2808" t="s">
        <v>581</v>
      </c>
    </row>
    <row r="2809" spans="1:2">
      <c r="A2809" t="s">
        <v>214</v>
      </c>
      <c r="B2809">
        <v>3495</v>
      </c>
    </row>
    <row r="2810" spans="1:2">
      <c r="A2810" t="s">
        <v>215</v>
      </c>
      <c r="B2810">
        <v>4195</v>
      </c>
    </row>
    <row r="2811" spans="1:2">
      <c r="A2811" t="s">
        <v>2009</v>
      </c>
      <c r="B2811">
        <v>4195</v>
      </c>
    </row>
    <row r="2812" spans="1:2">
      <c r="A2812" t="s">
        <v>586</v>
      </c>
      <c r="B2812">
        <v>11885</v>
      </c>
    </row>
    <row r="2814" spans="1:2">
      <c r="A2814" t="s">
        <v>268</v>
      </c>
    </row>
    <row r="2815" spans="1:2">
      <c r="A2815" t="s">
        <v>699</v>
      </c>
      <c r="B2815">
        <v>9115</v>
      </c>
    </row>
    <row r="2816" spans="1:2">
      <c r="A2816" t="s">
        <v>588</v>
      </c>
      <c r="B2816">
        <v>27345</v>
      </c>
    </row>
    <row r="2819" spans="1:2">
      <c r="A2819" t="s">
        <v>769</v>
      </c>
    </row>
    <row r="2821" spans="1:2">
      <c r="A2821" t="s">
        <v>1180</v>
      </c>
    </row>
    <row r="2822" spans="1:2">
      <c r="A2822" t="s">
        <v>1178</v>
      </c>
      <c r="B2822">
        <v>3335</v>
      </c>
    </row>
    <row r="2823" spans="1:2">
      <c r="A2823" t="s">
        <v>1179</v>
      </c>
      <c r="B2823">
        <v>3335</v>
      </c>
    </row>
    <row r="2824" spans="1:2">
      <c r="A2824" t="s">
        <v>2030</v>
      </c>
      <c r="B2824">
        <v>3335</v>
      </c>
    </row>
    <row r="2825" spans="1:2">
      <c r="A2825" t="s">
        <v>586</v>
      </c>
      <c r="B2825">
        <v>10005</v>
      </c>
    </row>
    <row r="2826" spans="1:2">
      <c r="A2826" t="s">
        <v>770</v>
      </c>
      <c r="B2826">
        <v>17340</v>
      </c>
    </row>
    <row r="2827" spans="1:2">
      <c r="A2827" t="s">
        <v>770</v>
      </c>
      <c r="B2827">
        <v>0.63411958310477234</v>
      </c>
    </row>
    <row r="2829" spans="1:2">
      <c r="A2829" t="s">
        <v>1181</v>
      </c>
    </row>
    <row r="2830" spans="1:2">
      <c r="A2830" t="s">
        <v>1182</v>
      </c>
      <c r="B2830">
        <v>3495</v>
      </c>
    </row>
    <row r="2831" spans="1:2">
      <c r="A2831" t="s">
        <v>1179</v>
      </c>
      <c r="B2831">
        <v>3500</v>
      </c>
    </row>
    <row r="2832" spans="1:2">
      <c r="A2832" t="s">
        <v>2030</v>
      </c>
      <c r="B2832">
        <v>3500</v>
      </c>
    </row>
    <row r="2833" spans="1:2">
      <c r="A2833" t="s">
        <v>586</v>
      </c>
      <c r="B2833">
        <v>10495</v>
      </c>
    </row>
    <row r="2834" spans="1:2">
      <c r="A2834" t="s">
        <v>770</v>
      </c>
      <c r="B2834">
        <v>16850</v>
      </c>
    </row>
    <row r="2835" spans="1:2">
      <c r="A2835" t="s">
        <v>770</v>
      </c>
      <c r="B2835">
        <v>0.61620040226732498</v>
      </c>
    </row>
    <row r="2837" spans="1:2">
      <c r="A2837" t="s">
        <v>2031</v>
      </c>
    </row>
    <row r="2838" spans="1:2">
      <c r="A2838" t="s">
        <v>1182</v>
      </c>
      <c r="B2838">
        <v>3495</v>
      </c>
    </row>
    <row r="2839" spans="1:2">
      <c r="A2839" t="s">
        <v>2032</v>
      </c>
      <c r="B2839">
        <v>4195</v>
      </c>
    </row>
    <row r="2840" spans="1:2">
      <c r="A2840" t="s">
        <v>2030</v>
      </c>
      <c r="B2840">
        <v>3500</v>
      </c>
    </row>
    <row r="2841" spans="1:2">
      <c r="A2841" t="s">
        <v>586</v>
      </c>
      <c r="B2841">
        <v>11190</v>
      </c>
    </row>
    <row r="2842" spans="1:2">
      <c r="A2842" t="s">
        <v>770</v>
      </c>
      <c r="B2842">
        <v>16155</v>
      </c>
    </row>
    <row r="2843" spans="1:2">
      <c r="A2843" t="s">
        <v>770</v>
      </c>
      <c r="B2843">
        <v>0.59078442128359843</v>
      </c>
    </row>
    <row r="2845" spans="1:2">
      <c r="A2845" t="s">
        <v>1943</v>
      </c>
      <c r="B2845">
        <v>3675</v>
      </c>
    </row>
    <row r="2847" spans="1:2" s="344" customFormat="1">
      <c r="A2847" s="345" t="s">
        <v>1981</v>
      </c>
    </row>
    <row r="2849" spans="1:2">
      <c r="A2849" t="s">
        <v>753</v>
      </c>
      <c r="B2849" s="346">
        <v>3495</v>
      </c>
    </row>
    <row r="2851" spans="1:2">
      <c r="A2851" t="s">
        <v>581</v>
      </c>
    </row>
    <row r="2852" spans="1:2">
      <c r="A2852" t="s">
        <v>214</v>
      </c>
      <c r="B2852">
        <v>3495</v>
      </c>
    </row>
    <row r="2853" spans="1:2">
      <c r="A2853" t="s">
        <v>215</v>
      </c>
      <c r="B2853">
        <v>4195</v>
      </c>
    </row>
    <row r="2854" spans="1:2">
      <c r="A2854" t="s">
        <v>2009</v>
      </c>
      <c r="B2854">
        <v>4195</v>
      </c>
    </row>
    <row r="2855" spans="1:2">
      <c r="A2855" t="s">
        <v>586</v>
      </c>
      <c r="B2855">
        <v>11885</v>
      </c>
    </row>
    <row r="2857" spans="1:2">
      <c r="A2857" t="s">
        <v>268</v>
      </c>
    </row>
    <row r="2858" spans="1:2">
      <c r="A2858" t="s">
        <v>699</v>
      </c>
      <c r="B2858">
        <v>11180</v>
      </c>
    </row>
    <row r="2859" spans="1:2">
      <c r="A2859" t="s">
        <v>588</v>
      </c>
      <c r="B2859">
        <v>33540</v>
      </c>
    </row>
    <row r="2862" spans="1:2">
      <c r="A2862" t="s">
        <v>769</v>
      </c>
    </row>
    <row r="2864" spans="1:2">
      <c r="A2864" t="s">
        <v>1180</v>
      </c>
    </row>
    <row r="2865" spans="1:2">
      <c r="A2865" t="s">
        <v>1178</v>
      </c>
      <c r="B2865">
        <v>4630</v>
      </c>
    </row>
    <row r="2866" spans="1:2">
      <c r="A2866" t="s">
        <v>1179</v>
      </c>
      <c r="B2866">
        <v>4630</v>
      </c>
    </row>
    <row r="2867" spans="1:2">
      <c r="A2867" t="s">
        <v>2030</v>
      </c>
      <c r="B2867">
        <v>4630</v>
      </c>
    </row>
    <row r="2868" spans="1:2">
      <c r="A2868" t="s">
        <v>586</v>
      </c>
      <c r="B2868">
        <v>13890</v>
      </c>
    </row>
    <row r="2869" spans="1:2">
      <c r="A2869" t="s">
        <v>770</v>
      </c>
      <c r="B2869">
        <v>19650</v>
      </c>
    </row>
    <row r="2870" spans="1:2">
      <c r="A2870" t="s">
        <v>770</v>
      </c>
      <c r="B2870">
        <v>0.58586762075134169</v>
      </c>
    </row>
    <row r="2872" spans="1:2">
      <c r="A2872" t="s">
        <v>1181</v>
      </c>
    </row>
    <row r="2873" spans="1:2">
      <c r="A2873" t="s">
        <v>1182</v>
      </c>
      <c r="B2873">
        <v>3495</v>
      </c>
    </row>
    <row r="2874" spans="1:2">
      <c r="A2874" t="s">
        <v>1179</v>
      </c>
      <c r="B2874">
        <v>4860</v>
      </c>
    </row>
    <row r="2875" spans="1:2">
      <c r="A2875" t="s">
        <v>2030</v>
      </c>
      <c r="B2875">
        <v>4860</v>
      </c>
    </row>
    <row r="2876" spans="1:2">
      <c r="A2876" t="s">
        <v>586</v>
      </c>
      <c r="B2876">
        <v>13215</v>
      </c>
    </row>
    <row r="2877" spans="1:2">
      <c r="A2877" t="s">
        <v>770</v>
      </c>
      <c r="B2877">
        <v>20325</v>
      </c>
    </row>
    <row r="2878" spans="1:2">
      <c r="A2878" t="s">
        <v>770</v>
      </c>
      <c r="B2878">
        <v>0.60599284436493739</v>
      </c>
    </row>
    <row r="2880" spans="1:2">
      <c r="A2880" t="s">
        <v>2031</v>
      </c>
    </row>
    <row r="2881" spans="1:2">
      <c r="A2881" t="s">
        <v>1182</v>
      </c>
      <c r="B2881">
        <v>3495</v>
      </c>
    </row>
    <row r="2882" spans="1:2">
      <c r="A2882" t="s">
        <v>2032</v>
      </c>
      <c r="B2882">
        <v>4195</v>
      </c>
    </row>
    <row r="2883" spans="1:2">
      <c r="A2883" t="s">
        <v>2030</v>
      </c>
      <c r="B2883">
        <v>4860</v>
      </c>
    </row>
    <row r="2884" spans="1:2">
      <c r="A2884" t="s">
        <v>586</v>
      </c>
      <c r="B2884">
        <v>12550</v>
      </c>
    </row>
    <row r="2885" spans="1:2">
      <c r="A2885" t="s">
        <v>770</v>
      </c>
      <c r="B2885">
        <v>20990</v>
      </c>
    </row>
    <row r="2886" spans="1:2">
      <c r="A2886" t="s">
        <v>770</v>
      </c>
      <c r="B2886">
        <v>0.62581991651759095</v>
      </c>
    </row>
    <row r="2888" spans="1:2">
      <c r="A2888" t="s">
        <v>1943</v>
      </c>
      <c r="B2888">
        <v>5103</v>
      </c>
    </row>
    <row r="2890" spans="1:2" s="344" customFormat="1">
      <c r="A2890" s="345" t="s">
        <v>1982</v>
      </c>
    </row>
    <row r="2892" spans="1:2">
      <c r="A2892" t="s">
        <v>753</v>
      </c>
      <c r="B2892" s="346">
        <v>4850</v>
      </c>
    </row>
    <row r="2894" spans="1:2">
      <c r="A2894" t="s">
        <v>581</v>
      </c>
    </row>
    <row r="2895" spans="1:2">
      <c r="A2895" t="s">
        <v>214</v>
      </c>
      <c r="B2895">
        <v>4850</v>
      </c>
    </row>
    <row r="2896" spans="1:2">
      <c r="A2896" t="s">
        <v>215</v>
      </c>
      <c r="B2896">
        <v>5820</v>
      </c>
    </row>
    <row r="2897" spans="1:2">
      <c r="A2897" t="s">
        <v>2009</v>
      </c>
      <c r="B2897">
        <v>5820</v>
      </c>
    </row>
    <row r="2898" spans="1:2">
      <c r="A2898" t="s">
        <v>586</v>
      </c>
      <c r="B2898">
        <v>16490</v>
      </c>
    </row>
    <row r="2900" spans="1:2">
      <c r="A2900" t="s">
        <v>268</v>
      </c>
    </row>
    <row r="2901" spans="1:2">
      <c r="A2901" t="s">
        <v>699</v>
      </c>
      <c r="B2901">
        <v>11180</v>
      </c>
    </row>
    <row r="2902" spans="1:2">
      <c r="A2902" t="s">
        <v>588</v>
      </c>
      <c r="B2902">
        <v>33540</v>
      </c>
    </row>
    <row r="2905" spans="1:2">
      <c r="A2905" t="s">
        <v>769</v>
      </c>
    </row>
    <row r="2907" spans="1:2">
      <c r="A2907" t="s">
        <v>1180</v>
      </c>
    </row>
    <row r="2908" spans="1:2">
      <c r="A2908" t="s">
        <v>1178</v>
      </c>
      <c r="B2908">
        <v>4630</v>
      </c>
    </row>
    <row r="2909" spans="1:2">
      <c r="A2909" t="s">
        <v>1179</v>
      </c>
      <c r="B2909">
        <v>4630</v>
      </c>
    </row>
    <row r="2910" spans="1:2">
      <c r="A2910" t="s">
        <v>2030</v>
      </c>
      <c r="B2910">
        <v>4630</v>
      </c>
    </row>
    <row r="2911" spans="1:2">
      <c r="A2911" t="s">
        <v>586</v>
      </c>
      <c r="B2911">
        <v>13890</v>
      </c>
    </row>
    <row r="2912" spans="1:2">
      <c r="A2912" t="s">
        <v>770</v>
      </c>
      <c r="B2912">
        <v>19650</v>
      </c>
    </row>
    <row r="2913" spans="1:2">
      <c r="A2913" t="s">
        <v>770</v>
      </c>
      <c r="B2913">
        <v>0.58586762075134169</v>
      </c>
    </row>
    <row r="2915" spans="1:2">
      <c r="A2915" t="s">
        <v>1181</v>
      </c>
    </row>
    <row r="2916" spans="1:2">
      <c r="A2916" t="s">
        <v>1182</v>
      </c>
      <c r="B2916">
        <v>4850</v>
      </c>
    </row>
    <row r="2917" spans="1:2">
      <c r="A2917" t="s">
        <v>1179</v>
      </c>
      <c r="B2917">
        <v>4860</v>
      </c>
    </row>
    <row r="2918" spans="1:2">
      <c r="A2918" t="s">
        <v>2030</v>
      </c>
      <c r="B2918">
        <v>4860</v>
      </c>
    </row>
    <row r="2919" spans="1:2">
      <c r="A2919" t="s">
        <v>586</v>
      </c>
      <c r="B2919">
        <v>14570</v>
      </c>
    </row>
    <row r="2920" spans="1:2">
      <c r="A2920" t="s">
        <v>770</v>
      </c>
      <c r="B2920">
        <v>18970</v>
      </c>
    </row>
    <row r="2921" spans="1:2">
      <c r="A2921" t="s">
        <v>770</v>
      </c>
      <c r="B2921">
        <v>0.56559332140727492</v>
      </c>
    </row>
    <row r="2923" spans="1:2">
      <c r="A2923" t="s">
        <v>2031</v>
      </c>
    </row>
    <row r="2924" spans="1:2">
      <c r="A2924" t="s">
        <v>1182</v>
      </c>
      <c r="B2924">
        <v>4850</v>
      </c>
    </row>
    <row r="2925" spans="1:2">
      <c r="A2925" t="s">
        <v>2032</v>
      </c>
      <c r="B2925">
        <v>5820</v>
      </c>
    </row>
    <row r="2926" spans="1:2">
      <c r="A2926" t="s">
        <v>2030</v>
      </c>
      <c r="B2926">
        <v>4860</v>
      </c>
    </row>
    <row r="2927" spans="1:2">
      <c r="A2927" t="s">
        <v>586</v>
      </c>
      <c r="B2927">
        <v>15530</v>
      </c>
    </row>
    <row r="2928" spans="1:2">
      <c r="A2928" t="s">
        <v>770</v>
      </c>
      <c r="B2928">
        <v>18010</v>
      </c>
    </row>
    <row r="2929" spans="1:2">
      <c r="A2929" t="s">
        <v>770</v>
      </c>
      <c r="B2929">
        <v>0.53697078115682761</v>
      </c>
    </row>
    <row r="2931" spans="1:2">
      <c r="A2931" t="s">
        <v>1943</v>
      </c>
      <c r="B2931">
        <v>5103</v>
      </c>
    </row>
    <row r="2933" spans="1:2" s="344" customFormat="1">
      <c r="A2933" s="345" t="s">
        <v>739</v>
      </c>
    </row>
    <row r="2935" spans="1:2">
      <c r="A2935" t="s">
        <v>753</v>
      </c>
      <c r="B2935" s="346">
        <v>1260</v>
      </c>
    </row>
    <row r="2937" spans="1:2">
      <c r="A2937" t="s">
        <v>581</v>
      </c>
    </row>
    <row r="2938" spans="1:2">
      <c r="A2938" t="s">
        <v>214</v>
      </c>
      <c r="B2938">
        <v>1260</v>
      </c>
    </row>
    <row r="2939" spans="1:2">
      <c r="A2939" t="s">
        <v>215</v>
      </c>
      <c r="B2939">
        <v>1510</v>
      </c>
    </row>
    <row r="2940" spans="1:2">
      <c r="A2940" t="s">
        <v>2009</v>
      </c>
      <c r="B2940">
        <v>1510</v>
      </c>
    </row>
    <row r="2941" spans="1:2">
      <c r="A2941" t="s">
        <v>586</v>
      </c>
      <c r="B2941">
        <v>4280</v>
      </c>
    </row>
    <row r="2943" spans="1:2">
      <c r="A2943" t="s">
        <v>268</v>
      </c>
    </row>
    <row r="2944" spans="1:2">
      <c r="A2944" t="s">
        <v>699</v>
      </c>
      <c r="B2944">
        <v>2820</v>
      </c>
    </row>
    <row r="2945" spans="1:2">
      <c r="A2945" t="s">
        <v>588</v>
      </c>
      <c r="B2945">
        <v>8460</v>
      </c>
    </row>
    <row r="2948" spans="1:2">
      <c r="A2948" t="s">
        <v>769</v>
      </c>
    </row>
    <row r="2950" spans="1:2">
      <c r="A2950" t="s">
        <v>1180</v>
      </c>
    </row>
    <row r="2951" spans="1:2">
      <c r="A2951" t="s">
        <v>1178</v>
      </c>
      <c r="B2951">
        <v>925</v>
      </c>
    </row>
    <row r="2952" spans="1:2">
      <c r="A2952" t="s">
        <v>1179</v>
      </c>
      <c r="B2952">
        <v>925</v>
      </c>
    </row>
    <row r="2953" spans="1:2">
      <c r="A2953" t="s">
        <v>2030</v>
      </c>
      <c r="B2953">
        <v>925</v>
      </c>
    </row>
    <row r="2954" spans="1:2">
      <c r="A2954" t="s">
        <v>586</v>
      </c>
      <c r="B2954">
        <v>2775</v>
      </c>
    </row>
    <row r="2955" spans="1:2">
      <c r="A2955" t="s">
        <v>770</v>
      </c>
      <c r="B2955">
        <v>5685</v>
      </c>
    </row>
    <row r="2956" spans="1:2">
      <c r="A2956" t="s">
        <v>770</v>
      </c>
      <c r="B2956">
        <v>0.67198581560283688</v>
      </c>
    </row>
    <row r="2958" spans="1:2">
      <c r="A2958" t="s">
        <v>1181</v>
      </c>
    </row>
    <row r="2959" spans="1:2">
      <c r="A2959" t="s">
        <v>1182</v>
      </c>
      <c r="B2959">
        <v>1260</v>
      </c>
    </row>
    <row r="2960" spans="1:2">
      <c r="A2960" t="s">
        <v>1179</v>
      </c>
      <c r="B2960">
        <v>970</v>
      </c>
    </row>
    <row r="2961" spans="1:2">
      <c r="A2961" t="s">
        <v>2030</v>
      </c>
      <c r="B2961">
        <v>970</v>
      </c>
    </row>
    <row r="2962" spans="1:2">
      <c r="A2962" t="s">
        <v>586</v>
      </c>
      <c r="B2962">
        <v>3200</v>
      </c>
    </row>
    <row r="2963" spans="1:2">
      <c r="A2963" t="s">
        <v>770</v>
      </c>
      <c r="B2963">
        <v>5260</v>
      </c>
    </row>
    <row r="2964" spans="1:2">
      <c r="A2964" t="s">
        <v>770</v>
      </c>
      <c r="B2964">
        <v>0.62174940898345155</v>
      </c>
    </row>
    <row r="2966" spans="1:2">
      <c r="A2966" t="s">
        <v>2031</v>
      </c>
    </row>
    <row r="2967" spans="1:2">
      <c r="A2967" t="s">
        <v>1182</v>
      </c>
      <c r="B2967">
        <v>1260</v>
      </c>
    </row>
    <row r="2968" spans="1:2">
      <c r="A2968" t="s">
        <v>2032</v>
      </c>
      <c r="B2968">
        <v>1510</v>
      </c>
    </row>
    <row r="2969" spans="1:2">
      <c r="A2969" t="s">
        <v>2030</v>
      </c>
      <c r="B2969">
        <v>970</v>
      </c>
    </row>
    <row r="2970" spans="1:2">
      <c r="A2970" t="s">
        <v>586</v>
      </c>
      <c r="B2970">
        <v>3740</v>
      </c>
    </row>
    <row r="2971" spans="1:2">
      <c r="A2971" t="s">
        <v>770</v>
      </c>
      <c r="B2971">
        <v>4720</v>
      </c>
    </row>
    <row r="2972" spans="1:2">
      <c r="A2972" t="s">
        <v>770</v>
      </c>
      <c r="B2972">
        <v>0.55791962174940901</v>
      </c>
    </row>
    <row r="2974" spans="1:2">
      <c r="A2974" t="s">
        <v>1943</v>
      </c>
      <c r="B2974">
        <v>1018.5</v>
      </c>
    </row>
    <row r="2976" spans="1:2" s="344" customFormat="1">
      <c r="A2976" s="345" t="s">
        <v>2036</v>
      </c>
    </row>
    <row r="2978" spans="1:2">
      <c r="A2978" t="s">
        <v>753</v>
      </c>
      <c r="B2978" s="346">
        <v>460</v>
      </c>
    </row>
    <row r="2980" spans="1:2">
      <c r="A2980" t="s">
        <v>581</v>
      </c>
    </row>
    <row r="2981" spans="1:2">
      <c r="A2981" t="s">
        <v>214</v>
      </c>
      <c r="B2981">
        <v>460</v>
      </c>
    </row>
    <row r="2982" spans="1:2">
      <c r="A2982" t="s">
        <v>215</v>
      </c>
      <c r="B2982">
        <v>550</v>
      </c>
    </row>
    <row r="2983" spans="1:2">
      <c r="A2983" t="s">
        <v>2009</v>
      </c>
      <c r="B2983">
        <v>550</v>
      </c>
    </row>
    <row r="2984" spans="1:2">
      <c r="A2984" t="s">
        <v>586</v>
      </c>
      <c r="B2984">
        <v>1560</v>
      </c>
    </row>
    <row r="2986" spans="1:2">
      <c r="A2986" t="s">
        <v>268</v>
      </c>
    </row>
    <row r="2987" spans="1:2">
      <c r="A2987" t="s">
        <v>699</v>
      </c>
      <c r="B2987">
        <v>3715</v>
      </c>
    </row>
    <row r="2988" spans="1:2">
      <c r="A2988" t="s">
        <v>588</v>
      </c>
      <c r="B2988">
        <v>11145</v>
      </c>
    </row>
    <row r="2991" spans="1:2">
      <c r="A2991" t="s">
        <v>769</v>
      </c>
    </row>
    <row r="2993" spans="1:2">
      <c r="A2993" t="s">
        <v>1180</v>
      </c>
    </row>
    <row r="2994" spans="1:2">
      <c r="A2994" t="s">
        <v>1178</v>
      </c>
      <c r="B2994">
        <v>1125</v>
      </c>
    </row>
    <row r="2995" spans="1:2">
      <c r="A2995" t="s">
        <v>1179</v>
      </c>
      <c r="B2995">
        <v>1125</v>
      </c>
    </row>
    <row r="2996" spans="1:2">
      <c r="A2996" t="s">
        <v>2030</v>
      </c>
      <c r="B2996">
        <v>1125</v>
      </c>
    </row>
    <row r="2997" spans="1:2">
      <c r="A2997" t="s">
        <v>586</v>
      </c>
      <c r="B2997">
        <v>3375</v>
      </c>
    </row>
    <row r="2998" spans="1:2">
      <c r="A2998" t="s">
        <v>770</v>
      </c>
      <c r="B2998">
        <v>7770</v>
      </c>
    </row>
    <row r="2999" spans="1:2">
      <c r="A2999" t="s">
        <v>770</v>
      </c>
      <c r="B2999">
        <v>0.69717362045760434</v>
      </c>
    </row>
    <row r="3001" spans="1:2">
      <c r="A3001" t="s">
        <v>1181</v>
      </c>
    </row>
    <row r="3002" spans="1:2">
      <c r="A3002" t="s">
        <v>1182</v>
      </c>
      <c r="B3002">
        <v>460</v>
      </c>
    </row>
    <row r="3003" spans="1:2">
      <c r="A3003" t="s">
        <v>1179</v>
      </c>
      <c r="B3003">
        <v>1180</v>
      </c>
    </row>
    <row r="3004" spans="1:2">
      <c r="A3004" t="s">
        <v>2030</v>
      </c>
      <c r="B3004">
        <v>1180</v>
      </c>
    </row>
    <row r="3005" spans="1:2">
      <c r="A3005" t="s">
        <v>586</v>
      </c>
      <c r="B3005">
        <v>2820</v>
      </c>
    </row>
    <row r="3006" spans="1:2">
      <c r="A3006" t="s">
        <v>770</v>
      </c>
      <c r="B3006">
        <v>8325</v>
      </c>
    </row>
    <row r="3007" spans="1:2">
      <c r="A3007" t="s">
        <v>770</v>
      </c>
      <c r="B3007">
        <v>0.74697173620457602</v>
      </c>
    </row>
    <row r="3009" spans="1:2">
      <c r="A3009" t="s">
        <v>2031</v>
      </c>
    </row>
    <row r="3010" spans="1:2">
      <c r="A3010" t="s">
        <v>1182</v>
      </c>
      <c r="B3010">
        <v>460</v>
      </c>
    </row>
    <row r="3011" spans="1:2">
      <c r="A3011" t="s">
        <v>2032</v>
      </c>
      <c r="B3011">
        <v>550</v>
      </c>
    </row>
    <row r="3012" spans="1:2">
      <c r="A3012" t="s">
        <v>2030</v>
      </c>
      <c r="B3012">
        <v>1180</v>
      </c>
    </row>
    <row r="3013" spans="1:2">
      <c r="A3013" t="s">
        <v>586</v>
      </c>
      <c r="B3013">
        <v>2190</v>
      </c>
    </row>
    <row r="3014" spans="1:2">
      <c r="A3014" t="s">
        <v>770</v>
      </c>
      <c r="B3014">
        <v>8955</v>
      </c>
    </row>
    <row r="3015" spans="1:2">
      <c r="A3015" t="s">
        <v>770</v>
      </c>
      <c r="B3015">
        <v>0.80349932705248994</v>
      </c>
    </row>
    <row r="3017" spans="1:2">
      <c r="A3017" t="s">
        <v>1943</v>
      </c>
      <c r="B3017">
        <v>1239</v>
      </c>
    </row>
    <row r="3019" spans="1:2" s="344" customFormat="1">
      <c r="A3019" s="345" t="s">
        <v>2037</v>
      </c>
    </row>
    <row r="3021" spans="1:2">
      <c r="A3021" t="s">
        <v>753</v>
      </c>
      <c r="B3021" s="346">
        <v>460</v>
      </c>
    </row>
    <row r="3023" spans="1:2">
      <c r="A3023" t="s">
        <v>581</v>
      </c>
    </row>
    <row r="3024" spans="1:2">
      <c r="A3024" t="s">
        <v>214</v>
      </c>
      <c r="B3024">
        <v>460</v>
      </c>
    </row>
    <row r="3025" spans="1:2">
      <c r="A3025" t="s">
        <v>215</v>
      </c>
      <c r="B3025">
        <v>550</v>
      </c>
    </row>
    <row r="3026" spans="1:2">
      <c r="A3026" t="s">
        <v>2009</v>
      </c>
      <c r="B3026">
        <v>550</v>
      </c>
    </row>
    <row r="3027" spans="1:2">
      <c r="A3027" t="s">
        <v>586</v>
      </c>
      <c r="B3027">
        <v>1560</v>
      </c>
    </row>
    <row r="3029" spans="1:2">
      <c r="A3029" t="s">
        <v>268</v>
      </c>
    </row>
    <row r="3030" spans="1:2">
      <c r="A3030" t="s">
        <v>699</v>
      </c>
      <c r="B3030">
        <v>1550</v>
      </c>
    </row>
    <row r="3031" spans="1:2">
      <c r="A3031" t="s">
        <v>588</v>
      </c>
      <c r="B3031">
        <v>4650</v>
      </c>
    </row>
    <row r="3034" spans="1:2">
      <c r="A3034" t="s">
        <v>769</v>
      </c>
    </row>
    <row r="3036" spans="1:2">
      <c r="A3036" t="s">
        <v>1180</v>
      </c>
    </row>
    <row r="3037" spans="1:2">
      <c r="A3037" t="s">
        <v>1178</v>
      </c>
      <c r="B3037">
        <v>440</v>
      </c>
    </row>
    <row r="3038" spans="1:2">
      <c r="A3038" t="s">
        <v>1179</v>
      </c>
      <c r="B3038">
        <v>440</v>
      </c>
    </row>
    <row r="3039" spans="1:2">
      <c r="A3039" t="s">
        <v>2030</v>
      </c>
      <c r="B3039">
        <v>440</v>
      </c>
    </row>
    <row r="3040" spans="1:2">
      <c r="A3040" t="s">
        <v>586</v>
      </c>
      <c r="B3040">
        <v>1320</v>
      </c>
    </row>
    <row r="3041" spans="1:2">
      <c r="A3041" t="s">
        <v>770</v>
      </c>
      <c r="B3041">
        <v>3330</v>
      </c>
    </row>
    <row r="3042" spans="1:2">
      <c r="A3042" t="s">
        <v>770</v>
      </c>
      <c r="B3042">
        <v>0.71612903225806457</v>
      </c>
    </row>
    <row r="3044" spans="1:2">
      <c r="A3044" t="s">
        <v>1181</v>
      </c>
    </row>
    <row r="3045" spans="1:2">
      <c r="A3045" t="s">
        <v>1182</v>
      </c>
      <c r="B3045">
        <v>460</v>
      </c>
    </row>
    <row r="3046" spans="1:2">
      <c r="A3046" t="s">
        <v>1179</v>
      </c>
      <c r="B3046">
        <v>460</v>
      </c>
    </row>
    <row r="3047" spans="1:2">
      <c r="A3047" t="s">
        <v>2030</v>
      </c>
      <c r="B3047">
        <v>460</v>
      </c>
    </row>
    <row r="3048" spans="1:2">
      <c r="A3048" t="s">
        <v>586</v>
      </c>
      <c r="B3048">
        <v>1380</v>
      </c>
    </row>
    <row r="3049" spans="1:2">
      <c r="A3049" t="s">
        <v>770</v>
      </c>
      <c r="B3049">
        <v>3270</v>
      </c>
    </row>
    <row r="3050" spans="1:2">
      <c r="A3050" t="s">
        <v>770</v>
      </c>
      <c r="B3050">
        <v>0.70322580645161292</v>
      </c>
    </row>
    <row r="3052" spans="1:2">
      <c r="A3052" t="s">
        <v>2031</v>
      </c>
    </row>
    <row r="3053" spans="1:2">
      <c r="A3053" t="s">
        <v>1182</v>
      </c>
      <c r="B3053">
        <v>460</v>
      </c>
    </row>
    <row r="3054" spans="1:2">
      <c r="A3054" t="s">
        <v>2032</v>
      </c>
      <c r="B3054">
        <v>550</v>
      </c>
    </row>
    <row r="3055" spans="1:2">
      <c r="A3055" t="s">
        <v>2030</v>
      </c>
      <c r="B3055">
        <v>460</v>
      </c>
    </row>
    <row r="3056" spans="1:2">
      <c r="A3056" t="s">
        <v>586</v>
      </c>
      <c r="B3056">
        <v>1470</v>
      </c>
    </row>
    <row r="3057" spans="1:2">
      <c r="A3057" t="s">
        <v>770</v>
      </c>
      <c r="B3057">
        <v>3180</v>
      </c>
    </row>
    <row r="3058" spans="1:2">
      <c r="A3058" t="s">
        <v>770</v>
      </c>
      <c r="B3058">
        <v>0.68387096774193545</v>
      </c>
    </row>
    <row r="3060" spans="1:2">
      <c r="A3060" t="s">
        <v>1943</v>
      </c>
      <c r="B3060">
        <v>483</v>
      </c>
    </row>
    <row r="3062" spans="1:2" s="344" customFormat="1">
      <c r="A3062" s="345" t="s">
        <v>2038</v>
      </c>
    </row>
    <row r="3064" spans="1:2">
      <c r="A3064" t="s">
        <v>753</v>
      </c>
      <c r="B3064" s="346">
        <v>745</v>
      </c>
    </row>
    <row r="3066" spans="1:2">
      <c r="A3066" t="s">
        <v>581</v>
      </c>
    </row>
    <row r="3067" spans="1:2">
      <c r="A3067" t="s">
        <v>214</v>
      </c>
      <c r="B3067">
        <v>745</v>
      </c>
    </row>
    <row r="3068" spans="1:2">
      <c r="A3068" t="s">
        <v>215</v>
      </c>
      <c r="B3068">
        <v>895</v>
      </c>
    </row>
    <row r="3069" spans="1:2">
      <c r="A3069" t="s">
        <v>2009</v>
      </c>
      <c r="B3069">
        <v>895</v>
      </c>
    </row>
    <row r="3070" spans="1:2">
      <c r="A3070" t="s">
        <v>586</v>
      </c>
      <c r="B3070">
        <v>2535</v>
      </c>
    </row>
    <row r="3072" spans="1:2">
      <c r="A3072" t="s">
        <v>268</v>
      </c>
    </row>
    <row r="3073" spans="1:2">
      <c r="A3073" t="s">
        <v>699</v>
      </c>
      <c r="B3073">
        <v>1550</v>
      </c>
    </row>
    <row r="3074" spans="1:2">
      <c r="A3074" t="s">
        <v>588</v>
      </c>
      <c r="B3074">
        <v>4650</v>
      </c>
    </row>
    <row r="3077" spans="1:2">
      <c r="A3077" t="s">
        <v>769</v>
      </c>
    </row>
    <row r="3079" spans="1:2">
      <c r="A3079" t="s">
        <v>1180</v>
      </c>
    </row>
    <row r="3080" spans="1:2">
      <c r="A3080" t="s">
        <v>1178</v>
      </c>
      <c r="B3080">
        <v>710</v>
      </c>
    </row>
    <row r="3081" spans="1:2">
      <c r="A3081" t="s">
        <v>1179</v>
      </c>
      <c r="B3081">
        <v>710</v>
      </c>
    </row>
    <row r="3082" spans="1:2">
      <c r="A3082" t="s">
        <v>2030</v>
      </c>
      <c r="B3082">
        <v>710</v>
      </c>
    </row>
    <row r="3083" spans="1:2">
      <c r="A3083" t="s">
        <v>586</v>
      </c>
      <c r="B3083">
        <v>2130</v>
      </c>
    </row>
    <row r="3084" spans="1:2">
      <c r="A3084" t="s">
        <v>770</v>
      </c>
      <c r="B3084">
        <v>2520</v>
      </c>
    </row>
    <row r="3085" spans="1:2">
      <c r="A3085" t="s">
        <v>770</v>
      </c>
      <c r="B3085">
        <v>0.54193548387096779</v>
      </c>
    </row>
    <row r="3087" spans="1:2">
      <c r="A3087" t="s">
        <v>1181</v>
      </c>
    </row>
    <row r="3088" spans="1:2">
      <c r="A3088" t="s">
        <v>1182</v>
      </c>
      <c r="B3088">
        <v>745</v>
      </c>
    </row>
    <row r="3089" spans="1:2">
      <c r="A3089" t="s">
        <v>1179</v>
      </c>
      <c r="B3089">
        <v>745</v>
      </c>
    </row>
    <row r="3090" spans="1:2">
      <c r="A3090" t="s">
        <v>2030</v>
      </c>
      <c r="B3090">
        <v>745</v>
      </c>
    </row>
    <row r="3091" spans="1:2">
      <c r="A3091" t="s">
        <v>586</v>
      </c>
      <c r="B3091">
        <v>2235</v>
      </c>
    </row>
    <row r="3092" spans="1:2">
      <c r="A3092" t="s">
        <v>770</v>
      </c>
      <c r="B3092">
        <v>2415</v>
      </c>
    </row>
    <row r="3093" spans="1:2">
      <c r="A3093" t="s">
        <v>770</v>
      </c>
      <c r="B3093">
        <v>0.51935483870967747</v>
      </c>
    </row>
    <row r="3095" spans="1:2">
      <c r="A3095" t="s">
        <v>2031</v>
      </c>
    </row>
    <row r="3096" spans="1:2">
      <c r="A3096" t="s">
        <v>1182</v>
      </c>
      <c r="B3096">
        <v>745</v>
      </c>
    </row>
    <row r="3097" spans="1:2">
      <c r="A3097" t="s">
        <v>2032</v>
      </c>
      <c r="B3097">
        <v>895</v>
      </c>
    </row>
    <row r="3098" spans="1:2">
      <c r="A3098" t="s">
        <v>2030</v>
      </c>
      <c r="B3098">
        <v>745</v>
      </c>
    </row>
    <row r="3099" spans="1:2">
      <c r="A3099" t="s">
        <v>586</v>
      </c>
      <c r="B3099">
        <v>2385</v>
      </c>
    </row>
    <row r="3100" spans="1:2">
      <c r="A3100" t="s">
        <v>770</v>
      </c>
      <c r="B3100">
        <v>2265</v>
      </c>
    </row>
    <row r="3101" spans="1:2">
      <c r="A3101" t="s">
        <v>770</v>
      </c>
      <c r="B3101">
        <v>0.48709677419354841</v>
      </c>
    </row>
    <row r="3103" spans="1:2">
      <c r="A3103" t="s">
        <v>1943</v>
      </c>
      <c r="B3103">
        <v>782.25</v>
      </c>
    </row>
    <row r="3105" spans="1:2" s="344" customFormat="1">
      <c r="A3105" s="345" t="s">
        <v>2039</v>
      </c>
    </row>
    <row r="3107" spans="1:2">
      <c r="A3107" t="s">
        <v>753</v>
      </c>
      <c r="B3107" s="346">
        <v>540</v>
      </c>
    </row>
    <row r="3109" spans="1:2">
      <c r="A3109" t="s">
        <v>581</v>
      </c>
    </row>
    <row r="3110" spans="1:2">
      <c r="A3110" t="s">
        <v>214</v>
      </c>
      <c r="B3110">
        <v>540</v>
      </c>
    </row>
    <row r="3111" spans="1:2">
      <c r="A3111" t="s">
        <v>215</v>
      </c>
      <c r="B3111">
        <v>650</v>
      </c>
    </row>
    <row r="3112" spans="1:2">
      <c r="A3112" t="s">
        <v>2009</v>
      </c>
      <c r="B3112">
        <v>650</v>
      </c>
    </row>
    <row r="3113" spans="1:2">
      <c r="A3113" t="s">
        <v>586</v>
      </c>
      <c r="B3113">
        <v>1840</v>
      </c>
    </row>
    <row r="3115" spans="1:2">
      <c r="A3115" t="s">
        <v>268</v>
      </c>
    </row>
    <row r="3116" spans="1:2">
      <c r="A3116" t="s">
        <v>699</v>
      </c>
      <c r="B3116">
        <v>1550</v>
      </c>
    </row>
    <row r="3117" spans="1:2">
      <c r="A3117" t="s">
        <v>588</v>
      </c>
      <c r="B3117">
        <v>4650</v>
      </c>
    </row>
    <row r="3120" spans="1:2">
      <c r="A3120" t="s">
        <v>769</v>
      </c>
    </row>
    <row r="3122" spans="1:2">
      <c r="A3122" t="s">
        <v>1180</v>
      </c>
    </row>
    <row r="3123" spans="1:2">
      <c r="A3123" t="s">
        <v>1178</v>
      </c>
      <c r="B3123">
        <v>515</v>
      </c>
    </row>
    <row r="3124" spans="1:2">
      <c r="A3124" t="s">
        <v>1179</v>
      </c>
      <c r="B3124">
        <v>515</v>
      </c>
    </row>
    <row r="3125" spans="1:2">
      <c r="A3125" t="s">
        <v>2030</v>
      </c>
      <c r="B3125">
        <v>515</v>
      </c>
    </row>
    <row r="3126" spans="1:2">
      <c r="A3126" t="s">
        <v>586</v>
      </c>
      <c r="B3126">
        <v>1545</v>
      </c>
    </row>
    <row r="3127" spans="1:2">
      <c r="A3127" t="s">
        <v>770</v>
      </c>
      <c r="B3127">
        <v>3105</v>
      </c>
    </row>
    <row r="3128" spans="1:2">
      <c r="A3128" t="s">
        <v>770</v>
      </c>
      <c r="B3128">
        <v>0.66774193548387095</v>
      </c>
    </row>
    <row r="3130" spans="1:2">
      <c r="A3130" t="s">
        <v>1181</v>
      </c>
    </row>
    <row r="3131" spans="1:2">
      <c r="A3131" t="s">
        <v>1182</v>
      </c>
      <c r="B3131">
        <v>540</v>
      </c>
    </row>
    <row r="3132" spans="1:2">
      <c r="A3132" t="s">
        <v>1179</v>
      </c>
      <c r="B3132">
        <v>540</v>
      </c>
    </row>
    <row r="3133" spans="1:2">
      <c r="A3133" t="s">
        <v>2030</v>
      </c>
      <c r="B3133">
        <v>540</v>
      </c>
    </row>
    <row r="3134" spans="1:2">
      <c r="A3134" t="s">
        <v>586</v>
      </c>
      <c r="B3134">
        <v>1620</v>
      </c>
    </row>
    <row r="3135" spans="1:2">
      <c r="A3135" t="s">
        <v>770</v>
      </c>
      <c r="B3135">
        <v>3030</v>
      </c>
    </row>
    <row r="3136" spans="1:2">
      <c r="A3136" t="s">
        <v>770</v>
      </c>
      <c r="B3136">
        <v>0.65161290322580645</v>
      </c>
    </row>
    <row r="3138" spans="1:2">
      <c r="A3138" t="s">
        <v>2031</v>
      </c>
    </row>
    <row r="3139" spans="1:2">
      <c r="A3139" t="s">
        <v>1182</v>
      </c>
      <c r="B3139">
        <v>540</v>
      </c>
    </row>
    <row r="3140" spans="1:2">
      <c r="A3140" t="s">
        <v>2032</v>
      </c>
      <c r="B3140">
        <v>650</v>
      </c>
    </row>
    <row r="3141" spans="1:2">
      <c r="A3141" t="s">
        <v>2030</v>
      </c>
      <c r="B3141">
        <v>540</v>
      </c>
    </row>
    <row r="3142" spans="1:2">
      <c r="A3142" t="s">
        <v>586</v>
      </c>
      <c r="B3142">
        <v>1730</v>
      </c>
    </row>
    <row r="3143" spans="1:2">
      <c r="A3143" t="s">
        <v>770</v>
      </c>
      <c r="B3143">
        <v>2920</v>
      </c>
    </row>
    <row r="3144" spans="1:2">
      <c r="A3144" t="s">
        <v>770</v>
      </c>
      <c r="B3144">
        <v>0.6279569892473118</v>
      </c>
    </row>
    <row r="3146" spans="1:2">
      <c r="A3146" t="s">
        <v>1943</v>
      </c>
      <c r="B3146">
        <v>567</v>
      </c>
    </row>
    <row r="3148" spans="1:2" s="344" customFormat="1">
      <c r="A3148" s="345" t="s">
        <v>1422</v>
      </c>
    </row>
    <row r="3150" spans="1:2">
      <c r="A3150" t="s">
        <v>753</v>
      </c>
      <c r="B3150" s="346">
        <v>1175</v>
      </c>
    </row>
    <row r="3152" spans="1:2">
      <c r="A3152" t="s">
        <v>581</v>
      </c>
    </row>
    <row r="3153" spans="1:2">
      <c r="A3153" t="s">
        <v>214</v>
      </c>
      <c r="B3153">
        <v>1175</v>
      </c>
    </row>
    <row r="3154" spans="1:2">
      <c r="A3154" t="s">
        <v>215</v>
      </c>
      <c r="B3154">
        <v>1410</v>
      </c>
    </row>
    <row r="3155" spans="1:2">
      <c r="A3155" t="s">
        <v>2009</v>
      </c>
      <c r="B3155">
        <v>1410</v>
      </c>
    </row>
    <row r="3156" spans="1:2">
      <c r="A3156" t="s">
        <v>586</v>
      </c>
      <c r="B3156">
        <v>3995</v>
      </c>
    </row>
    <row r="3158" spans="1:2">
      <c r="A3158" t="s">
        <v>268</v>
      </c>
    </row>
    <row r="3159" spans="1:2">
      <c r="A3159" t="s">
        <v>699</v>
      </c>
      <c r="B3159">
        <v>3715</v>
      </c>
    </row>
    <row r="3160" spans="1:2">
      <c r="A3160" t="s">
        <v>588</v>
      </c>
      <c r="B3160">
        <v>11145</v>
      </c>
    </row>
    <row r="3163" spans="1:2">
      <c r="A3163" t="s">
        <v>769</v>
      </c>
    </row>
    <row r="3165" spans="1:2">
      <c r="A3165" t="s">
        <v>1180</v>
      </c>
    </row>
    <row r="3166" spans="1:2">
      <c r="A3166" t="s">
        <v>1178</v>
      </c>
      <c r="B3166">
        <v>1125</v>
      </c>
    </row>
    <row r="3167" spans="1:2">
      <c r="A3167" t="s">
        <v>1179</v>
      </c>
      <c r="B3167">
        <v>1125</v>
      </c>
    </row>
    <row r="3168" spans="1:2">
      <c r="A3168" t="s">
        <v>2030</v>
      </c>
      <c r="B3168">
        <v>1125</v>
      </c>
    </row>
    <row r="3169" spans="1:2">
      <c r="A3169" t="s">
        <v>586</v>
      </c>
      <c r="B3169">
        <v>3375</v>
      </c>
    </row>
    <row r="3170" spans="1:2">
      <c r="A3170" t="s">
        <v>770</v>
      </c>
      <c r="B3170">
        <v>7770</v>
      </c>
    </row>
    <row r="3171" spans="1:2">
      <c r="A3171" t="s">
        <v>770</v>
      </c>
      <c r="B3171">
        <v>0.69717362045760434</v>
      </c>
    </row>
    <row r="3173" spans="1:2">
      <c r="A3173" t="s">
        <v>1181</v>
      </c>
    </row>
    <row r="3174" spans="1:2">
      <c r="A3174" t="s">
        <v>1182</v>
      </c>
      <c r="B3174">
        <v>1175</v>
      </c>
    </row>
    <row r="3175" spans="1:2">
      <c r="A3175" t="s">
        <v>1179</v>
      </c>
      <c r="B3175">
        <v>1180</v>
      </c>
    </row>
    <row r="3176" spans="1:2">
      <c r="A3176" t="s">
        <v>2030</v>
      </c>
      <c r="B3176">
        <v>1180</v>
      </c>
    </row>
    <row r="3177" spans="1:2">
      <c r="A3177" t="s">
        <v>586</v>
      </c>
      <c r="B3177">
        <v>3535</v>
      </c>
    </row>
    <row r="3178" spans="1:2">
      <c r="A3178" t="s">
        <v>770</v>
      </c>
      <c r="B3178">
        <v>7610</v>
      </c>
    </row>
    <row r="3179" spans="1:2">
      <c r="A3179" t="s">
        <v>770</v>
      </c>
      <c r="B3179">
        <v>0.68281740690892778</v>
      </c>
    </row>
    <row r="3181" spans="1:2">
      <c r="A3181" t="s">
        <v>2031</v>
      </c>
    </row>
    <row r="3182" spans="1:2">
      <c r="A3182" t="s">
        <v>1182</v>
      </c>
      <c r="B3182">
        <v>1175</v>
      </c>
    </row>
    <row r="3183" spans="1:2">
      <c r="A3183" t="s">
        <v>2032</v>
      </c>
      <c r="B3183">
        <v>1410</v>
      </c>
    </row>
    <row r="3184" spans="1:2">
      <c r="A3184" t="s">
        <v>2030</v>
      </c>
      <c r="B3184">
        <v>1180</v>
      </c>
    </row>
    <row r="3185" spans="1:2">
      <c r="A3185" t="s">
        <v>586</v>
      </c>
      <c r="B3185">
        <v>3765</v>
      </c>
    </row>
    <row r="3186" spans="1:2">
      <c r="A3186" t="s">
        <v>770</v>
      </c>
      <c r="B3186">
        <v>7380</v>
      </c>
    </row>
    <row r="3187" spans="1:2">
      <c r="A3187" t="s">
        <v>770</v>
      </c>
      <c r="B3187">
        <v>0.66218034993270525</v>
      </c>
    </row>
    <row r="3189" spans="1:2">
      <c r="A3189" t="s">
        <v>1943</v>
      </c>
      <c r="B3189">
        <v>1239</v>
      </c>
    </row>
    <row r="3191" spans="1:2" s="344" customFormat="1">
      <c r="A3191" s="345" t="s">
        <v>1883</v>
      </c>
    </row>
    <row r="3193" spans="1:2">
      <c r="A3193" t="s">
        <v>753</v>
      </c>
      <c r="B3193" s="346">
        <v>1175</v>
      </c>
    </row>
    <row r="3195" spans="1:2">
      <c r="A3195" t="s">
        <v>581</v>
      </c>
    </row>
    <row r="3196" spans="1:2">
      <c r="A3196" t="s">
        <v>214</v>
      </c>
      <c r="B3196">
        <v>1175</v>
      </c>
    </row>
    <row r="3197" spans="1:2">
      <c r="A3197" t="s">
        <v>215</v>
      </c>
      <c r="B3197">
        <v>1410</v>
      </c>
    </row>
    <row r="3198" spans="1:2">
      <c r="A3198" t="s">
        <v>2009</v>
      </c>
      <c r="B3198">
        <v>1410</v>
      </c>
    </row>
    <row r="3199" spans="1:2">
      <c r="A3199" t="s">
        <v>586</v>
      </c>
      <c r="B3199">
        <v>3995</v>
      </c>
    </row>
    <row r="3201" spans="1:2">
      <c r="A3201" t="s">
        <v>268</v>
      </c>
    </row>
    <row r="3202" spans="1:2">
      <c r="A3202" t="s">
        <v>699</v>
      </c>
      <c r="B3202">
        <v>3290</v>
      </c>
    </row>
    <row r="3203" spans="1:2">
      <c r="A3203" t="s">
        <v>588</v>
      </c>
      <c r="B3203">
        <v>9870</v>
      </c>
    </row>
    <row r="3206" spans="1:2">
      <c r="A3206" t="s">
        <v>769</v>
      </c>
    </row>
    <row r="3208" spans="1:2">
      <c r="A3208" t="s">
        <v>1180</v>
      </c>
    </row>
    <row r="3209" spans="1:2">
      <c r="A3209" t="s">
        <v>1178</v>
      </c>
      <c r="B3209">
        <v>1210</v>
      </c>
    </row>
    <row r="3210" spans="1:2">
      <c r="A3210" t="s">
        <v>1179</v>
      </c>
      <c r="B3210">
        <v>1210</v>
      </c>
    </row>
    <row r="3211" spans="1:2">
      <c r="A3211" t="s">
        <v>2030</v>
      </c>
      <c r="B3211">
        <v>1210</v>
      </c>
    </row>
    <row r="3212" spans="1:2">
      <c r="A3212" t="s">
        <v>586</v>
      </c>
      <c r="B3212">
        <v>3630</v>
      </c>
    </row>
    <row r="3213" spans="1:2">
      <c r="A3213" t="s">
        <v>770</v>
      </c>
      <c r="B3213">
        <v>6240</v>
      </c>
    </row>
    <row r="3214" spans="1:2">
      <c r="A3214" t="s">
        <v>770</v>
      </c>
      <c r="B3214">
        <v>0.63221884498480241</v>
      </c>
    </row>
    <row r="3216" spans="1:2">
      <c r="A3216" t="s">
        <v>1181</v>
      </c>
    </row>
    <row r="3217" spans="1:2">
      <c r="A3217" t="s">
        <v>1182</v>
      </c>
      <c r="B3217">
        <v>1175</v>
      </c>
    </row>
    <row r="3218" spans="1:2">
      <c r="A3218" t="s">
        <v>1179</v>
      </c>
      <c r="B3218">
        <v>1270</v>
      </c>
    </row>
    <row r="3219" spans="1:2">
      <c r="A3219" t="s">
        <v>2030</v>
      </c>
      <c r="B3219">
        <v>1270</v>
      </c>
    </row>
    <row r="3220" spans="1:2">
      <c r="A3220" t="s">
        <v>586</v>
      </c>
      <c r="B3220">
        <v>3715</v>
      </c>
    </row>
    <row r="3221" spans="1:2">
      <c r="A3221" t="s">
        <v>770</v>
      </c>
      <c r="B3221">
        <v>6155</v>
      </c>
    </row>
    <row r="3222" spans="1:2">
      <c r="A3222" t="s">
        <v>770</v>
      </c>
      <c r="B3222">
        <v>0.62360688956433641</v>
      </c>
    </row>
    <row r="3224" spans="1:2">
      <c r="A3224" t="s">
        <v>2031</v>
      </c>
    </row>
    <row r="3225" spans="1:2">
      <c r="A3225" t="s">
        <v>1182</v>
      </c>
      <c r="B3225">
        <v>1175</v>
      </c>
    </row>
    <row r="3226" spans="1:2">
      <c r="A3226" t="s">
        <v>2032</v>
      </c>
      <c r="B3226">
        <v>1410</v>
      </c>
    </row>
    <row r="3227" spans="1:2">
      <c r="A3227" t="s">
        <v>2030</v>
      </c>
      <c r="B3227">
        <v>1270</v>
      </c>
    </row>
    <row r="3228" spans="1:2">
      <c r="A3228" t="s">
        <v>586</v>
      </c>
      <c r="B3228">
        <v>3855</v>
      </c>
    </row>
    <row r="3229" spans="1:2">
      <c r="A3229" t="s">
        <v>770</v>
      </c>
      <c r="B3229">
        <v>6015</v>
      </c>
    </row>
    <row r="3230" spans="1:2">
      <c r="A3230" t="s">
        <v>770</v>
      </c>
      <c r="B3230">
        <v>0.60942249240121582</v>
      </c>
    </row>
    <row r="3232" spans="1:2">
      <c r="A3232" t="s">
        <v>1943</v>
      </c>
      <c r="B3232">
        <v>1333.5</v>
      </c>
    </row>
    <row r="3234" spans="1:2" s="344" customFormat="1">
      <c r="A3234" s="345" t="s">
        <v>1423</v>
      </c>
    </row>
    <row r="3236" spans="1:2">
      <c r="A3236" t="s">
        <v>753</v>
      </c>
      <c r="B3236" s="346">
        <v>970</v>
      </c>
    </row>
    <row r="3238" spans="1:2">
      <c r="A3238" t="s">
        <v>581</v>
      </c>
    </row>
    <row r="3239" spans="1:2">
      <c r="A3239" t="s">
        <v>214</v>
      </c>
      <c r="B3239">
        <v>970</v>
      </c>
    </row>
    <row r="3240" spans="1:2">
      <c r="A3240" t="s">
        <v>215</v>
      </c>
      <c r="B3240">
        <v>1165</v>
      </c>
    </row>
    <row r="3241" spans="1:2">
      <c r="A3241" t="s">
        <v>2009</v>
      </c>
      <c r="B3241">
        <v>1165</v>
      </c>
    </row>
    <row r="3242" spans="1:2">
      <c r="A3242" t="s">
        <v>586</v>
      </c>
      <c r="B3242">
        <v>3300</v>
      </c>
    </row>
    <row r="3244" spans="1:2">
      <c r="A3244" t="s">
        <v>268</v>
      </c>
    </row>
    <row r="3245" spans="1:2">
      <c r="A3245" t="s">
        <v>699</v>
      </c>
      <c r="B3245">
        <v>3715</v>
      </c>
    </row>
    <row r="3246" spans="1:2">
      <c r="A3246" t="s">
        <v>588</v>
      </c>
      <c r="B3246">
        <v>11145</v>
      </c>
    </row>
    <row r="3249" spans="1:2">
      <c r="A3249" t="s">
        <v>769</v>
      </c>
    </row>
    <row r="3251" spans="1:2">
      <c r="A3251" t="s">
        <v>1180</v>
      </c>
    </row>
    <row r="3252" spans="1:2">
      <c r="A3252" t="s">
        <v>1178</v>
      </c>
      <c r="B3252">
        <v>1125</v>
      </c>
    </row>
    <row r="3253" spans="1:2">
      <c r="A3253" t="s">
        <v>1179</v>
      </c>
      <c r="B3253">
        <v>1125</v>
      </c>
    </row>
    <row r="3254" spans="1:2">
      <c r="A3254" t="s">
        <v>2030</v>
      </c>
      <c r="B3254">
        <v>1125</v>
      </c>
    </row>
    <row r="3255" spans="1:2">
      <c r="A3255" t="s">
        <v>586</v>
      </c>
      <c r="B3255">
        <v>3375</v>
      </c>
    </row>
    <row r="3256" spans="1:2">
      <c r="A3256" t="s">
        <v>770</v>
      </c>
      <c r="B3256">
        <v>7770</v>
      </c>
    </row>
    <row r="3257" spans="1:2">
      <c r="A3257" t="s">
        <v>770</v>
      </c>
      <c r="B3257">
        <v>0.69717362045760434</v>
      </c>
    </row>
    <row r="3259" spans="1:2">
      <c r="A3259" t="s">
        <v>1181</v>
      </c>
    </row>
    <row r="3260" spans="1:2">
      <c r="A3260" t="s">
        <v>1182</v>
      </c>
      <c r="B3260">
        <v>970</v>
      </c>
    </row>
    <row r="3261" spans="1:2">
      <c r="A3261" t="s">
        <v>1179</v>
      </c>
      <c r="B3261">
        <v>1180</v>
      </c>
    </row>
    <row r="3262" spans="1:2">
      <c r="A3262" t="s">
        <v>2030</v>
      </c>
      <c r="B3262">
        <v>1180</v>
      </c>
    </row>
    <row r="3263" spans="1:2">
      <c r="A3263" t="s">
        <v>586</v>
      </c>
      <c r="B3263">
        <v>3330</v>
      </c>
    </row>
    <row r="3264" spans="1:2">
      <c r="A3264" t="s">
        <v>770</v>
      </c>
      <c r="B3264">
        <v>7815</v>
      </c>
    </row>
    <row r="3265" spans="1:2">
      <c r="A3265" t="s">
        <v>770</v>
      </c>
      <c r="B3265">
        <v>0.70121130551816957</v>
      </c>
    </row>
    <row r="3267" spans="1:2">
      <c r="A3267" t="s">
        <v>2031</v>
      </c>
    </row>
    <row r="3268" spans="1:2">
      <c r="A3268" t="s">
        <v>1182</v>
      </c>
      <c r="B3268">
        <v>970</v>
      </c>
    </row>
    <row r="3269" spans="1:2">
      <c r="A3269" t="s">
        <v>2032</v>
      </c>
      <c r="B3269">
        <v>1165</v>
      </c>
    </row>
    <row r="3270" spans="1:2">
      <c r="A3270" t="s">
        <v>2030</v>
      </c>
      <c r="B3270">
        <v>1180</v>
      </c>
    </row>
    <row r="3271" spans="1:2">
      <c r="A3271" t="s">
        <v>586</v>
      </c>
      <c r="B3271">
        <v>3315</v>
      </c>
    </row>
    <row r="3272" spans="1:2">
      <c r="A3272" t="s">
        <v>770</v>
      </c>
      <c r="B3272">
        <v>7830</v>
      </c>
    </row>
    <row r="3273" spans="1:2">
      <c r="A3273" t="s">
        <v>770</v>
      </c>
      <c r="B3273">
        <v>0.70255720053835802</v>
      </c>
    </row>
    <row r="3275" spans="1:2">
      <c r="A3275" t="s">
        <v>1943</v>
      </c>
      <c r="B3275">
        <v>1239</v>
      </c>
    </row>
    <row r="3277" spans="1:2" s="344" customFormat="1">
      <c r="A3277" s="345" t="s">
        <v>1884</v>
      </c>
    </row>
    <row r="3279" spans="1:2">
      <c r="A3279" t="s">
        <v>753</v>
      </c>
      <c r="B3279" s="346">
        <v>970</v>
      </c>
    </row>
    <row r="3281" spans="1:2">
      <c r="A3281" t="s">
        <v>581</v>
      </c>
    </row>
    <row r="3282" spans="1:2">
      <c r="A3282" t="s">
        <v>214</v>
      </c>
      <c r="B3282">
        <v>970</v>
      </c>
    </row>
    <row r="3283" spans="1:2">
      <c r="A3283" t="s">
        <v>215</v>
      </c>
      <c r="B3283">
        <v>1165</v>
      </c>
    </row>
    <row r="3284" spans="1:2">
      <c r="A3284" t="s">
        <v>2009</v>
      </c>
      <c r="B3284">
        <v>1165</v>
      </c>
    </row>
    <row r="3285" spans="1:2">
      <c r="A3285" t="s">
        <v>586</v>
      </c>
      <c r="B3285">
        <v>3300</v>
      </c>
    </row>
    <row r="3287" spans="1:2">
      <c r="A3287" t="s">
        <v>268</v>
      </c>
    </row>
    <row r="3288" spans="1:2">
      <c r="A3288" t="s">
        <v>699</v>
      </c>
      <c r="B3288">
        <v>3290</v>
      </c>
    </row>
    <row r="3289" spans="1:2">
      <c r="A3289" t="s">
        <v>588</v>
      </c>
      <c r="B3289">
        <v>9870</v>
      </c>
    </row>
    <row r="3292" spans="1:2">
      <c r="A3292" t="s">
        <v>769</v>
      </c>
    </row>
    <row r="3294" spans="1:2">
      <c r="A3294" t="s">
        <v>1180</v>
      </c>
    </row>
    <row r="3295" spans="1:2">
      <c r="A3295" t="s">
        <v>1178</v>
      </c>
      <c r="B3295">
        <v>1210</v>
      </c>
    </row>
    <row r="3296" spans="1:2">
      <c r="A3296" t="s">
        <v>1179</v>
      </c>
      <c r="B3296">
        <v>1210</v>
      </c>
    </row>
    <row r="3297" spans="1:2">
      <c r="A3297" t="s">
        <v>2030</v>
      </c>
      <c r="B3297">
        <v>1210</v>
      </c>
    </row>
    <row r="3298" spans="1:2">
      <c r="A3298" t="s">
        <v>586</v>
      </c>
      <c r="B3298">
        <v>3630</v>
      </c>
    </row>
    <row r="3299" spans="1:2">
      <c r="A3299" t="s">
        <v>770</v>
      </c>
      <c r="B3299">
        <v>6240</v>
      </c>
    </row>
    <row r="3300" spans="1:2">
      <c r="A3300" t="s">
        <v>770</v>
      </c>
      <c r="B3300">
        <v>0.63221884498480241</v>
      </c>
    </row>
    <row r="3302" spans="1:2">
      <c r="A3302" t="s">
        <v>1181</v>
      </c>
    </row>
    <row r="3303" spans="1:2">
      <c r="A3303" t="s">
        <v>1182</v>
      </c>
      <c r="B3303">
        <v>970</v>
      </c>
    </row>
    <row r="3304" spans="1:2">
      <c r="A3304" t="s">
        <v>1179</v>
      </c>
      <c r="B3304">
        <v>1270</v>
      </c>
    </row>
    <row r="3305" spans="1:2">
      <c r="A3305" t="s">
        <v>2030</v>
      </c>
      <c r="B3305">
        <v>1270</v>
      </c>
    </row>
    <row r="3306" spans="1:2">
      <c r="A3306" t="s">
        <v>586</v>
      </c>
      <c r="B3306">
        <v>3510</v>
      </c>
    </row>
    <row r="3307" spans="1:2">
      <c r="A3307" t="s">
        <v>770</v>
      </c>
      <c r="B3307">
        <v>6360</v>
      </c>
    </row>
    <row r="3308" spans="1:2">
      <c r="A3308" t="s">
        <v>770</v>
      </c>
      <c r="B3308">
        <v>0.64437689969604861</v>
      </c>
    </row>
    <row r="3310" spans="1:2">
      <c r="A3310" t="s">
        <v>2031</v>
      </c>
    </row>
    <row r="3311" spans="1:2">
      <c r="A3311" t="s">
        <v>1182</v>
      </c>
      <c r="B3311">
        <v>970</v>
      </c>
    </row>
    <row r="3312" spans="1:2">
      <c r="A3312" t="s">
        <v>2032</v>
      </c>
      <c r="B3312">
        <v>1165</v>
      </c>
    </row>
    <row r="3313" spans="1:2">
      <c r="A3313" t="s">
        <v>2030</v>
      </c>
      <c r="B3313">
        <v>1270</v>
      </c>
    </row>
    <row r="3314" spans="1:2">
      <c r="A3314" t="s">
        <v>586</v>
      </c>
      <c r="B3314">
        <v>3405</v>
      </c>
    </row>
    <row r="3315" spans="1:2">
      <c r="A3315" t="s">
        <v>770</v>
      </c>
      <c r="B3315">
        <v>6465</v>
      </c>
    </row>
    <row r="3316" spans="1:2">
      <c r="A3316" t="s">
        <v>770</v>
      </c>
      <c r="B3316">
        <v>0.65501519756838911</v>
      </c>
    </row>
    <row r="3318" spans="1:2">
      <c r="A3318" t="s">
        <v>1943</v>
      </c>
      <c r="B3318">
        <v>1333.5</v>
      </c>
    </row>
    <row r="3320" spans="1:2" s="344" customFormat="1">
      <c r="A3320" s="345" t="s">
        <v>1937</v>
      </c>
    </row>
    <row r="3322" spans="1:2">
      <c r="A3322" t="s">
        <v>753</v>
      </c>
      <c r="B3322" s="346">
        <v>970</v>
      </c>
    </row>
    <row r="3324" spans="1:2">
      <c r="A3324" t="s">
        <v>581</v>
      </c>
    </row>
    <row r="3325" spans="1:2">
      <c r="A3325" t="s">
        <v>214</v>
      </c>
      <c r="B3325">
        <v>970</v>
      </c>
    </row>
    <row r="3326" spans="1:2">
      <c r="A3326" t="s">
        <v>215</v>
      </c>
      <c r="B3326">
        <v>1165</v>
      </c>
    </row>
    <row r="3327" spans="1:2">
      <c r="A3327" t="s">
        <v>2009</v>
      </c>
      <c r="B3327">
        <v>1165</v>
      </c>
    </row>
    <row r="3328" spans="1:2">
      <c r="A3328" t="s">
        <v>586</v>
      </c>
      <c r="B3328">
        <v>3300</v>
      </c>
    </row>
    <row r="3330" spans="1:2">
      <c r="A3330" t="s">
        <v>268</v>
      </c>
    </row>
    <row r="3331" spans="1:2">
      <c r="A3331" t="s">
        <v>699</v>
      </c>
      <c r="B3331">
        <v>2565</v>
      </c>
    </row>
    <row r="3332" spans="1:2">
      <c r="A3332" t="s">
        <v>588</v>
      </c>
      <c r="B3332">
        <v>7695</v>
      </c>
    </row>
    <row r="3335" spans="1:2">
      <c r="A3335" t="s">
        <v>769</v>
      </c>
    </row>
    <row r="3337" spans="1:2">
      <c r="A3337" t="s">
        <v>1180</v>
      </c>
    </row>
    <row r="3338" spans="1:2">
      <c r="A3338" t="s">
        <v>1178</v>
      </c>
      <c r="B3338">
        <v>750</v>
      </c>
    </row>
    <row r="3339" spans="1:2">
      <c r="A3339" t="s">
        <v>1179</v>
      </c>
      <c r="B3339">
        <v>750</v>
      </c>
    </row>
    <row r="3340" spans="1:2">
      <c r="A3340" t="s">
        <v>2030</v>
      </c>
      <c r="B3340">
        <v>750</v>
      </c>
    </row>
    <row r="3341" spans="1:2">
      <c r="A3341" t="s">
        <v>586</v>
      </c>
      <c r="B3341">
        <v>2250</v>
      </c>
    </row>
    <row r="3342" spans="1:2">
      <c r="A3342" t="s">
        <v>770</v>
      </c>
      <c r="B3342">
        <v>5445</v>
      </c>
    </row>
    <row r="3343" spans="1:2">
      <c r="A3343" t="s">
        <v>770</v>
      </c>
      <c r="B3343">
        <v>0.70760233918128657</v>
      </c>
    </row>
    <row r="3345" spans="1:2">
      <c r="A3345" t="s">
        <v>1181</v>
      </c>
    </row>
    <row r="3346" spans="1:2">
      <c r="A3346" t="s">
        <v>1182</v>
      </c>
      <c r="B3346">
        <v>970</v>
      </c>
    </row>
    <row r="3347" spans="1:2">
      <c r="A3347" t="s">
        <v>1179</v>
      </c>
      <c r="B3347">
        <v>790</v>
      </c>
    </row>
    <row r="3348" spans="1:2">
      <c r="A3348" t="s">
        <v>2030</v>
      </c>
      <c r="B3348">
        <v>790</v>
      </c>
    </row>
    <row r="3349" spans="1:2">
      <c r="A3349" t="s">
        <v>586</v>
      </c>
      <c r="B3349">
        <v>2550</v>
      </c>
    </row>
    <row r="3350" spans="1:2">
      <c r="A3350" t="s">
        <v>770</v>
      </c>
      <c r="B3350">
        <v>5145</v>
      </c>
    </row>
    <row r="3351" spans="1:2">
      <c r="A3351" t="s">
        <v>770</v>
      </c>
      <c r="B3351">
        <v>0.66861598440545811</v>
      </c>
    </row>
    <row r="3353" spans="1:2">
      <c r="A3353" t="s">
        <v>2031</v>
      </c>
    </row>
    <row r="3354" spans="1:2">
      <c r="A3354" t="s">
        <v>1182</v>
      </c>
      <c r="B3354">
        <v>970</v>
      </c>
    </row>
    <row r="3355" spans="1:2">
      <c r="A3355" t="s">
        <v>2032</v>
      </c>
      <c r="B3355">
        <v>1165</v>
      </c>
    </row>
    <row r="3356" spans="1:2">
      <c r="A3356" t="s">
        <v>2030</v>
      </c>
      <c r="B3356">
        <v>790</v>
      </c>
    </row>
    <row r="3357" spans="1:2">
      <c r="A3357" t="s">
        <v>586</v>
      </c>
      <c r="B3357">
        <v>2925</v>
      </c>
    </row>
    <row r="3358" spans="1:2">
      <c r="A3358" t="s">
        <v>770</v>
      </c>
      <c r="B3358">
        <v>4770</v>
      </c>
    </row>
    <row r="3359" spans="1:2">
      <c r="A3359" t="s">
        <v>770</v>
      </c>
      <c r="B3359">
        <v>0.61988304093567248</v>
      </c>
    </row>
    <row r="3361" spans="1:2">
      <c r="A3361" t="s">
        <v>1943</v>
      </c>
      <c r="B3361">
        <v>829.5</v>
      </c>
    </row>
    <row r="3363" spans="1:2" s="344" customFormat="1">
      <c r="A3363" s="345" t="s">
        <v>1424</v>
      </c>
    </row>
    <row r="3365" spans="1:2">
      <c r="A3365" t="s">
        <v>753</v>
      </c>
      <c r="B3365" s="346">
        <v>1910</v>
      </c>
    </row>
    <row r="3367" spans="1:2">
      <c r="A3367" t="s">
        <v>581</v>
      </c>
    </row>
    <row r="3368" spans="1:2">
      <c r="A3368" t="s">
        <v>214</v>
      </c>
      <c r="B3368">
        <v>1910</v>
      </c>
    </row>
    <row r="3369" spans="1:2">
      <c r="A3369" t="s">
        <v>215</v>
      </c>
      <c r="B3369">
        <v>2290</v>
      </c>
    </row>
    <row r="3370" spans="1:2">
      <c r="A3370" t="s">
        <v>2009</v>
      </c>
      <c r="B3370">
        <v>2290</v>
      </c>
    </row>
    <row r="3371" spans="1:2">
      <c r="A3371" t="s">
        <v>586</v>
      </c>
      <c r="B3371">
        <v>6490</v>
      </c>
    </row>
    <row r="3373" spans="1:2">
      <c r="A3373" t="s">
        <v>268</v>
      </c>
    </row>
    <row r="3374" spans="1:2">
      <c r="A3374" t="s">
        <v>699</v>
      </c>
      <c r="B3374">
        <v>3715</v>
      </c>
    </row>
    <row r="3375" spans="1:2">
      <c r="A3375" t="s">
        <v>588</v>
      </c>
      <c r="B3375">
        <v>11145</v>
      </c>
    </row>
    <row r="3378" spans="1:2">
      <c r="A3378" t="s">
        <v>769</v>
      </c>
    </row>
    <row r="3380" spans="1:2">
      <c r="A3380" t="s">
        <v>1180</v>
      </c>
    </row>
    <row r="3381" spans="1:2">
      <c r="A3381" t="s">
        <v>1178</v>
      </c>
      <c r="B3381">
        <v>1125</v>
      </c>
    </row>
    <row r="3382" spans="1:2">
      <c r="A3382" t="s">
        <v>1179</v>
      </c>
      <c r="B3382">
        <v>1125</v>
      </c>
    </row>
    <row r="3383" spans="1:2">
      <c r="A3383" t="s">
        <v>2030</v>
      </c>
      <c r="B3383">
        <v>1125</v>
      </c>
    </row>
    <row r="3384" spans="1:2">
      <c r="A3384" t="s">
        <v>586</v>
      </c>
      <c r="B3384">
        <v>3375</v>
      </c>
    </row>
    <row r="3385" spans="1:2">
      <c r="A3385" t="s">
        <v>770</v>
      </c>
      <c r="B3385">
        <v>7770</v>
      </c>
    </row>
    <row r="3386" spans="1:2">
      <c r="A3386" t="s">
        <v>770</v>
      </c>
      <c r="B3386">
        <v>0.69717362045760434</v>
      </c>
    </row>
    <row r="3388" spans="1:2">
      <c r="A3388" t="s">
        <v>1181</v>
      </c>
    </row>
    <row r="3389" spans="1:2">
      <c r="A3389" t="s">
        <v>1182</v>
      </c>
      <c r="B3389">
        <v>1910</v>
      </c>
    </row>
    <row r="3390" spans="1:2">
      <c r="A3390" t="s">
        <v>1179</v>
      </c>
      <c r="B3390">
        <v>1180</v>
      </c>
    </row>
    <row r="3391" spans="1:2">
      <c r="A3391" t="s">
        <v>2030</v>
      </c>
      <c r="B3391">
        <v>1180</v>
      </c>
    </row>
    <row r="3392" spans="1:2">
      <c r="A3392" t="s">
        <v>586</v>
      </c>
      <c r="B3392">
        <v>4270</v>
      </c>
    </row>
    <row r="3393" spans="1:2">
      <c r="A3393" t="s">
        <v>770</v>
      </c>
      <c r="B3393">
        <v>6875</v>
      </c>
    </row>
    <row r="3394" spans="1:2">
      <c r="A3394" t="s">
        <v>770</v>
      </c>
      <c r="B3394">
        <v>0.61686855091969495</v>
      </c>
    </row>
    <row r="3396" spans="1:2">
      <c r="A3396" t="s">
        <v>2031</v>
      </c>
    </row>
    <row r="3397" spans="1:2">
      <c r="A3397" t="s">
        <v>1182</v>
      </c>
      <c r="B3397">
        <v>1910</v>
      </c>
    </row>
    <row r="3398" spans="1:2">
      <c r="A3398" t="s">
        <v>2032</v>
      </c>
      <c r="B3398">
        <v>2290</v>
      </c>
    </row>
    <row r="3399" spans="1:2">
      <c r="A3399" t="s">
        <v>2030</v>
      </c>
      <c r="B3399">
        <v>1180</v>
      </c>
    </row>
    <row r="3400" spans="1:2">
      <c r="A3400" t="s">
        <v>586</v>
      </c>
      <c r="B3400">
        <v>5380</v>
      </c>
    </row>
    <row r="3401" spans="1:2">
      <c r="A3401" t="s">
        <v>770</v>
      </c>
      <c r="B3401">
        <v>5765</v>
      </c>
    </row>
    <row r="3402" spans="1:2">
      <c r="A3402" t="s">
        <v>770</v>
      </c>
      <c r="B3402">
        <v>0.51727231942575147</v>
      </c>
    </row>
    <row r="3404" spans="1:2">
      <c r="A3404" t="s">
        <v>1943</v>
      </c>
      <c r="B3404">
        <v>1239</v>
      </c>
    </row>
    <row r="3406" spans="1:2" s="344" customFormat="1">
      <c r="A3406" s="345" t="s">
        <v>1885</v>
      </c>
    </row>
    <row r="3408" spans="1:2">
      <c r="A3408" t="s">
        <v>753</v>
      </c>
      <c r="B3408" s="346">
        <v>1910</v>
      </c>
    </row>
    <row r="3410" spans="1:2">
      <c r="A3410" t="s">
        <v>581</v>
      </c>
    </row>
    <row r="3411" spans="1:2">
      <c r="A3411" t="s">
        <v>214</v>
      </c>
      <c r="B3411">
        <v>1910</v>
      </c>
    </row>
    <row r="3412" spans="1:2">
      <c r="A3412" t="s">
        <v>215</v>
      </c>
      <c r="B3412">
        <v>2290</v>
      </c>
    </row>
    <row r="3413" spans="1:2">
      <c r="A3413" t="s">
        <v>2009</v>
      </c>
      <c r="B3413">
        <v>2290</v>
      </c>
    </row>
    <row r="3414" spans="1:2">
      <c r="A3414" t="s">
        <v>586</v>
      </c>
      <c r="B3414">
        <v>6490</v>
      </c>
    </row>
    <row r="3416" spans="1:2">
      <c r="A3416" t="s">
        <v>268</v>
      </c>
    </row>
    <row r="3417" spans="1:2">
      <c r="A3417" t="s">
        <v>699</v>
      </c>
      <c r="B3417">
        <v>3290</v>
      </c>
    </row>
    <row r="3418" spans="1:2">
      <c r="A3418" t="s">
        <v>588</v>
      </c>
      <c r="B3418">
        <v>9870</v>
      </c>
    </row>
    <row r="3421" spans="1:2">
      <c r="A3421" t="s">
        <v>769</v>
      </c>
    </row>
    <row r="3423" spans="1:2">
      <c r="A3423" t="s">
        <v>1180</v>
      </c>
    </row>
    <row r="3424" spans="1:2">
      <c r="A3424" t="s">
        <v>1178</v>
      </c>
      <c r="B3424">
        <v>1210</v>
      </c>
    </row>
    <row r="3425" spans="1:2">
      <c r="A3425" t="s">
        <v>1179</v>
      </c>
      <c r="B3425">
        <v>1210</v>
      </c>
    </row>
    <row r="3426" spans="1:2">
      <c r="A3426" t="s">
        <v>2030</v>
      </c>
      <c r="B3426">
        <v>1210</v>
      </c>
    </row>
    <row r="3427" spans="1:2">
      <c r="A3427" t="s">
        <v>586</v>
      </c>
      <c r="B3427">
        <v>3630</v>
      </c>
    </row>
    <row r="3428" spans="1:2">
      <c r="A3428" t="s">
        <v>770</v>
      </c>
      <c r="B3428">
        <v>6240</v>
      </c>
    </row>
    <row r="3429" spans="1:2">
      <c r="A3429" t="s">
        <v>770</v>
      </c>
      <c r="B3429">
        <v>0.63221884498480241</v>
      </c>
    </row>
    <row r="3431" spans="1:2">
      <c r="A3431" t="s">
        <v>1181</v>
      </c>
    </row>
    <row r="3432" spans="1:2">
      <c r="A3432" t="s">
        <v>1182</v>
      </c>
      <c r="B3432">
        <v>1910</v>
      </c>
    </row>
    <row r="3433" spans="1:2">
      <c r="A3433" t="s">
        <v>1179</v>
      </c>
      <c r="B3433">
        <v>1270</v>
      </c>
    </row>
    <row r="3434" spans="1:2">
      <c r="A3434" t="s">
        <v>2030</v>
      </c>
      <c r="B3434">
        <v>1270</v>
      </c>
    </row>
    <row r="3435" spans="1:2">
      <c r="A3435" t="s">
        <v>586</v>
      </c>
      <c r="B3435">
        <v>4450</v>
      </c>
    </row>
    <row r="3436" spans="1:2">
      <c r="A3436" t="s">
        <v>770</v>
      </c>
      <c r="B3436">
        <v>5420</v>
      </c>
    </row>
    <row r="3437" spans="1:2">
      <c r="A3437" t="s">
        <v>770</v>
      </c>
      <c r="B3437">
        <v>0.54913880445795338</v>
      </c>
    </row>
    <row r="3439" spans="1:2">
      <c r="A3439" t="s">
        <v>2031</v>
      </c>
    </row>
    <row r="3440" spans="1:2">
      <c r="A3440" t="s">
        <v>1182</v>
      </c>
      <c r="B3440">
        <v>1910</v>
      </c>
    </row>
    <row r="3441" spans="1:2">
      <c r="A3441" t="s">
        <v>2032</v>
      </c>
      <c r="B3441">
        <v>2290</v>
      </c>
    </row>
    <row r="3442" spans="1:2">
      <c r="A3442" t="s">
        <v>2030</v>
      </c>
      <c r="B3442">
        <v>1270</v>
      </c>
    </row>
    <row r="3443" spans="1:2">
      <c r="A3443" t="s">
        <v>586</v>
      </c>
      <c r="B3443">
        <v>5470</v>
      </c>
    </row>
    <row r="3444" spans="1:2">
      <c r="A3444" t="s">
        <v>770</v>
      </c>
      <c r="B3444">
        <v>4400</v>
      </c>
    </row>
    <row r="3445" spans="1:2">
      <c r="A3445" t="s">
        <v>770</v>
      </c>
      <c r="B3445">
        <v>0.44579533941236071</v>
      </c>
    </row>
    <row r="3447" spans="1:2">
      <c r="A3447" t="s">
        <v>1943</v>
      </c>
      <c r="B3447">
        <v>1333.5</v>
      </c>
    </row>
    <row r="3449" spans="1:2" s="344" customFormat="1">
      <c r="A3449" s="345" t="s">
        <v>2002</v>
      </c>
    </row>
    <row r="3451" spans="1:2">
      <c r="A3451" t="s">
        <v>753</v>
      </c>
      <c r="B3451" s="346">
        <v>1890</v>
      </c>
    </row>
    <row r="3453" spans="1:2">
      <c r="A3453" t="s">
        <v>581</v>
      </c>
    </row>
    <row r="3454" spans="1:2">
      <c r="A3454" t="s">
        <v>214</v>
      </c>
      <c r="B3454">
        <v>1890</v>
      </c>
    </row>
    <row r="3455" spans="1:2">
      <c r="A3455" t="s">
        <v>215</v>
      </c>
      <c r="B3455">
        <v>2080</v>
      </c>
    </row>
    <row r="3456" spans="1:2">
      <c r="A3456" t="s">
        <v>2009</v>
      </c>
      <c r="B3456">
        <v>2495</v>
      </c>
    </row>
    <row r="3457" spans="1:2">
      <c r="A3457" t="s">
        <v>586</v>
      </c>
      <c r="B3457">
        <v>6465</v>
      </c>
    </row>
    <row r="3459" spans="1:2">
      <c r="A3459" t="s">
        <v>268</v>
      </c>
    </row>
    <row r="3460" spans="1:2">
      <c r="A3460" t="s">
        <v>699</v>
      </c>
      <c r="B3460">
        <v>7390</v>
      </c>
    </row>
    <row r="3461" spans="1:2">
      <c r="A3461" t="s">
        <v>588</v>
      </c>
      <c r="B3461">
        <v>22170</v>
      </c>
    </row>
    <row r="3464" spans="1:2">
      <c r="A3464" t="s">
        <v>769</v>
      </c>
    </row>
    <row r="3466" spans="1:2">
      <c r="A3466" t="s">
        <v>1180</v>
      </c>
    </row>
    <row r="3467" spans="1:2">
      <c r="A3467" t="s">
        <v>1178</v>
      </c>
      <c r="B3467">
        <v>1890</v>
      </c>
    </row>
    <row r="3468" spans="1:2">
      <c r="A3468" t="s">
        <v>1179</v>
      </c>
      <c r="B3468">
        <v>1890</v>
      </c>
    </row>
    <row r="3469" spans="1:2">
      <c r="A3469" t="s">
        <v>2030</v>
      </c>
      <c r="B3469">
        <v>1890</v>
      </c>
    </row>
    <row r="3470" spans="1:2">
      <c r="A3470" t="s">
        <v>586</v>
      </c>
      <c r="B3470">
        <v>5670</v>
      </c>
    </row>
    <row r="3471" spans="1:2">
      <c r="A3471" t="s">
        <v>770</v>
      </c>
      <c r="B3471">
        <v>16500</v>
      </c>
    </row>
    <row r="3472" spans="1:2">
      <c r="A3472" t="s">
        <v>770</v>
      </c>
      <c r="B3472">
        <v>0.74424898511502025</v>
      </c>
    </row>
    <row r="3474" spans="1:2">
      <c r="A3474" t="s">
        <v>1181</v>
      </c>
    </row>
    <row r="3475" spans="1:2">
      <c r="A3475" t="s">
        <v>1182</v>
      </c>
      <c r="B3475">
        <v>1890</v>
      </c>
    </row>
    <row r="3476" spans="1:2">
      <c r="A3476" t="s">
        <v>1179</v>
      </c>
      <c r="B3476">
        <v>1985</v>
      </c>
    </row>
    <row r="3477" spans="1:2">
      <c r="A3477" t="s">
        <v>2030</v>
      </c>
      <c r="B3477">
        <v>1985</v>
      </c>
    </row>
    <row r="3478" spans="1:2">
      <c r="A3478" t="s">
        <v>586</v>
      </c>
      <c r="B3478">
        <v>5860</v>
      </c>
    </row>
    <row r="3479" spans="1:2">
      <c r="A3479" t="s">
        <v>770</v>
      </c>
      <c r="B3479">
        <v>16310</v>
      </c>
    </row>
    <row r="3480" spans="1:2">
      <c r="A3480" t="s">
        <v>770</v>
      </c>
      <c r="B3480">
        <v>0.73567884528642313</v>
      </c>
    </row>
    <row r="3482" spans="1:2">
      <c r="A3482" t="s">
        <v>2031</v>
      </c>
    </row>
    <row r="3483" spans="1:2">
      <c r="A3483" t="s">
        <v>1182</v>
      </c>
      <c r="B3483">
        <v>1890</v>
      </c>
    </row>
    <row r="3484" spans="1:2">
      <c r="A3484" t="s">
        <v>2032</v>
      </c>
      <c r="B3484">
        <v>2080</v>
      </c>
    </row>
    <row r="3485" spans="1:2">
      <c r="A3485" t="s">
        <v>2030</v>
      </c>
      <c r="B3485">
        <v>2085</v>
      </c>
    </row>
    <row r="3486" spans="1:2">
      <c r="A3486" t="s">
        <v>586</v>
      </c>
      <c r="B3486">
        <v>6055</v>
      </c>
    </row>
    <row r="3487" spans="1:2">
      <c r="A3487" t="s">
        <v>770</v>
      </c>
      <c r="B3487">
        <v>16115</v>
      </c>
    </row>
    <row r="3488" spans="1:2">
      <c r="A3488" t="s">
        <v>770</v>
      </c>
      <c r="B3488">
        <v>0.72688317546233649</v>
      </c>
    </row>
    <row r="3490" spans="1:2">
      <c r="A3490" t="s">
        <v>1943</v>
      </c>
      <c r="B3490">
        <v>2189.25</v>
      </c>
    </row>
    <row r="3492" spans="1:2" s="344" customFormat="1">
      <c r="A3492" s="345" t="s">
        <v>2003</v>
      </c>
    </row>
    <row r="3494" spans="1:2">
      <c r="A3494" t="s">
        <v>753</v>
      </c>
      <c r="B3494" s="346">
        <v>1890</v>
      </c>
    </row>
    <row r="3496" spans="1:2">
      <c r="A3496" t="s">
        <v>581</v>
      </c>
    </row>
    <row r="3497" spans="1:2">
      <c r="A3497" t="s">
        <v>214</v>
      </c>
      <c r="B3497">
        <v>1890</v>
      </c>
    </row>
    <row r="3498" spans="1:2">
      <c r="A3498" t="s">
        <v>215</v>
      </c>
      <c r="B3498">
        <v>2080</v>
      </c>
    </row>
    <row r="3499" spans="1:2">
      <c r="A3499" t="s">
        <v>2009</v>
      </c>
      <c r="B3499">
        <v>2495</v>
      </c>
    </row>
    <row r="3500" spans="1:2">
      <c r="A3500" t="s">
        <v>586</v>
      </c>
      <c r="B3500">
        <v>6465</v>
      </c>
    </row>
    <row r="3502" spans="1:2">
      <c r="A3502" t="s">
        <v>268</v>
      </c>
    </row>
    <row r="3503" spans="1:2">
      <c r="A3503" t="s">
        <v>699</v>
      </c>
      <c r="B3503">
        <v>10350</v>
      </c>
    </row>
    <row r="3504" spans="1:2">
      <c r="A3504" t="s">
        <v>588</v>
      </c>
      <c r="B3504">
        <v>31050</v>
      </c>
    </row>
    <row r="3507" spans="1:2">
      <c r="A3507" t="s">
        <v>769</v>
      </c>
    </row>
    <row r="3509" spans="1:2">
      <c r="A3509" t="s">
        <v>1180</v>
      </c>
    </row>
    <row r="3510" spans="1:2">
      <c r="A3510" t="s">
        <v>1178</v>
      </c>
      <c r="B3510">
        <v>2550</v>
      </c>
    </row>
    <row r="3511" spans="1:2">
      <c r="A3511" t="s">
        <v>1179</v>
      </c>
      <c r="B3511">
        <v>2550</v>
      </c>
    </row>
    <row r="3512" spans="1:2">
      <c r="A3512" t="s">
        <v>2030</v>
      </c>
      <c r="B3512">
        <v>2550</v>
      </c>
    </row>
    <row r="3513" spans="1:2">
      <c r="A3513" t="s">
        <v>586</v>
      </c>
      <c r="B3513">
        <v>7650</v>
      </c>
    </row>
    <row r="3514" spans="1:2">
      <c r="A3514" t="s">
        <v>770</v>
      </c>
      <c r="B3514">
        <v>23400</v>
      </c>
    </row>
    <row r="3515" spans="1:2">
      <c r="A3515" t="s">
        <v>770</v>
      </c>
      <c r="B3515">
        <v>0.75362318840579712</v>
      </c>
    </row>
    <row r="3517" spans="1:2">
      <c r="A3517" t="s">
        <v>1181</v>
      </c>
    </row>
    <row r="3518" spans="1:2">
      <c r="A3518" t="s">
        <v>1182</v>
      </c>
      <c r="B3518">
        <v>1890</v>
      </c>
    </row>
    <row r="3519" spans="1:2">
      <c r="A3519" t="s">
        <v>1179</v>
      </c>
      <c r="B3519">
        <v>2680</v>
      </c>
    </row>
    <row r="3520" spans="1:2">
      <c r="A3520" t="s">
        <v>2030</v>
      </c>
      <c r="B3520">
        <v>2680</v>
      </c>
    </row>
    <row r="3521" spans="1:2">
      <c r="A3521" t="s">
        <v>586</v>
      </c>
      <c r="B3521">
        <v>7250</v>
      </c>
    </row>
    <row r="3522" spans="1:2">
      <c r="A3522" t="s">
        <v>770</v>
      </c>
      <c r="B3522">
        <v>23800</v>
      </c>
    </row>
    <row r="3523" spans="1:2">
      <c r="A3523" t="s">
        <v>770</v>
      </c>
      <c r="B3523">
        <v>0.76650563607085342</v>
      </c>
    </row>
    <row r="3525" spans="1:2">
      <c r="A3525" t="s">
        <v>2031</v>
      </c>
    </row>
    <row r="3526" spans="1:2">
      <c r="A3526" t="s">
        <v>1182</v>
      </c>
      <c r="B3526">
        <v>1890</v>
      </c>
    </row>
    <row r="3527" spans="1:2">
      <c r="A3527" t="s">
        <v>2032</v>
      </c>
      <c r="B3527">
        <v>2080</v>
      </c>
    </row>
    <row r="3528" spans="1:2">
      <c r="A3528" t="s">
        <v>2030</v>
      </c>
      <c r="B3528">
        <v>2815</v>
      </c>
    </row>
    <row r="3529" spans="1:2">
      <c r="A3529" t="s">
        <v>586</v>
      </c>
      <c r="B3529">
        <v>6785</v>
      </c>
    </row>
    <row r="3530" spans="1:2">
      <c r="A3530" t="s">
        <v>770</v>
      </c>
      <c r="B3530">
        <v>24265</v>
      </c>
    </row>
    <row r="3531" spans="1:2">
      <c r="A3531" t="s">
        <v>770</v>
      </c>
      <c r="B3531">
        <v>0.78148148148148144</v>
      </c>
    </row>
    <row r="3533" spans="1:2">
      <c r="A3533" t="s">
        <v>1943</v>
      </c>
      <c r="B3533">
        <v>2955.75</v>
      </c>
    </row>
    <row r="3535" spans="1:2" s="344" customFormat="1">
      <c r="A3535" s="345" t="s">
        <v>2004</v>
      </c>
    </row>
    <row r="3537" spans="1:2">
      <c r="A3537" t="s">
        <v>753</v>
      </c>
      <c r="B3537" s="346">
        <v>740</v>
      </c>
    </row>
    <row r="3539" spans="1:2">
      <c r="A3539" t="s">
        <v>581</v>
      </c>
    </row>
    <row r="3540" spans="1:2">
      <c r="A3540" t="s">
        <v>214</v>
      </c>
      <c r="B3540">
        <v>740</v>
      </c>
    </row>
    <row r="3541" spans="1:2">
      <c r="A3541" t="s">
        <v>215</v>
      </c>
      <c r="B3541">
        <v>815</v>
      </c>
    </row>
    <row r="3542" spans="1:2">
      <c r="A3542" t="s">
        <v>2009</v>
      </c>
      <c r="B3542">
        <v>980</v>
      </c>
    </row>
    <row r="3543" spans="1:2">
      <c r="A3543" t="s">
        <v>586</v>
      </c>
      <c r="B3543">
        <v>2535</v>
      </c>
    </row>
    <row r="3545" spans="1:2">
      <c r="A3545" t="s">
        <v>268</v>
      </c>
    </row>
    <row r="3546" spans="1:2">
      <c r="A3546" t="s">
        <v>699</v>
      </c>
      <c r="B3546">
        <v>7390</v>
      </c>
    </row>
    <row r="3547" spans="1:2">
      <c r="A3547" t="s">
        <v>588</v>
      </c>
      <c r="B3547">
        <v>22170</v>
      </c>
    </row>
    <row r="3550" spans="1:2">
      <c r="A3550" t="s">
        <v>769</v>
      </c>
    </row>
    <row r="3552" spans="1:2">
      <c r="A3552" t="s">
        <v>1180</v>
      </c>
    </row>
    <row r="3553" spans="1:2">
      <c r="A3553" t="s">
        <v>1178</v>
      </c>
      <c r="B3553">
        <v>1890</v>
      </c>
    </row>
    <row r="3554" spans="1:2">
      <c r="A3554" t="s">
        <v>1179</v>
      </c>
      <c r="B3554">
        <v>1890</v>
      </c>
    </row>
    <row r="3555" spans="1:2">
      <c r="A3555" t="s">
        <v>2030</v>
      </c>
      <c r="B3555">
        <v>1890</v>
      </c>
    </row>
    <row r="3556" spans="1:2">
      <c r="A3556" t="s">
        <v>586</v>
      </c>
      <c r="B3556">
        <v>5670</v>
      </c>
    </row>
    <row r="3557" spans="1:2">
      <c r="A3557" t="s">
        <v>770</v>
      </c>
      <c r="B3557">
        <v>16500</v>
      </c>
    </row>
    <row r="3558" spans="1:2">
      <c r="A3558" t="s">
        <v>770</v>
      </c>
      <c r="B3558">
        <v>0.74424898511502025</v>
      </c>
    </row>
    <row r="3560" spans="1:2">
      <c r="A3560" t="s">
        <v>1181</v>
      </c>
    </row>
    <row r="3561" spans="1:2">
      <c r="A3561" t="s">
        <v>1182</v>
      </c>
      <c r="B3561">
        <v>740</v>
      </c>
    </row>
    <row r="3562" spans="1:2">
      <c r="A3562" t="s">
        <v>1179</v>
      </c>
      <c r="B3562">
        <v>1985</v>
      </c>
    </row>
    <row r="3563" spans="1:2">
      <c r="A3563" t="s">
        <v>2030</v>
      </c>
      <c r="B3563">
        <v>1985</v>
      </c>
    </row>
    <row r="3564" spans="1:2">
      <c r="A3564" t="s">
        <v>586</v>
      </c>
      <c r="B3564">
        <v>4710</v>
      </c>
    </row>
    <row r="3565" spans="1:2">
      <c r="A3565" t="s">
        <v>770</v>
      </c>
      <c r="B3565">
        <v>17460</v>
      </c>
    </row>
    <row r="3566" spans="1:2">
      <c r="A3566" t="s">
        <v>770</v>
      </c>
      <c r="B3566">
        <v>0.78755074424898508</v>
      </c>
    </row>
    <row r="3568" spans="1:2">
      <c r="A3568" t="s">
        <v>2031</v>
      </c>
    </row>
    <row r="3569" spans="1:2">
      <c r="A3569" t="s">
        <v>1182</v>
      </c>
      <c r="B3569">
        <v>740</v>
      </c>
    </row>
    <row r="3570" spans="1:2">
      <c r="A3570" t="s">
        <v>2032</v>
      </c>
      <c r="B3570">
        <v>815</v>
      </c>
    </row>
    <row r="3571" spans="1:2">
      <c r="A3571" t="s">
        <v>2030</v>
      </c>
      <c r="B3571">
        <v>2085</v>
      </c>
    </row>
    <row r="3572" spans="1:2">
      <c r="A3572" t="s">
        <v>586</v>
      </c>
      <c r="B3572">
        <v>3640</v>
      </c>
    </row>
    <row r="3573" spans="1:2">
      <c r="A3573" t="s">
        <v>770</v>
      </c>
      <c r="B3573">
        <v>18530</v>
      </c>
    </row>
    <row r="3574" spans="1:2">
      <c r="A3574" t="s">
        <v>770</v>
      </c>
      <c r="B3574">
        <v>0.83581416328371672</v>
      </c>
    </row>
    <row r="3576" spans="1:2">
      <c r="A3576" t="s">
        <v>1943</v>
      </c>
      <c r="B3576">
        <v>2189.25</v>
      </c>
    </row>
    <row r="3578" spans="1:2" s="344" customFormat="1">
      <c r="A3578" s="345" t="s">
        <v>2005</v>
      </c>
    </row>
    <row r="3580" spans="1:2">
      <c r="A3580" t="s">
        <v>753</v>
      </c>
      <c r="B3580" s="346">
        <v>740</v>
      </c>
    </row>
    <row r="3582" spans="1:2">
      <c r="A3582" t="s">
        <v>581</v>
      </c>
    </row>
    <row r="3583" spans="1:2">
      <c r="A3583" t="s">
        <v>214</v>
      </c>
      <c r="B3583">
        <v>740</v>
      </c>
    </row>
    <row r="3584" spans="1:2">
      <c r="A3584" t="s">
        <v>215</v>
      </c>
      <c r="B3584">
        <v>815</v>
      </c>
    </row>
    <row r="3585" spans="1:2">
      <c r="A3585" t="s">
        <v>2009</v>
      </c>
      <c r="B3585">
        <v>980</v>
      </c>
    </row>
    <row r="3586" spans="1:2">
      <c r="A3586" t="s">
        <v>586</v>
      </c>
      <c r="B3586">
        <v>2535</v>
      </c>
    </row>
    <row r="3588" spans="1:2">
      <c r="A3588" t="s">
        <v>268</v>
      </c>
    </row>
    <row r="3589" spans="1:2">
      <c r="A3589" t="s">
        <v>699</v>
      </c>
      <c r="B3589">
        <v>2965</v>
      </c>
    </row>
    <row r="3590" spans="1:2">
      <c r="A3590" t="s">
        <v>588</v>
      </c>
      <c r="B3590">
        <v>8895</v>
      </c>
    </row>
    <row r="3593" spans="1:2">
      <c r="A3593" t="s">
        <v>769</v>
      </c>
    </row>
    <row r="3595" spans="1:2">
      <c r="A3595" t="s">
        <v>1180</v>
      </c>
    </row>
    <row r="3596" spans="1:2">
      <c r="A3596" t="s">
        <v>1178</v>
      </c>
      <c r="B3596">
        <v>740</v>
      </c>
    </row>
    <row r="3597" spans="1:2">
      <c r="A3597" t="s">
        <v>1179</v>
      </c>
      <c r="B3597">
        <v>740</v>
      </c>
    </row>
    <row r="3598" spans="1:2">
      <c r="A3598" t="s">
        <v>2030</v>
      </c>
      <c r="B3598">
        <v>740</v>
      </c>
    </row>
    <row r="3599" spans="1:2">
      <c r="A3599" t="s">
        <v>586</v>
      </c>
      <c r="B3599">
        <v>2220</v>
      </c>
    </row>
    <row r="3600" spans="1:2">
      <c r="A3600" t="s">
        <v>770</v>
      </c>
      <c r="B3600">
        <v>6675</v>
      </c>
    </row>
    <row r="3601" spans="1:2">
      <c r="A3601" t="s">
        <v>770</v>
      </c>
      <c r="B3601">
        <v>0.75042158516020241</v>
      </c>
    </row>
    <row r="3603" spans="1:2">
      <c r="A3603" t="s">
        <v>1181</v>
      </c>
    </row>
    <row r="3604" spans="1:2">
      <c r="A3604" t="s">
        <v>1182</v>
      </c>
      <c r="B3604">
        <v>740</v>
      </c>
    </row>
    <row r="3605" spans="1:2">
      <c r="A3605" t="s">
        <v>1179</v>
      </c>
      <c r="B3605">
        <v>775</v>
      </c>
    </row>
    <row r="3606" spans="1:2">
      <c r="A3606" t="s">
        <v>2030</v>
      </c>
      <c r="B3606">
        <v>775</v>
      </c>
    </row>
    <row r="3607" spans="1:2">
      <c r="A3607" t="s">
        <v>586</v>
      </c>
      <c r="B3607">
        <v>2290</v>
      </c>
    </row>
    <row r="3608" spans="1:2">
      <c r="A3608" t="s">
        <v>770</v>
      </c>
      <c r="B3608">
        <v>6605</v>
      </c>
    </row>
    <row r="3609" spans="1:2">
      <c r="A3609" t="s">
        <v>770</v>
      </c>
      <c r="B3609">
        <v>0.74255199550309159</v>
      </c>
    </row>
    <row r="3611" spans="1:2">
      <c r="A3611" t="s">
        <v>2031</v>
      </c>
    </row>
    <row r="3612" spans="1:2">
      <c r="A3612" t="s">
        <v>1182</v>
      </c>
      <c r="B3612">
        <v>740</v>
      </c>
    </row>
    <row r="3613" spans="1:2">
      <c r="A3613" t="s">
        <v>2032</v>
      </c>
      <c r="B3613">
        <v>815</v>
      </c>
    </row>
    <row r="3614" spans="1:2">
      <c r="A3614" t="s">
        <v>2030</v>
      </c>
      <c r="B3614">
        <v>815</v>
      </c>
    </row>
    <row r="3615" spans="1:2">
      <c r="A3615" t="s">
        <v>586</v>
      </c>
      <c r="B3615">
        <v>2370</v>
      </c>
    </row>
    <row r="3616" spans="1:2">
      <c r="A3616" t="s">
        <v>770</v>
      </c>
      <c r="B3616">
        <v>6525</v>
      </c>
    </row>
    <row r="3617" spans="1:2">
      <c r="A3617" t="s">
        <v>770</v>
      </c>
      <c r="B3617">
        <v>0.73355817875210794</v>
      </c>
    </row>
    <row r="3619" spans="1:2">
      <c r="A3619" t="s">
        <v>1943</v>
      </c>
      <c r="B3619">
        <v>855.75</v>
      </c>
    </row>
    <row r="3621" spans="1:2" s="344" customFormat="1">
      <c r="A3621" s="345" t="s">
        <v>2006</v>
      </c>
    </row>
    <row r="3623" spans="1:2">
      <c r="A3623" t="s">
        <v>753</v>
      </c>
      <c r="B3623" s="346">
        <v>740</v>
      </c>
    </row>
    <row r="3625" spans="1:2">
      <c r="A3625" t="s">
        <v>581</v>
      </c>
    </row>
    <row r="3626" spans="1:2">
      <c r="A3626" t="s">
        <v>214</v>
      </c>
      <c r="B3626">
        <v>740</v>
      </c>
    </row>
    <row r="3627" spans="1:2">
      <c r="A3627" t="s">
        <v>215</v>
      </c>
      <c r="B3627">
        <v>815</v>
      </c>
    </row>
    <row r="3628" spans="1:2">
      <c r="A3628" t="s">
        <v>2009</v>
      </c>
      <c r="B3628">
        <v>980</v>
      </c>
    </row>
    <row r="3629" spans="1:2">
      <c r="A3629" t="s">
        <v>586</v>
      </c>
      <c r="B3629">
        <v>2535</v>
      </c>
    </row>
    <row r="3631" spans="1:2">
      <c r="A3631" t="s">
        <v>268</v>
      </c>
    </row>
    <row r="3632" spans="1:2">
      <c r="A3632" t="s">
        <v>699</v>
      </c>
      <c r="B3632">
        <v>10350</v>
      </c>
    </row>
    <row r="3633" spans="1:2">
      <c r="A3633" t="s">
        <v>588</v>
      </c>
      <c r="B3633">
        <v>31050</v>
      </c>
    </row>
    <row r="3636" spans="1:2">
      <c r="A3636" t="s">
        <v>769</v>
      </c>
    </row>
    <row r="3638" spans="1:2">
      <c r="A3638" t="s">
        <v>1180</v>
      </c>
    </row>
    <row r="3639" spans="1:2">
      <c r="A3639" t="s">
        <v>1178</v>
      </c>
      <c r="B3639">
        <v>2550</v>
      </c>
    </row>
    <row r="3640" spans="1:2">
      <c r="A3640" t="s">
        <v>1179</v>
      </c>
      <c r="B3640">
        <v>2550</v>
      </c>
    </row>
    <row r="3641" spans="1:2">
      <c r="A3641" t="s">
        <v>2030</v>
      </c>
      <c r="B3641">
        <v>2550</v>
      </c>
    </row>
    <row r="3642" spans="1:2">
      <c r="A3642" t="s">
        <v>586</v>
      </c>
      <c r="B3642">
        <v>7650</v>
      </c>
    </row>
    <row r="3643" spans="1:2">
      <c r="A3643" t="s">
        <v>770</v>
      </c>
      <c r="B3643">
        <v>23400</v>
      </c>
    </row>
    <row r="3644" spans="1:2">
      <c r="A3644" t="s">
        <v>770</v>
      </c>
      <c r="B3644">
        <v>0.75362318840579712</v>
      </c>
    </row>
    <row r="3646" spans="1:2">
      <c r="A3646" t="s">
        <v>1181</v>
      </c>
    </row>
    <row r="3647" spans="1:2">
      <c r="A3647" t="s">
        <v>1182</v>
      </c>
      <c r="B3647">
        <v>740</v>
      </c>
    </row>
    <row r="3648" spans="1:2">
      <c r="A3648" t="s">
        <v>1179</v>
      </c>
      <c r="B3648">
        <v>2680</v>
      </c>
    </row>
    <row r="3649" spans="1:2">
      <c r="A3649" t="s">
        <v>2030</v>
      </c>
      <c r="B3649">
        <v>2680</v>
      </c>
    </row>
    <row r="3650" spans="1:2">
      <c r="A3650" t="s">
        <v>586</v>
      </c>
      <c r="B3650">
        <v>6100</v>
      </c>
    </row>
    <row r="3651" spans="1:2">
      <c r="A3651" t="s">
        <v>770</v>
      </c>
      <c r="B3651">
        <v>24950</v>
      </c>
    </row>
    <row r="3652" spans="1:2">
      <c r="A3652" t="s">
        <v>770</v>
      </c>
      <c r="B3652">
        <v>0.80354267310789051</v>
      </c>
    </row>
    <row r="3654" spans="1:2">
      <c r="A3654" t="s">
        <v>2031</v>
      </c>
    </row>
    <row r="3655" spans="1:2">
      <c r="A3655" t="s">
        <v>1182</v>
      </c>
      <c r="B3655">
        <v>740</v>
      </c>
    </row>
    <row r="3656" spans="1:2">
      <c r="A3656" t="s">
        <v>2032</v>
      </c>
      <c r="B3656">
        <v>815</v>
      </c>
    </row>
    <row r="3657" spans="1:2">
      <c r="A3657" t="s">
        <v>2030</v>
      </c>
      <c r="B3657">
        <v>2815</v>
      </c>
    </row>
    <row r="3658" spans="1:2">
      <c r="A3658" t="s">
        <v>586</v>
      </c>
      <c r="B3658">
        <v>4370</v>
      </c>
    </row>
    <row r="3659" spans="1:2">
      <c r="A3659" t="s">
        <v>770</v>
      </c>
      <c r="B3659">
        <v>26680</v>
      </c>
    </row>
    <row r="3660" spans="1:2">
      <c r="A3660" t="s">
        <v>770</v>
      </c>
      <c r="B3660">
        <v>0.85925925925925928</v>
      </c>
    </row>
    <row r="3662" spans="1:2">
      <c r="A3662" t="s">
        <v>1943</v>
      </c>
      <c r="B3662">
        <v>2955.75</v>
      </c>
    </row>
    <row r="3664" spans="1:2" s="344" customFormat="1">
      <c r="A3664" s="345" t="s">
        <v>2007</v>
      </c>
    </row>
    <row r="3666" spans="1:2">
      <c r="A3666" t="s">
        <v>753</v>
      </c>
      <c r="B3666" s="346">
        <v>2550</v>
      </c>
    </row>
    <row r="3668" spans="1:2">
      <c r="A3668" t="s">
        <v>581</v>
      </c>
    </row>
    <row r="3669" spans="1:2">
      <c r="A3669" t="s">
        <v>214</v>
      </c>
      <c r="B3669">
        <v>2550</v>
      </c>
    </row>
    <row r="3670" spans="1:2">
      <c r="A3670" t="s">
        <v>215</v>
      </c>
      <c r="B3670">
        <v>2805</v>
      </c>
    </row>
    <row r="3671" spans="1:2">
      <c r="A3671" t="s">
        <v>2009</v>
      </c>
      <c r="B3671">
        <v>3365</v>
      </c>
    </row>
    <row r="3672" spans="1:2">
      <c r="A3672" t="s">
        <v>586</v>
      </c>
      <c r="B3672">
        <v>8720</v>
      </c>
    </row>
    <row r="3674" spans="1:2">
      <c r="A3674" t="s">
        <v>268</v>
      </c>
    </row>
    <row r="3675" spans="1:2">
      <c r="A3675" t="s">
        <v>699</v>
      </c>
      <c r="B3675">
        <v>10350</v>
      </c>
    </row>
    <row r="3676" spans="1:2">
      <c r="A3676" t="s">
        <v>588</v>
      </c>
      <c r="B3676">
        <v>31050</v>
      </c>
    </row>
    <row r="3679" spans="1:2">
      <c r="A3679" t="s">
        <v>769</v>
      </c>
    </row>
    <row r="3681" spans="1:2">
      <c r="A3681" t="s">
        <v>1180</v>
      </c>
    </row>
    <row r="3682" spans="1:2">
      <c r="A3682" t="s">
        <v>1178</v>
      </c>
      <c r="B3682">
        <v>2550</v>
      </c>
    </row>
    <row r="3683" spans="1:2">
      <c r="A3683" t="s">
        <v>1179</v>
      </c>
      <c r="B3683">
        <v>2550</v>
      </c>
    </row>
    <row r="3684" spans="1:2">
      <c r="A3684" t="s">
        <v>2030</v>
      </c>
      <c r="B3684">
        <v>2550</v>
      </c>
    </row>
    <row r="3685" spans="1:2">
      <c r="A3685" t="s">
        <v>586</v>
      </c>
      <c r="B3685">
        <v>7650</v>
      </c>
    </row>
    <row r="3686" spans="1:2">
      <c r="A3686" t="s">
        <v>770</v>
      </c>
      <c r="B3686">
        <v>23400</v>
      </c>
    </row>
    <row r="3687" spans="1:2">
      <c r="A3687" t="s">
        <v>770</v>
      </c>
      <c r="B3687">
        <v>0.75362318840579712</v>
      </c>
    </row>
    <row r="3689" spans="1:2">
      <c r="A3689" t="s">
        <v>1181</v>
      </c>
    </row>
    <row r="3690" spans="1:2">
      <c r="A3690" t="s">
        <v>1182</v>
      </c>
      <c r="B3690">
        <v>2550</v>
      </c>
    </row>
    <row r="3691" spans="1:2">
      <c r="A3691" t="s">
        <v>1179</v>
      </c>
      <c r="B3691">
        <v>2680</v>
      </c>
    </row>
    <row r="3692" spans="1:2">
      <c r="A3692" t="s">
        <v>2030</v>
      </c>
      <c r="B3692">
        <v>2680</v>
      </c>
    </row>
    <row r="3693" spans="1:2">
      <c r="A3693" t="s">
        <v>586</v>
      </c>
      <c r="B3693">
        <v>7910</v>
      </c>
    </row>
    <row r="3694" spans="1:2">
      <c r="A3694" t="s">
        <v>770</v>
      </c>
      <c r="B3694">
        <v>23140</v>
      </c>
    </row>
    <row r="3695" spans="1:2">
      <c r="A3695" t="s">
        <v>770</v>
      </c>
      <c r="B3695">
        <v>0.74524959742351049</v>
      </c>
    </row>
    <row r="3697" spans="1:2">
      <c r="A3697" t="s">
        <v>2031</v>
      </c>
    </row>
    <row r="3698" spans="1:2">
      <c r="A3698" t="s">
        <v>1182</v>
      </c>
      <c r="B3698">
        <v>2550</v>
      </c>
    </row>
    <row r="3699" spans="1:2">
      <c r="A3699" t="s">
        <v>2032</v>
      </c>
      <c r="B3699">
        <v>2805</v>
      </c>
    </row>
    <row r="3700" spans="1:2">
      <c r="A3700" t="s">
        <v>2030</v>
      </c>
      <c r="B3700">
        <v>2815</v>
      </c>
    </row>
    <row r="3701" spans="1:2">
      <c r="A3701" t="s">
        <v>586</v>
      </c>
      <c r="B3701">
        <v>8170</v>
      </c>
    </row>
    <row r="3702" spans="1:2">
      <c r="A3702" t="s">
        <v>770</v>
      </c>
      <c r="B3702">
        <v>22880</v>
      </c>
    </row>
    <row r="3703" spans="1:2">
      <c r="A3703" t="s">
        <v>770</v>
      </c>
      <c r="B3703">
        <v>0.73687600644122386</v>
      </c>
    </row>
    <row r="3705" spans="1:2">
      <c r="A3705" t="s">
        <v>1943</v>
      </c>
      <c r="B3705">
        <v>2955.75</v>
      </c>
    </row>
    <row r="3707" spans="1:2" s="344" customFormat="1">
      <c r="A3707" s="345" t="s">
        <v>1734</v>
      </c>
    </row>
    <row r="3709" spans="1:2">
      <c r="A3709" t="s">
        <v>753</v>
      </c>
      <c r="B3709" s="346">
        <v>125</v>
      </c>
    </row>
    <row r="3711" spans="1:2">
      <c r="A3711" t="s">
        <v>581</v>
      </c>
    </row>
    <row r="3712" spans="1:2">
      <c r="A3712" t="s">
        <v>214</v>
      </c>
      <c r="B3712">
        <v>125</v>
      </c>
    </row>
    <row r="3713" spans="1:2">
      <c r="A3713" t="s">
        <v>215</v>
      </c>
      <c r="B3713">
        <v>150</v>
      </c>
    </row>
    <row r="3714" spans="1:2">
      <c r="A3714" t="s">
        <v>2009</v>
      </c>
      <c r="B3714">
        <v>150</v>
      </c>
    </row>
    <row r="3715" spans="1:2">
      <c r="A3715" t="s">
        <v>586</v>
      </c>
      <c r="B3715">
        <v>425</v>
      </c>
    </row>
    <row r="3717" spans="1:2">
      <c r="A3717" t="s">
        <v>268</v>
      </c>
    </row>
    <row r="3718" spans="1:2">
      <c r="A3718" t="s">
        <v>699</v>
      </c>
      <c r="B3718">
        <v>475</v>
      </c>
    </row>
    <row r="3719" spans="1:2">
      <c r="A3719" t="s">
        <v>588</v>
      </c>
      <c r="B3719">
        <v>1425</v>
      </c>
    </row>
    <row r="3722" spans="1:2">
      <c r="A3722" t="s">
        <v>769</v>
      </c>
    </row>
    <row r="3724" spans="1:2">
      <c r="A3724" t="s">
        <v>1180</v>
      </c>
    </row>
    <row r="3725" spans="1:2">
      <c r="A3725" t="s">
        <v>1178</v>
      </c>
      <c r="B3725">
        <v>120</v>
      </c>
    </row>
    <row r="3726" spans="1:2">
      <c r="A3726" t="s">
        <v>1179</v>
      </c>
      <c r="B3726">
        <v>120</v>
      </c>
    </row>
    <row r="3727" spans="1:2">
      <c r="A3727" t="s">
        <v>2030</v>
      </c>
      <c r="B3727">
        <v>120</v>
      </c>
    </row>
    <row r="3728" spans="1:2">
      <c r="A3728" t="s">
        <v>586</v>
      </c>
      <c r="B3728">
        <v>360</v>
      </c>
    </row>
    <row r="3729" spans="1:2">
      <c r="A3729" t="s">
        <v>770</v>
      </c>
      <c r="B3729">
        <v>1065</v>
      </c>
    </row>
    <row r="3730" spans="1:2">
      <c r="A3730" t="s">
        <v>770</v>
      </c>
      <c r="B3730">
        <v>0.74736842105263157</v>
      </c>
    </row>
    <row r="3732" spans="1:2">
      <c r="A3732" t="s">
        <v>1181</v>
      </c>
    </row>
    <row r="3733" spans="1:2">
      <c r="A3733" t="s">
        <v>1182</v>
      </c>
      <c r="B3733">
        <v>125</v>
      </c>
    </row>
    <row r="3734" spans="1:2">
      <c r="A3734" t="s">
        <v>1179</v>
      </c>
      <c r="B3734">
        <v>125</v>
      </c>
    </row>
    <row r="3735" spans="1:2">
      <c r="A3735" t="s">
        <v>2030</v>
      </c>
      <c r="B3735">
        <v>125</v>
      </c>
    </row>
    <row r="3736" spans="1:2">
      <c r="A3736" t="s">
        <v>586</v>
      </c>
      <c r="B3736">
        <v>375</v>
      </c>
    </row>
    <row r="3737" spans="1:2">
      <c r="A3737" t="s">
        <v>770</v>
      </c>
      <c r="B3737">
        <v>1050</v>
      </c>
    </row>
    <row r="3738" spans="1:2">
      <c r="A3738" t="s">
        <v>770</v>
      </c>
      <c r="B3738">
        <v>0.73684210526315785</v>
      </c>
    </row>
    <row r="3740" spans="1:2">
      <c r="A3740" t="s">
        <v>2031</v>
      </c>
    </row>
    <row r="3741" spans="1:2">
      <c r="A3741" t="s">
        <v>1182</v>
      </c>
      <c r="B3741">
        <v>125</v>
      </c>
    </row>
    <row r="3742" spans="1:2">
      <c r="A3742" t="s">
        <v>2032</v>
      </c>
      <c r="B3742">
        <v>150</v>
      </c>
    </row>
    <row r="3743" spans="1:2">
      <c r="A3743" t="s">
        <v>2030</v>
      </c>
      <c r="B3743">
        <v>125</v>
      </c>
    </row>
    <row r="3744" spans="1:2">
      <c r="A3744" t="s">
        <v>586</v>
      </c>
      <c r="B3744">
        <v>400</v>
      </c>
    </row>
    <row r="3745" spans="1:2">
      <c r="A3745" t="s">
        <v>770</v>
      </c>
      <c r="B3745">
        <v>1025</v>
      </c>
    </row>
    <row r="3746" spans="1:2">
      <c r="A3746" t="s">
        <v>770</v>
      </c>
      <c r="B3746">
        <v>0.7192982456140351</v>
      </c>
    </row>
    <row r="3748" spans="1:2">
      <c r="A3748" t="s">
        <v>1943</v>
      </c>
      <c r="B3748">
        <v>131.25</v>
      </c>
    </row>
    <row r="3750" spans="1:2" s="344" customFormat="1">
      <c r="A3750" s="345" t="s">
        <v>1886</v>
      </c>
    </row>
    <row r="3752" spans="1:2">
      <c r="A3752" t="s">
        <v>753</v>
      </c>
      <c r="B3752" s="346">
        <v>1145</v>
      </c>
    </row>
    <row r="3754" spans="1:2">
      <c r="A3754" t="s">
        <v>581</v>
      </c>
    </row>
    <row r="3755" spans="1:2">
      <c r="A3755" t="s">
        <v>214</v>
      </c>
      <c r="B3755">
        <v>1145</v>
      </c>
    </row>
    <row r="3756" spans="1:2">
      <c r="A3756" t="s">
        <v>215</v>
      </c>
      <c r="B3756">
        <v>1375</v>
      </c>
    </row>
    <row r="3757" spans="1:2">
      <c r="A3757" t="s">
        <v>2009</v>
      </c>
      <c r="B3757">
        <v>1375</v>
      </c>
    </row>
    <row r="3758" spans="1:2">
      <c r="A3758" t="s">
        <v>586</v>
      </c>
      <c r="B3758">
        <v>3895</v>
      </c>
    </row>
    <row r="3760" spans="1:2">
      <c r="A3760" t="s">
        <v>268</v>
      </c>
    </row>
    <row r="3761" spans="1:2">
      <c r="A3761" t="s">
        <v>699</v>
      </c>
      <c r="B3761">
        <v>3290</v>
      </c>
    </row>
    <row r="3762" spans="1:2">
      <c r="A3762" t="s">
        <v>588</v>
      </c>
      <c r="B3762">
        <v>9870</v>
      </c>
    </row>
    <row r="3765" spans="1:2">
      <c r="A3765" t="s">
        <v>769</v>
      </c>
    </row>
    <row r="3767" spans="1:2">
      <c r="A3767" t="s">
        <v>1180</v>
      </c>
    </row>
    <row r="3768" spans="1:2">
      <c r="A3768" t="s">
        <v>1178</v>
      </c>
      <c r="B3768">
        <v>1210</v>
      </c>
    </row>
    <row r="3769" spans="1:2">
      <c r="A3769" t="s">
        <v>1179</v>
      </c>
      <c r="B3769">
        <v>1210</v>
      </c>
    </row>
    <row r="3770" spans="1:2">
      <c r="A3770" t="s">
        <v>2030</v>
      </c>
      <c r="B3770">
        <v>1210</v>
      </c>
    </row>
    <row r="3771" spans="1:2">
      <c r="A3771" t="s">
        <v>586</v>
      </c>
      <c r="B3771">
        <v>3630</v>
      </c>
    </row>
    <row r="3772" spans="1:2">
      <c r="A3772" t="s">
        <v>770</v>
      </c>
      <c r="B3772">
        <v>6240</v>
      </c>
    </row>
    <row r="3773" spans="1:2">
      <c r="A3773" t="s">
        <v>770</v>
      </c>
      <c r="B3773">
        <v>0.63221884498480241</v>
      </c>
    </row>
    <row r="3775" spans="1:2">
      <c r="A3775" t="s">
        <v>1181</v>
      </c>
    </row>
    <row r="3776" spans="1:2">
      <c r="A3776" t="s">
        <v>1182</v>
      </c>
      <c r="B3776">
        <v>1145</v>
      </c>
    </row>
    <row r="3777" spans="1:2">
      <c r="A3777" t="s">
        <v>1179</v>
      </c>
      <c r="B3777">
        <v>1270</v>
      </c>
    </row>
    <row r="3778" spans="1:2">
      <c r="A3778" t="s">
        <v>2030</v>
      </c>
      <c r="B3778">
        <v>1270</v>
      </c>
    </row>
    <row r="3779" spans="1:2">
      <c r="A3779" t="s">
        <v>586</v>
      </c>
      <c r="B3779">
        <v>3685</v>
      </c>
    </row>
    <row r="3780" spans="1:2">
      <c r="A3780" t="s">
        <v>770</v>
      </c>
      <c r="B3780">
        <v>6185</v>
      </c>
    </row>
    <row r="3781" spans="1:2">
      <c r="A3781" t="s">
        <v>770</v>
      </c>
      <c r="B3781">
        <v>0.62664640324214793</v>
      </c>
    </row>
    <row r="3783" spans="1:2">
      <c r="A3783" t="s">
        <v>2031</v>
      </c>
    </row>
    <row r="3784" spans="1:2">
      <c r="A3784" t="s">
        <v>1182</v>
      </c>
      <c r="B3784">
        <v>1145</v>
      </c>
    </row>
    <row r="3785" spans="1:2">
      <c r="A3785" t="s">
        <v>2032</v>
      </c>
      <c r="B3785">
        <v>1375</v>
      </c>
    </row>
    <row r="3786" spans="1:2">
      <c r="A3786" t="s">
        <v>2030</v>
      </c>
      <c r="B3786">
        <v>1270</v>
      </c>
    </row>
    <row r="3787" spans="1:2">
      <c r="A3787" t="s">
        <v>586</v>
      </c>
      <c r="B3787">
        <v>3790</v>
      </c>
    </row>
    <row r="3788" spans="1:2">
      <c r="A3788" t="s">
        <v>770</v>
      </c>
      <c r="B3788">
        <v>6080</v>
      </c>
    </row>
    <row r="3789" spans="1:2">
      <c r="A3789" t="s">
        <v>770</v>
      </c>
      <c r="B3789">
        <v>0.61600810536980755</v>
      </c>
    </row>
    <row r="3791" spans="1:2">
      <c r="A3791" t="s">
        <v>1943</v>
      </c>
      <c r="B3791">
        <v>1333.5</v>
      </c>
    </row>
    <row r="3793" spans="1:2" s="344" customFormat="1">
      <c r="A3793" s="345" t="s">
        <v>1887</v>
      </c>
    </row>
    <row r="3795" spans="1:2">
      <c r="A3795" t="s">
        <v>753</v>
      </c>
      <c r="B3795" s="346">
        <v>1630</v>
      </c>
    </row>
    <row r="3797" spans="1:2">
      <c r="A3797" t="s">
        <v>581</v>
      </c>
    </row>
    <row r="3798" spans="1:2">
      <c r="A3798" t="s">
        <v>214</v>
      </c>
      <c r="B3798">
        <v>1630</v>
      </c>
    </row>
    <row r="3799" spans="1:2">
      <c r="A3799" t="s">
        <v>215</v>
      </c>
      <c r="B3799">
        <v>1955</v>
      </c>
    </row>
    <row r="3800" spans="1:2">
      <c r="A3800" t="s">
        <v>2009</v>
      </c>
      <c r="B3800">
        <v>1955</v>
      </c>
    </row>
    <row r="3801" spans="1:2">
      <c r="A3801" t="s">
        <v>586</v>
      </c>
      <c r="B3801">
        <v>5540</v>
      </c>
    </row>
    <row r="3803" spans="1:2">
      <c r="A3803" t="s">
        <v>268</v>
      </c>
    </row>
    <row r="3804" spans="1:2">
      <c r="A3804" t="s">
        <v>699</v>
      </c>
      <c r="B3804">
        <v>3290</v>
      </c>
    </row>
    <row r="3805" spans="1:2">
      <c r="A3805" t="s">
        <v>588</v>
      </c>
      <c r="B3805">
        <v>9870</v>
      </c>
    </row>
    <row r="3808" spans="1:2">
      <c r="A3808" t="s">
        <v>769</v>
      </c>
    </row>
    <row r="3810" spans="1:2">
      <c r="A3810" t="s">
        <v>1180</v>
      </c>
    </row>
    <row r="3811" spans="1:2">
      <c r="A3811" t="s">
        <v>1178</v>
      </c>
      <c r="B3811">
        <v>1210</v>
      </c>
    </row>
    <row r="3812" spans="1:2">
      <c r="A3812" t="s">
        <v>1179</v>
      </c>
      <c r="B3812">
        <v>1210</v>
      </c>
    </row>
    <row r="3813" spans="1:2">
      <c r="A3813" t="s">
        <v>2030</v>
      </c>
      <c r="B3813">
        <v>1210</v>
      </c>
    </row>
    <row r="3814" spans="1:2">
      <c r="A3814" t="s">
        <v>586</v>
      </c>
      <c r="B3814">
        <v>3630</v>
      </c>
    </row>
    <row r="3815" spans="1:2">
      <c r="A3815" t="s">
        <v>770</v>
      </c>
      <c r="B3815">
        <v>6240</v>
      </c>
    </row>
    <row r="3816" spans="1:2">
      <c r="A3816" t="s">
        <v>770</v>
      </c>
      <c r="B3816">
        <v>0.63221884498480241</v>
      </c>
    </row>
    <row r="3818" spans="1:2">
      <c r="A3818" t="s">
        <v>1181</v>
      </c>
    </row>
    <row r="3819" spans="1:2">
      <c r="A3819" t="s">
        <v>1182</v>
      </c>
      <c r="B3819">
        <v>1630</v>
      </c>
    </row>
    <row r="3820" spans="1:2">
      <c r="A3820" t="s">
        <v>1179</v>
      </c>
      <c r="B3820">
        <v>1270</v>
      </c>
    </row>
    <row r="3821" spans="1:2">
      <c r="A3821" t="s">
        <v>2030</v>
      </c>
      <c r="B3821">
        <v>1270</v>
      </c>
    </row>
    <row r="3822" spans="1:2">
      <c r="A3822" t="s">
        <v>586</v>
      </c>
      <c r="B3822">
        <v>4170</v>
      </c>
    </row>
    <row r="3823" spans="1:2">
      <c r="A3823" t="s">
        <v>770</v>
      </c>
      <c r="B3823">
        <v>5700</v>
      </c>
    </row>
    <row r="3824" spans="1:2">
      <c r="A3824" t="s">
        <v>770</v>
      </c>
      <c r="B3824">
        <v>0.57750759878419455</v>
      </c>
    </row>
    <row r="3826" spans="1:2">
      <c r="A3826" t="s">
        <v>2031</v>
      </c>
    </row>
    <row r="3827" spans="1:2">
      <c r="A3827" t="s">
        <v>1182</v>
      </c>
      <c r="B3827">
        <v>1630</v>
      </c>
    </row>
    <row r="3828" spans="1:2">
      <c r="A3828" t="s">
        <v>2032</v>
      </c>
      <c r="B3828">
        <v>1955</v>
      </c>
    </row>
    <row r="3829" spans="1:2">
      <c r="A3829" t="s">
        <v>2030</v>
      </c>
      <c r="B3829">
        <v>1270</v>
      </c>
    </row>
    <row r="3830" spans="1:2">
      <c r="A3830" t="s">
        <v>586</v>
      </c>
      <c r="B3830">
        <v>4855</v>
      </c>
    </row>
    <row r="3831" spans="1:2">
      <c r="A3831" t="s">
        <v>770</v>
      </c>
      <c r="B3831">
        <v>5015</v>
      </c>
    </row>
    <row r="3832" spans="1:2">
      <c r="A3832" t="s">
        <v>770</v>
      </c>
      <c r="B3832">
        <v>0.50810536980749743</v>
      </c>
    </row>
    <row r="3834" spans="1:2">
      <c r="A3834" t="s">
        <v>1943</v>
      </c>
      <c r="B3834">
        <v>1333.5</v>
      </c>
    </row>
    <row r="3836" spans="1:2" s="344" customFormat="1">
      <c r="A3836" s="345" t="s">
        <v>1425</v>
      </c>
    </row>
    <row r="3838" spans="1:2">
      <c r="A3838" t="s">
        <v>753</v>
      </c>
      <c r="B3838" s="346">
        <v>1175</v>
      </c>
    </row>
    <row r="3840" spans="1:2">
      <c r="A3840" t="s">
        <v>581</v>
      </c>
    </row>
    <row r="3841" spans="1:2">
      <c r="A3841" t="s">
        <v>214</v>
      </c>
      <c r="B3841">
        <v>1175</v>
      </c>
    </row>
    <row r="3842" spans="1:2">
      <c r="A3842" t="s">
        <v>215</v>
      </c>
      <c r="B3842">
        <v>1410</v>
      </c>
    </row>
    <row r="3843" spans="1:2">
      <c r="A3843" t="s">
        <v>2009</v>
      </c>
      <c r="B3843">
        <v>1410</v>
      </c>
    </row>
    <row r="3844" spans="1:2">
      <c r="A3844" t="s">
        <v>586</v>
      </c>
      <c r="B3844">
        <v>3995</v>
      </c>
    </row>
    <row r="3846" spans="1:2">
      <c r="A3846" t="s">
        <v>268</v>
      </c>
    </row>
    <row r="3847" spans="1:2">
      <c r="A3847" t="s">
        <v>699</v>
      </c>
      <c r="B3847">
        <v>3715</v>
      </c>
    </row>
    <row r="3848" spans="1:2">
      <c r="A3848" t="s">
        <v>588</v>
      </c>
      <c r="B3848">
        <v>11145</v>
      </c>
    </row>
    <row r="3851" spans="1:2">
      <c r="A3851" t="s">
        <v>769</v>
      </c>
    </row>
    <row r="3853" spans="1:2">
      <c r="A3853" t="s">
        <v>1180</v>
      </c>
    </row>
    <row r="3854" spans="1:2">
      <c r="A3854" t="s">
        <v>1178</v>
      </c>
      <c r="B3854">
        <v>1125</v>
      </c>
    </row>
    <row r="3855" spans="1:2">
      <c r="A3855" t="s">
        <v>1179</v>
      </c>
      <c r="B3855">
        <v>1125</v>
      </c>
    </row>
    <row r="3856" spans="1:2">
      <c r="A3856" t="s">
        <v>2030</v>
      </c>
      <c r="B3856">
        <v>1125</v>
      </c>
    </row>
    <row r="3857" spans="1:2">
      <c r="A3857" t="s">
        <v>586</v>
      </c>
      <c r="B3857">
        <v>3375</v>
      </c>
    </row>
    <row r="3858" spans="1:2">
      <c r="A3858" t="s">
        <v>770</v>
      </c>
      <c r="B3858">
        <v>7770</v>
      </c>
    </row>
    <row r="3859" spans="1:2">
      <c r="A3859" t="s">
        <v>770</v>
      </c>
      <c r="B3859">
        <v>0.69717362045760434</v>
      </c>
    </row>
    <row r="3861" spans="1:2">
      <c r="A3861" t="s">
        <v>1181</v>
      </c>
    </row>
    <row r="3862" spans="1:2">
      <c r="A3862" t="s">
        <v>1182</v>
      </c>
      <c r="B3862">
        <v>1175</v>
      </c>
    </row>
    <row r="3863" spans="1:2">
      <c r="A3863" t="s">
        <v>1179</v>
      </c>
      <c r="B3863">
        <v>1180</v>
      </c>
    </row>
    <row r="3864" spans="1:2">
      <c r="A3864" t="s">
        <v>2030</v>
      </c>
      <c r="B3864">
        <v>1180</v>
      </c>
    </row>
    <row r="3865" spans="1:2">
      <c r="A3865" t="s">
        <v>586</v>
      </c>
      <c r="B3865">
        <v>3535</v>
      </c>
    </row>
    <row r="3866" spans="1:2">
      <c r="A3866" t="s">
        <v>770</v>
      </c>
      <c r="B3866">
        <v>7610</v>
      </c>
    </row>
    <row r="3867" spans="1:2">
      <c r="A3867" t="s">
        <v>770</v>
      </c>
      <c r="B3867">
        <v>0.68281740690892778</v>
      </c>
    </row>
    <row r="3869" spans="1:2">
      <c r="A3869" t="s">
        <v>2031</v>
      </c>
    </row>
    <row r="3870" spans="1:2">
      <c r="A3870" t="s">
        <v>1182</v>
      </c>
      <c r="B3870">
        <v>1175</v>
      </c>
    </row>
    <row r="3871" spans="1:2">
      <c r="A3871" t="s">
        <v>2032</v>
      </c>
      <c r="B3871">
        <v>1410</v>
      </c>
    </row>
    <row r="3872" spans="1:2">
      <c r="A3872" t="s">
        <v>2030</v>
      </c>
      <c r="B3872">
        <v>1180</v>
      </c>
    </row>
    <row r="3873" spans="1:2">
      <c r="A3873" t="s">
        <v>586</v>
      </c>
      <c r="B3873">
        <v>3765</v>
      </c>
    </row>
    <row r="3874" spans="1:2">
      <c r="A3874" t="s">
        <v>770</v>
      </c>
      <c r="B3874">
        <v>7380</v>
      </c>
    </row>
    <row r="3875" spans="1:2">
      <c r="A3875" t="s">
        <v>770</v>
      </c>
      <c r="B3875">
        <v>0.66218034993270525</v>
      </c>
    </row>
    <row r="3877" spans="1:2">
      <c r="A3877" t="s">
        <v>1943</v>
      </c>
      <c r="B3877">
        <v>1239</v>
      </c>
    </row>
    <row r="3879" spans="1:2" s="344" customFormat="1">
      <c r="A3879" s="345" t="s">
        <v>1888</v>
      </c>
    </row>
    <row r="3881" spans="1:2">
      <c r="A3881" t="s">
        <v>753</v>
      </c>
      <c r="B3881" s="346">
        <v>1175</v>
      </c>
    </row>
    <row r="3883" spans="1:2">
      <c r="A3883" t="s">
        <v>581</v>
      </c>
    </row>
    <row r="3884" spans="1:2">
      <c r="A3884" t="s">
        <v>214</v>
      </c>
      <c r="B3884">
        <v>1175</v>
      </c>
    </row>
    <row r="3885" spans="1:2">
      <c r="A3885" t="s">
        <v>215</v>
      </c>
      <c r="B3885">
        <v>1410</v>
      </c>
    </row>
    <row r="3886" spans="1:2">
      <c r="A3886" t="s">
        <v>2009</v>
      </c>
      <c r="B3886">
        <v>1410</v>
      </c>
    </row>
    <row r="3887" spans="1:2">
      <c r="A3887" t="s">
        <v>586</v>
      </c>
      <c r="B3887">
        <v>3995</v>
      </c>
    </row>
    <row r="3889" spans="1:2">
      <c r="A3889" t="s">
        <v>268</v>
      </c>
    </row>
    <row r="3890" spans="1:2">
      <c r="A3890" t="s">
        <v>699</v>
      </c>
      <c r="B3890">
        <v>3290</v>
      </c>
    </row>
    <row r="3891" spans="1:2">
      <c r="A3891" t="s">
        <v>588</v>
      </c>
      <c r="B3891">
        <v>9870</v>
      </c>
    </row>
    <row r="3894" spans="1:2">
      <c r="A3894" t="s">
        <v>769</v>
      </c>
    </row>
    <row r="3896" spans="1:2">
      <c r="A3896" t="s">
        <v>1180</v>
      </c>
    </row>
    <row r="3897" spans="1:2">
      <c r="A3897" t="s">
        <v>1178</v>
      </c>
      <c r="B3897">
        <v>1210</v>
      </c>
    </row>
    <row r="3898" spans="1:2">
      <c r="A3898" t="s">
        <v>1179</v>
      </c>
      <c r="B3898">
        <v>1210</v>
      </c>
    </row>
    <row r="3899" spans="1:2">
      <c r="A3899" t="s">
        <v>2030</v>
      </c>
      <c r="B3899">
        <v>1210</v>
      </c>
    </row>
    <row r="3900" spans="1:2">
      <c r="A3900" t="s">
        <v>586</v>
      </c>
      <c r="B3900">
        <v>3630</v>
      </c>
    </row>
    <row r="3901" spans="1:2">
      <c r="A3901" t="s">
        <v>770</v>
      </c>
      <c r="B3901">
        <v>6240</v>
      </c>
    </row>
    <row r="3902" spans="1:2">
      <c r="A3902" t="s">
        <v>770</v>
      </c>
      <c r="B3902">
        <v>0.63221884498480241</v>
      </c>
    </row>
    <row r="3904" spans="1:2">
      <c r="A3904" t="s">
        <v>1181</v>
      </c>
    </row>
    <row r="3905" spans="1:2">
      <c r="A3905" t="s">
        <v>1182</v>
      </c>
      <c r="B3905">
        <v>1175</v>
      </c>
    </row>
    <row r="3906" spans="1:2">
      <c r="A3906" t="s">
        <v>1179</v>
      </c>
      <c r="B3906">
        <v>1270</v>
      </c>
    </row>
    <row r="3907" spans="1:2">
      <c r="A3907" t="s">
        <v>2030</v>
      </c>
      <c r="B3907">
        <v>1270</v>
      </c>
    </row>
    <row r="3908" spans="1:2">
      <c r="A3908" t="s">
        <v>586</v>
      </c>
      <c r="B3908">
        <v>3715</v>
      </c>
    </row>
    <row r="3909" spans="1:2">
      <c r="A3909" t="s">
        <v>770</v>
      </c>
      <c r="B3909">
        <v>6155</v>
      </c>
    </row>
    <row r="3910" spans="1:2">
      <c r="A3910" t="s">
        <v>770</v>
      </c>
      <c r="B3910">
        <v>0.62360688956433641</v>
      </c>
    </row>
    <row r="3912" spans="1:2">
      <c r="A3912" t="s">
        <v>2031</v>
      </c>
    </row>
    <row r="3913" spans="1:2">
      <c r="A3913" t="s">
        <v>1182</v>
      </c>
      <c r="B3913">
        <v>1175</v>
      </c>
    </row>
    <row r="3914" spans="1:2">
      <c r="A3914" t="s">
        <v>2032</v>
      </c>
      <c r="B3914">
        <v>1410</v>
      </c>
    </row>
    <row r="3915" spans="1:2">
      <c r="A3915" t="s">
        <v>2030</v>
      </c>
      <c r="B3915">
        <v>1270</v>
      </c>
    </row>
    <row r="3916" spans="1:2">
      <c r="A3916" t="s">
        <v>586</v>
      </c>
      <c r="B3916">
        <v>3855</v>
      </c>
    </row>
    <row r="3917" spans="1:2">
      <c r="A3917" t="s">
        <v>770</v>
      </c>
      <c r="B3917">
        <v>6015</v>
      </c>
    </row>
    <row r="3918" spans="1:2">
      <c r="A3918" t="s">
        <v>770</v>
      </c>
      <c r="B3918">
        <v>0.60942249240121582</v>
      </c>
    </row>
    <row r="3920" spans="1:2">
      <c r="A3920" t="s">
        <v>1943</v>
      </c>
      <c r="B3920">
        <v>1333.5</v>
      </c>
    </row>
    <row r="3922" spans="1:2" s="344" customFormat="1">
      <c r="A3922" s="345" t="s">
        <v>740</v>
      </c>
    </row>
    <row r="3924" spans="1:2">
      <c r="A3924" t="s">
        <v>753</v>
      </c>
      <c r="B3924" s="346">
        <v>970</v>
      </c>
    </row>
    <row r="3926" spans="1:2">
      <c r="A3926" t="s">
        <v>581</v>
      </c>
    </row>
    <row r="3927" spans="1:2">
      <c r="A3927" t="s">
        <v>214</v>
      </c>
      <c r="B3927">
        <v>970</v>
      </c>
    </row>
    <row r="3928" spans="1:2">
      <c r="A3928" t="s">
        <v>215</v>
      </c>
      <c r="B3928">
        <v>1165</v>
      </c>
    </row>
    <row r="3929" spans="1:2">
      <c r="A3929" t="s">
        <v>2009</v>
      </c>
      <c r="B3929">
        <v>1165</v>
      </c>
    </row>
    <row r="3930" spans="1:2">
      <c r="A3930" t="s">
        <v>586</v>
      </c>
      <c r="B3930">
        <v>3300</v>
      </c>
    </row>
    <row r="3932" spans="1:2">
      <c r="A3932" t="s">
        <v>268</v>
      </c>
    </row>
    <row r="3933" spans="1:2">
      <c r="A3933" t="s">
        <v>699</v>
      </c>
      <c r="B3933">
        <v>3715</v>
      </c>
    </row>
    <row r="3934" spans="1:2">
      <c r="A3934" t="s">
        <v>588</v>
      </c>
      <c r="B3934">
        <v>11145</v>
      </c>
    </row>
    <row r="3937" spans="1:2">
      <c r="A3937" t="s">
        <v>769</v>
      </c>
    </row>
    <row r="3939" spans="1:2">
      <c r="A3939" t="s">
        <v>1180</v>
      </c>
    </row>
    <row r="3940" spans="1:2">
      <c r="A3940" t="s">
        <v>1178</v>
      </c>
      <c r="B3940">
        <v>1125</v>
      </c>
    </row>
    <row r="3941" spans="1:2">
      <c r="A3941" t="s">
        <v>1179</v>
      </c>
      <c r="B3941">
        <v>1125</v>
      </c>
    </row>
    <row r="3942" spans="1:2">
      <c r="A3942" t="s">
        <v>2030</v>
      </c>
      <c r="B3942">
        <v>1125</v>
      </c>
    </row>
    <row r="3943" spans="1:2">
      <c r="A3943" t="s">
        <v>586</v>
      </c>
      <c r="B3943">
        <v>3375</v>
      </c>
    </row>
    <row r="3944" spans="1:2">
      <c r="A3944" t="s">
        <v>770</v>
      </c>
      <c r="B3944">
        <v>7770</v>
      </c>
    </row>
    <row r="3945" spans="1:2">
      <c r="A3945" t="s">
        <v>770</v>
      </c>
      <c r="B3945">
        <v>0.69717362045760434</v>
      </c>
    </row>
    <row r="3947" spans="1:2">
      <c r="A3947" t="s">
        <v>1181</v>
      </c>
    </row>
    <row r="3948" spans="1:2">
      <c r="A3948" t="s">
        <v>1182</v>
      </c>
      <c r="B3948">
        <v>970</v>
      </c>
    </row>
    <row r="3949" spans="1:2">
      <c r="A3949" t="s">
        <v>1179</v>
      </c>
      <c r="B3949">
        <v>1180</v>
      </c>
    </row>
    <row r="3950" spans="1:2">
      <c r="A3950" t="s">
        <v>2030</v>
      </c>
      <c r="B3950">
        <v>1180</v>
      </c>
    </row>
    <row r="3951" spans="1:2">
      <c r="A3951" t="s">
        <v>586</v>
      </c>
      <c r="B3951">
        <v>3330</v>
      </c>
    </row>
    <row r="3952" spans="1:2">
      <c r="A3952" t="s">
        <v>770</v>
      </c>
      <c r="B3952">
        <v>7815</v>
      </c>
    </row>
    <row r="3953" spans="1:2">
      <c r="A3953" t="s">
        <v>770</v>
      </c>
      <c r="B3953">
        <v>0.70121130551816957</v>
      </c>
    </row>
    <row r="3955" spans="1:2">
      <c r="A3955" t="s">
        <v>2031</v>
      </c>
    </row>
    <row r="3956" spans="1:2">
      <c r="A3956" t="s">
        <v>1182</v>
      </c>
      <c r="B3956">
        <v>970</v>
      </c>
    </row>
    <row r="3957" spans="1:2">
      <c r="A3957" t="s">
        <v>2032</v>
      </c>
      <c r="B3957">
        <v>1165</v>
      </c>
    </row>
    <row r="3958" spans="1:2">
      <c r="A3958" t="s">
        <v>2030</v>
      </c>
      <c r="B3958">
        <v>1180</v>
      </c>
    </row>
    <row r="3959" spans="1:2">
      <c r="A3959" t="s">
        <v>586</v>
      </c>
      <c r="B3959">
        <v>3315</v>
      </c>
    </row>
    <row r="3960" spans="1:2">
      <c r="A3960" t="s">
        <v>770</v>
      </c>
      <c r="B3960">
        <v>7830</v>
      </c>
    </row>
    <row r="3961" spans="1:2">
      <c r="A3961" t="s">
        <v>770</v>
      </c>
      <c r="B3961">
        <v>0.70255720053835802</v>
      </c>
    </row>
    <row r="3963" spans="1:2">
      <c r="A3963" t="s">
        <v>1943</v>
      </c>
      <c r="B3963">
        <v>1239</v>
      </c>
    </row>
    <row r="3965" spans="1:2" s="344" customFormat="1">
      <c r="A3965" s="345" t="s">
        <v>1889</v>
      </c>
    </row>
    <row r="3967" spans="1:2">
      <c r="A3967" t="s">
        <v>753</v>
      </c>
      <c r="B3967" s="346">
        <v>970</v>
      </c>
    </row>
    <row r="3969" spans="1:2">
      <c r="A3969" t="s">
        <v>581</v>
      </c>
    </row>
    <row r="3970" spans="1:2">
      <c r="A3970" t="s">
        <v>214</v>
      </c>
      <c r="B3970">
        <v>970</v>
      </c>
    </row>
    <row r="3971" spans="1:2">
      <c r="A3971" t="s">
        <v>215</v>
      </c>
      <c r="B3971">
        <v>1165</v>
      </c>
    </row>
    <row r="3972" spans="1:2">
      <c r="A3972" t="s">
        <v>2009</v>
      </c>
      <c r="B3972">
        <v>1165</v>
      </c>
    </row>
    <row r="3973" spans="1:2">
      <c r="A3973" t="s">
        <v>586</v>
      </c>
      <c r="B3973">
        <v>3300</v>
      </c>
    </row>
    <row r="3975" spans="1:2">
      <c r="A3975" t="s">
        <v>268</v>
      </c>
    </row>
    <row r="3976" spans="1:2">
      <c r="A3976" t="s">
        <v>699</v>
      </c>
      <c r="B3976">
        <v>3290</v>
      </c>
    </row>
    <row r="3977" spans="1:2">
      <c r="A3977" t="s">
        <v>588</v>
      </c>
      <c r="B3977">
        <v>9870</v>
      </c>
    </row>
    <row r="3980" spans="1:2">
      <c r="A3980" t="s">
        <v>769</v>
      </c>
    </row>
    <row r="3982" spans="1:2">
      <c r="A3982" t="s">
        <v>1180</v>
      </c>
    </row>
    <row r="3983" spans="1:2">
      <c r="A3983" t="s">
        <v>1178</v>
      </c>
      <c r="B3983">
        <v>1210</v>
      </c>
    </row>
    <row r="3984" spans="1:2">
      <c r="A3984" t="s">
        <v>1179</v>
      </c>
      <c r="B3984">
        <v>1210</v>
      </c>
    </row>
    <row r="3985" spans="1:2">
      <c r="A3985" t="s">
        <v>2030</v>
      </c>
      <c r="B3985">
        <v>1210</v>
      </c>
    </row>
    <row r="3986" spans="1:2">
      <c r="A3986" t="s">
        <v>586</v>
      </c>
      <c r="B3986">
        <v>3630</v>
      </c>
    </row>
    <row r="3987" spans="1:2">
      <c r="A3987" t="s">
        <v>770</v>
      </c>
      <c r="B3987">
        <v>6240</v>
      </c>
    </row>
    <row r="3988" spans="1:2">
      <c r="A3988" t="s">
        <v>770</v>
      </c>
      <c r="B3988">
        <v>0.63221884498480241</v>
      </c>
    </row>
    <row r="3990" spans="1:2">
      <c r="A3990" t="s">
        <v>1181</v>
      </c>
    </row>
    <row r="3991" spans="1:2">
      <c r="A3991" t="s">
        <v>1182</v>
      </c>
      <c r="B3991">
        <v>970</v>
      </c>
    </row>
    <row r="3992" spans="1:2">
      <c r="A3992" t="s">
        <v>1179</v>
      </c>
      <c r="B3992">
        <v>1270</v>
      </c>
    </row>
    <row r="3993" spans="1:2">
      <c r="A3993" t="s">
        <v>2030</v>
      </c>
      <c r="B3993">
        <v>1270</v>
      </c>
    </row>
    <row r="3994" spans="1:2">
      <c r="A3994" t="s">
        <v>586</v>
      </c>
      <c r="B3994">
        <v>3510</v>
      </c>
    </row>
    <row r="3995" spans="1:2">
      <c r="A3995" t="s">
        <v>770</v>
      </c>
      <c r="B3995">
        <v>6360</v>
      </c>
    </row>
    <row r="3996" spans="1:2">
      <c r="A3996" t="s">
        <v>770</v>
      </c>
      <c r="B3996">
        <v>0.64437689969604861</v>
      </c>
    </row>
    <row r="3998" spans="1:2">
      <c r="A3998" t="s">
        <v>2031</v>
      </c>
    </row>
    <row r="3999" spans="1:2">
      <c r="A3999" t="s">
        <v>1182</v>
      </c>
      <c r="B3999">
        <v>970</v>
      </c>
    </row>
    <row r="4000" spans="1:2">
      <c r="A4000" t="s">
        <v>2032</v>
      </c>
      <c r="B4000">
        <v>1165</v>
      </c>
    </row>
    <row r="4001" spans="1:2">
      <c r="A4001" t="s">
        <v>2030</v>
      </c>
      <c r="B4001">
        <v>1270</v>
      </c>
    </row>
    <row r="4002" spans="1:2">
      <c r="A4002" t="s">
        <v>586</v>
      </c>
      <c r="B4002">
        <v>3405</v>
      </c>
    </row>
    <row r="4003" spans="1:2">
      <c r="A4003" t="s">
        <v>770</v>
      </c>
      <c r="B4003">
        <v>6465</v>
      </c>
    </row>
    <row r="4004" spans="1:2">
      <c r="A4004" t="s">
        <v>770</v>
      </c>
      <c r="B4004">
        <v>0.65501519756838911</v>
      </c>
    </row>
    <row r="4006" spans="1:2">
      <c r="A4006" t="s">
        <v>1943</v>
      </c>
      <c r="B4006">
        <v>1333.5</v>
      </c>
    </row>
    <row r="4008" spans="1:2" s="344" customFormat="1">
      <c r="A4008" s="345" t="s">
        <v>1923</v>
      </c>
    </row>
    <row r="4010" spans="1:2">
      <c r="A4010" t="s">
        <v>753</v>
      </c>
      <c r="B4010" s="346">
        <v>970</v>
      </c>
    </row>
    <row r="4012" spans="1:2">
      <c r="A4012" t="s">
        <v>581</v>
      </c>
    </row>
    <row r="4013" spans="1:2">
      <c r="A4013" t="s">
        <v>214</v>
      </c>
      <c r="B4013">
        <v>970</v>
      </c>
    </row>
    <row r="4014" spans="1:2">
      <c r="A4014" t="s">
        <v>215</v>
      </c>
      <c r="B4014">
        <v>1165</v>
      </c>
    </row>
    <row r="4015" spans="1:2">
      <c r="A4015" t="s">
        <v>2009</v>
      </c>
      <c r="B4015">
        <v>1165</v>
      </c>
    </row>
    <row r="4016" spans="1:2">
      <c r="A4016" t="s">
        <v>586</v>
      </c>
      <c r="B4016">
        <v>3300</v>
      </c>
    </row>
    <row r="4018" spans="1:2">
      <c r="A4018" t="s">
        <v>268</v>
      </c>
    </row>
    <row r="4019" spans="1:2">
      <c r="A4019" t="s">
        <v>699</v>
      </c>
      <c r="B4019">
        <v>2565</v>
      </c>
    </row>
    <row r="4020" spans="1:2">
      <c r="A4020" t="s">
        <v>588</v>
      </c>
      <c r="B4020">
        <v>7695</v>
      </c>
    </row>
    <row r="4023" spans="1:2">
      <c r="A4023" t="s">
        <v>769</v>
      </c>
    </row>
    <row r="4025" spans="1:2">
      <c r="A4025" t="s">
        <v>1180</v>
      </c>
    </row>
    <row r="4026" spans="1:2">
      <c r="A4026" t="s">
        <v>1178</v>
      </c>
      <c r="B4026">
        <v>750</v>
      </c>
    </row>
    <row r="4027" spans="1:2">
      <c r="A4027" t="s">
        <v>1179</v>
      </c>
      <c r="B4027">
        <v>750</v>
      </c>
    </row>
    <row r="4028" spans="1:2">
      <c r="A4028" t="s">
        <v>2030</v>
      </c>
      <c r="B4028">
        <v>750</v>
      </c>
    </row>
    <row r="4029" spans="1:2">
      <c r="A4029" t="s">
        <v>586</v>
      </c>
      <c r="B4029">
        <v>2250</v>
      </c>
    </row>
    <row r="4030" spans="1:2">
      <c r="A4030" t="s">
        <v>770</v>
      </c>
      <c r="B4030">
        <v>5445</v>
      </c>
    </row>
    <row r="4031" spans="1:2">
      <c r="A4031" t="s">
        <v>770</v>
      </c>
      <c r="B4031">
        <v>0.70760233918128657</v>
      </c>
    </row>
    <row r="4033" spans="1:2">
      <c r="A4033" t="s">
        <v>1181</v>
      </c>
    </row>
    <row r="4034" spans="1:2">
      <c r="A4034" t="s">
        <v>1182</v>
      </c>
      <c r="B4034">
        <v>970</v>
      </c>
    </row>
    <row r="4035" spans="1:2">
      <c r="A4035" t="s">
        <v>1179</v>
      </c>
      <c r="B4035">
        <v>790</v>
      </c>
    </row>
    <row r="4036" spans="1:2">
      <c r="A4036" t="s">
        <v>2030</v>
      </c>
      <c r="B4036">
        <v>790</v>
      </c>
    </row>
    <row r="4037" spans="1:2">
      <c r="A4037" t="s">
        <v>586</v>
      </c>
      <c r="B4037">
        <v>2550</v>
      </c>
    </row>
    <row r="4038" spans="1:2">
      <c r="A4038" t="s">
        <v>770</v>
      </c>
      <c r="B4038">
        <v>5145</v>
      </c>
    </row>
    <row r="4039" spans="1:2">
      <c r="A4039" t="s">
        <v>770</v>
      </c>
      <c r="B4039">
        <v>0.66861598440545811</v>
      </c>
    </row>
    <row r="4041" spans="1:2">
      <c r="A4041" t="s">
        <v>2031</v>
      </c>
    </row>
    <row r="4042" spans="1:2">
      <c r="A4042" t="s">
        <v>1182</v>
      </c>
      <c r="B4042">
        <v>970</v>
      </c>
    </row>
    <row r="4043" spans="1:2">
      <c r="A4043" t="s">
        <v>2032</v>
      </c>
      <c r="B4043">
        <v>1165</v>
      </c>
    </row>
    <row r="4044" spans="1:2">
      <c r="A4044" t="s">
        <v>2030</v>
      </c>
      <c r="B4044">
        <v>790</v>
      </c>
    </row>
    <row r="4045" spans="1:2">
      <c r="A4045" t="s">
        <v>586</v>
      </c>
      <c r="B4045">
        <v>2925</v>
      </c>
    </row>
    <row r="4046" spans="1:2">
      <c r="A4046" t="s">
        <v>770</v>
      </c>
      <c r="B4046">
        <v>4770</v>
      </c>
    </row>
    <row r="4047" spans="1:2">
      <c r="A4047" t="s">
        <v>770</v>
      </c>
      <c r="B4047">
        <v>0.61988304093567248</v>
      </c>
    </row>
    <row r="4049" spans="1:2">
      <c r="A4049" t="s">
        <v>1943</v>
      </c>
      <c r="B4049">
        <v>829.5</v>
      </c>
    </row>
    <row r="4051" spans="1:2" s="344" customFormat="1">
      <c r="A4051" s="345" t="s">
        <v>1426</v>
      </c>
    </row>
    <row r="4053" spans="1:2">
      <c r="A4053" t="s">
        <v>753</v>
      </c>
      <c r="B4053" s="346">
        <v>1910</v>
      </c>
    </row>
    <row r="4055" spans="1:2">
      <c r="A4055" t="s">
        <v>581</v>
      </c>
    </row>
    <row r="4056" spans="1:2">
      <c r="A4056" t="s">
        <v>214</v>
      </c>
      <c r="B4056">
        <v>1910</v>
      </c>
    </row>
    <row r="4057" spans="1:2">
      <c r="A4057" t="s">
        <v>215</v>
      </c>
      <c r="B4057">
        <v>2290</v>
      </c>
    </row>
    <row r="4058" spans="1:2">
      <c r="A4058" t="s">
        <v>2009</v>
      </c>
      <c r="B4058">
        <v>2290</v>
      </c>
    </row>
    <row r="4059" spans="1:2">
      <c r="A4059" t="s">
        <v>586</v>
      </c>
      <c r="B4059">
        <v>6490</v>
      </c>
    </row>
    <row r="4061" spans="1:2">
      <c r="A4061" t="s">
        <v>268</v>
      </c>
    </row>
    <row r="4062" spans="1:2">
      <c r="A4062" t="s">
        <v>699</v>
      </c>
      <c r="B4062">
        <v>3715</v>
      </c>
    </row>
    <row r="4063" spans="1:2">
      <c r="A4063" t="s">
        <v>588</v>
      </c>
      <c r="B4063">
        <v>11145</v>
      </c>
    </row>
    <row r="4066" spans="1:2">
      <c r="A4066" t="s">
        <v>769</v>
      </c>
    </row>
    <row r="4068" spans="1:2">
      <c r="A4068" t="s">
        <v>1180</v>
      </c>
    </row>
    <row r="4069" spans="1:2">
      <c r="A4069" t="s">
        <v>1178</v>
      </c>
      <c r="B4069">
        <v>1125</v>
      </c>
    </row>
    <row r="4070" spans="1:2">
      <c r="A4070" t="s">
        <v>1179</v>
      </c>
      <c r="B4070">
        <v>1125</v>
      </c>
    </row>
    <row r="4071" spans="1:2">
      <c r="A4071" t="s">
        <v>2030</v>
      </c>
      <c r="B4071">
        <v>1125</v>
      </c>
    </row>
    <row r="4072" spans="1:2">
      <c r="A4072" t="s">
        <v>586</v>
      </c>
      <c r="B4072">
        <v>3375</v>
      </c>
    </row>
    <row r="4073" spans="1:2">
      <c r="A4073" t="s">
        <v>770</v>
      </c>
      <c r="B4073">
        <v>7770</v>
      </c>
    </row>
    <row r="4074" spans="1:2">
      <c r="A4074" t="s">
        <v>770</v>
      </c>
      <c r="B4074">
        <v>0.69717362045760434</v>
      </c>
    </row>
    <row r="4076" spans="1:2">
      <c r="A4076" t="s">
        <v>1181</v>
      </c>
    </row>
    <row r="4077" spans="1:2">
      <c r="A4077" t="s">
        <v>1182</v>
      </c>
      <c r="B4077">
        <v>1910</v>
      </c>
    </row>
    <row r="4078" spans="1:2">
      <c r="A4078" t="s">
        <v>1179</v>
      </c>
      <c r="B4078">
        <v>1180</v>
      </c>
    </row>
    <row r="4079" spans="1:2">
      <c r="A4079" t="s">
        <v>2030</v>
      </c>
      <c r="B4079">
        <v>1180</v>
      </c>
    </row>
    <row r="4080" spans="1:2">
      <c r="A4080" t="s">
        <v>586</v>
      </c>
      <c r="B4080">
        <v>4270</v>
      </c>
    </row>
    <row r="4081" spans="1:2">
      <c r="A4081" t="s">
        <v>770</v>
      </c>
      <c r="B4081">
        <v>6875</v>
      </c>
    </row>
    <row r="4082" spans="1:2">
      <c r="A4082" t="s">
        <v>770</v>
      </c>
      <c r="B4082">
        <v>0.61686855091969495</v>
      </c>
    </row>
    <row r="4084" spans="1:2">
      <c r="A4084" t="s">
        <v>2031</v>
      </c>
    </row>
    <row r="4085" spans="1:2">
      <c r="A4085" t="s">
        <v>1182</v>
      </c>
      <c r="B4085">
        <v>1910</v>
      </c>
    </row>
    <row r="4086" spans="1:2">
      <c r="A4086" t="s">
        <v>2032</v>
      </c>
      <c r="B4086">
        <v>2290</v>
      </c>
    </row>
    <row r="4087" spans="1:2">
      <c r="A4087" t="s">
        <v>2030</v>
      </c>
      <c r="B4087">
        <v>1180</v>
      </c>
    </row>
    <row r="4088" spans="1:2">
      <c r="A4088" t="s">
        <v>586</v>
      </c>
      <c r="B4088">
        <v>5380</v>
      </c>
    </row>
    <row r="4089" spans="1:2">
      <c r="A4089" t="s">
        <v>770</v>
      </c>
      <c r="B4089">
        <v>5765</v>
      </c>
    </row>
    <row r="4090" spans="1:2">
      <c r="A4090" t="s">
        <v>770</v>
      </c>
      <c r="B4090">
        <v>0.51727231942575147</v>
      </c>
    </row>
    <row r="4092" spans="1:2">
      <c r="A4092" t="s">
        <v>1943</v>
      </c>
      <c r="B4092">
        <v>1239</v>
      </c>
    </row>
    <row r="4094" spans="1:2" s="344" customFormat="1">
      <c r="A4094" s="345" t="s">
        <v>1890</v>
      </c>
    </row>
    <row r="4096" spans="1:2">
      <c r="A4096" t="s">
        <v>753</v>
      </c>
      <c r="B4096" s="346">
        <v>1910</v>
      </c>
    </row>
    <row r="4098" spans="1:2">
      <c r="A4098" t="s">
        <v>581</v>
      </c>
    </row>
    <row r="4099" spans="1:2">
      <c r="A4099" t="s">
        <v>214</v>
      </c>
      <c r="B4099">
        <v>1910</v>
      </c>
    </row>
    <row r="4100" spans="1:2">
      <c r="A4100" t="s">
        <v>215</v>
      </c>
      <c r="B4100">
        <v>2290</v>
      </c>
    </row>
    <row r="4101" spans="1:2">
      <c r="A4101" t="s">
        <v>2009</v>
      </c>
      <c r="B4101">
        <v>2290</v>
      </c>
    </row>
    <row r="4102" spans="1:2">
      <c r="A4102" t="s">
        <v>586</v>
      </c>
      <c r="B4102">
        <v>6490</v>
      </c>
    </row>
    <row r="4104" spans="1:2">
      <c r="A4104" t="s">
        <v>268</v>
      </c>
    </row>
    <row r="4105" spans="1:2">
      <c r="A4105" t="s">
        <v>699</v>
      </c>
      <c r="B4105">
        <v>3290</v>
      </c>
    </row>
    <row r="4106" spans="1:2">
      <c r="A4106" t="s">
        <v>588</v>
      </c>
      <c r="B4106">
        <v>9870</v>
      </c>
    </row>
    <row r="4109" spans="1:2">
      <c r="A4109" t="s">
        <v>769</v>
      </c>
    </row>
    <row r="4111" spans="1:2">
      <c r="A4111" t="s">
        <v>1180</v>
      </c>
    </row>
    <row r="4112" spans="1:2">
      <c r="A4112" t="s">
        <v>1178</v>
      </c>
      <c r="B4112">
        <v>1210</v>
      </c>
    </row>
    <row r="4113" spans="1:2">
      <c r="A4113" t="s">
        <v>1179</v>
      </c>
      <c r="B4113">
        <v>1210</v>
      </c>
    </row>
    <row r="4114" spans="1:2">
      <c r="A4114" t="s">
        <v>2030</v>
      </c>
      <c r="B4114">
        <v>1210</v>
      </c>
    </row>
    <row r="4115" spans="1:2">
      <c r="A4115" t="s">
        <v>586</v>
      </c>
      <c r="B4115">
        <v>3630</v>
      </c>
    </row>
    <row r="4116" spans="1:2">
      <c r="A4116" t="s">
        <v>770</v>
      </c>
      <c r="B4116">
        <v>6240</v>
      </c>
    </row>
    <row r="4117" spans="1:2">
      <c r="A4117" t="s">
        <v>770</v>
      </c>
      <c r="B4117">
        <v>0.63221884498480241</v>
      </c>
    </row>
    <row r="4119" spans="1:2">
      <c r="A4119" t="s">
        <v>1181</v>
      </c>
    </row>
    <row r="4120" spans="1:2">
      <c r="A4120" t="s">
        <v>1182</v>
      </c>
      <c r="B4120">
        <v>1910</v>
      </c>
    </row>
    <row r="4121" spans="1:2">
      <c r="A4121" t="s">
        <v>1179</v>
      </c>
      <c r="B4121">
        <v>1270</v>
      </c>
    </row>
    <row r="4122" spans="1:2">
      <c r="A4122" t="s">
        <v>2030</v>
      </c>
      <c r="B4122">
        <v>1270</v>
      </c>
    </row>
    <row r="4123" spans="1:2">
      <c r="A4123" t="s">
        <v>586</v>
      </c>
      <c r="B4123">
        <v>4450</v>
      </c>
    </row>
    <row r="4124" spans="1:2">
      <c r="A4124" t="s">
        <v>770</v>
      </c>
      <c r="B4124">
        <v>5420</v>
      </c>
    </row>
    <row r="4125" spans="1:2">
      <c r="A4125" t="s">
        <v>770</v>
      </c>
      <c r="B4125">
        <v>0.54913880445795338</v>
      </c>
    </row>
    <row r="4127" spans="1:2">
      <c r="A4127" t="s">
        <v>2031</v>
      </c>
    </row>
    <row r="4128" spans="1:2">
      <c r="A4128" t="s">
        <v>1182</v>
      </c>
      <c r="B4128">
        <v>1910</v>
      </c>
    </row>
    <row r="4129" spans="1:2">
      <c r="A4129" t="s">
        <v>2032</v>
      </c>
      <c r="B4129">
        <v>2290</v>
      </c>
    </row>
    <row r="4130" spans="1:2">
      <c r="A4130" t="s">
        <v>2030</v>
      </c>
      <c r="B4130">
        <v>1270</v>
      </c>
    </row>
    <row r="4131" spans="1:2">
      <c r="A4131" t="s">
        <v>586</v>
      </c>
      <c r="B4131">
        <v>5470</v>
      </c>
    </row>
    <row r="4132" spans="1:2">
      <c r="A4132" t="s">
        <v>770</v>
      </c>
      <c r="B4132">
        <v>4400</v>
      </c>
    </row>
    <row r="4133" spans="1:2">
      <c r="A4133" t="s">
        <v>770</v>
      </c>
      <c r="B4133">
        <v>0.44579533941236071</v>
      </c>
    </row>
    <row r="4135" spans="1:2">
      <c r="A4135" t="s">
        <v>1943</v>
      </c>
      <c r="B4135">
        <v>1333.5</v>
      </c>
    </row>
    <row r="4137" spans="1:2" s="344" customFormat="1">
      <c r="A4137" s="345" t="s">
        <v>1735</v>
      </c>
    </row>
    <row r="4139" spans="1:2">
      <c r="A4139" t="s">
        <v>753</v>
      </c>
      <c r="B4139" s="346">
        <v>885</v>
      </c>
    </row>
    <row r="4141" spans="1:2">
      <c r="A4141" t="s">
        <v>581</v>
      </c>
    </row>
    <row r="4142" spans="1:2">
      <c r="A4142" t="s">
        <v>214</v>
      </c>
      <c r="B4142">
        <v>885</v>
      </c>
    </row>
    <row r="4143" spans="1:2">
      <c r="A4143" t="s">
        <v>215</v>
      </c>
      <c r="B4143">
        <v>1060</v>
      </c>
    </row>
    <row r="4144" spans="1:2">
      <c r="A4144" t="s">
        <v>2009</v>
      </c>
      <c r="B4144">
        <v>1060</v>
      </c>
    </row>
    <row r="4145" spans="1:2">
      <c r="A4145" t="s">
        <v>586</v>
      </c>
      <c r="B4145">
        <v>3005</v>
      </c>
    </row>
    <row r="4147" spans="1:2">
      <c r="A4147" t="s">
        <v>268</v>
      </c>
    </row>
    <row r="4148" spans="1:2">
      <c r="A4148" t="s">
        <v>699</v>
      </c>
      <c r="B4148">
        <v>2485</v>
      </c>
    </row>
    <row r="4149" spans="1:2">
      <c r="A4149" t="s">
        <v>588</v>
      </c>
      <c r="B4149">
        <v>7455</v>
      </c>
    </row>
    <row r="4152" spans="1:2">
      <c r="A4152" t="s">
        <v>769</v>
      </c>
    </row>
    <row r="4154" spans="1:2">
      <c r="A4154" t="s">
        <v>1180</v>
      </c>
    </row>
    <row r="4155" spans="1:2">
      <c r="A4155" t="s">
        <v>1178</v>
      </c>
      <c r="B4155">
        <v>845</v>
      </c>
    </row>
    <row r="4156" spans="1:2">
      <c r="A4156" t="s">
        <v>1179</v>
      </c>
      <c r="B4156">
        <v>845</v>
      </c>
    </row>
    <row r="4157" spans="1:2">
      <c r="A4157" t="s">
        <v>2030</v>
      </c>
      <c r="B4157">
        <v>845</v>
      </c>
    </row>
    <row r="4158" spans="1:2">
      <c r="A4158" t="s">
        <v>586</v>
      </c>
      <c r="B4158">
        <v>2535</v>
      </c>
    </row>
    <row r="4159" spans="1:2">
      <c r="A4159" t="s">
        <v>770</v>
      </c>
      <c r="B4159">
        <v>4920</v>
      </c>
    </row>
    <row r="4160" spans="1:2">
      <c r="A4160" t="s">
        <v>770</v>
      </c>
      <c r="B4160">
        <v>0.65995975855130784</v>
      </c>
    </row>
    <row r="4162" spans="1:2">
      <c r="A4162" t="s">
        <v>1181</v>
      </c>
    </row>
    <row r="4163" spans="1:2">
      <c r="A4163" t="s">
        <v>1182</v>
      </c>
      <c r="B4163">
        <v>885</v>
      </c>
    </row>
    <row r="4164" spans="1:2">
      <c r="A4164" t="s">
        <v>1179</v>
      </c>
      <c r="B4164">
        <v>885</v>
      </c>
    </row>
    <row r="4165" spans="1:2">
      <c r="A4165" t="s">
        <v>2030</v>
      </c>
      <c r="B4165">
        <v>885</v>
      </c>
    </row>
    <row r="4166" spans="1:2">
      <c r="A4166" t="s">
        <v>586</v>
      </c>
      <c r="B4166">
        <v>2655</v>
      </c>
    </row>
    <row r="4167" spans="1:2">
      <c r="A4167" t="s">
        <v>770</v>
      </c>
      <c r="B4167">
        <v>4800</v>
      </c>
    </row>
    <row r="4168" spans="1:2">
      <c r="A4168" t="s">
        <v>770</v>
      </c>
      <c r="B4168">
        <v>0.64386317907444668</v>
      </c>
    </row>
    <row r="4170" spans="1:2">
      <c r="A4170" t="s">
        <v>2031</v>
      </c>
    </row>
    <row r="4171" spans="1:2">
      <c r="A4171" t="s">
        <v>1182</v>
      </c>
      <c r="B4171">
        <v>885</v>
      </c>
    </row>
    <row r="4172" spans="1:2">
      <c r="A4172" t="s">
        <v>2032</v>
      </c>
      <c r="B4172">
        <v>1060</v>
      </c>
    </row>
    <row r="4173" spans="1:2">
      <c r="A4173" t="s">
        <v>2030</v>
      </c>
      <c r="B4173">
        <v>885</v>
      </c>
    </row>
    <row r="4174" spans="1:2">
      <c r="A4174" t="s">
        <v>586</v>
      </c>
      <c r="B4174">
        <v>2830</v>
      </c>
    </row>
    <row r="4175" spans="1:2">
      <c r="A4175" t="s">
        <v>770</v>
      </c>
      <c r="B4175">
        <v>4625</v>
      </c>
    </row>
    <row r="4176" spans="1:2">
      <c r="A4176" t="s">
        <v>770</v>
      </c>
      <c r="B4176">
        <v>0.6203890006706908</v>
      </c>
    </row>
    <row r="4178" spans="1:2">
      <c r="A4178" t="s">
        <v>1943</v>
      </c>
      <c r="B4178">
        <v>929.25</v>
      </c>
    </row>
    <row r="4180" spans="1:2" s="344" customFormat="1">
      <c r="A4180" s="345" t="s">
        <v>1891</v>
      </c>
    </row>
    <row r="4182" spans="1:2">
      <c r="A4182" t="s">
        <v>753</v>
      </c>
      <c r="B4182" s="346">
        <v>1140</v>
      </c>
    </row>
    <row r="4184" spans="1:2">
      <c r="A4184" t="s">
        <v>581</v>
      </c>
    </row>
    <row r="4185" spans="1:2">
      <c r="A4185" t="s">
        <v>214</v>
      </c>
      <c r="B4185">
        <v>1140</v>
      </c>
    </row>
    <row r="4186" spans="1:2">
      <c r="A4186" t="s">
        <v>215</v>
      </c>
      <c r="B4186">
        <v>1370</v>
      </c>
    </row>
    <row r="4187" spans="1:2">
      <c r="A4187" t="s">
        <v>2009</v>
      </c>
      <c r="B4187">
        <v>1370</v>
      </c>
    </row>
    <row r="4188" spans="1:2">
      <c r="A4188" t="s">
        <v>586</v>
      </c>
      <c r="B4188">
        <v>3880</v>
      </c>
    </row>
    <row r="4190" spans="1:2">
      <c r="A4190" t="s">
        <v>268</v>
      </c>
    </row>
    <row r="4191" spans="1:2">
      <c r="A4191" t="s">
        <v>699</v>
      </c>
      <c r="B4191">
        <v>3290</v>
      </c>
    </row>
    <row r="4192" spans="1:2">
      <c r="A4192" t="s">
        <v>588</v>
      </c>
      <c r="B4192">
        <v>9870</v>
      </c>
    </row>
    <row r="4195" spans="1:2">
      <c r="A4195" t="s">
        <v>769</v>
      </c>
    </row>
    <row r="4197" spans="1:2">
      <c r="A4197" t="s">
        <v>1180</v>
      </c>
    </row>
    <row r="4198" spans="1:2">
      <c r="A4198" t="s">
        <v>1178</v>
      </c>
      <c r="B4198">
        <v>1210</v>
      </c>
    </row>
    <row r="4199" spans="1:2">
      <c r="A4199" t="s">
        <v>1179</v>
      </c>
      <c r="B4199">
        <v>1210</v>
      </c>
    </row>
    <row r="4200" spans="1:2">
      <c r="A4200" t="s">
        <v>2030</v>
      </c>
      <c r="B4200">
        <v>1210</v>
      </c>
    </row>
    <row r="4201" spans="1:2">
      <c r="A4201" t="s">
        <v>586</v>
      </c>
      <c r="B4201">
        <v>3630</v>
      </c>
    </row>
    <row r="4202" spans="1:2">
      <c r="A4202" t="s">
        <v>770</v>
      </c>
      <c r="B4202">
        <v>6240</v>
      </c>
    </row>
    <row r="4203" spans="1:2">
      <c r="A4203" t="s">
        <v>770</v>
      </c>
      <c r="B4203">
        <v>0.63221884498480241</v>
      </c>
    </row>
    <row r="4205" spans="1:2">
      <c r="A4205" t="s">
        <v>1181</v>
      </c>
    </row>
    <row r="4206" spans="1:2">
      <c r="A4206" t="s">
        <v>1182</v>
      </c>
      <c r="B4206">
        <v>1140</v>
      </c>
    </row>
    <row r="4207" spans="1:2">
      <c r="A4207" t="s">
        <v>1179</v>
      </c>
      <c r="B4207">
        <v>1270</v>
      </c>
    </row>
    <row r="4208" spans="1:2">
      <c r="A4208" t="s">
        <v>2030</v>
      </c>
      <c r="B4208">
        <v>1270</v>
      </c>
    </row>
    <row r="4209" spans="1:2">
      <c r="A4209" t="s">
        <v>586</v>
      </c>
      <c r="B4209">
        <v>3680</v>
      </c>
    </row>
    <row r="4210" spans="1:2">
      <c r="A4210" t="s">
        <v>770</v>
      </c>
      <c r="B4210">
        <v>6190</v>
      </c>
    </row>
    <row r="4211" spans="1:2">
      <c r="A4211" t="s">
        <v>770</v>
      </c>
      <c r="B4211">
        <v>0.6271529888551165</v>
      </c>
    </row>
    <row r="4213" spans="1:2">
      <c r="A4213" t="s">
        <v>2031</v>
      </c>
    </row>
    <row r="4214" spans="1:2">
      <c r="A4214" t="s">
        <v>1182</v>
      </c>
      <c r="B4214">
        <v>1140</v>
      </c>
    </row>
    <row r="4215" spans="1:2">
      <c r="A4215" t="s">
        <v>2032</v>
      </c>
      <c r="B4215">
        <v>1370</v>
      </c>
    </row>
    <row r="4216" spans="1:2">
      <c r="A4216" t="s">
        <v>2030</v>
      </c>
      <c r="B4216">
        <v>1270</v>
      </c>
    </row>
    <row r="4217" spans="1:2">
      <c r="A4217" t="s">
        <v>586</v>
      </c>
      <c r="B4217">
        <v>3780</v>
      </c>
    </row>
    <row r="4218" spans="1:2">
      <c r="A4218" t="s">
        <v>770</v>
      </c>
      <c r="B4218">
        <v>6090</v>
      </c>
    </row>
    <row r="4219" spans="1:2">
      <c r="A4219" t="s">
        <v>770</v>
      </c>
      <c r="B4219">
        <v>0.61702127659574468</v>
      </c>
    </row>
    <row r="4221" spans="1:2">
      <c r="A4221" t="s">
        <v>1943</v>
      </c>
      <c r="B4221">
        <v>1333.5</v>
      </c>
    </row>
    <row r="4223" spans="1:2" s="344" customFormat="1">
      <c r="A4223" s="345" t="s">
        <v>741</v>
      </c>
    </row>
    <row r="4225" spans="1:2">
      <c r="A4225" t="s">
        <v>753</v>
      </c>
      <c r="B4225" s="346">
        <v>200</v>
      </c>
    </row>
    <row r="4227" spans="1:2">
      <c r="A4227" t="s">
        <v>581</v>
      </c>
    </row>
    <row r="4228" spans="1:2">
      <c r="A4228" t="s">
        <v>214</v>
      </c>
      <c r="B4228">
        <v>200</v>
      </c>
    </row>
    <row r="4229" spans="1:2">
      <c r="A4229" t="s">
        <v>215</v>
      </c>
      <c r="B4229">
        <v>240</v>
      </c>
    </row>
    <row r="4230" spans="1:2">
      <c r="A4230" t="s">
        <v>2009</v>
      </c>
      <c r="B4230">
        <v>240</v>
      </c>
    </row>
    <row r="4231" spans="1:2">
      <c r="A4231" t="s">
        <v>586</v>
      </c>
      <c r="B4231">
        <v>680</v>
      </c>
    </row>
    <row r="4233" spans="1:2">
      <c r="A4233" t="s">
        <v>268</v>
      </c>
    </row>
    <row r="4234" spans="1:2">
      <c r="A4234" t="s">
        <v>699</v>
      </c>
      <c r="B4234">
        <v>740</v>
      </c>
    </row>
    <row r="4235" spans="1:2">
      <c r="A4235" t="s">
        <v>588</v>
      </c>
      <c r="B4235">
        <v>2220</v>
      </c>
    </row>
    <row r="4238" spans="1:2">
      <c r="A4238" t="s">
        <v>769</v>
      </c>
    </row>
    <row r="4240" spans="1:2">
      <c r="A4240" t="s">
        <v>1180</v>
      </c>
    </row>
    <row r="4241" spans="1:2">
      <c r="A4241" t="s">
        <v>1178</v>
      </c>
      <c r="B4241">
        <v>190</v>
      </c>
    </row>
    <row r="4242" spans="1:2">
      <c r="A4242" t="s">
        <v>1179</v>
      </c>
      <c r="B4242">
        <v>190</v>
      </c>
    </row>
    <row r="4243" spans="1:2">
      <c r="A4243" t="s">
        <v>2030</v>
      </c>
      <c r="B4243">
        <v>190</v>
      </c>
    </row>
    <row r="4244" spans="1:2">
      <c r="A4244" t="s">
        <v>586</v>
      </c>
      <c r="B4244">
        <v>570</v>
      </c>
    </row>
    <row r="4245" spans="1:2">
      <c r="A4245" t="s">
        <v>770</v>
      </c>
      <c r="B4245">
        <v>1650</v>
      </c>
    </row>
    <row r="4246" spans="1:2">
      <c r="A4246" t="s">
        <v>770</v>
      </c>
      <c r="B4246">
        <v>0.7432432432432432</v>
      </c>
    </row>
    <row r="4248" spans="1:2">
      <c r="A4248" t="s">
        <v>1181</v>
      </c>
    </row>
    <row r="4249" spans="1:2">
      <c r="A4249" t="s">
        <v>1182</v>
      </c>
      <c r="B4249">
        <v>200</v>
      </c>
    </row>
    <row r="4250" spans="1:2">
      <c r="A4250" t="s">
        <v>1179</v>
      </c>
      <c r="B4250">
        <v>200</v>
      </c>
    </row>
    <row r="4251" spans="1:2">
      <c r="A4251" t="s">
        <v>2030</v>
      </c>
      <c r="B4251">
        <v>200</v>
      </c>
    </row>
    <row r="4252" spans="1:2">
      <c r="A4252" t="s">
        <v>586</v>
      </c>
      <c r="B4252">
        <v>600</v>
      </c>
    </row>
    <row r="4253" spans="1:2">
      <c r="A4253" t="s">
        <v>770</v>
      </c>
      <c r="B4253">
        <v>1620</v>
      </c>
    </row>
    <row r="4254" spans="1:2">
      <c r="A4254" t="s">
        <v>770</v>
      </c>
      <c r="B4254">
        <v>0.72972972972972971</v>
      </c>
    </row>
    <row r="4256" spans="1:2">
      <c r="A4256" t="s">
        <v>2031</v>
      </c>
    </row>
    <row r="4257" spans="1:2">
      <c r="A4257" t="s">
        <v>1182</v>
      </c>
      <c r="B4257">
        <v>200</v>
      </c>
    </row>
    <row r="4258" spans="1:2">
      <c r="A4258" t="s">
        <v>2032</v>
      </c>
      <c r="B4258">
        <v>240</v>
      </c>
    </row>
    <row r="4259" spans="1:2">
      <c r="A4259" t="s">
        <v>2030</v>
      </c>
      <c r="B4259">
        <v>200</v>
      </c>
    </row>
    <row r="4260" spans="1:2">
      <c r="A4260" t="s">
        <v>586</v>
      </c>
      <c r="B4260">
        <v>640</v>
      </c>
    </row>
    <row r="4261" spans="1:2">
      <c r="A4261" t="s">
        <v>770</v>
      </c>
      <c r="B4261">
        <v>1580</v>
      </c>
    </row>
    <row r="4262" spans="1:2">
      <c r="A4262" t="s">
        <v>770</v>
      </c>
      <c r="B4262">
        <v>0.71171171171171166</v>
      </c>
    </row>
    <row r="4264" spans="1:2">
      <c r="A4264" t="s">
        <v>1943</v>
      </c>
      <c r="B4264">
        <v>210</v>
      </c>
    </row>
    <row r="4266" spans="1:2" s="344" customFormat="1">
      <c r="A4266" s="345" t="s">
        <v>1736</v>
      </c>
    </row>
    <row r="4268" spans="1:2">
      <c r="A4268" t="s">
        <v>753</v>
      </c>
      <c r="B4268" s="346">
        <v>200</v>
      </c>
    </row>
    <row r="4270" spans="1:2">
      <c r="A4270" t="s">
        <v>581</v>
      </c>
    </row>
    <row r="4271" spans="1:2">
      <c r="A4271" t="s">
        <v>214</v>
      </c>
      <c r="B4271">
        <v>200</v>
      </c>
    </row>
    <row r="4272" spans="1:2">
      <c r="A4272" t="s">
        <v>215</v>
      </c>
      <c r="B4272">
        <v>240</v>
      </c>
    </row>
    <row r="4273" spans="1:2">
      <c r="A4273" t="s">
        <v>2009</v>
      </c>
      <c r="B4273">
        <v>240</v>
      </c>
    </row>
    <row r="4274" spans="1:2">
      <c r="A4274" t="s">
        <v>586</v>
      </c>
      <c r="B4274">
        <v>680</v>
      </c>
    </row>
    <row r="4276" spans="1:2">
      <c r="A4276" t="s">
        <v>268</v>
      </c>
    </row>
    <row r="4277" spans="1:2">
      <c r="A4277" t="s">
        <v>699</v>
      </c>
      <c r="B4277">
        <v>0</v>
      </c>
    </row>
    <row r="4278" spans="1:2">
      <c r="A4278" t="s">
        <v>588</v>
      </c>
      <c r="B4278">
        <v>0</v>
      </c>
    </row>
    <row r="4281" spans="1:2">
      <c r="A4281" t="s">
        <v>769</v>
      </c>
    </row>
    <row r="4283" spans="1:2">
      <c r="A4283" t="s">
        <v>1180</v>
      </c>
    </row>
    <row r="4284" spans="1:2">
      <c r="A4284" t="s">
        <v>1178</v>
      </c>
      <c r="B4284">
        <v>255</v>
      </c>
    </row>
    <row r="4285" spans="1:2">
      <c r="A4285" t="s">
        <v>1179</v>
      </c>
      <c r="B4285">
        <v>255</v>
      </c>
    </row>
    <row r="4286" spans="1:2">
      <c r="A4286" t="s">
        <v>2030</v>
      </c>
      <c r="B4286">
        <v>255</v>
      </c>
    </row>
    <row r="4287" spans="1:2">
      <c r="A4287" t="s">
        <v>586</v>
      </c>
      <c r="B4287">
        <v>765</v>
      </c>
    </row>
    <row r="4288" spans="1:2">
      <c r="A4288" t="s">
        <v>770</v>
      </c>
      <c r="B4288">
        <v>-765</v>
      </c>
    </row>
    <row r="4289" spans="1:2">
      <c r="A4289" t="s">
        <v>770</v>
      </c>
      <c r="B4289">
        <v>0</v>
      </c>
    </row>
    <row r="4291" spans="1:2">
      <c r="A4291" t="s">
        <v>1181</v>
      </c>
    </row>
    <row r="4292" spans="1:2">
      <c r="A4292" t="s">
        <v>1182</v>
      </c>
      <c r="B4292">
        <v>200</v>
      </c>
    </row>
    <row r="4293" spans="1:2">
      <c r="A4293" t="s">
        <v>1179</v>
      </c>
      <c r="B4293">
        <v>270</v>
      </c>
    </row>
    <row r="4294" spans="1:2">
      <c r="A4294" t="s">
        <v>2030</v>
      </c>
      <c r="B4294">
        <v>270</v>
      </c>
    </row>
    <row r="4295" spans="1:2">
      <c r="A4295" t="s">
        <v>586</v>
      </c>
      <c r="B4295">
        <v>740</v>
      </c>
    </row>
    <row r="4296" spans="1:2">
      <c r="A4296" t="s">
        <v>770</v>
      </c>
      <c r="B4296">
        <v>-740</v>
      </c>
    </row>
    <row r="4297" spans="1:2">
      <c r="A4297" t="s">
        <v>770</v>
      </c>
      <c r="B4297">
        <v>0</v>
      </c>
    </row>
    <row r="4299" spans="1:2">
      <c r="A4299" t="s">
        <v>2031</v>
      </c>
    </row>
    <row r="4300" spans="1:2">
      <c r="A4300" t="s">
        <v>1182</v>
      </c>
      <c r="B4300">
        <v>200</v>
      </c>
    </row>
    <row r="4301" spans="1:2">
      <c r="A4301" t="s">
        <v>2032</v>
      </c>
      <c r="B4301">
        <v>240</v>
      </c>
    </row>
    <row r="4302" spans="1:2">
      <c r="A4302" t="s">
        <v>2030</v>
      </c>
      <c r="B4302">
        <v>270</v>
      </c>
    </row>
    <row r="4303" spans="1:2">
      <c r="A4303" t="s">
        <v>586</v>
      </c>
      <c r="B4303">
        <v>710</v>
      </c>
    </row>
    <row r="4304" spans="1:2">
      <c r="A4304" t="s">
        <v>770</v>
      </c>
      <c r="B4304">
        <v>-710</v>
      </c>
    </row>
    <row r="4305" spans="1:2">
      <c r="A4305" t="s">
        <v>770</v>
      </c>
      <c r="B4305">
        <v>0</v>
      </c>
    </row>
    <row r="4307" spans="1:2">
      <c r="A4307" t="s">
        <v>1943</v>
      </c>
      <c r="B4307">
        <v>283.5</v>
      </c>
    </row>
    <row r="4309" spans="1:2" s="344" customFormat="1">
      <c r="A4309" s="345" t="s">
        <v>1737</v>
      </c>
    </row>
    <row r="4311" spans="1:2">
      <c r="A4311" t="s">
        <v>753</v>
      </c>
      <c r="B4311" s="346">
        <v>270</v>
      </c>
    </row>
    <row r="4313" spans="1:2">
      <c r="A4313" t="s">
        <v>581</v>
      </c>
    </row>
    <row r="4314" spans="1:2">
      <c r="A4314" t="s">
        <v>214</v>
      </c>
      <c r="B4314">
        <v>270</v>
      </c>
    </row>
    <row r="4315" spans="1:2">
      <c r="A4315" t="s">
        <v>215</v>
      </c>
      <c r="B4315">
        <v>325</v>
      </c>
    </row>
    <row r="4316" spans="1:2">
      <c r="A4316" t="s">
        <v>2009</v>
      </c>
      <c r="B4316">
        <v>325</v>
      </c>
    </row>
    <row r="4317" spans="1:2">
      <c r="A4317" t="s">
        <v>586</v>
      </c>
      <c r="B4317">
        <v>920</v>
      </c>
    </row>
    <row r="4319" spans="1:2">
      <c r="A4319" t="s">
        <v>268</v>
      </c>
    </row>
    <row r="4320" spans="1:2">
      <c r="A4320" t="s">
        <v>699</v>
      </c>
      <c r="B4320">
        <v>0</v>
      </c>
    </row>
    <row r="4321" spans="1:2">
      <c r="A4321" t="s">
        <v>588</v>
      </c>
      <c r="B4321">
        <v>0</v>
      </c>
    </row>
    <row r="4324" spans="1:2">
      <c r="A4324" t="s">
        <v>769</v>
      </c>
    </row>
    <row r="4326" spans="1:2">
      <c r="A4326" t="s">
        <v>1180</v>
      </c>
    </row>
    <row r="4327" spans="1:2">
      <c r="A4327" t="s">
        <v>1178</v>
      </c>
      <c r="B4327">
        <v>255</v>
      </c>
    </row>
    <row r="4328" spans="1:2">
      <c r="A4328" t="s">
        <v>1179</v>
      </c>
      <c r="B4328">
        <v>255</v>
      </c>
    </row>
    <row r="4329" spans="1:2">
      <c r="A4329" t="s">
        <v>2030</v>
      </c>
      <c r="B4329">
        <v>255</v>
      </c>
    </row>
    <row r="4330" spans="1:2">
      <c r="A4330" t="s">
        <v>586</v>
      </c>
      <c r="B4330">
        <v>765</v>
      </c>
    </row>
    <row r="4331" spans="1:2">
      <c r="A4331" t="s">
        <v>770</v>
      </c>
      <c r="B4331">
        <v>-765</v>
      </c>
    </row>
    <row r="4332" spans="1:2">
      <c r="A4332" t="s">
        <v>770</v>
      </c>
      <c r="B4332">
        <v>0</v>
      </c>
    </row>
    <row r="4334" spans="1:2">
      <c r="A4334" t="s">
        <v>1181</v>
      </c>
    </row>
    <row r="4335" spans="1:2">
      <c r="A4335" t="s">
        <v>1182</v>
      </c>
      <c r="B4335">
        <v>270</v>
      </c>
    </row>
    <row r="4336" spans="1:2">
      <c r="A4336" t="s">
        <v>1179</v>
      </c>
      <c r="B4336">
        <v>270</v>
      </c>
    </row>
    <row r="4337" spans="1:2">
      <c r="A4337" t="s">
        <v>2030</v>
      </c>
      <c r="B4337">
        <v>270</v>
      </c>
    </row>
    <row r="4338" spans="1:2">
      <c r="A4338" t="s">
        <v>586</v>
      </c>
      <c r="B4338">
        <v>810</v>
      </c>
    </row>
    <row r="4339" spans="1:2">
      <c r="A4339" t="s">
        <v>770</v>
      </c>
      <c r="B4339">
        <v>-810</v>
      </c>
    </row>
    <row r="4340" spans="1:2">
      <c r="A4340" t="s">
        <v>770</v>
      </c>
      <c r="B4340">
        <v>0</v>
      </c>
    </row>
    <row r="4342" spans="1:2">
      <c r="A4342" t="s">
        <v>2031</v>
      </c>
    </row>
    <row r="4343" spans="1:2">
      <c r="A4343" t="s">
        <v>1182</v>
      </c>
      <c r="B4343">
        <v>270</v>
      </c>
    </row>
    <row r="4344" spans="1:2">
      <c r="A4344" t="s">
        <v>2032</v>
      </c>
      <c r="B4344">
        <v>325</v>
      </c>
    </row>
    <row r="4345" spans="1:2">
      <c r="A4345" t="s">
        <v>2030</v>
      </c>
      <c r="B4345">
        <v>270</v>
      </c>
    </row>
    <row r="4346" spans="1:2">
      <c r="A4346" t="s">
        <v>586</v>
      </c>
      <c r="B4346">
        <v>865</v>
      </c>
    </row>
    <row r="4347" spans="1:2">
      <c r="A4347" t="s">
        <v>770</v>
      </c>
      <c r="B4347">
        <v>-865</v>
      </c>
    </row>
    <row r="4348" spans="1:2">
      <c r="A4348" t="s">
        <v>770</v>
      </c>
      <c r="B4348">
        <v>0</v>
      </c>
    </row>
    <row r="4350" spans="1:2">
      <c r="A4350" t="s">
        <v>1943</v>
      </c>
      <c r="B4350">
        <v>283.5</v>
      </c>
    </row>
    <row r="4352" spans="1:2" s="344" customFormat="1">
      <c r="A4352" s="345" t="s">
        <v>1892</v>
      </c>
    </row>
    <row r="4354" spans="1:2">
      <c r="A4354" t="s">
        <v>753</v>
      </c>
      <c r="B4354" s="346">
        <v>1300</v>
      </c>
    </row>
    <row r="4356" spans="1:2">
      <c r="A4356" t="s">
        <v>581</v>
      </c>
    </row>
    <row r="4357" spans="1:2">
      <c r="A4357" t="s">
        <v>214</v>
      </c>
      <c r="B4357">
        <v>1300</v>
      </c>
    </row>
    <row r="4358" spans="1:2">
      <c r="A4358" t="s">
        <v>215</v>
      </c>
      <c r="B4358">
        <v>1560</v>
      </c>
    </row>
    <row r="4359" spans="1:2">
      <c r="A4359" t="s">
        <v>2009</v>
      </c>
      <c r="B4359">
        <v>1560</v>
      </c>
    </row>
    <row r="4360" spans="1:2">
      <c r="A4360" t="s">
        <v>586</v>
      </c>
      <c r="B4360">
        <v>4420</v>
      </c>
    </row>
    <row r="4362" spans="1:2">
      <c r="A4362" t="s">
        <v>268</v>
      </c>
    </row>
    <row r="4363" spans="1:2">
      <c r="A4363" t="s">
        <v>699</v>
      </c>
      <c r="B4363">
        <v>3290</v>
      </c>
    </row>
    <row r="4364" spans="1:2">
      <c r="A4364" t="s">
        <v>588</v>
      </c>
      <c r="B4364">
        <v>9870</v>
      </c>
    </row>
    <row r="4367" spans="1:2">
      <c r="A4367" t="s">
        <v>769</v>
      </c>
    </row>
    <row r="4369" spans="1:2">
      <c r="A4369" t="s">
        <v>1180</v>
      </c>
    </row>
    <row r="4370" spans="1:2">
      <c r="A4370" t="s">
        <v>1178</v>
      </c>
      <c r="B4370">
        <v>1210</v>
      </c>
    </row>
    <row r="4371" spans="1:2">
      <c r="A4371" t="s">
        <v>1179</v>
      </c>
      <c r="B4371">
        <v>1210</v>
      </c>
    </row>
    <row r="4372" spans="1:2">
      <c r="A4372" t="s">
        <v>2030</v>
      </c>
      <c r="B4372">
        <v>1210</v>
      </c>
    </row>
    <row r="4373" spans="1:2">
      <c r="A4373" t="s">
        <v>586</v>
      </c>
      <c r="B4373">
        <v>3630</v>
      </c>
    </row>
    <row r="4374" spans="1:2">
      <c r="A4374" t="s">
        <v>770</v>
      </c>
      <c r="B4374">
        <v>6240</v>
      </c>
    </row>
    <row r="4375" spans="1:2">
      <c r="A4375" t="s">
        <v>770</v>
      </c>
      <c r="B4375">
        <v>0.63221884498480241</v>
      </c>
    </row>
    <row r="4377" spans="1:2">
      <c r="A4377" t="s">
        <v>1181</v>
      </c>
    </row>
    <row r="4378" spans="1:2">
      <c r="A4378" t="s">
        <v>1182</v>
      </c>
      <c r="B4378">
        <v>1300</v>
      </c>
    </row>
    <row r="4379" spans="1:2">
      <c r="A4379" t="s">
        <v>1179</v>
      </c>
      <c r="B4379">
        <v>1270</v>
      </c>
    </row>
    <row r="4380" spans="1:2">
      <c r="A4380" t="s">
        <v>2030</v>
      </c>
      <c r="B4380">
        <v>1270</v>
      </c>
    </row>
    <row r="4381" spans="1:2">
      <c r="A4381" t="s">
        <v>586</v>
      </c>
      <c r="B4381">
        <v>3840</v>
      </c>
    </row>
    <row r="4382" spans="1:2">
      <c r="A4382" t="s">
        <v>770</v>
      </c>
      <c r="B4382">
        <v>6030</v>
      </c>
    </row>
    <row r="4383" spans="1:2">
      <c r="A4383" t="s">
        <v>770</v>
      </c>
      <c r="B4383">
        <v>0.61094224924012153</v>
      </c>
    </row>
    <row r="4385" spans="1:2">
      <c r="A4385" t="s">
        <v>2031</v>
      </c>
    </row>
    <row r="4386" spans="1:2">
      <c r="A4386" t="s">
        <v>1182</v>
      </c>
      <c r="B4386">
        <v>1300</v>
      </c>
    </row>
    <row r="4387" spans="1:2">
      <c r="A4387" t="s">
        <v>2032</v>
      </c>
      <c r="B4387">
        <v>1560</v>
      </c>
    </row>
    <row r="4388" spans="1:2">
      <c r="A4388" t="s">
        <v>2030</v>
      </c>
      <c r="B4388">
        <v>1270</v>
      </c>
    </row>
    <row r="4389" spans="1:2">
      <c r="A4389" t="s">
        <v>586</v>
      </c>
      <c r="B4389">
        <v>4130</v>
      </c>
    </row>
    <row r="4390" spans="1:2">
      <c r="A4390" t="s">
        <v>770</v>
      </c>
      <c r="B4390">
        <v>5740</v>
      </c>
    </row>
    <row r="4391" spans="1:2">
      <c r="A4391" t="s">
        <v>770</v>
      </c>
      <c r="B4391">
        <v>0.58156028368794321</v>
      </c>
    </row>
    <row r="4393" spans="1:2">
      <c r="A4393" t="s">
        <v>1943</v>
      </c>
      <c r="B4393">
        <v>1333.5</v>
      </c>
    </row>
    <row r="4395" spans="1:2" s="344" customFormat="1">
      <c r="A4395" s="345" t="s">
        <v>742</v>
      </c>
    </row>
    <row r="4397" spans="1:2">
      <c r="A4397" t="s">
        <v>753</v>
      </c>
      <c r="B4397" s="346">
        <v>705</v>
      </c>
    </row>
    <row r="4399" spans="1:2">
      <c r="A4399" t="s">
        <v>581</v>
      </c>
    </row>
    <row r="4400" spans="1:2">
      <c r="A4400" t="s">
        <v>214</v>
      </c>
      <c r="B4400">
        <v>705</v>
      </c>
    </row>
    <row r="4401" spans="1:2">
      <c r="A4401" t="s">
        <v>215</v>
      </c>
      <c r="B4401">
        <v>845</v>
      </c>
    </row>
    <row r="4402" spans="1:2">
      <c r="A4402" t="s">
        <v>2009</v>
      </c>
      <c r="B4402">
        <v>845</v>
      </c>
    </row>
    <row r="4403" spans="1:2">
      <c r="A4403" t="s">
        <v>586</v>
      </c>
      <c r="B4403">
        <v>2395</v>
      </c>
    </row>
    <row r="4405" spans="1:2">
      <c r="A4405" t="s">
        <v>268</v>
      </c>
    </row>
    <row r="4406" spans="1:2">
      <c r="A4406" t="s">
        <v>699</v>
      </c>
      <c r="B4406">
        <v>2820</v>
      </c>
    </row>
    <row r="4407" spans="1:2">
      <c r="A4407" t="s">
        <v>588</v>
      </c>
      <c r="B4407">
        <v>8460</v>
      </c>
    </row>
    <row r="4410" spans="1:2">
      <c r="A4410" t="s">
        <v>769</v>
      </c>
    </row>
    <row r="4412" spans="1:2">
      <c r="A4412" t="s">
        <v>1180</v>
      </c>
    </row>
    <row r="4413" spans="1:2">
      <c r="A4413" t="s">
        <v>1178</v>
      </c>
      <c r="B4413">
        <v>925</v>
      </c>
    </row>
    <row r="4414" spans="1:2">
      <c r="A4414" t="s">
        <v>1179</v>
      </c>
      <c r="B4414">
        <v>925</v>
      </c>
    </row>
    <row r="4415" spans="1:2">
      <c r="A4415" t="s">
        <v>2030</v>
      </c>
      <c r="B4415">
        <v>925</v>
      </c>
    </row>
    <row r="4416" spans="1:2">
      <c r="A4416" t="s">
        <v>586</v>
      </c>
      <c r="B4416">
        <v>2775</v>
      </c>
    </row>
    <row r="4417" spans="1:2">
      <c r="A4417" t="s">
        <v>770</v>
      </c>
      <c r="B4417">
        <v>5685</v>
      </c>
    </row>
    <row r="4418" spans="1:2">
      <c r="A4418" t="s">
        <v>770</v>
      </c>
      <c r="B4418">
        <v>0.67198581560283688</v>
      </c>
    </row>
    <row r="4420" spans="1:2">
      <c r="A4420" t="s">
        <v>1181</v>
      </c>
    </row>
    <row r="4421" spans="1:2">
      <c r="A4421" t="s">
        <v>1182</v>
      </c>
      <c r="B4421">
        <v>705</v>
      </c>
    </row>
    <row r="4422" spans="1:2">
      <c r="A4422" t="s">
        <v>1179</v>
      </c>
      <c r="B4422">
        <v>970</v>
      </c>
    </row>
    <row r="4423" spans="1:2">
      <c r="A4423" t="s">
        <v>2030</v>
      </c>
      <c r="B4423">
        <v>970</v>
      </c>
    </row>
    <row r="4424" spans="1:2">
      <c r="A4424" t="s">
        <v>586</v>
      </c>
      <c r="B4424">
        <v>2645</v>
      </c>
    </row>
    <row r="4425" spans="1:2">
      <c r="A4425" t="s">
        <v>770</v>
      </c>
      <c r="B4425">
        <v>5815</v>
      </c>
    </row>
    <row r="4426" spans="1:2">
      <c r="A4426" t="s">
        <v>770</v>
      </c>
      <c r="B4426">
        <v>0.68735224586288413</v>
      </c>
    </row>
    <row r="4428" spans="1:2">
      <c r="A4428" t="s">
        <v>2031</v>
      </c>
    </row>
    <row r="4429" spans="1:2">
      <c r="A4429" t="s">
        <v>1182</v>
      </c>
      <c r="B4429">
        <v>705</v>
      </c>
    </row>
    <row r="4430" spans="1:2">
      <c r="A4430" t="s">
        <v>2032</v>
      </c>
      <c r="B4430">
        <v>845</v>
      </c>
    </row>
    <row r="4431" spans="1:2">
      <c r="A4431" t="s">
        <v>2030</v>
      </c>
      <c r="B4431">
        <v>970</v>
      </c>
    </row>
    <row r="4432" spans="1:2">
      <c r="A4432" t="s">
        <v>586</v>
      </c>
      <c r="B4432">
        <v>2520</v>
      </c>
    </row>
    <row r="4433" spans="1:2">
      <c r="A4433" t="s">
        <v>770</v>
      </c>
      <c r="B4433">
        <v>5940</v>
      </c>
    </row>
    <row r="4434" spans="1:2">
      <c r="A4434" t="s">
        <v>770</v>
      </c>
      <c r="B4434">
        <v>0.7021276595744681</v>
      </c>
    </row>
    <row r="4436" spans="1:2">
      <c r="A4436" t="s">
        <v>1943</v>
      </c>
      <c r="B4436">
        <v>1018.5</v>
      </c>
    </row>
    <row r="4438" spans="1:2" s="344" customFormat="1">
      <c r="A4438" s="345" t="s">
        <v>743</v>
      </c>
    </row>
    <row r="4440" spans="1:2">
      <c r="A4440" t="s">
        <v>753</v>
      </c>
      <c r="B4440" s="346">
        <v>705</v>
      </c>
    </row>
    <row r="4442" spans="1:2">
      <c r="A4442" t="s">
        <v>581</v>
      </c>
    </row>
    <row r="4443" spans="1:2">
      <c r="A4443" t="s">
        <v>214</v>
      </c>
      <c r="B4443">
        <v>705</v>
      </c>
    </row>
    <row r="4444" spans="1:2">
      <c r="A4444" t="s">
        <v>215</v>
      </c>
      <c r="B4444">
        <v>845</v>
      </c>
    </row>
    <row r="4445" spans="1:2">
      <c r="A4445" t="s">
        <v>2009</v>
      </c>
      <c r="B4445">
        <v>845</v>
      </c>
    </row>
    <row r="4446" spans="1:2">
      <c r="A4446" t="s">
        <v>586</v>
      </c>
      <c r="B4446">
        <v>2395</v>
      </c>
    </row>
    <row r="4448" spans="1:2">
      <c r="A4448" t="s">
        <v>268</v>
      </c>
    </row>
    <row r="4449" spans="1:2">
      <c r="A4449" t="s">
        <v>699</v>
      </c>
      <c r="B4449">
        <v>2540</v>
      </c>
    </row>
    <row r="4450" spans="1:2">
      <c r="A4450" t="s">
        <v>588</v>
      </c>
      <c r="B4450">
        <v>7620</v>
      </c>
    </row>
    <row r="4453" spans="1:2">
      <c r="A4453" t="s">
        <v>769</v>
      </c>
    </row>
    <row r="4455" spans="1:2">
      <c r="A4455" t="s">
        <v>1180</v>
      </c>
    </row>
    <row r="4456" spans="1:2">
      <c r="A4456" t="s">
        <v>1178</v>
      </c>
      <c r="B4456">
        <v>670</v>
      </c>
    </row>
    <row r="4457" spans="1:2">
      <c r="A4457" t="s">
        <v>1179</v>
      </c>
      <c r="B4457">
        <v>670</v>
      </c>
    </row>
    <row r="4458" spans="1:2">
      <c r="A4458" t="s">
        <v>2030</v>
      </c>
      <c r="B4458">
        <v>670</v>
      </c>
    </row>
    <row r="4459" spans="1:2">
      <c r="A4459" t="s">
        <v>586</v>
      </c>
      <c r="B4459">
        <v>2010</v>
      </c>
    </row>
    <row r="4460" spans="1:2">
      <c r="A4460" t="s">
        <v>770</v>
      </c>
      <c r="B4460">
        <v>5610</v>
      </c>
    </row>
    <row r="4461" spans="1:2">
      <c r="A4461" t="s">
        <v>770</v>
      </c>
      <c r="B4461">
        <v>0.73622047244094491</v>
      </c>
    </row>
    <row r="4463" spans="1:2">
      <c r="A4463" t="s">
        <v>1181</v>
      </c>
    </row>
    <row r="4464" spans="1:2">
      <c r="A4464" t="s">
        <v>1182</v>
      </c>
      <c r="B4464">
        <v>705</v>
      </c>
    </row>
    <row r="4465" spans="1:2">
      <c r="A4465" t="s">
        <v>1179</v>
      </c>
      <c r="B4465">
        <v>705</v>
      </c>
    </row>
    <row r="4466" spans="1:2">
      <c r="A4466" t="s">
        <v>2030</v>
      </c>
      <c r="B4466">
        <v>705</v>
      </c>
    </row>
    <row r="4467" spans="1:2">
      <c r="A4467" t="s">
        <v>586</v>
      </c>
      <c r="B4467">
        <v>2115</v>
      </c>
    </row>
    <row r="4468" spans="1:2">
      <c r="A4468" t="s">
        <v>770</v>
      </c>
      <c r="B4468">
        <v>5505</v>
      </c>
    </row>
    <row r="4469" spans="1:2">
      <c r="A4469" t="s">
        <v>770</v>
      </c>
      <c r="B4469">
        <v>0.72244094488188981</v>
      </c>
    </row>
    <row r="4471" spans="1:2">
      <c r="A4471" t="s">
        <v>2031</v>
      </c>
    </row>
    <row r="4472" spans="1:2">
      <c r="A4472" t="s">
        <v>1182</v>
      </c>
      <c r="B4472">
        <v>705</v>
      </c>
    </row>
    <row r="4473" spans="1:2">
      <c r="A4473" t="s">
        <v>2032</v>
      </c>
      <c r="B4473">
        <v>845</v>
      </c>
    </row>
    <row r="4474" spans="1:2">
      <c r="A4474" t="s">
        <v>2030</v>
      </c>
      <c r="B4474">
        <v>705</v>
      </c>
    </row>
    <row r="4475" spans="1:2">
      <c r="A4475" t="s">
        <v>586</v>
      </c>
      <c r="B4475">
        <v>2255</v>
      </c>
    </row>
    <row r="4476" spans="1:2">
      <c r="A4476" t="s">
        <v>770</v>
      </c>
      <c r="B4476">
        <v>5365</v>
      </c>
    </row>
    <row r="4477" spans="1:2">
      <c r="A4477" t="s">
        <v>770</v>
      </c>
      <c r="B4477">
        <v>0.70406824146981628</v>
      </c>
    </row>
    <row r="4479" spans="1:2">
      <c r="A4479" t="s">
        <v>1943</v>
      </c>
      <c r="B4479">
        <v>740.25</v>
      </c>
    </row>
    <row r="4481" spans="1:2" s="344" customFormat="1">
      <c r="A4481" s="345" t="s">
        <v>744</v>
      </c>
    </row>
    <row r="4483" spans="1:2">
      <c r="A4483" t="s">
        <v>753</v>
      </c>
      <c r="B4483" s="346">
        <v>970</v>
      </c>
    </row>
    <row r="4485" spans="1:2">
      <c r="A4485" t="s">
        <v>581</v>
      </c>
    </row>
    <row r="4486" spans="1:2">
      <c r="A4486" t="s">
        <v>214</v>
      </c>
      <c r="B4486">
        <v>970</v>
      </c>
    </row>
    <row r="4487" spans="1:2">
      <c r="A4487" t="s">
        <v>215</v>
      </c>
      <c r="B4487">
        <v>1165</v>
      </c>
    </row>
    <row r="4488" spans="1:2">
      <c r="A4488" t="s">
        <v>2009</v>
      </c>
      <c r="B4488">
        <v>1165</v>
      </c>
    </row>
    <row r="4489" spans="1:2">
      <c r="A4489" t="s">
        <v>586</v>
      </c>
      <c r="B4489">
        <v>3300</v>
      </c>
    </row>
    <row r="4491" spans="1:2">
      <c r="A4491" t="s">
        <v>268</v>
      </c>
    </row>
    <row r="4492" spans="1:2">
      <c r="A4492" t="s">
        <v>699</v>
      </c>
      <c r="B4492">
        <v>2820</v>
      </c>
    </row>
    <row r="4493" spans="1:2">
      <c r="A4493" t="s">
        <v>588</v>
      </c>
      <c r="B4493">
        <v>8460</v>
      </c>
    </row>
    <row r="4496" spans="1:2">
      <c r="A4496" t="s">
        <v>769</v>
      </c>
    </row>
    <row r="4498" spans="1:2">
      <c r="A4498" t="s">
        <v>1180</v>
      </c>
    </row>
    <row r="4499" spans="1:2">
      <c r="A4499" t="s">
        <v>1178</v>
      </c>
      <c r="B4499">
        <v>925</v>
      </c>
    </row>
    <row r="4500" spans="1:2">
      <c r="A4500" t="s">
        <v>1179</v>
      </c>
      <c r="B4500">
        <v>925</v>
      </c>
    </row>
    <row r="4501" spans="1:2">
      <c r="A4501" t="s">
        <v>2030</v>
      </c>
      <c r="B4501">
        <v>925</v>
      </c>
    </row>
    <row r="4502" spans="1:2">
      <c r="A4502" t="s">
        <v>586</v>
      </c>
      <c r="B4502">
        <v>2775</v>
      </c>
    </row>
    <row r="4503" spans="1:2">
      <c r="A4503" t="s">
        <v>770</v>
      </c>
      <c r="B4503">
        <v>5685</v>
      </c>
    </row>
    <row r="4504" spans="1:2">
      <c r="A4504" t="s">
        <v>770</v>
      </c>
      <c r="B4504">
        <v>0.67198581560283688</v>
      </c>
    </row>
    <row r="4506" spans="1:2">
      <c r="A4506" t="s">
        <v>1181</v>
      </c>
    </row>
    <row r="4507" spans="1:2">
      <c r="A4507" t="s">
        <v>1182</v>
      </c>
      <c r="B4507">
        <v>970</v>
      </c>
    </row>
    <row r="4508" spans="1:2">
      <c r="A4508" t="s">
        <v>1179</v>
      </c>
      <c r="B4508">
        <v>970</v>
      </c>
    </row>
    <row r="4509" spans="1:2">
      <c r="A4509" t="s">
        <v>2030</v>
      </c>
      <c r="B4509">
        <v>970</v>
      </c>
    </row>
    <row r="4510" spans="1:2">
      <c r="A4510" t="s">
        <v>586</v>
      </c>
      <c r="B4510">
        <v>2910</v>
      </c>
    </row>
    <row r="4511" spans="1:2">
      <c r="A4511" t="s">
        <v>770</v>
      </c>
      <c r="B4511">
        <v>5550</v>
      </c>
    </row>
    <row r="4512" spans="1:2">
      <c r="A4512" t="s">
        <v>770</v>
      </c>
      <c r="B4512">
        <v>0.65602836879432624</v>
      </c>
    </row>
    <row r="4514" spans="1:2">
      <c r="A4514" t="s">
        <v>2031</v>
      </c>
    </row>
    <row r="4515" spans="1:2">
      <c r="A4515" t="s">
        <v>1182</v>
      </c>
      <c r="B4515">
        <v>970</v>
      </c>
    </row>
    <row r="4516" spans="1:2">
      <c r="A4516" t="s">
        <v>2032</v>
      </c>
      <c r="B4516">
        <v>1165</v>
      </c>
    </row>
    <row r="4517" spans="1:2">
      <c r="A4517" t="s">
        <v>2030</v>
      </c>
      <c r="B4517">
        <v>970</v>
      </c>
    </row>
    <row r="4518" spans="1:2">
      <c r="A4518" t="s">
        <v>586</v>
      </c>
      <c r="B4518">
        <v>3105</v>
      </c>
    </row>
    <row r="4519" spans="1:2">
      <c r="A4519" t="s">
        <v>770</v>
      </c>
      <c r="B4519">
        <v>5355</v>
      </c>
    </row>
    <row r="4520" spans="1:2">
      <c r="A4520" t="s">
        <v>770</v>
      </c>
      <c r="B4520">
        <v>0.63297872340425532</v>
      </c>
    </row>
    <row r="4522" spans="1:2">
      <c r="A4522" t="s">
        <v>1943</v>
      </c>
      <c r="B4522">
        <v>1018.5</v>
      </c>
    </row>
    <row r="4524" spans="1:2" s="344" customFormat="1">
      <c r="A4524" s="345" t="s">
        <v>745</v>
      </c>
    </row>
    <row r="4526" spans="1:2">
      <c r="A4526" t="s">
        <v>753</v>
      </c>
      <c r="B4526" s="346">
        <v>970</v>
      </c>
    </row>
    <row r="4528" spans="1:2">
      <c r="A4528" t="s">
        <v>581</v>
      </c>
    </row>
    <row r="4529" spans="1:2">
      <c r="A4529" t="s">
        <v>214</v>
      </c>
      <c r="B4529">
        <v>970</v>
      </c>
    </row>
    <row r="4530" spans="1:2">
      <c r="A4530" t="s">
        <v>215</v>
      </c>
      <c r="B4530">
        <v>1165</v>
      </c>
    </row>
    <row r="4531" spans="1:2">
      <c r="A4531" t="s">
        <v>2009</v>
      </c>
      <c r="B4531">
        <v>1165</v>
      </c>
    </row>
    <row r="4532" spans="1:2">
      <c r="A4532" t="s">
        <v>586</v>
      </c>
      <c r="B4532">
        <v>3300</v>
      </c>
    </row>
    <row r="4534" spans="1:2">
      <c r="A4534" t="s">
        <v>268</v>
      </c>
    </row>
    <row r="4535" spans="1:2">
      <c r="A4535" t="s">
        <v>699</v>
      </c>
      <c r="B4535">
        <v>2540</v>
      </c>
    </row>
    <row r="4536" spans="1:2">
      <c r="A4536" t="s">
        <v>588</v>
      </c>
      <c r="B4536">
        <v>7620</v>
      </c>
    </row>
    <row r="4539" spans="1:2">
      <c r="A4539" t="s">
        <v>769</v>
      </c>
    </row>
    <row r="4541" spans="1:2">
      <c r="A4541" t="s">
        <v>1180</v>
      </c>
    </row>
    <row r="4542" spans="1:2">
      <c r="A4542" t="s">
        <v>1178</v>
      </c>
      <c r="B4542">
        <v>670</v>
      </c>
    </row>
    <row r="4543" spans="1:2">
      <c r="A4543" t="s">
        <v>1179</v>
      </c>
      <c r="B4543">
        <v>670</v>
      </c>
    </row>
    <row r="4544" spans="1:2">
      <c r="A4544" t="s">
        <v>2030</v>
      </c>
      <c r="B4544">
        <v>670</v>
      </c>
    </row>
    <row r="4545" spans="1:2">
      <c r="A4545" t="s">
        <v>586</v>
      </c>
      <c r="B4545">
        <v>2010</v>
      </c>
    </row>
    <row r="4546" spans="1:2">
      <c r="A4546" t="s">
        <v>770</v>
      </c>
      <c r="B4546">
        <v>5610</v>
      </c>
    </row>
    <row r="4547" spans="1:2">
      <c r="A4547" t="s">
        <v>770</v>
      </c>
      <c r="B4547">
        <v>0.73622047244094491</v>
      </c>
    </row>
    <row r="4549" spans="1:2">
      <c r="A4549" t="s">
        <v>1181</v>
      </c>
    </row>
    <row r="4550" spans="1:2">
      <c r="A4550" t="s">
        <v>1182</v>
      </c>
      <c r="B4550">
        <v>970</v>
      </c>
    </row>
    <row r="4551" spans="1:2">
      <c r="A4551" t="s">
        <v>1179</v>
      </c>
      <c r="B4551">
        <v>705</v>
      </c>
    </row>
    <row r="4552" spans="1:2">
      <c r="A4552" t="s">
        <v>2030</v>
      </c>
      <c r="B4552">
        <v>705</v>
      </c>
    </row>
    <row r="4553" spans="1:2">
      <c r="A4553" t="s">
        <v>586</v>
      </c>
      <c r="B4553">
        <v>2380</v>
      </c>
    </row>
    <row r="4554" spans="1:2">
      <c r="A4554" t="s">
        <v>770</v>
      </c>
      <c r="B4554">
        <v>5240</v>
      </c>
    </row>
    <row r="4555" spans="1:2">
      <c r="A4555" t="s">
        <v>770</v>
      </c>
      <c r="B4555">
        <v>0.68766404199475062</v>
      </c>
    </row>
    <row r="4557" spans="1:2">
      <c r="A4557" t="s">
        <v>2031</v>
      </c>
    </row>
    <row r="4558" spans="1:2">
      <c r="A4558" t="s">
        <v>1182</v>
      </c>
      <c r="B4558">
        <v>970</v>
      </c>
    </row>
    <row r="4559" spans="1:2">
      <c r="A4559" t="s">
        <v>2032</v>
      </c>
      <c r="B4559">
        <v>1165</v>
      </c>
    </row>
    <row r="4560" spans="1:2">
      <c r="A4560" t="s">
        <v>2030</v>
      </c>
      <c r="B4560">
        <v>705</v>
      </c>
    </row>
    <row r="4561" spans="1:2">
      <c r="A4561" t="s">
        <v>586</v>
      </c>
      <c r="B4561">
        <v>2840</v>
      </c>
    </row>
    <row r="4562" spans="1:2">
      <c r="A4562" t="s">
        <v>770</v>
      </c>
      <c r="B4562">
        <v>4780</v>
      </c>
    </row>
    <row r="4563" spans="1:2">
      <c r="A4563" t="s">
        <v>770</v>
      </c>
      <c r="B4563">
        <v>0.62729658792650922</v>
      </c>
    </row>
    <row r="4565" spans="1:2">
      <c r="A4565" t="s">
        <v>1943</v>
      </c>
      <c r="B4565">
        <v>740.25</v>
      </c>
    </row>
    <row r="4567" spans="1:2" s="344" customFormat="1">
      <c r="A4567" s="345" t="s">
        <v>1738</v>
      </c>
    </row>
    <row r="4569" spans="1:2">
      <c r="A4569" t="s">
        <v>753</v>
      </c>
      <c r="B4569" s="346">
        <v>120</v>
      </c>
    </row>
    <row r="4571" spans="1:2">
      <c r="A4571" t="s">
        <v>581</v>
      </c>
    </row>
    <row r="4572" spans="1:2">
      <c r="A4572" t="s">
        <v>214</v>
      </c>
      <c r="B4572">
        <v>120</v>
      </c>
    </row>
    <row r="4573" spans="1:2">
      <c r="A4573" t="s">
        <v>215</v>
      </c>
      <c r="B4573">
        <v>145</v>
      </c>
    </row>
    <row r="4574" spans="1:2">
      <c r="A4574" t="s">
        <v>2009</v>
      </c>
      <c r="B4574">
        <v>145</v>
      </c>
    </row>
    <row r="4575" spans="1:2">
      <c r="A4575" t="s">
        <v>586</v>
      </c>
      <c r="B4575">
        <v>410</v>
      </c>
    </row>
    <row r="4577" spans="1:2">
      <c r="A4577" t="s">
        <v>268</v>
      </c>
    </row>
    <row r="4578" spans="1:2">
      <c r="A4578" t="s">
        <v>699</v>
      </c>
      <c r="B4578">
        <v>395</v>
      </c>
    </row>
    <row r="4579" spans="1:2">
      <c r="A4579" t="s">
        <v>588</v>
      </c>
      <c r="B4579">
        <v>1185</v>
      </c>
    </row>
    <row r="4582" spans="1:2">
      <c r="A4582" t="s">
        <v>769</v>
      </c>
    </row>
    <row r="4584" spans="1:2">
      <c r="A4584" t="s">
        <v>1180</v>
      </c>
    </row>
    <row r="4585" spans="1:2">
      <c r="A4585" t="s">
        <v>1178</v>
      </c>
      <c r="B4585">
        <v>115</v>
      </c>
    </row>
    <row r="4586" spans="1:2">
      <c r="A4586" t="s">
        <v>1179</v>
      </c>
      <c r="B4586">
        <v>115</v>
      </c>
    </row>
    <row r="4587" spans="1:2">
      <c r="A4587" t="s">
        <v>2030</v>
      </c>
      <c r="B4587">
        <v>115</v>
      </c>
    </row>
    <row r="4588" spans="1:2">
      <c r="A4588" t="s">
        <v>586</v>
      </c>
      <c r="B4588">
        <v>345</v>
      </c>
    </row>
    <row r="4589" spans="1:2">
      <c r="A4589" t="s">
        <v>770</v>
      </c>
      <c r="B4589">
        <v>840</v>
      </c>
    </row>
    <row r="4590" spans="1:2">
      <c r="A4590" t="s">
        <v>770</v>
      </c>
      <c r="B4590">
        <v>0.70886075949367089</v>
      </c>
    </row>
    <row r="4592" spans="1:2">
      <c r="A4592" t="s">
        <v>1181</v>
      </c>
    </row>
    <row r="4593" spans="1:2">
      <c r="A4593" t="s">
        <v>1182</v>
      </c>
      <c r="B4593">
        <v>120</v>
      </c>
    </row>
    <row r="4594" spans="1:2">
      <c r="A4594" t="s">
        <v>1179</v>
      </c>
      <c r="B4594">
        <v>120</v>
      </c>
    </row>
    <row r="4595" spans="1:2">
      <c r="A4595" t="s">
        <v>2030</v>
      </c>
      <c r="B4595">
        <v>120</v>
      </c>
    </row>
    <row r="4596" spans="1:2">
      <c r="A4596" t="s">
        <v>586</v>
      </c>
      <c r="B4596">
        <v>360</v>
      </c>
    </row>
    <row r="4597" spans="1:2">
      <c r="A4597" t="s">
        <v>770</v>
      </c>
      <c r="B4597">
        <v>825</v>
      </c>
    </row>
    <row r="4598" spans="1:2">
      <c r="A4598" t="s">
        <v>770</v>
      </c>
      <c r="B4598">
        <v>0.69620253164556967</v>
      </c>
    </row>
    <row r="4600" spans="1:2">
      <c r="A4600" t="s">
        <v>2031</v>
      </c>
    </row>
    <row r="4601" spans="1:2">
      <c r="A4601" t="s">
        <v>1182</v>
      </c>
      <c r="B4601">
        <v>120</v>
      </c>
    </row>
    <row r="4602" spans="1:2">
      <c r="A4602" t="s">
        <v>2032</v>
      </c>
      <c r="B4602">
        <v>145</v>
      </c>
    </row>
    <row r="4603" spans="1:2">
      <c r="A4603" t="s">
        <v>2030</v>
      </c>
      <c r="B4603">
        <v>120</v>
      </c>
    </row>
    <row r="4604" spans="1:2">
      <c r="A4604" t="s">
        <v>586</v>
      </c>
      <c r="B4604">
        <v>385</v>
      </c>
    </row>
    <row r="4605" spans="1:2">
      <c r="A4605" t="s">
        <v>770</v>
      </c>
      <c r="B4605">
        <v>800</v>
      </c>
    </row>
    <row r="4606" spans="1:2">
      <c r="A4606" t="s">
        <v>770</v>
      </c>
      <c r="B4606">
        <v>0.67510548523206748</v>
      </c>
    </row>
    <row r="4608" spans="1:2">
      <c r="A4608" t="s">
        <v>1943</v>
      </c>
      <c r="B4608">
        <v>126</v>
      </c>
    </row>
    <row r="4610" spans="1:2" s="344" customFormat="1">
      <c r="A4610" s="345" t="s">
        <v>1804</v>
      </c>
    </row>
    <row r="4612" spans="1:2">
      <c r="A4612" t="s">
        <v>753</v>
      </c>
      <c r="B4612" s="346">
        <v>705</v>
      </c>
    </row>
    <row r="4614" spans="1:2">
      <c r="A4614" t="s">
        <v>581</v>
      </c>
    </row>
    <row r="4615" spans="1:2">
      <c r="A4615" t="s">
        <v>214</v>
      </c>
      <c r="B4615">
        <v>705</v>
      </c>
    </row>
    <row r="4616" spans="1:2">
      <c r="A4616" t="s">
        <v>215</v>
      </c>
      <c r="B4616">
        <v>845</v>
      </c>
    </row>
    <row r="4617" spans="1:2">
      <c r="A4617" t="s">
        <v>2009</v>
      </c>
      <c r="B4617">
        <v>845</v>
      </c>
    </row>
    <row r="4618" spans="1:2">
      <c r="A4618" t="s">
        <v>586</v>
      </c>
      <c r="B4618">
        <v>2395</v>
      </c>
    </row>
    <row r="4620" spans="1:2">
      <c r="A4620" t="s">
        <v>268</v>
      </c>
    </row>
    <row r="4621" spans="1:2">
      <c r="A4621" t="s">
        <v>699</v>
      </c>
      <c r="B4621">
        <v>2820</v>
      </c>
    </row>
    <row r="4622" spans="1:2">
      <c r="A4622" t="s">
        <v>588</v>
      </c>
      <c r="B4622">
        <v>8460</v>
      </c>
    </row>
    <row r="4625" spans="1:2">
      <c r="A4625" t="s">
        <v>769</v>
      </c>
    </row>
    <row r="4627" spans="1:2">
      <c r="A4627" t="s">
        <v>1180</v>
      </c>
    </row>
    <row r="4628" spans="1:2">
      <c r="A4628" t="s">
        <v>1178</v>
      </c>
      <c r="B4628">
        <v>925</v>
      </c>
    </row>
    <row r="4629" spans="1:2">
      <c r="A4629" t="s">
        <v>1179</v>
      </c>
      <c r="B4629">
        <v>925</v>
      </c>
    </row>
    <row r="4630" spans="1:2">
      <c r="A4630" t="s">
        <v>2030</v>
      </c>
      <c r="B4630">
        <v>925</v>
      </c>
    </row>
    <row r="4631" spans="1:2">
      <c r="A4631" t="s">
        <v>586</v>
      </c>
      <c r="B4631">
        <v>2775</v>
      </c>
    </row>
    <row r="4632" spans="1:2">
      <c r="A4632" t="s">
        <v>770</v>
      </c>
      <c r="B4632">
        <v>5685</v>
      </c>
    </row>
    <row r="4633" spans="1:2">
      <c r="A4633" t="s">
        <v>770</v>
      </c>
      <c r="B4633">
        <v>0.67198581560283688</v>
      </c>
    </row>
    <row r="4635" spans="1:2">
      <c r="A4635" t="s">
        <v>1181</v>
      </c>
    </row>
    <row r="4636" spans="1:2">
      <c r="A4636" t="s">
        <v>1182</v>
      </c>
      <c r="B4636">
        <v>705</v>
      </c>
    </row>
    <row r="4637" spans="1:2">
      <c r="A4637" t="s">
        <v>1179</v>
      </c>
      <c r="B4637">
        <v>970</v>
      </c>
    </row>
    <row r="4638" spans="1:2">
      <c r="A4638" t="s">
        <v>2030</v>
      </c>
      <c r="B4638">
        <v>970</v>
      </c>
    </row>
    <row r="4639" spans="1:2">
      <c r="A4639" t="s">
        <v>586</v>
      </c>
      <c r="B4639">
        <v>2645</v>
      </c>
    </row>
    <row r="4640" spans="1:2">
      <c r="A4640" t="s">
        <v>770</v>
      </c>
      <c r="B4640">
        <v>5815</v>
      </c>
    </row>
    <row r="4641" spans="1:2">
      <c r="A4641" t="s">
        <v>770</v>
      </c>
      <c r="B4641">
        <v>0.68735224586288413</v>
      </c>
    </row>
    <row r="4643" spans="1:2">
      <c r="A4643" t="s">
        <v>2031</v>
      </c>
    </row>
    <row r="4644" spans="1:2">
      <c r="A4644" t="s">
        <v>1182</v>
      </c>
      <c r="B4644">
        <v>705</v>
      </c>
    </row>
    <row r="4645" spans="1:2">
      <c r="A4645" t="s">
        <v>2032</v>
      </c>
      <c r="B4645">
        <v>845</v>
      </c>
    </row>
    <row r="4646" spans="1:2">
      <c r="A4646" t="s">
        <v>2030</v>
      </c>
      <c r="B4646">
        <v>970</v>
      </c>
    </row>
    <row r="4647" spans="1:2">
      <c r="A4647" t="s">
        <v>586</v>
      </c>
      <c r="B4647">
        <v>2520</v>
      </c>
    </row>
    <row r="4648" spans="1:2">
      <c r="A4648" t="s">
        <v>770</v>
      </c>
      <c r="B4648">
        <v>5940</v>
      </c>
    </row>
    <row r="4649" spans="1:2">
      <c r="A4649" t="s">
        <v>770</v>
      </c>
      <c r="B4649">
        <v>0.7021276595744681</v>
      </c>
    </row>
    <row r="4651" spans="1:2">
      <c r="A4651" t="s">
        <v>1943</v>
      </c>
      <c r="B4651">
        <v>1018.5</v>
      </c>
    </row>
    <row r="4653" spans="1:2" s="344" customFormat="1">
      <c r="A4653" s="345" t="s">
        <v>1805</v>
      </c>
    </row>
    <row r="4655" spans="1:2">
      <c r="A4655" t="s">
        <v>753</v>
      </c>
      <c r="B4655" s="346">
        <v>705</v>
      </c>
    </row>
    <row r="4657" spans="1:2">
      <c r="A4657" t="s">
        <v>581</v>
      </c>
    </row>
    <row r="4658" spans="1:2">
      <c r="A4658" t="s">
        <v>214</v>
      </c>
      <c r="B4658">
        <v>705</v>
      </c>
    </row>
    <row r="4659" spans="1:2">
      <c r="A4659" t="s">
        <v>215</v>
      </c>
      <c r="B4659">
        <v>845</v>
      </c>
    </row>
    <row r="4660" spans="1:2">
      <c r="A4660" t="s">
        <v>2009</v>
      </c>
      <c r="B4660">
        <v>845</v>
      </c>
    </row>
    <row r="4661" spans="1:2">
      <c r="A4661" t="s">
        <v>586</v>
      </c>
      <c r="B4661">
        <v>2395</v>
      </c>
    </row>
    <row r="4663" spans="1:2">
      <c r="A4663" t="s">
        <v>268</v>
      </c>
    </row>
    <row r="4664" spans="1:2">
      <c r="A4664" t="s">
        <v>699</v>
      </c>
      <c r="B4664">
        <v>2540</v>
      </c>
    </row>
    <row r="4665" spans="1:2">
      <c r="A4665" t="s">
        <v>588</v>
      </c>
      <c r="B4665">
        <v>7620</v>
      </c>
    </row>
    <row r="4668" spans="1:2">
      <c r="A4668" t="s">
        <v>769</v>
      </c>
    </row>
    <row r="4670" spans="1:2">
      <c r="A4670" t="s">
        <v>1180</v>
      </c>
    </row>
    <row r="4671" spans="1:2">
      <c r="A4671" t="s">
        <v>1178</v>
      </c>
      <c r="B4671">
        <v>670</v>
      </c>
    </row>
    <row r="4672" spans="1:2">
      <c r="A4672" t="s">
        <v>1179</v>
      </c>
      <c r="B4672">
        <v>670</v>
      </c>
    </row>
    <row r="4673" spans="1:2">
      <c r="A4673" t="s">
        <v>2030</v>
      </c>
      <c r="B4673">
        <v>670</v>
      </c>
    </row>
    <row r="4674" spans="1:2">
      <c r="A4674" t="s">
        <v>586</v>
      </c>
      <c r="B4674">
        <v>2010</v>
      </c>
    </row>
    <row r="4675" spans="1:2">
      <c r="A4675" t="s">
        <v>770</v>
      </c>
      <c r="B4675">
        <v>5610</v>
      </c>
    </row>
    <row r="4676" spans="1:2">
      <c r="A4676" t="s">
        <v>770</v>
      </c>
      <c r="B4676">
        <v>0.73622047244094491</v>
      </c>
    </row>
    <row r="4678" spans="1:2">
      <c r="A4678" t="s">
        <v>1181</v>
      </c>
    </row>
    <row r="4679" spans="1:2">
      <c r="A4679" t="s">
        <v>1182</v>
      </c>
      <c r="B4679">
        <v>705</v>
      </c>
    </row>
    <row r="4680" spans="1:2">
      <c r="A4680" t="s">
        <v>1179</v>
      </c>
      <c r="B4680">
        <v>705</v>
      </c>
    </row>
    <row r="4681" spans="1:2">
      <c r="A4681" t="s">
        <v>2030</v>
      </c>
      <c r="B4681">
        <v>705</v>
      </c>
    </row>
    <row r="4682" spans="1:2">
      <c r="A4682" t="s">
        <v>586</v>
      </c>
      <c r="B4682">
        <v>2115</v>
      </c>
    </row>
    <row r="4683" spans="1:2">
      <c r="A4683" t="s">
        <v>770</v>
      </c>
      <c r="B4683">
        <v>5505</v>
      </c>
    </row>
    <row r="4684" spans="1:2">
      <c r="A4684" t="s">
        <v>770</v>
      </c>
      <c r="B4684">
        <v>0.72244094488188981</v>
      </c>
    </row>
    <row r="4686" spans="1:2">
      <c r="A4686" t="s">
        <v>2031</v>
      </c>
    </row>
    <row r="4687" spans="1:2">
      <c r="A4687" t="s">
        <v>1182</v>
      </c>
      <c r="B4687">
        <v>705</v>
      </c>
    </row>
    <row r="4688" spans="1:2">
      <c r="A4688" t="s">
        <v>2032</v>
      </c>
      <c r="B4688">
        <v>845</v>
      </c>
    </row>
    <row r="4689" spans="1:2">
      <c r="A4689" t="s">
        <v>2030</v>
      </c>
      <c r="B4689">
        <v>705</v>
      </c>
    </row>
    <row r="4690" spans="1:2">
      <c r="A4690" t="s">
        <v>586</v>
      </c>
      <c r="B4690">
        <v>2255</v>
      </c>
    </row>
    <row r="4691" spans="1:2">
      <c r="A4691" t="s">
        <v>770</v>
      </c>
      <c r="B4691">
        <v>5365</v>
      </c>
    </row>
    <row r="4692" spans="1:2">
      <c r="A4692" t="s">
        <v>770</v>
      </c>
      <c r="B4692">
        <v>0.70406824146981628</v>
      </c>
    </row>
    <row r="4694" spans="1:2">
      <c r="A4694" t="s">
        <v>1943</v>
      </c>
      <c r="B4694">
        <v>740.25</v>
      </c>
    </row>
    <row r="4696" spans="1:2" s="344" customFormat="1">
      <c r="A4696" s="345" t="s">
        <v>1739</v>
      </c>
    </row>
    <row r="4698" spans="1:2">
      <c r="A4698" t="s">
        <v>753</v>
      </c>
      <c r="B4698" s="346">
        <v>1035</v>
      </c>
    </row>
    <row r="4700" spans="1:2">
      <c r="A4700" t="s">
        <v>581</v>
      </c>
    </row>
    <row r="4701" spans="1:2">
      <c r="A4701" t="s">
        <v>214</v>
      </c>
      <c r="B4701">
        <v>1035</v>
      </c>
    </row>
    <row r="4702" spans="1:2">
      <c r="A4702" t="s">
        <v>215</v>
      </c>
      <c r="B4702">
        <v>1240</v>
      </c>
    </row>
    <row r="4703" spans="1:2">
      <c r="A4703" t="s">
        <v>2009</v>
      </c>
      <c r="B4703">
        <v>1240</v>
      </c>
    </row>
    <row r="4704" spans="1:2">
      <c r="A4704" t="s">
        <v>586</v>
      </c>
      <c r="B4704">
        <v>3515</v>
      </c>
    </row>
    <row r="4706" spans="1:2">
      <c r="A4706" t="s">
        <v>268</v>
      </c>
    </row>
    <row r="4707" spans="1:2">
      <c r="A4707" t="s">
        <v>699</v>
      </c>
      <c r="B4707">
        <v>2070</v>
      </c>
    </row>
    <row r="4708" spans="1:2">
      <c r="A4708" t="s">
        <v>588</v>
      </c>
      <c r="B4708">
        <v>6210</v>
      </c>
    </row>
    <row r="4711" spans="1:2">
      <c r="A4711" t="s">
        <v>769</v>
      </c>
    </row>
    <row r="4713" spans="1:2">
      <c r="A4713" t="s">
        <v>1180</v>
      </c>
    </row>
    <row r="4714" spans="1:2">
      <c r="A4714" t="s">
        <v>1178</v>
      </c>
      <c r="B4714">
        <v>985</v>
      </c>
    </row>
    <row r="4715" spans="1:2">
      <c r="A4715" t="s">
        <v>1179</v>
      </c>
      <c r="B4715">
        <v>985</v>
      </c>
    </row>
    <row r="4716" spans="1:2">
      <c r="A4716" t="s">
        <v>2030</v>
      </c>
      <c r="B4716">
        <v>985</v>
      </c>
    </row>
    <row r="4717" spans="1:2">
      <c r="A4717" t="s">
        <v>586</v>
      </c>
      <c r="B4717">
        <v>2955</v>
      </c>
    </row>
    <row r="4718" spans="1:2">
      <c r="A4718" t="s">
        <v>770</v>
      </c>
      <c r="B4718">
        <v>3255</v>
      </c>
    </row>
    <row r="4719" spans="1:2">
      <c r="A4719" t="s">
        <v>770</v>
      </c>
      <c r="B4719">
        <v>0.52415458937198067</v>
      </c>
    </row>
    <row r="4721" spans="1:2">
      <c r="A4721" t="s">
        <v>1181</v>
      </c>
    </row>
    <row r="4722" spans="1:2">
      <c r="A4722" t="s">
        <v>1182</v>
      </c>
      <c r="B4722">
        <v>1035</v>
      </c>
    </row>
    <row r="4723" spans="1:2">
      <c r="A4723" t="s">
        <v>1179</v>
      </c>
      <c r="B4723">
        <v>1035</v>
      </c>
    </row>
    <row r="4724" spans="1:2">
      <c r="A4724" t="s">
        <v>2030</v>
      </c>
      <c r="B4724">
        <v>1035</v>
      </c>
    </row>
    <row r="4725" spans="1:2">
      <c r="A4725" t="s">
        <v>586</v>
      </c>
      <c r="B4725">
        <v>3105</v>
      </c>
    </row>
    <row r="4726" spans="1:2">
      <c r="A4726" t="s">
        <v>770</v>
      </c>
      <c r="B4726">
        <v>3105</v>
      </c>
    </row>
    <row r="4727" spans="1:2">
      <c r="A4727" t="s">
        <v>770</v>
      </c>
      <c r="B4727">
        <v>0.5</v>
      </c>
    </row>
    <row r="4729" spans="1:2">
      <c r="A4729" t="s">
        <v>2031</v>
      </c>
    </row>
    <row r="4730" spans="1:2">
      <c r="A4730" t="s">
        <v>1182</v>
      </c>
      <c r="B4730">
        <v>1035</v>
      </c>
    </row>
    <row r="4731" spans="1:2">
      <c r="A4731" t="s">
        <v>2032</v>
      </c>
      <c r="B4731">
        <v>1240</v>
      </c>
    </row>
    <row r="4732" spans="1:2">
      <c r="A4732" t="s">
        <v>2030</v>
      </c>
      <c r="B4732">
        <v>1035</v>
      </c>
    </row>
    <row r="4733" spans="1:2">
      <c r="A4733" t="s">
        <v>586</v>
      </c>
      <c r="B4733">
        <v>3310</v>
      </c>
    </row>
    <row r="4734" spans="1:2">
      <c r="A4734" t="s">
        <v>770</v>
      </c>
      <c r="B4734">
        <v>2900</v>
      </c>
    </row>
    <row r="4735" spans="1:2">
      <c r="A4735" t="s">
        <v>770</v>
      </c>
      <c r="B4735">
        <v>0.4669887278582931</v>
      </c>
    </row>
    <row r="4737" spans="1:2">
      <c r="A4737" t="s">
        <v>1943</v>
      </c>
      <c r="B4737">
        <v>1086.75</v>
      </c>
    </row>
    <row r="4739" spans="1:2" s="344" customFormat="1">
      <c r="A4739" s="345" t="s">
        <v>1740</v>
      </c>
    </row>
    <row r="4741" spans="1:2">
      <c r="A4741" t="s">
        <v>753</v>
      </c>
      <c r="B4741" s="346">
        <v>1035</v>
      </c>
    </row>
    <row r="4743" spans="1:2">
      <c r="A4743" t="s">
        <v>581</v>
      </c>
    </row>
    <row r="4744" spans="1:2">
      <c r="A4744" t="s">
        <v>214</v>
      </c>
      <c r="B4744">
        <v>1035</v>
      </c>
    </row>
    <row r="4745" spans="1:2">
      <c r="A4745" t="s">
        <v>215</v>
      </c>
      <c r="B4745">
        <v>1240</v>
      </c>
    </row>
    <row r="4746" spans="1:2">
      <c r="A4746" t="s">
        <v>2009</v>
      </c>
      <c r="B4746">
        <v>1240</v>
      </c>
    </row>
    <row r="4747" spans="1:2">
      <c r="A4747" t="s">
        <v>586</v>
      </c>
      <c r="B4747">
        <v>3515</v>
      </c>
    </row>
    <row r="4749" spans="1:2">
      <c r="A4749" t="s">
        <v>268</v>
      </c>
    </row>
    <row r="4750" spans="1:2">
      <c r="A4750" t="s">
        <v>699</v>
      </c>
      <c r="B4750">
        <v>10355</v>
      </c>
    </row>
    <row r="4751" spans="1:2">
      <c r="A4751" t="s">
        <v>588</v>
      </c>
      <c r="B4751">
        <v>31065</v>
      </c>
    </row>
    <row r="4754" spans="1:2">
      <c r="A4754" t="s">
        <v>769</v>
      </c>
    </row>
    <row r="4756" spans="1:2">
      <c r="A4756" t="s">
        <v>1180</v>
      </c>
    </row>
    <row r="4757" spans="1:2">
      <c r="A4757" t="s">
        <v>1178</v>
      </c>
      <c r="B4757">
        <v>4300</v>
      </c>
    </row>
    <row r="4758" spans="1:2">
      <c r="A4758" t="s">
        <v>1179</v>
      </c>
      <c r="B4758">
        <v>4300</v>
      </c>
    </row>
    <row r="4759" spans="1:2">
      <c r="A4759" t="s">
        <v>2030</v>
      </c>
      <c r="B4759">
        <v>4300</v>
      </c>
    </row>
    <row r="4760" spans="1:2">
      <c r="A4760" t="s">
        <v>586</v>
      </c>
      <c r="B4760">
        <v>12900</v>
      </c>
    </row>
    <row r="4761" spans="1:2">
      <c r="A4761" t="s">
        <v>770</v>
      </c>
      <c r="B4761">
        <v>18165</v>
      </c>
    </row>
    <row r="4762" spans="1:2">
      <c r="A4762" t="s">
        <v>770</v>
      </c>
      <c r="B4762">
        <v>0.58474167069048766</v>
      </c>
    </row>
    <row r="4764" spans="1:2">
      <c r="A4764" t="s">
        <v>1181</v>
      </c>
    </row>
    <row r="4765" spans="1:2">
      <c r="A4765" t="s">
        <v>1182</v>
      </c>
      <c r="B4765">
        <v>1035</v>
      </c>
    </row>
    <row r="4766" spans="1:2">
      <c r="A4766" t="s">
        <v>1179</v>
      </c>
      <c r="B4766">
        <v>4515</v>
      </c>
    </row>
    <row r="4767" spans="1:2">
      <c r="A4767" t="s">
        <v>2030</v>
      </c>
      <c r="B4767">
        <v>4515</v>
      </c>
    </row>
    <row r="4768" spans="1:2">
      <c r="A4768" t="s">
        <v>586</v>
      </c>
      <c r="B4768">
        <v>10065</v>
      </c>
    </row>
    <row r="4769" spans="1:2">
      <c r="A4769" t="s">
        <v>770</v>
      </c>
      <c r="B4769">
        <v>21000</v>
      </c>
    </row>
    <row r="4770" spans="1:2">
      <c r="A4770" t="s">
        <v>770</v>
      </c>
      <c r="B4770">
        <v>0.67600193143408982</v>
      </c>
    </row>
    <row r="4772" spans="1:2">
      <c r="A4772" t="s">
        <v>2031</v>
      </c>
    </row>
    <row r="4773" spans="1:2">
      <c r="A4773" t="s">
        <v>1182</v>
      </c>
      <c r="B4773">
        <v>1035</v>
      </c>
    </row>
    <row r="4774" spans="1:2">
      <c r="A4774" t="s">
        <v>2032</v>
      </c>
      <c r="B4774">
        <v>1240</v>
      </c>
    </row>
    <row r="4775" spans="1:2">
      <c r="A4775" t="s">
        <v>2030</v>
      </c>
      <c r="B4775">
        <v>4515</v>
      </c>
    </row>
    <row r="4776" spans="1:2">
      <c r="A4776" t="s">
        <v>586</v>
      </c>
      <c r="B4776">
        <v>6790</v>
      </c>
    </row>
    <row r="4777" spans="1:2">
      <c r="A4777" t="s">
        <v>770</v>
      </c>
      <c r="B4777">
        <v>24275</v>
      </c>
    </row>
    <row r="4778" spans="1:2">
      <c r="A4778" t="s">
        <v>770</v>
      </c>
      <c r="B4778">
        <v>0.78142604216964429</v>
      </c>
    </row>
    <row r="4780" spans="1:2">
      <c r="A4780" t="s">
        <v>1943</v>
      </c>
      <c r="B4780">
        <v>4740.75</v>
      </c>
    </row>
    <row r="4782" spans="1:2" s="344" customFormat="1">
      <c r="A4782" s="345" t="s">
        <v>1741</v>
      </c>
    </row>
    <row r="4784" spans="1:2">
      <c r="A4784" t="s">
        <v>753</v>
      </c>
      <c r="B4784" s="346">
        <v>1035</v>
      </c>
    </row>
    <row r="4786" spans="1:2">
      <c r="A4786" t="s">
        <v>581</v>
      </c>
    </row>
    <row r="4787" spans="1:2">
      <c r="A4787" t="s">
        <v>214</v>
      </c>
      <c r="B4787">
        <v>1035</v>
      </c>
    </row>
    <row r="4788" spans="1:2">
      <c r="A4788" t="s">
        <v>215</v>
      </c>
      <c r="B4788">
        <v>1240</v>
      </c>
    </row>
    <row r="4789" spans="1:2">
      <c r="A4789" t="s">
        <v>2009</v>
      </c>
      <c r="B4789">
        <v>1240</v>
      </c>
    </row>
    <row r="4790" spans="1:2">
      <c r="A4790" t="s">
        <v>586</v>
      </c>
      <c r="B4790">
        <v>3515</v>
      </c>
    </row>
    <row r="4792" spans="1:2">
      <c r="A4792" t="s">
        <v>268</v>
      </c>
    </row>
    <row r="4793" spans="1:2">
      <c r="A4793" t="s">
        <v>699</v>
      </c>
      <c r="B4793">
        <v>0</v>
      </c>
    </row>
    <row r="4794" spans="1:2">
      <c r="A4794" t="s">
        <v>588</v>
      </c>
      <c r="B4794">
        <v>0</v>
      </c>
    </row>
    <row r="4797" spans="1:2">
      <c r="A4797" t="s">
        <v>769</v>
      </c>
    </row>
    <row r="4799" spans="1:2">
      <c r="A4799" t="s">
        <v>1180</v>
      </c>
    </row>
    <row r="4800" spans="1:2">
      <c r="A4800" t="s">
        <v>1178</v>
      </c>
      <c r="B4800">
        <v>9805</v>
      </c>
    </row>
    <row r="4801" spans="1:2">
      <c r="A4801" t="s">
        <v>1179</v>
      </c>
      <c r="B4801">
        <v>9805</v>
      </c>
    </row>
    <row r="4802" spans="1:2">
      <c r="A4802" t="s">
        <v>2030</v>
      </c>
      <c r="B4802">
        <v>9805</v>
      </c>
    </row>
    <row r="4803" spans="1:2">
      <c r="A4803" t="s">
        <v>586</v>
      </c>
      <c r="B4803">
        <v>29415</v>
      </c>
    </row>
    <row r="4804" spans="1:2">
      <c r="A4804" t="s">
        <v>770</v>
      </c>
      <c r="B4804">
        <v>-29415</v>
      </c>
    </row>
    <row r="4805" spans="1:2">
      <c r="A4805" t="s">
        <v>770</v>
      </c>
      <c r="B4805">
        <v>0</v>
      </c>
    </row>
    <row r="4807" spans="1:2">
      <c r="A4807" t="s">
        <v>1181</v>
      </c>
    </row>
    <row r="4808" spans="1:2">
      <c r="A4808" t="s">
        <v>1182</v>
      </c>
      <c r="B4808">
        <v>1035</v>
      </c>
    </row>
    <row r="4809" spans="1:2">
      <c r="A4809" t="s">
        <v>1179</v>
      </c>
      <c r="B4809">
        <v>10295</v>
      </c>
    </row>
    <row r="4810" spans="1:2">
      <c r="A4810" t="s">
        <v>2030</v>
      </c>
      <c r="B4810">
        <v>10295</v>
      </c>
    </row>
    <row r="4811" spans="1:2">
      <c r="A4811" t="s">
        <v>586</v>
      </c>
      <c r="B4811">
        <v>21625</v>
      </c>
    </row>
    <row r="4812" spans="1:2">
      <c r="A4812" t="s">
        <v>770</v>
      </c>
      <c r="B4812">
        <v>-21625</v>
      </c>
    </row>
    <row r="4813" spans="1:2">
      <c r="A4813" t="s">
        <v>770</v>
      </c>
      <c r="B4813">
        <v>0</v>
      </c>
    </row>
    <row r="4815" spans="1:2">
      <c r="A4815" t="s">
        <v>2031</v>
      </c>
    </row>
    <row r="4816" spans="1:2">
      <c r="A4816" t="s">
        <v>1182</v>
      </c>
      <c r="B4816">
        <v>1035</v>
      </c>
    </row>
    <row r="4817" spans="1:2">
      <c r="A4817" t="s">
        <v>2032</v>
      </c>
      <c r="B4817">
        <v>1240</v>
      </c>
    </row>
    <row r="4818" spans="1:2">
      <c r="A4818" t="s">
        <v>2030</v>
      </c>
      <c r="B4818">
        <v>10295</v>
      </c>
    </row>
    <row r="4819" spans="1:2">
      <c r="A4819" t="s">
        <v>586</v>
      </c>
      <c r="B4819">
        <v>12570</v>
      </c>
    </row>
    <row r="4820" spans="1:2">
      <c r="A4820" t="s">
        <v>770</v>
      </c>
      <c r="B4820">
        <v>-12570</v>
      </c>
    </row>
    <row r="4821" spans="1:2">
      <c r="A4821" t="s">
        <v>770</v>
      </c>
      <c r="B4821">
        <v>0</v>
      </c>
    </row>
    <row r="4823" spans="1:2">
      <c r="A4823" t="s">
        <v>1943</v>
      </c>
      <c r="B4823">
        <v>10809.75</v>
      </c>
    </row>
    <row r="4825" spans="1:2" s="344" customFormat="1">
      <c r="A4825" s="345" t="s">
        <v>1742</v>
      </c>
    </row>
    <row r="4827" spans="1:2">
      <c r="A4827" t="s">
        <v>753</v>
      </c>
      <c r="B4827" s="346">
        <v>1035</v>
      </c>
    </row>
    <row r="4829" spans="1:2">
      <c r="A4829" t="s">
        <v>581</v>
      </c>
    </row>
    <row r="4830" spans="1:2">
      <c r="A4830" t="s">
        <v>214</v>
      </c>
      <c r="B4830">
        <v>1035</v>
      </c>
    </row>
    <row r="4831" spans="1:2">
      <c r="A4831" t="s">
        <v>215</v>
      </c>
      <c r="B4831">
        <v>1240</v>
      </c>
    </row>
    <row r="4832" spans="1:2">
      <c r="A4832" t="s">
        <v>2009</v>
      </c>
      <c r="B4832">
        <v>1240</v>
      </c>
    </row>
    <row r="4833" spans="1:2">
      <c r="A4833" t="s">
        <v>586</v>
      </c>
      <c r="B4833">
        <v>3515</v>
      </c>
    </row>
    <row r="4835" spans="1:2">
      <c r="A4835" t="s">
        <v>268</v>
      </c>
    </row>
    <row r="4836" spans="1:2">
      <c r="A4836" t="s">
        <v>699</v>
      </c>
      <c r="B4836">
        <v>0</v>
      </c>
    </row>
    <row r="4837" spans="1:2">
      <c r="A4837" t="s">
        <v>588</v>
      </c>
      <c r="B4837">
        <v>0</v>
      </c>
    </row>
    <row r="4840" spans="1:2">
      <c r="A4840" t="s">
        <v>769</v>
      </c>
    </row>
    <row r="4842" spans="1:2">
      <c r="A4842" t="s">
        <v>1180</v>
      </c>
    </row>
    <row r="4843" spans="1:2">
      <c r="A4843" t="s">
        <v>1178</v>
      </c>
      <c r="B4843">
        <v>4895</v>
      </c>
    </row>
    <row r="4844" spans="1:2">
      <c r="A4844" t="s">
        <v>1179</v>
      </c>
      <c r="B4844">
        <v>4895</v>
      </c>
    </row>
    <row r="4845" spans="1:2">
      <c r="A4845" t="s">
        <v>2030</v>
      </c>
      <c r="B4845">
        <v>4895</v>
      </c>
    </row>
    <row r="4846" spans="1:2">
      <c r="A4846" t="s">
        <v>586</v>
      </c>
      <c r="B4846">
        <v>14685</v>
      </c>
    </row>
    <row r="4847" spans="1:2">
      <c r="A4847" t="s">
        <v>770</v>
      </c>
      <c r="B4847">
        <v>-14685</v>
      </c>
    </row>
    <row r="4848" spans="1:2">
      <c r="A4848" t="s">
        <v>770</v>
      </c>
      <c r="B4848">
        <v>0</v>
      </c>
    </row>
    <row r="4850" spans="1:2">
      <c r="A4850" t="s">
        <v>1181</v>
      </c>
    </row>
    <row r="4851" spans="1:2">
      <c r="A4851" t="s">
        <v>1182</v>
      </c>
      <c r="B4851">
        <v>1035</v>
      </c>
    </row>
    <row r="4852" spans="1:2">
      <c r="A4852" t="s">
        <v>1179</v>
      </c>
      <c r="B4852">
        <v>5140</v>
      </c>
    </row>
    <row r="4853" spans="1:2">
      <c r="A4853" t="s">
        <v>2030</v>
      </c>
      <c r="B4853">
        <v>5140</v>
      </c>
    </row>
    <row r="4854" spans="1:2">
      <c r="A4854" t="s">
        <v>586</v>
      </c>
      <c r="B4854">
        <v>11315</v>
      </c>
    </row>
    <row r="4855" spans="1:2">
      <c r="A4855" t="s">
        <v>770</v>
      </c>
      <c r="B4855">
        <v>-11315</v>
      </c>
    </row>
    <row r="4856" spans="1:2">
      <c r="A4856" t="s">
        <v>770</v>
      </c>
      <c r="B4856">
        <v>0</v>
      </c>
    </row>
    <row r="4858" spans="1:2">
      <c r="A4858" t="s">
        <v>2031</v>
      </c>
    </row>
    <row r="4859" spans="1:2">
      <c r="A4859" t="s">
        <v>1182</v>
      </c>
      <c r="B4859">
        <v>1035</v>
      </c>
    </row>
    <row r="4860" spans="1:2">
      <c r="A4860" t="s">
        <v>2032</v>
      </c>
      <c r="B4860">
        <v>1240</v>
      </c>
    </row>
    <row r="4861" spans="1:2">
      <c r="A4861" t="s">
        <v>2030</v>
      </c>
      <c r="B4861">
        <v>5140</v>
      </c>
    </row>
    <row r="4862" spans="1:2">
      <c r="A4862" t="s">
        <v>586</v>
      </c>
      <c r="B4862">
        <v>7415</v>
      </c>
    </row>
    <row r="4863" spans="1:2">
      <c r="A4863" t="s">
        <v>770</v>
      </c>
      <c r="B4863">
        <v>-7415</v>
      </c>
    </row>
    <row r="4864" spans="1:2">
      <c r="A4864" t="s">
        <v>770</v>
      </c>
      <c r="B4864">
        <v>0</v>
      </c>
    </row>
    <row r="4866" spans="1:2">
      <c r="A4866" t="s">
        <v>1943</v>
      </c>
      <c r="B4866">
        <v>5397</v>
      </c>
    </row>
    <row r="4868" spans="1:2" s="344" customFormat="1">
      <c r="A4868" s="345" t="s">
        <v>1743</v>
      </c>
    </row>
    <row r="4870" spans="1:2">
      <c r="A4870" t="s">
        <v>753</v>
      </c>
      <c r="B4870" s="346">
        <v>1035</v>
      </c>
    </row>
    <row r="4872" spans="1:2">
      <c r="A4872" t="s">
        <v>581</v>
      </c>
    </row>
    <row r="4873" spans="1:2">
      <c r="A4873" t="s">
        <v>214</v>
      </c>
      <c r="B4873">
        <v>1035</v>
      </c>
    </row>
    <row r="4874" spans="1:2">
      <c r="A4874" t="s">
        <v>215</v>
      </c>
      <c r="B4874">
        <v>1240</v>
      </c>
    </row>
    <row r="4875" spans="1:2">
      <c r="A4875" t="s">
        <v>2009</v>
      </c>
      <c r="B4875">
        <v>1240</v>
      </c>
    </row>
    <row r="4876" spans="1:2">
      <c r="A4876" t="s">
        <v>586</v>
      </c>
      <c r="B4876">
        <v>3515</v>
      </c>
    </row>
    <row r="4878" spans="1:2">
      <c r="A4878" t="s">
        <v>268</v>
      </c>
    </row>
    <row r="4879" spans="1:2">
      <c r="A4879" t="s">
        <v>699</v>
      </c>
      <c r="B4879">
        <v>0</v>
      </c>
    </row>
    <row r="4880" spans="1:2">
      <c r="A4880" t="s">
        <v>588</v>
      </c>
      <c r="B4880">
        <v>0</v>
      </c>
    </row>
    <row r="4883" spans="1:2">
      <c r="A4883" t="s">
        <v>769</v>
      </c>
    </row>
    <row r="4885" spans="1:2">
      <c r="A4885" t="s">
        <v>1180</v>
      </c>
    </row>
    <row r="4886" spans="1:2">
      <c r="A4886" t="s">
        <v>1178</v>
      </c>
      <c r="B4886">
        <v>13215</v>
      </c>
    </row>
    <row r="4887" spans="1:2">
      <c r="A4887" t="s">
        <v>1179</v>
      </c>
      <c r="B4887">
        <v>13215</v>
      </c>
    </row>
    <row r="4888" spans="1:2">
      <c r="A4888" t="s">
        <v>2030</v>
      </c>
      <c r="B4888">
        <v>13215</v>
      </c>
    </row>
    <row r="4889" spans="1:2">
      <c r="A4889" t="s">
        <v>586</v>
      </c>
      <c r="B4889">
        <v>39645</v>
      </c>
    </row>
    <row r="4890" spans="1:2">
      <c r="A4890" t="s">
        <v>770</v>
      </c>
      <c r="B4890">
        <v>-39645</v>
      </c>
    </row>
    <row r="4891" spans="1:2">
      <c r="A4891" t="s">
        <v>770</v>
      </c>
      <c r="B4891">
        <v>0</v>
      </c>
    </row>
    <row r="4893" spans="1:2">
      <c r="A4893" t="s">
        <v>1181</v>
      </c>
    </row>
    <row r="4894" spans="1:2">
      <c r="A4894" t="s">
        <v>1182</v>
      </c>
      <c r="B4894">
        <v>1035</v>
      </c>
    </row>
    <row r="4895" spans="1:2">
      <c r="A4895" t="s">
        <v>1179</v>
      </c>
      <c r="B4895">
        <v>13875</v>
      </c>
    </row>
    <row r="4896" spans="1:2">
      <c r="A4896" t="s">
        <v>2030</v>
      </c>
      <c r="B4896">
        <v>13875</v>
      </c>
    </row>
    <row r="4897" spans="1:2">
      <c r="A4897" t="s">
        <v>586</v>
      </c>
      <c r="B4897">
        <v>28785</v>
      </c>
    </row>
    <row r="4898" spans="1:2">
      <c r="A4898" t="s">
        <v>770</v>
      </c>
      <c r="B4898">
        <v>-28785</v>
      </c>
    </row>
    <row r="4899" spans="1:2">
      <c r="A4899" t="s">
        <v>770</v>
      </c>
      <c r="B4899">
        <v>0</v>
      </c>
    </row>
    <row r="4901" spans="1:2">
      <c r="A4901" t="s">
        <v>2031</v>
      </c>
    </row>
    <row r="4902" spans="1:2">
      <c r="A4902" t="s">
        <v>1182</v>
      </c>
      <c r="B4902">
        <v>1035</v>
      </c>
    </row>
    <row r="4903" spans="1:2">
      <c r="A4903" t="s">
        <v>2032</v>
      </c>
      <c r="B4903">
        <v>1240</v>
      </c>
    </row>
    <row r="4904" spans="1:2">
      <c r="A4904" t="s">
        <v>2030</v>
      </c>
      <c r="B4904">
        <v>13875</v>
      </c>
    </row>
    <row r="4905" spans="1:2">
      <c r="A4905" t="s">
        <v>586</v>
      </c>
      <c r="B4905">
        <v>16150</v>
      </c>
    </row>
    <row r="4906" spans="1:2">
      <c r="A4906" t="s">
        <v>770</v>
      </c>
      <c r="B4906">
        <v>-16150</v>
      </c>
    </row>
    <row r="4907" spans="1:2">
      <c r="A4907" t="s">
        <v>770</v>
      </c>
      <c r="B4907">
        <v>0</v>
      </c>
    </row>
    <row r="4909" spans="1:2">
      <c r="A4909" t="s">
        <v>1943</v>
      </c>
      <c r="B4909">
        <v>14568.75</v>
      </c>
    </row>
    <row r="4911" spans="1:2" s="344" customFormat="1">
      <c r="A4911" s="345" t="s">
        <v>1744</v>
      </c>
    </row>
    <row r="4913" spans="1:2">
      <c r="A4913" t="s">
        <v>753</v>
      </c>
      <c r="B4913" s="346">
        <v>4505</v>
      </c>
    </row>
    <row r="4915" spans="1:2">
      <c r="A4915" t="s">
        <v>581</v>
      </c>
    </row>
    <row r="4916" spans="1:2">
      <c r="A4916" t="s">
        <v>214</v>
      </c>
      <c r="B4916">
        <v>4505</v>
      </c>
    </row>
    <row r="4917" spans="1:2">
      <c r="A4917" t="s">
        <v>215</v>
      </c>
      <c r="B4917">
        <v>5405</v>
      </c>
    </row>
    <row r="4918" spans="1:2">
      <c r="A4918" t="s">
        <v>2009</v>
      </c>
      <c r="B4918">
        <v>5405</v>
      </c>
    </row>
    <row r="4919" spans="1:2">
      <c r="A4919" t="s">
        <v>586</v>
      </c>
      <c r="B4919">
        <v>15315</v>
      </c>
    </row>
    <row r="4921" spans="1:2">
      <c r="A4921" t="s">
        <v>268</v>
      </c>
    </row>
    <row r="4922" spans="1:2">
      <c r="A4922" t="s">
        <v>699</v>
      </c>
      <c r="B4922">
        <v>10355</v>
      </c>
    </row>
    <row r="4923" spans="1:2">
      <c r="A4923" t="s">
        <v>588</v>
      </c>
      <c r="B4923">
        <v>31065</v>
      </c>
    </row>
    <row r="4926" spans="1:2">
      <c r="A4926" t="s">
        <v>769</v>
      </c>
    </row>
    <row r="4928" spans="1:2">
      <c r="A4928" t="s">
        <v>1180</v>
      </c>
    </row>
    <row r="4929" spans="1:2">
      <c r="A4929" t="s">
        <v>1178</v>
      </c>
      <c r="B4929">
        <v>4300</v>
      </c>
    </row>
    <row r="4930" spans="1:2">
      <c r="A4930" t="s">
        <v>1179</v>
      </c>
      <c r="B4930">
        <v>4300</v>
      </c>
    </row>
    <row r="4931" spans="1:2">
      <c r="A4931" t="s">
        <v>2030</v>
      </c>
      <c r="B4931">
        <v>4300</v>
      </c>
    </row>
    <row r="4932" spans="1:2">
      <c r="A4932" t="s">
        <v>586</v>
      </c>
      <c r="B4932">
        <v>12900</v>
      </c>
    </row>
    <row r="4933" spans="1:2">
      <c r="A4933" t="s">
        <v>770</v>
      </c>
      <c r="B4933">
        <v>18165</v>
      </c>
    </row>
    <row r="4934" spans="1:2">
      <c r="A4934" t="s">
        <v>770</v>
      </c>
      <c r="B4934">
        <v>0.58474167069048766</v>
      </c>
    </row>
    <row r="4936" spans="1:2">
      <c r="A4936" t="s">
        <v>1181</v>
      </c>
    </row>
    <row r="4937" spans="1:2">
      <c r="A4937" t="s">
        <v>1182</v>
      </c>
      <c r="B4937">
        <v>4505</v>
      </c>
    </row>
    <row r="4938" spans="1:2">
      <c r="A4938" t="s">
        <v>1179</v>
      </c>
      <c r="B4938">
        <v>4515</v>
      </c>
    </row>
    <row r="4939" spans="1:2">
      <c r="A4939" t="s">
        <v>2030</v>
      </c>
      <c r="B4939">
        <v>4515</v>
      </c>
    </row>
    <row r="4940" spans="1:2">
      <c r="A4940" t="s">
        <v>586</v>
      </c>
      <c r="B4940">
        <v>13535</v>
      </c>
    </row>
    <row r="4941" spans="1:2">
      <c r="A4941" t="s">
        <v>770</v>
      </c>
      <c r="B4941">
        <v>17530</v>
      </c>
    </row>
    <row r="4942" spans="1:2">
      <c r="A4942" t="s">
        <v>770</v>
      </c>
      <c r="B4942">
        <v>0.56430065990664735</v>
      </c>
    </row>
    <row r="4944" spans="1:2">
      <c r="A4944" t="s">
        <v>2031</v>
      </c>
    </row>
    <row r="4945" spans="1:2">
      <c r="A4945" t="s">
        <v>1182</v>
      </c>
      <c r="B4945">
        <v>4505</v>
      </c>
    </row>
    <row r="4946" spans="1:2">
      <c r="A4946" t="s">
        <v>2032</v>
      </c>
      <c r="B4946">
        <v>5405</v>
      </c>
    </row>
    <row r="4947" spans="1:2">
      <c r="A4947" t="s">
        <v>2030</v>
      </c>
      <c r="B4947">
        <v>4515</v>
      </c>
    </row>
    <row r="4948" spans="1:2">
      <c r="A4948" t="s">
        <v>586</v>
      </c>
      <c r="B4948">
        <v>14425</v>
      </c>
    </row>
    <row r="4949" spans="1:2">
      <c r="A4949" t="s">
        <v>770</v>
      </c>
      <c r="B4949">
        <v>16640</v>
      </c>
    </row>
    <row r="4950" spans="1:2">
      <c r="A4950" t="s">
        <v>770</v>
      </c>
      <c r="B4950">
        <v>0.53565105424110737</v>
      </c>
    </row>
    <row r="4952" spans="1:2">
      <c r="A4952" t="s">
        <v>1943</v>
      </c>
      <c r="B4952">
        <v>4740.75</v>
      </c>
    </row>
    <row r="4954" spans="1:2" s="344" customFormat="1">
      <c r="A4954" s="345" t="s">
        <v>1745</v>
      </c>
    </row>
    <row r="4956" spans="1:2">
      <c r="A4956" t="s">
        <v>753</v>
      </c>
      <c r="B4956" s="346">
        <v>4505</v>
      </c>
    </row>
    <row r="4958" spans="1:2">
      <c r="A4958" t="s">
        <v>581</v>
      </c>
    </row>
    <row r="4959" spans="1:2">
      <c r="A4959" t="s">
        <v>214</v>
      </c>
      <c r="B4959">
        <v>4505</v>
      </c>
    </row>
    <row r="4960" spans="1:2">
      <c r="A4960" t="s">
        <v>215</v>
      </c>
      <c r="B4960">
        <v>5405</v>
      </c>
    </row>
    <row r="4961" spans="1:2">
      <c r="A4961" t="s">
        <v>2009</v>
      </c>
      <c r="B4961">
        <v>5405</v>
      </c>
    </row>
    <row r="4962" spans="1:2">
      <c r="A4962" t="s">
        <v>586</v>
      </c>
      <c r="B4962">
        <v>15315</v>
      </c>
    </row>
    <row r="4964" spans="1:2">
      <c r="A4964" t="s">
        <v>268</v>
      </c>
    </row>
    <row r="4965" spans="1:2">
      <c r="A4965" t="s">
        <v>699</v>
      </c>
      <c r="B4965">
        <v>0</v>
      </c>
    </row>
    <row r="4966" spans="1:2">
      <c r="A4966" t="s">
        <v>588</v>
      </c>
      <c r="B4966">
        <v>0</v>
      </c>
    </row>
    <row r="4969" spans="1:2">
      <c r="A4969" t="s">
        <v>769</v>
      </c>
    </row>
    <row r="4971" spans="1:2">
      <c r="A4971" t="s">
        <v>1180</v>
      </c>
    </row>
    <row r="4972" spans="1:2">
      <c r="A4972" t="s">
        <v>1178</v>
      </c>
      <c r="B4972">
        <v>9805</v>
      </c>
    </row>
    <row r="4973" spans="1:2">
      <c r="A4973" t="s">
        <v>1179</v>
      </c>
      <c r="B4973">
        <v>9805</v>
      </c>
    </row>
    <row r="4974" spans="1:2">
      <c r="A4974" t="s">
        <v>2030</v>
      </c>
      <c r="B4974">
        <v>9805</v>
      </c>
    </row>
    <row r="4975" spans="1:2">
      <c r="A4975" t="s">
        <v>586</v>
      </c>
      <c r="B4975">
        <v>29415</v>
      </c>
    </row>
    <row r="4976" spans="1:2">
      <c r="A4976" t="s">
        <v>770</v>
      </c>
      <c r="B4976">
        <v>-29415</v>
      </c>
    </row>
    <row r="4977" spans="1:2">
      <c r="A4977" t="s">
        <v>770</v>
      </c>
      <c r="B4977">
        <v>0</v>
      </c>
    </row>
    <row r="4979" spans="1:2">
      <c r="A4979" t="s">
        <v>1181</v>
      </c>
    </row>
    <row r="4980" spans="1:2">
      <c r="A4980" t="s">
        <v>1182</v>
      </c>
      <c r="B4980">
        <v>4505</v>
      </c>
    </row>
    <row r="4981" spans="1:2">
      <c r="A4981" t="s">
        <v>1179</v>
      </c>
      <c r="B4981">
        <v>10295</v>
      </c>
    </row>
    <row r="4982" spans="1:2">
      <c r="A4982" t="s">
        <v>2030</v>
      </c>
      <c r="B4982">
        <v>10295</v>
      </c>
    </row>
    <row r="4983" spans="1:2">
      <c r="A4983" t="s">
        <v>586</v>
      </c>
      <c r="B4983">
        <v>25095</v>
      </c>
    </row>
    <row r="4984" spans="1:2">
      <c r="A4984" t="s">
        <v>770</v>
      </c>
      <c r="B4984">
        <v>-25095</v>
      </c>
    </row>
    <row r="4985" spans="1:2">
      <c r="A4985" t="s">
        <v>770</v>
      </c>
      <c r="B4985">
        <v>0</v>
      </c>
    </row>
    <row r="4987" spans="1:2">
      <c r="A4987" t="s">
        <v>2031</v>
      </c>
    </row>
    <row r="4988" spans="1:2">
      <c r="A4988" t="s">
        <v>1182</v>
      </c>
      <c r="B4988">
        <v>4505</v>
      </c>
    </row>
    <row r="4989" spans="1:2">
      <c r="A4989" t="s">
        <v>2032</v>
      </c>
      <c r="B4989">
        <v>5405</v>
      </c>
    </row>
    <row r="4990" spans="1:2">
      <c r="A4990" t="s">
        <v>2030</v>
      </c>
      <c r="B4990">
        <v>10295</v>
      </c>
    </row>
    <row r="4991" spans="1:2">
      <c r="A4991" t="s">
        <v>586</v>
      </c>
      <c r="B4991">
        <v>20205</v>
      </c>
    </row>
    <row r="4992" spans="1:2">
      <c r="A4992" t="s">
        <v>770</v>
      </c>
      <c r="B4992">
        <v>-20205</v>
      </c>
    </row>
    <row r="4993" spans="1:2">
      <c r="A4993" t="s">
        <v>770</v>
      </c>
      <c r="B4993">
        <v>0</v>
      </c>
    </row>
    <row r="4995" spans="1:2">
      <c r="A4995" t="s">
        <v>1943</v>
      </c>
      <c r="B4995">
        <v>10809.75</v>
      </c>
    </row>
    <row r="4997" spans="1:2" s="344" customFormat="1">
      <c r="A4997" s="345" t="s">
        <v>1746</v>
      </c>
    </row>
    <row r="4999" spans="1:2">
      <c r="A4999" t="s">
        <v>753</v>
      </c>
      <c r="B4999" s="346">
        <v>4505</v>
      </c>
    </row>
    <row r="5001" spans="1:2">
      <c r="A5001" t="s">
        <v>581</v>
      </c>
    </row>
    <row r="5002" spans="1:2">
      <c r="A5002" t="s">
        <v>214</v>
      </c>
      <c r="B5002">
        <v>4505</v>
      </c>
    </row>
    <row r="5003" spans="1:2">
      <c r="A5003" t="s">
        <v>215</v>
      </c>
      <c r="B5003">
        <v>5405</v>
      </c>
    </row>
    <row r="5004" spans="1:2">
      <c r="A5004" t="s">
        <v>2009</v>
      </c>
      <c r="B5004">
        <v>5405</v>
      </c>
    </row>
    <row r="5005" spans="1:2">
      <c r="A5005" t="s">
        <v>586</v>
      </c>
      <c r="B5005">
        <v>15315</v>
      </c>
    </row>
    <row r="5007" spans="1:2">
      <c r="A5007" t="s">
        <v>268</v>
      </c>
    </row>
    <row r="5008" spans="1:2">
      <c r="A5008" t="s">
        <v>699</v>
      </c>
      <c r="B5008">
        <v>0</v>
      </c>
    </row>
    <row r="5009" spans="1:2">
      <c r="A5009" t="s">
        <v>588</v>
      </c>
      <c r="B5009">
        <v>0</v>
      </c>
    </row>
    <row r="5012" spans="1:2">
      <c r="A5012" t="s">
        <v>769</v>
      </c>
    </row>
    <row r="5014" spans="1:2">
      <c r="A5014" t="s">
        <v>1180</v>
      </c>
    </row>
    <row r="5015" spans="1:2">
      <c r="A5015" t="s">
        <v>1178</v>
      </c>
      <c r="B5015">
        <v>4895</v>
      </c>
    </row>
    <row r="5016" spans="1:2">
      <c r="A5016" t="s">
        <v>1179</v>
      </c>
      <c r="B5016">
        <v>4895</v>
      </c>
    </row>
    <row r="5017" spans="1:2">
      <c r="A5017" t="s">
        <v>2030</v>
      </c>
      <c r="B5017">
        <v>4895</v>
      </c>
    </row>
    <row r="5018" spans="1:2">
      <c r="A5018" t="s">
        <v>586</v>
      </c>
      <c r="B5018">
        <v>14685</v>
      </c>
    </row>
    <row r="5019" spans="1:2">
      <c r="A5019" t="s">
        <v>770</v>
      </c>
      <c r="B5019">
        <v>-14685</v>
      </c>
    </row>
    <row r="5020" spans="1:2">
      <c r="A5020" t="s">
        <v>770</v>
      </c>
      <c r="B5020">
        <v>0</v>
      </c>
    </row>
    <row r="5022" spans="1:2">
      <c r="A5022" t="s">
        <v>1181</v>
      </c>
    </row>
    <row r="5023" spans="1:2">
      <c r="A5023" t="s">
        <v>1182</v>
      </c>
      <c r="B5023">
        <v>4505</v>
      </c>
    </row>
    <row r="5024" spans="1:2">
      <c r="A5024" t="s">
        <v>1179</v>
      </c>
      <c r="B5024">
        <v>5140</v>
      </c>
    </row>
    <row r="5025" spans="1:2">
      <c r="A5025" t="s">
        <v>2030</v>
      </c>
      <c r="B5025">
        <v>5140</v>
      </c>
    </row>
    <row r="5026" spans="1:2">
      <c r="A5026" t="s">
        <v>586</v>
      </c>
      <c r="B5026">
        <v>14785</v>
      </c>
    </row>
    <row r="5027" spans="1:2">
      <c r="A5027" t="s">
        <v>770</v>
      </c>
      <c r="B5027">
        <v>-14785</v>
      </c>
    </row>
    <row r="5028" spans="1:2">
      <c r="A5028" t="s">
        <v>770</v>
      </c>
      <c r="B5028">
        <v>0</v>
      </c>
    </row>
    <row r="5030" spans="1:2">
      <c r="A5030" t="s">
        <v>2031</v>
      </c>
    </row>
    <row r="5031" spans="1:2">
      <c r="A5031" t="s">
        <v>1182</v>
      </c>
      <c r="B5031">
        <v>4505</v>
      </c>
    </row>
    <row r="5032" spans="1:2">
      <c r="A5032" t="s">
        <v>2032</v>
      </c>
      <c r="B5032">
        <v>5405</v>
      </c>
    </row>
    <row r="5033" spans="1:2">
      <c r="A5033" t="s">
        <v>2030</v>
      </c>
      <c r="B5033">
        <v>5140</v>
      </c>
    </row>
    <row r="5034" spans="1:2">
      <c r="A5034" t="s">
        <v>586</v>
      </c>
      <c r="B5034">
        <v>15050</v>
      </c>
    </row>
    <row r="5035" spans="1:2">
      <c r="A5035" t="s">
        <v>770</v>
      </c>
      <c r="B5035">
        <v>-15050</v>
      </c>
    </row>
    <row r="5036" spans="1:2">
      <c r="A5036" t="s">
        <v>770</v>
      </c>
      <c r="B5036">
        <v>0</v>
      </c>
    </row>
    <row r="5038" spans="1:2">
      <c r="A5038" t="s">
        <v>1943</v>
      </c>
      <c r="B5038">
        <v>5397</v>
      </c>
    </row>
    <row r="5040" spans="1:2" s="344" customFormat="1">
      <c r="A5040" s="345" t="s">
        <v>1747</v>
      </c>
    </row>
    <row r="5042" spans="1:2">
      <c r="A5042" t="s">
        <v>753</v>
      </c>
      <c r="B5042" s="346">
        <v>4505</v>
      </c>
    </row>
    <row r="5044" spans="1:2">
      <c r="A5044" t="s">
        <v>581</v>
      </c>
    </row>
    <row r="5045" spans="1:2">
      <c r="A5045" t="s">
        <v>214</v>
      </c>
      <c r="B5045">
        <v>4505</v>
      </c>
    </row>
    <row r="5046" spans="1:2">
      <c r="A5046" t="s">
        <v>215</v>
      </c>
      <c r="B5046">
        <v>5405</v>
      </c>
    </row>
    <row r="5047" spans="1:2">
      <c r="A5047" t="s">
        <v>2009</v>
      </c>
      <c r="B5047">
        <v>5405</v>
      </c>
    </row>
    <row r="5048" spans="1:2">
      <c r="A5048" t="s">
        <v>586</v>
      </c>
      <c r="B5048">
        <v>15315</v>
      </c>
    </row>
    <row r="5050" spans="1:2">
      <c r="A5050" t="s">
        <v>268</v>
      </c>
    </row>
    <row r="5051" spans="1:2">
      <c r="A5051" t="s">
        <v>699</v>
      </c>
      <c r="B5051">
        <v>0</v>
      </c>
    </row>
    <row r="5052" spans="1:2">
      <c r="A5052" t="s">
        <v>588</v>
      </c>
      <c r="B5052">
        <v>0</v>
      </c>
    </row>
    <row r="5055" spans="1:2">
      <c r="A5055" t="s">
        <v>769</v>
      </c>
    </row>
    <row r="5057" spans="1:2">
      <c r="A5057" t="s">
        <v>1180</v>
      </c>
    </row>
    <row r="5058" spans="1:2">
      <c r="A5058" t="s">
        <v>1178</v>
      </c>
      <c r="B5058">
        <v>13215</v>
      </c>
    </row>
    <row r="5059" spans="1:2">
      <c r="A5059" t="s">
        <v>1179</v>
      </c>
      <c r="B5059">
        <v>13215</v>
      </c>
    </row>
    <row r="5060" spans="1:2">
      <c r="A5060" t="s">
        <v>2030</v>
      </c>
      <c r="B5060">
        <v>13215</v>
      </c>
    </row>
    <row r="5061" spans="1:2">
      <c r="A5061" t="s">
        <v>586</v>
      </c>
      <c r="B5061">
        <v>39645</v>
      </c>
    </row>
    <row r="5062" spans="1:2">
      <c r="A5062" t="s">
        <v>770</v>
      </c>
      <c r="B5062">
        <v>-39645</v>
      </c>
    </row>
    <row r="5063" spans="1:2">
      <c r="A5063" t="s">
        <v>770</v>
      </c>
      <c r="B5063">
        <v>0</v>
      </c>
    </row>
    <row r="5065" spans="1:2">
      <c r="A5065" t="s">
        <v>1181</v>
      </c>
    </row>
    <row r="5066" spans="1:2">
      <c r="A5066" t="s">
        <v>1182</v>
      </c>
      <c r="B5066">
        <v>4505</v>
      </c>
    </row>
    <row r="5067" spans="1:2">
      <c r="A5067" t="s">
        <v>1179</v>
      </c>
      <c r="B5067">
        <v>13875</v>
      </c>
    </row>
    <row r="5068" spans="1:2">
      <c r="A5068" t="s">
        <v>2030</v>
      </c>
      <c r="B5068">
        <v>13875</v>
      </c>
    </row>
    <row r="5069" spans="1:2">
      <c r="A5069" t="s">
        <v>586</v>
      </c>
      <c r="B5069">
        <v>32255</v>
      </c>
    </row>
    <row r="5070" spans="1:2">
      <c r="A5070" t="s">
        <v>770</v>
      </c>
      <c r="B5070">
        <v>-32255</v>
      </c>
    </row>
    <row r="5071" spans="1:2">
      <c r="A5071" t="s">
        <v>770</v>
      </c>
      <c r="B5071">
        <v>0</v>
      </c>
    </row>
    <row r="5073" spans="1:2">
      <c r="A5073" t="s">
        <v>2031</v>
      </c>
    </row>
    <row r="5074" spans="1:2">
      <c r="A5074" t="s">
        <v>1182</v>
      </c>
      <c r="B5074">
        <v>4505</v>
      </c>
    </row>
    <row r="5075" spans="1:2">
      <c r="A5075" t="s">
        <v>2032</v>
      </c>
      <c r="B5075">
        <v>5405</v>
      </c>
    </row>
    <row r="5076" spans="1:2">
      <c r="A5076" t="s">
        <v>2030</v>
      </c>
      <c r="B5076">
        <v>13875</v>
      </c>
    </row>
    <row r="5077" spans="1:2">
      <c r="A5077" t="s">
        <v>586</v>
      </c>
      <c r="B5077">
        <v>23785</v>
      </c>
    </row>
    <row r="5078" spans="1:2">
      <c r="A5078" t="s">
        <v>770</v>
      </c>
      <c r="B5078">
        <v>-23785</v>
      </c>
    </row>
    <row r="5079" spans="1:2">
      <c r="A5079" t="s">
        <v>770</v>
      </c>
      <c r="B5079">
        <v>0</v>
      </c>
    </row>
    <row r="5081" spans="1:2">
      <c r="A5081" t="s">
        <v>1943</v>
      </c>
      <c r="B5081">
        <v>14568.75</v>
      </c>
    </row>
    <row r="5083" spans="1:2" s="344" customFormat="1">
      <c r="A5083" s="345" t="s">
        <v>1748</v>
      </c>
    </row>
    <row r="5085" spans="1:2">
      <c r="A5085" t="s">
        <v>753</v>
      </c>
      <c r="B5085" s="346">
        <v>10275</v>
      </c>
    </row>
    <row r="5087" spans="1:2">
      <c r="A5087" t="s">
        <v>581</v>
      </c>
    </row>
    <row r="5088" spans="1:2">
      <c r="A5088" t="s">
        <v>214</v>
      </c>
      <c r="B5088">
        <v>10275</v>
      </c>
    </row>
    <row r="5089" spans="1:2">
      <c r="A5089" t="s">
        <v>215</v>
      </c>
      <c r="B5089">
        <v>12330</v>
      </c>
    </row>
    <row r="5090" spans="1:2">
      <c r="A5090" t="s">
        <v>2009</v>
      </c>
      <c r="B5090">
        <v>12330</v>
      </c>
    </row>
    <row r="5091" spans="1:2">
      <c r="A5091" t="s">
        <v>586</v>
      </c>
      <c r="B5091">
        <v>34935</v>
      </c>
    </row>
    <row r="5093" spans="1:2">
      <c r="A5093" t="s">
        <v>268</v>
      </c>
    </row>
    <row r="5094" spans="1:2">
      <c r="A5094" t="s">
        <v>699</v>
      </c>
      <c r="B5094">
        <v>0</v>
      </c>
    </row>
    <row r="5095" spans="1:2">
      <c r="A5095" t="s">
        <v>588</v>
      </c>
      <c r="B5095">
        <v>0</v>
      </c>
    </row>
    <row r="5098" spans="1:2">
      <c r="A5098" t="s">
        <v>769</v>
      </c>
    </row>
    <row r="5100" spans="1:2">
      <c r="A5100" t="s">
        <v>1180</v>
      </c>
    </row>
    <row r="5101" spans="1:2">
      <c r="A5101" t="s">
        <v>1178</v>
      </c>
      <c r="B5101">
        <v>9805</v>
      </c>
    </row>
    <row r="5102" spans="1:2">
      <c r="A5102" t="s">
        <v>1179</v>
      </c>
      <c r="B5102">
        <v>9805</v>
      </c>
    </row>
    <row r="5103" spans="1:2">
      <c r="A5103" t="s">
        <v>2030</v>
      </c>
      <c r="B5103">
        <v>9805</v>
      </c>
    </row>
    <row r="5104" spans="1:2">
      <c r="A5104" t="s">
        <v>586</v>
      </c>
      <c r="B5104">
        <v>29415</v>
      </c>
    </row>
    <row r="5105" spans="1:2">
      <c r="A5105" t="s">
        <v>770</v>
      </c>
      <c r="B5105">
        <v>-29415</v>
      </c>
    </row>
    <row r="5106" spans="1:2">
      <c r="A5106" t="s">
        <v>770</v>
      </c>
      <c r="B5106">
        <v>0</v>
      </c>
    </row>
    <row r="5108" spans="1:2">
      <c r="A5108" t="s">
        <v>1181</v>
      </c>
    </row>
    <row r="5109" spans="1:2">
      <c r="A5109" t="s">
        <v>1182</v>
      </c>
      <c r="B5109">
        <v>10275</v>
      </c>
    </row>
    <row r="5110" spans="1:2">
      <c r="A5110" t="s">
        <v>1179</v>
      </c>
      <c r="B5110">
        <v>10295</v>
      </c>
    </row>
    <row r="5111" spans="1:2">
      <c r="A5111" t="s">
        <v>2030</v>
      </c>
      <c r="B5111">
        <v>10295</v>
      </c>
    </row>
    <row r="5112" spans="1:2">
      <c r="A5112" t="s">
        <v>586</v>
      </c>
      <c r="B5112">
        <v>30865</v>
      </c>
    </row>
    <row r="5113" spans="1:2">
      <c r="A5113" t="s">
        <v>770</v>
      </c>
      <c r="B5113">
        <v>-30865</v>
      </c>
    </row>
    <row r="5114" spans="1:2">
      <c r="A5114" t="s">
        <v>770</v>
      </c>
      <c r="B5114">
        <v>0</v>
      </c>
    </row>
    <row r="5116" spans="1:2">
      <c r="A5116" t="s">
        <v>2031</v>
      </c>
    </row>
    <row r="5117" spans="1:2">
      <c r="A5117" t="s">
        <v>1182</v>
      </c>
      <c r="B5117">
        <v>10275</v>
      </c>
    </row>
    <row r="5118" spans="1:2">
      <c r="A5118" t="s">
        <v>2032</v>
      </c>
      <c r="B5118">
        <v>12330</v>
      </c>
    </row>
    <row r="5119" spans="1:2">
      <c r="A5119" t="s">
        <v>2030</v>
      </c>
      <c r="B5119">
        <v>10295</v>
      </c>
    </row>
    <row r="5120" spans="1:2">
      <c r="A5120" t="s">
        <v>586</v>
      </c>
      <c r="B5120">
        <v>32900</v>
      </c>
    </row>
    <row r="5121" spans="1:2">
      <c r="A5121" t="s">
        <v>770</v>
      </c>
      <c r="B5121">
        <v>-32900</v>
      </c>
    </row>
    <row r="5122" spans="1:2">
      <c r="A5122" t="s">
        <v>770</v>
      </c>
      <c r="B5122">
        <v>0</v>
      </c>
    </row>
    <row r="5124" spans="1:2">
      <c r="A5124" t="s">
        <v>1943</v>
      </c>
      <c r="B5124">
        <v>10809.75</v>
      </c>
    </row>
    <row r="5126" spans="1:2" s="344" customFormat="1">
      <c r="A5126" s="345" t="s">
        <v>1749</v>
      </c>
    </row>
    <row r="5128" spans="1:2">
      <c r="A5128" t="s">
        <v>753</v>
      </c>
      <c r="B5128" s="346">
        <v>10275</v>
      </c>
    </row>
    <row r="5130" spans="1:2">
      <c r="A5130" t="s">
        <v>581</v>
      </c>
    </row>
    <row r="5131" spans="1:2">
      <c r="A5131" t="s">
        <v>214</v>
      </c>
      <c r="B5131">
        <v>10275</v>
      </c>
    </row>
    <row r="5132" spans="1:2">
      <c r="A5132" t="s">
        <v>215</v>
      </c>
      <c r="B5132">
        <v>12330</v>
      </c>
    </row>
    <row r="5133" spans="1:2">
      <c r="A5133" t="s">
        <v>2009</v>
      </c>
      <c r="B5133">
        <v>12330</v>
      </c>
    </row>
    <row r="5134" spans="1:2">
      <c r="A5134" t="s">
        <v>586</v>
      </c>
      <c r="B5134">
        <v>34935</v>
      </c>
    </row>
    <row r="5136" spans="1:2">
      <c r="A5136" t="s">
        <v>268</v>
      </c>
    </row>
    <row r="5137" spans="1:2">
      <c r="A5137" t="s">
        <v>699</v>
      </c>
      <c r="B5137">
        <v>0</v>
      </c>
    </row>
    <row r="5138" spans="1:2">
      <c r="A5138" t="s">
        <v>588</v>
      </c>
      <c r="B5138">
        <v>0</v>
      </c>
    </row>
    <row r="5141" spans="1:2">
      <c r="A5141" t="s">
        <v>769</v>
      </c>
    </row>
    <row r="5143" spans="1:2">
      <c r="A5143" t="s">
        <v>1180</v>
      </c>
    </row>
    <row r="5144" spans="1:2">
      <c r="A5144" t="s">
        <v>1178</v>
      </c>
      <c r="B5144">
        <v>13215</v>
      </c>
    </row>
    <row r="5145" spans="1:2">
      <c r="A5145" t="s">
        <v>1179</v>
      </c>
      <c r="B5145">
        <v>13215</v>
      </c>
    </row>
    <row r="5146" spans="1:2">
      <c r="A5146" t="s">
        <v>2030</v>
      </c>
      <c r="B5146">
        <v>13215</v>
      </c>
    </row>
    <row r="5147" spans="1:2">
      <c r="A5147" t="s">
        <v>586</v>
      </c>
      <c r="B5147">
        <v>39645</v>
      </c>
    </row>
    <row r="5148" spans="1:2">
      <c r="A5148" t="s">
        <v>770</v>
      </c>
      <c r="B5148">
        <v>-39645</v>
      </c>
    </row>
    <row r="5149" spans="1:2">
      <c r="A5149" t="s">
        <v>770</v>
      </c>
      <c r="B5149">
        <v>0</v>
      </c>
    </row>
    <row r="5151" spans="1:2">
      <c r="A5151" t="s">
        <v>1181</v>
      </c>
    </row>
    <row r="5152" spans="1:2">
      <c r="A5152" t="s">
        <v>1182</v>
      </c>
      <c r="B5152">
        <v>10275</v>
      </c>
    </row>
    <row r="5153" spans="1:2">
      <c r="A5153" t="s">
        <v>1179</v>
      </c>
      <c r="B5153">
        <v>13875</v>
      </c>
    </row>
    <row r="5154" spans="1:2">
      <c r="A5154" t="s">
        <v>2030</v>
      </c>
      <c r="B5154">
        <v>13875</v>
      </c>
    </row>
    <row r="5155" spans="1:2">
      <c r="A5155" t="s">
        <v>586</v>
      </c>
      <c r="B5155">
        <v>38025</v>
      </c>
    </row>
    <row r="5156" spans="1:2">
      <c r="A5156" t="s">
        <v>770</v>
      </c>
      <c r="B5156">
        <v>-38025</v>
      </c>
    </row>
    <row r="5157" spans="1:2">
      <c r="A5157" t="s">
        <v>770</v>
      </c>
      <c r="B5157">
        <v>0</v>
      </c>
    </row>
    <row r="5159" spans="1:2">
      <c r="A5159" t="s">
        <v>2031</v>
      </c>
    </row>
    <row r="5160" spans="1:2">
      <c r="A5160" t="s">
        <v>1182</v>
      </c>
      <c r="B5160">
        <v>10275</v>
      </c>
    </row>
    <row r="5161" spans="1:2">
      <c r="A5161" t="s">
        <v>2032</v>
      </c>
      <c r="B5161">
        <v>12330</v>
      </c>
    </row>
    <row r="5162" spans="1:2">
      <c r="A5162" t="s">
        <v>2030</v>
      </c>
      <c r="B5162">
        <v>13875</v>
      </c>
    </row>
    <row r="5163" spans="1:2">
      <c r="A5163" t="s">
        <v>586</v>
      </c>
      <c r="B5163">
        <v>36480</v>
      </c>
    </row>
    <row r="5164" spans="1:2">
      <c r="A5164" t="s">
        <v>770</v>
      </c>
      <c r="B5164">
        <v>-36480</v>
      </c>
    </row>
    <row r="5165" spans="1:2">
      <c r="A5165" t="s">
        <v>770</v>
      </c>
      <c r="B5165">
        <v>0</v>
      </c>
    </row>
    <row r="5167" spans="1:2">
      <c r="A5167" t="s">
        <v>1943</v>
      </c>
      <c r="B5167">
        <v>14568.75</v>
      </c>
    </row>
    <row r="5169" spans="1:2" s="344" customFormat="1">
      <c r="A5169" s="345" t="s">
        <v>1750</v>
      </c>
    </row>
    <row r="5171" spans="1:2">
      <c r="A5171" t="s">
        <v>753</v>
      </c>
      <c r="B5171" s="346">
        <v>5125</v>
      </c>
    </row>
    <row r="5173" spans="1:2">
      <c r="A5173" t="s">
        <v>581</v>
      </c>
    </row>
    <row r="5174" spans="1:2">
      <c r="A5174" t="s">
        <v>214</v>
      </c>
      <c r="B5174">
        <v>5125</v>
      </c>
    </row>
    <row r="5175" spans="1:2">
      <c r="A5175" t="s">
        <v>215</v>
      </c>
      <c r="B5175">
        <v>6150</v>
      </c>
    </row>
    <row r="5176" spans="1:2">
      <c r="A5176" t="s">
        <v>2009</v>
      </c>
      <c r="B5176">
        <v>6150</v>
      </c>
    </row>
    <row r="5177" spans="1:2">
      <c r="A5177" t="s">
        <v>586</v>
      </c>
      <c r="B5177">
        <v>17425</v>
      </c>
    </row>
    <row r="5179" spans="1:2">
      <c r="A5179" t="s">
        <v>268</v>
      </c>
    </row>
    <row r="5180" spans="1:2">
      <c r="A5180" t="s">
        <v>699</v>
      </c>
      <c r="B5180">
        <v>0</v>
      </c>
    </row>
    <row r="5181" spans="1:2">
      <c r="A5181" t="s">
        <v>588</v>
      </c>
      <c r="B5181">
        <v>0</v>
      </c>
    </row>
    <row r="5184" spans="1:2">
      <c r="A5184" t="s">
        <v>769</v>
      </c>
    </row>
    <row r="5186" spans="1:2">
      <c r="A5186" t="s">
        <v>1180</v>
      </c>
    </row>
    <row r="5187" spans="1:2">
      <c r="A5187" t="s">
        <v>1178</v>
      </c>
      <c r="B5187">
        <v>9805</v>
      </c>
    </row>
    <row r="5188" spans="1:2">
      <c r="A5188" t="s">
        <v>1179</v>
      </c>
      <c r="B5188">
        <v>9805</v>
      </c>
    </row>
    <row r="5189" spans="1:2">
      <c r="A5189" t="s">
        <v>2030</v>
      </c>
      <c r="B5189">
        <v>9805</v>
      </c>
    </row>
    <row r="5190" spans="1:2">
      <c r="A5190" t="s">
        <v>586</v>
      </c>
      <c r="B5190">
        <v>29415</v>
      </c>
    </row>
    <row r="5191" spans="1:2">
      <c r="A5191" t="s">
        <v>770</v>
      </c>
      <c r="B5191">
        <v>-29415</v>
      </c>
    </row>
    <row r="5192" spans="1:2">
      <c r="A5192" t="s">
        <v>770</v>
      </c>
      <c r="B5192">
        <v>0</v>
      </c>
    </row>
    <row r="5194" spans="1:2">
      <c r="A5194" t="s">
        <v>1181</v>
      </c>
    </row>
    <row r="5195" spans="1:2">
      <c r="A5195" t="s">
        <v>1182</v>
      </c>
      <c r="B5195">
        <v>5125</v>
      </c>
    </row>
    <row r="5196" spans="1:2">
      <c r="A5196" t="s">
        <v>1179</v>
      </c>
      <c r="B5196">
        <v>10295</v>
      </c>
    </row>
    <row r="5197" spans="1:2">
      <c r="A5197" t="s">
        <v>2030</v>
      </c>
      <c r="B5197">
        <v>10295</v>
      </c>
    </row>
    <row r="5198" spans="1:2">
      <c r="A5198" t="s">
        <v>586</v>
      </c>
      <c r="B5198">
        <v>25715</v>
      </c>
    </row>
    <row r="5199" spans="1:2">
      <c r="A5199" t="s">
        <v>770</v>
      </c>
      <c r="B5199">
        <v>-25715</v>
      </c>
    </row>
    <row r="5200" spans="1:2">
      <c r="A5200" t="s">
        <v>770</v>
      </c>
      <c r="B5200">
        <v>0</v>
      </c>
    </row>
    <row r="5202" spans="1:2">
      <c r="A5202" t="s">
        <v>2031</v>
      </c>
    </row>
    <row r="5203" spans="1:2">
      <c r="A5203" t="s">
        <v>1182</v>
      </c>
      <c r="B5203">
        <v>5125</v>
      </c>
    </row>
    <row r="5204" spans="1:2">
      <c r="A5204" t="s">
        <v>2032</v>
      </c>
      <c r="B5204">
        <v>6150</v>
      </c>
    </row>
    <row r="5205" spans="1:2">
      <c r="A5205" t="s">
        <v>2030</v>
      </c>
      <c r="B5205">
        <v>10295</v>
      </c>
    </row>
    <row r="5206" spans="1:2">
      <c r="A5206" t="s">
        <v>586</v>
      </c>
      <c r="B5206">
        <v>21570</v>
      </c>
    </row>
    <row r="5207" spans="1:2">
      <c r="A5207" t="s">
        <v>770</v>
      </c>
      <c r="B5207">
        <v>-21570</v>
      </c>
    </row>
    <row r="5208" spans="1:2">
      <c r="A5208" t="s">
        <v>770</v>
      </c>
      <c r="B5208">
        <v>0</v>
      </c>
    </row>
    <row r="5210" spans="1:2">
      <c r="A5210" t="s">
        <v>1943</v>
      </c>
      <c r="B5210">
        <v>10809.75</v>
      </c>
    </row>
    <row r="5212" spans="1:2" s="344" customFormat="1">
      <c r="A5212" s="345" t="s">
        <v>1751</v>
      </c>
    </row>
    <row r="5214" spans="1:2">
      <c r="A5214" t="s">
        <v>753</v>
      </c>
      <c r="B5214" s="346">
        <v>5125</v>
      </c>
    </row>
    <row r="5216" spans="1:2">
      <c r="A5216" t="s">
        <v>581</v>
      </c>
    </row>
    <row r="5217" spans="1:2">
      <c r="A5217" t="s">
        <v>214</v>
      </c>
      <c r="B5217">
        <v>5125</v>
      </c>
    </row>
    <row r="5218" spans="1:2">
      <c r="A5218" t="s">
        <v>215</v>
      </c>
      <c r="B5218">
        <v>6150</v>
      </c>
    </row>
    <row r="5219" spans="1:2">
      <c r="A5219" t="s">
        <v>2009</v>
      </c>
      <c r="B5219">
        <v>6150</v>
      </c>
    </row>
    <row r="5220" spans="1:2">
      <c r="A5220" t="s">
        <v>586</v>
      </c>
      <c r="B5220">
        <v>17425</v>
      </c>
    </row>
    <row r="5222" spans="1:2">
      <c r="A5222" t="s">
        <v>268</v>
      </c>
    </row>
    <row r="5223" spans="1:2">
      <c r="A5223" t="s">
        <v>699</v>
      </c>
      <c r="B5223">
        <v>0</v>
      </c>
    </row>
    <row r="5224" spans="1:2">
      <c r="A5224" t="s">
        <v>588</v>
      </c>
      <c r="B5224">
        <v>0</v>
      </c>
    </row>
    <row r="5227" spans="1:2">
      <c r="A5227" t="s">
        <v>769</v>
      </c>
    </row>
    <row r="5229" spans="1:2">
      <c r="A5229" t="s">
        <v>1180</v>
      </c>
    </row>
    <row r="5230" spans="1:2">
      <c r="A5230" t="s">
        <v>1178</v>
      </c>
      <c r="B5230">
        <v>4895</v>
      </c>
    </row>
    <row r="5231" spans="1:2">
      <c r="A5231" t="s">
        <v>1179</v>
      </c>
      <c r="B5231">
        <v>4895</v>
      </c>
    </row>
    <row r="5232" spans="1:2">
      <c r="A5232" t="s">
        <v>2030</v>
      </c>
      <c r="B5232">
        <v>4895</v>
      </c>
    </row>
    <row r="5233" spans="1:2">
      <c r="A5233" t="s">
        <v>586</v>
      </c>
      <c r="B5233">
        <v>14685</v>
      </c>
    </row>
    <row r="5234" spans="1:2">
      <c r="A5234" t="s">
        <v>770</v>
      </c>
      <c r="B5234">
        <v>-14685</v>
      </c>
    </row>
    <row r="5235" spans="1:2">
      <c r="A5235" t="s">
        <v>770</v>
      </c>
      <c r="B5235">
        <v>0</v>
      </c>
    </row>
    <row r="5237" spans="1:2">
      <c r="A5237" t="s">
        <v>1181</v>
      </c>
    </row>
    <row r="5238" spans="1:2">
      <c r="A5238" t="s">
        <v>1182</v>
      </c>
      <c r="B5238">
        <v>5125</v>
      </c>
    </row>
    <row r="5239" spans="1:2">
      <c r="A5239" t="s">
        <v>1179</v>
      </c>
      <c r="B5239">
        <v>5140</v>
      </c>
    </row>
    <row r="5240" spans="1:2">
      <c r="A5240" t="s">
        <v>2030</v>
      </c>
      <c r="B5240">
        <v>5140</v>
      </c>
    </row>
    <row r="5241" spans="1:2">
      <c r="A5241" t="s">
        <v>586</v>
      </c>
      <c r="B5241">
        <v>15405</v>
      </c>
    </row>
    <row r="5242" spans="1:2">
      <c r="A5242" t="s">
        <v>770</v>
      </c>
      <c r="B5242">
        <v>-15405</v>
      </c>
    </row>
    <row r="5243" spans="1:2">
      <c r="A5243" t="s">
        <v>770</v>
      </c>
      <c r="B5243">
        <v>0</v>
      </c>
    </row>
    <row r="5245" spans="1:2">
      <c r="A5245" t="s">
        <v>2031</v>
      </c>
    </row>
    <row r="5246" spans="1:2">
      <c r="A5246" t="s">
        <v>1182</v>
      </c>
      <c r="B5246">
        <v>5125</v>
      </c>
    </row>
    <row r="5247" spans="1:2">
      <c r="A5247" t="s">
        <v>2032</v>
      </c>
      <c r="B5247">
        <v>6150</v>
      </c>
    </row>
    <row r="5248" spans="1:2">
      <c r="A5248" t="s">
        <v>2030</v>
      </c>
      <c r="B5248">
        <v>5140</v>
      </c>
    </row>
    <row r="5249" spans="1:2">
      <c r="A5249" t="s">
        <v>586</v>
      </c>
      <c r="B5249">
        <v>16415</v>
      </c>
    </row>
    <row r="5250" spans="1:2">
      <c r="A5250" t="s">
        <v>770</v>
      </c>
      <c r="B5250">
        <v>-16415</v>
      </c>
    </row>
    <row r="5251" spans="1:2">
      <c r="A5251" t="s">
        <v>770</v>
      </c>
      <c r="B5251">
        <v>0</v>
      </c>
    </row>
    <row r="5253" spans="1:2">
      <c r="A5253" t="s">
        <v>1943</v>
      </c>
      <c r="B5253">
        <v>5397</v>
      </c>
    </row>
    <row r="5255" spans="1:2" s="344" customFormat="1">
      <c r="A5255" s="345" t="s">
        <v>1752</v>
      </c>
    </row>
    <row r="5257" spans="1:2">
      <c r="A5257" t="s">
        <v>753</v>
      </c>
      <c r="B5257" s="346">
        <v>5125</v>
      </c>
    </row>
    <row r="5259" spans="1:2">
      <c r="A5259" t="s">
        <v>581</v>
      </c>
    </row>
    <row r="5260" spans="1:2">
      <c r="A5260" t="s">
        <v>214</v>
      </c>
      <c r="B5260">
        <v>5125</v>
      </c>
    </row>
    <row r="5261" spans="1:2">
      <c r="A5261" t="s">
        <v>215</v>
      </c>
      <c r="B5261">
        <v>6150</v>
      </c>
    </row>
    <row r="5262" spans="1:2">
      <c r="A5262" t="s">
        <v>2009</v>
      </c>
      <c r="B5262">
        <v>6150</v>
      </c>
    </row>
    <row r="5263" spans="1:2">
      <c r="A5263" t="s">
        <v>586</v>
      </c>
      <c r="B5263">
        <v>17425</v>
      </c>
    </row>
    <row r="5265" spans="1:2">
      <c r="A5265" t="s">
        <v>268</v>
      </c>
    </row>
    <row r="5266" spans="1:2">
      <c r="A5266" t="s">
        <v>699</v>
      </c>
      <c r="B5266">
        <v>0</v>
      </c>
    </row>
    <row r="5267" spans="1:2">
      <c r="A5267" t="s">
        <v>588</v>
      </c>
      <c r="B5267">
        <v>0</v>
      </c>
    </row>
    <row r="5270" spans="1:2">
      <c r="A5270" t="s">
        <v>769</v>
      </c>
    </row>
    <row r="5272" spans="1:2">
      <c r="A5272" t="s">
        <v>1180</v>
      </c>
    </row>
    <row r="5273" spans="1:2">
      <c r="A5273" t="s">
        <v>1178</v>
      </c>
      <c r="B5273">
        <v>13215</v>
      </c>
    </row>
    <row r="5274" spans="1:2">
      <c r="A5274" t="s">
        <v>1179</v>
      </c>
      <c r="B5274">
        <v>13215</v>
      </c>
    </row>
    <row r="5275" spans="1:2">
      <c r="A5275" t="s">
        <v>2030</v>
      </c>
      <c r="B5275">
        <v>13215</v>
      </c>
    </row>
    <row r="5276" spans="1:2">
      <c r="A5276" t="s">
        <v>586</v>
      </c>
      <c r="B5276">
        <v>39645</v>
      </c>
    </row>
    <row r="5277" spans="1:2">
      <c r="A5277" t="s">
        <v>770</v>
      </c>
      <c r="B5277">
        <v>-39645</v>
      </c>
    </row>
    <row r="5278" spans="1:2">
      <c r="A5278" t="s">
        <v>770</v>
      </c>
      <c r="B5278">
        <v>0</v>
      </c>
    </row>
    <row r="5280" spans="1:2">
      <c r="A5280" t="s">
        <v>1181</v>
      </c>
    </row>
    <row r="5281" spans="1:2">
      <c r="A5281" t="s">
        <v>1182</v>
      </c>
      <c r="B5281">
        <v>5125</v>
      </c>
    </row>
    <row r="5282" spans="1:2">
      <c r="A5282" t="s">
        <v>1179</v>
      </c>
      <c r="B5282">
        <v>13875</v>
      </c>
    </row>
    <row r="5283" spans="1:2">
      <c r="A5283" t="s">
        <v>2030</v>
      </c>
      <c r="B5283">
        <v>13875</v>
      </c>
    </row>
    <row r="5284" spans="1:2">
      <c r="A5284" t="s">
        <v>586</v>
      </c>
      <c r="B5284">
        <v>32875</v>
      </c>
    </row>
    <row r="5285" spans="1:2">
      <c r="A5285" t="s">
        <v>770</v>
      </c>
      <c r="B5285">
        <v>-32875</v>
      </c>
    </row>
    <row r="5286" spans="1:2">
      <c r="A5286" t="s">
        <v>770</v>
      </c>
      <c r="B5286">
        <v>0</v>
      </c>
    </row>
    <row r="5288" spans="1:2">
      <c r="A5288" t="s">
        <v>2031</v>
      </c>
    </row>
    <row r="5289" spans="1:2">
      <c r="A5289" t="s">
        <v>1182</v>
      </c>
      <c r="B5289">
        <v>5125</v>
      </c>
    </row>
    <row r="5290" spans="1:2">
      <c r="A5290" t="s">
        <v>2032</v>
      </c>
      <c r="B5290">
        <v>6150</v>
      </c>
    </row>
    <row r="5291" spans="1:2">
      <c r="A5291" t="s">
        <v>2030</v>
      </c>
      <c r="B5291">
        <v>13875</v>
      </c>
    </row>
    <row r="5292" spans="1:2">
      <c r="A5292" t="s">
        <v>586</v>
      </c>
      <c r="B5292">
        <v>25150</v>
      </c>
    </row>
    <row r="5293" spans="1:2">
      <c r="A5293" t="s">
        <v>770</v>
      </c>
      <c r="B5293">
        <v>-25150</v>
      </c>
    </row>
    <row r="5294" spans="1:2">
      <c r="A5294" t="s">
        <v>770</v>
      </c>
      <c r="B5294">
        <v>0</v>
      </c>
    </row>
    <row r="5296" spans="1:2">
      <c r="A5296" t="s">
        <v>1943</v>
      </c>
      <c r="B5296">
        <v>14568.75</v>
      </c>
    </row>
    <row r="5298" spans="1:2" s="344" customFormat="1">
      <c r="A5298" s="345" t="s">
        <v>1753</v>
      </c>
    </row>
    <row r="5300" spans="1:2">
      <c r="A5300" t="s">
        <v>753</v>
      </c>
      <c r="B5300" s="346">
        <v>13845</v>
      </c>
    </row>
    <row r="5302" spans="1:2">
      <c r="A5302" t="s">
        <v>581</v>
      </c>
    </row>
    <row r="5303" spans="1:2">
      <c r="A5303" t="s">
        <v>214</v>
      </c>
      <c r="B5303">
        <v>13845</v>
      </c>
    </row>
    <row r="5304" spans="1:2">
      <c r="A5304" t="s">
        <v>215</v>
      </c>
      <c r="B5304">
        <v>16615</v>
      </c>
    </row>
    <row r="5305" spans="1:2">
      <c r="A5305" t="s">
        <v>2009</v>
      </c>
      <c r="B5305">
        <v>16615</v>
      </c>
    </row>
    <row r="5306" spans="1:2">
      <c r="A5306" t="s">
        <v>586</v>
      </c>
      <c r="B5306">
        <v>47075</v>
      </c>
    </row>
    <row r="5308" spans="1:2">
      <c r="A5308" t="s">
        <v>268</v>
      </c>
    </row>
    <row r="5309" spans="1:2">
      <c r="A5309" t="s">
        <v>699</v>
      </c>
      <c r="B5309">
        <v>0</v>
      </c>
    </row>
    <row r="5310" spans="1:2">
      <c r="A5310" t="s">
        <v>588</v>
      </c>
      <c r="B5310">
        <v>0</v>
      </c>
    </row>
    <row r="5313" spans="1:2">
      <c r="A5313" t="s">
        <v>769</v>
      </c>
    </row>
    <row r="5315" spans="1:2">
      <c r="A5315" t="s">
        <v>1180</v>
      </c>
    </row>
    <row r="5316" spans="1:2">
      <c r="A5316" t="s">
        <v>1178</v>
      </c>
      <c r="B5316">
        <v>13215</v>
      </c>
    </row>
    <row r="5317" spans="1:2">
      <c r="A5317" t="s">
        <v>1179</v>
      </c>
      <c r="B5317">
        <v>13215</v>
      </c>
    </row>
    <row r="5318" spans="1:2">
      <c r="A5318" t="s">
        <v>2030</v>
      </c>
      <c r="B5318">
        <v>13215</v>
      </c>
    </row>
    <row r="5319" spans="1:2">
      <c r="A5319" t="s">
        <v>586</v>
      </c>
      <c r="B5319">
        <v>39645</v>
      </c>
    </row>
    <row r="5320" spans="1:2">
      <c r="A5320" t="s">
        <v>770</v>
      </c>
      <c r="B5320">
        <v>-39645</v>
      </c>
    </row>
    <row r="5321" spans="1:2">
      <c r="A5321" t="s">
        <v>770</v>
      </c>
      <c r="B5321">
        <v>0</v>
      </c>
    </row>
    <row r="5323" spans="1:2">
      <c r="A5323" t="s">
        <v>1181</v>
      </c>
    </row>
    <row r="5324" spans="1:2">
      <c r="A5324" t="s">
        <v>1182</v>
      </c>
      <c r="B5324">
        <v>13845</v>
      </c>
    </row>
    <row r="5325" spans="1:2">
      <c r="A5325" t="s">
        <v>1179</v>
      </c>
      <c r="B5325">
        <v>13875</v>
      </c>
    </row>
    <row r="5326" spans="1:2">
      <c r="A5326" t="s">
        <v>2030</v>
      </c>
      <c r="B5326">
        <v>13875</v>
      </c>
    </row>
    <row r="5327" spans="1:2">
      <c r="A5327" t="s">
        <v>586</v>
      </c>
      <c r="B5327">
        <v>41595</v>
      </c>
    </row>
    <row r="5328" spans="1:2">
      <c r="A5328" t="s">
        <v>770</v>
      </c>
      <c r="B5328">
        <v>-41595</v>
      </c>
    </row>
    <row r="5329" spans="1:2">
      <c r="A5329" t="s">
        <v>770</v>
      </c>
      <c r="B5329">
        <v>0</v>
      </c>
    </row>
    <row r="5331" spans="1:2">
      <c r="A5331" t="s">
        <v>2031</v>
      </c>
    </row>
    <row r="5332" spans="1:2">
      <c r="A5332" t="s">
        <v>1182</v>
      </c>
      <c r="B5332">
        <v>13845</v>
      </c>
    </row>
    <row r="5333" spans="1:2">
      <c r="A5333" t="s">
        <v>2032</v>
      </c>
      <c r="B5333">
        <v>16615</v>
      </c>
    </row>
    <row r="5334" spans="1:2">
      <c r="A5334" t="s">
        <v>2030</v>
      </c>
      <c r="B5334">
        <v>13875</v>
      </c>
    </row>
    <row r="5335" spans="1:2">
      <c r="A5335" t="s">
        <v>586</v>
      </c>
      <c r="B5335">
        <v>44335</v>
      </c>
    </row>
    <row r="5336" spans="1:2">
      <c r="A5336" t="s">
        <v>770</v>
      </c>
      <c r="B5336">
        <v>-44335</v>
      </c>
    </row>
    <row r="5337" spans="1:2">
      <c r="A5337" t="s">
        <v>770</v>
      </c>
      <c r="B5337">
        <v>0</v>
      </c>
    </row>
    <row r="5339" spans="1:2">
      <c r="A5339" t="s">
        <v>1943</v>
      </c>
      <c r="B5339">
        <v>14568.75</v>
      </c>
    </row>
    <row r="5341" spans="1:2" s="344" customFormat="1">
      <c r="A5341" s="345" t="s">
        <v>1754</v>
      </c>
    </row>
    <row r="5343" spans="1:2">
      <c r="A5343" t="s">
        <v>753</v>
      </c>
      <c r="B5343" s="346">
        <v>2185</v>
      </c>
    </row>
    <row r="5345" spans="1:2">
      <c r="A5345" t="s">
        <v>581</v>
      </c>
    </row>
    <row r="5346" spans="1:2">
      <c r="A5346" t="s">
        <v>214</v>
      </c>
      <c r="B5346">
        <v>2185</v>
      </c>
    </row>
    <row r="5347" spans="1:2">
      <c r="A5347" t="s">
        <v>215</v>
      </c>
      <c r="B5347">
        <v>2620</v>
      </c>
    </row>
    <row r="5348" spans="1:2">
      <c r="A5348" t="s">
        <v>2009</v>
      </c>
      <c r="B5348">
        <v>2620</v>
      </c>
    </row>
    <row r="5349" spans="1:2">
      <c r="A5349" t="s">
        <v>586</v>
      </c>
      <c r="B5349">
        <v>7425</v>
      </c>
    </row>
    <row r="5351" spans="1:2">
      <c r="A5351" t="s">
        <v>268</v>
      </c>
    </row>
    <row r="5352" spans="1:2">
      <c r="A5352" t="s">
        <v>699</v>
      </c>
      <c r="B5352">
        <v>4970</v>
      </c>
    </row>
    <row r="5353" spans="1:2">
      <c r="A5353" t="s">
        <v>588</v>
      </c>
      <c r="B5353">
        <v>14910</v>
      </c>
    </row>
    <row r="5356" spans="1:2">
      <c r="A5356" t="s">
        <v>769</v>
      </c>
    </row>
    <row r="5358" spans="1:2">
      <c r="A5358" t="s">
        <v>1180</v>
      </c>
    </row>
    <row r="5359" spans="1:2">
      <c r="A5359" t="s">
        <v>1178</v>
      </c>
      <c r="B5359">
        <v>2085</v>
      </c>
    </row>
    <row r="5360" spans="1:2">
      <c r="A5360" t="s">
        <v>1179</v>
      </c>
      <c r="B5360">
        <v>2085</v>
      </c>
    </row>
    <row r="5361" spans="1:2">
      <c r="A5361" t="s">
        <v>2030</v>
      </c>
      <c r="B5361">
        <v>2085</v>
      </c>
    </row>
    <row r="5362" spans="1:2">
      <c r="A5362" t="s">
        <v>586</v>
      </c>
      <c r="B5362">
        <v>6255</v>
      </c>
    </row>
    <row r="5363" spans="1:2">
      <c r="A5363" t="s">
        <v>770</v>
      </c>
      <c r="B5363">
        <v>8655</v>
      </c>
    </row>
    <row r="5364" spans="1:2">
      <c r="A5364" t="s">
        <v>770</v>
      </c>
      <c r="B5364">
        <v>0.58048289738430581</v>
      </c>
    </row>
    <row r="5366" spans="1:2">
      <c r="A5366" t="s">
        <v>1181</v>
      </c>
    </row>
    <row r="5367" spans="1:2">
      <c r="A5367" t="s">
        <v>1182</v>
      </c>
      <c r="B5367">
        <v>2185</v>
      </c>
    </row>
    <row r="5368" spans="1:2">
      <c r="A5368" t="s">
        <v>1179</v>
      </c>
      <c r="B5368">
        <v>2190</v>
      </c>
    </row>
    <row r="5369" spans="1:2">
      <c r="A5369" t="s">
        <v>2030</v>
      </c>
      <c r="B5369">
        <v>2190</v>
      </c>
    </row>
    <row r="5370" spans="1:2">
      <c r="A5370" t="s">
        <v>586</v>
      </c>
      <c r="B5370">
        <v>6565</v>
      </c>
    </row>
    <row r="5371" spans="1:2">
      <c r="A5371" t="s">
        <v>770</v>
      </c>
      <c r="B5371">
        <v>8345</v>
      </c>
    </row>
    <row r="5372" spans="1:2">
      <c r="A5372" t="s">
        <v>770</v>
      </c>
      <c r="B5372">
        <v>0.55969148222669352</v>
      </c>
    </row>
    <row r="5374" spans="1:2">
      <c r="A5374" t="s">
        <v>2031</v>
      </c>
    </row>
    <row r="5375" spans="1:2">
      <c r="A5375" t="s">
        <v>1182</v>
      </c>
      <c r="B5375">
        <v>2185</v>
      </c>
    </row>
    <row r="5376" spans="1:2">
      <c r="A5376" t="s">
        <v>2032</v>
      </c>
      <c r="B5376">
        <v>2620</v>
      </c>
    </row>
    <row r="5377" spans="1:2">
      <c r="A5377" t="s">
        <v>2030</v>
      </c>
      <c r="B5377">
        <v>2190</v>
      </c>
    </row>
    <row r="5378" spans="1:2">
      <c r="A5378" t="s">
        <v>586</v>
      </c>
      <c r="B5378">
        <v>6995</v>
      </c>
    </row>
    <row r="5379" spans="1:2">
      <c r="A5379" t="s">
        <v>770</v>
      </c>
      <c r="B5379">
        <v>7915</v>
      </c>
    </row>
    <row r="5380" spans="1:2">
      <c r="A5380" t="s">
        <v>770</v>
      </c>
      <c r="B5380">
        <v>0.53085177733065059</v>
      </c>
    </row>
    <row r="5382" spans="1:2">
      <c r="A5382" t="s">
        <v>1943</v>
      </c>
      <c r="B5382">
        <v>2299.5</v>
      </c>
    </row>
    <row r="5384" spans="1:2" s="344" customFormat="1">
      <c r="A5384" s="345" t="s">
        <v>746</v>
      </c>
    </row>
    <row r="5386" spans="1:2">
      <c r="A5386" t="s">
        <v>753</v>
      </c>
      <c r="B5386" s="346">
        <v>945</v>
      </c>
    </row>
    <row r="5388" spans="1:2">
      <c r="A5388" t="s">
        <v>581</v>
      </c>
    </row>
    <row r="5389" spans="1:2">
      <c r="A5389" t="s">
        <v>214</v>
      </c>
      <c r="B5389">
        <v>945</v>
      </c>
    </row>
    <row r="5390" spans="1:2">
      <c r="A5390" t="s">
        <v>215</v>
      </c>
      <c r="B5390">
        <v>1135</v>
      </c>
    </row>
    <row r="5391" spans="1:2">
      <c r="A5391" t="s">
        <v>2009</v>
      </c>
      <c r="B5391">
        <v>1135</v>
      </c>
    </row>
    <row r="5392" spans="1:2">
      <c r="A5392" t="s">
        <v>586</v>
      </c>
      <c r="B5392">
        <v>3215</v>
      </c>
    </row>
    <row r="5394" spans="1:2">
      <c r="A5394" t="s">
        <v>268</v>
      </c>
    </row>
    <row r="5395" spans="1:2">
      <c r="A5395" t="s">
        <v>699</v>
      </c>
      <c r="B5395">
        <v>2820</v>
      </c>
    </row>
    <row r="5396" spans="1:2">
      <c r="A5396" t="s">
        <v>588</v>
      </c>
      <c r="B5396">
        <v>8460</v>
      </c>
    </row>
    <row r="5399" spans="1:2">
      <c r="A5399" t="s">
        <v>769</v>
      </c>
    </row>
    <row r="5401" spans="1:2">
      <c r="A5401" t="s">
        <v>1180</v>
      </c>
    </row>
    <row r="5402" spans="1:2">
      <c r="A5402" t="s">
        <v>1178</v>
      </c>
      <c r="B5402">
        <v>925</v>
      </c>
    </row>
    <row r="5403" spans="1:2">
      <c r="A5403" t="s">
        <v>1179</v>
      </c>
      <c r="B5403">
        <v>925</v>
      </c>
    </row>
    <row r="5404" spans="1:2">
      <c r="A5404" t="s">
        <v>2030</v>
      </c>
      <c r="B5404">
        <v>925</v>
      </c>
    </row>
    <row r="5405" spans="1:2">
      <c r="A5405" t="s">
        <v>586</v>
      </c>
      <c r="B5405">
        <v>2775</v>
      </c>
    </row>
    <row r="5406" spans="1:2">
      <c r="A5406" t="s">
        <v>770</v>
      </c>
      <c r="B5406">
        <v>5685</v>
      </c>
    </row>
    <row r="5407" spans="1:2">
      <c r="A5407" t="s">
        <v>770</v>
      </c>
      <c r="B5407">
        <v>0.67198581560283688</v>
      </c>
    </row>
    <row r="5409" spans="1:2">
      <c r="A5409" t="s">
        <v>1181</v>
      </c>
    </row>
    <row r="5410" spans="1:2">
      <c r="A5410" t="s">
        <v>1182</v>
      </c>
      <c r="B5410">
        <v>945</v>
      </c>
    </row>
    <row r="5411" spans="1:2">
      <c r="A5411" t="s">
        <v>1179</v>
      </c>
      <c r="B5411">
        <v>970</v>
      </c>
    </row>
    <row r="5412" spans="1:2">
      <c r="A5412" t="s">
        <v>2030</v>
      </c>
      <c r="B5412">
        <v>970</v>
      </c>
    </row>
    <row r="5413" spans="1:2">
      <c r="A5413" t="s">
        <v>586</v>
      </c>
      <c r="B5413">
        <v>2885</v>
      </c>
    </row>
    <row r="5414" spans="1:2">
      <c r="A5414" t="s">
        <v>770</v>
      </c>
      <c r="B5414">
        <v>5575</v>
      </c>
    </row>
    <row r="5415" spans="1:2">
      <c r="A5415" t="s">
        <v>770</v>
      </c>
      <c r="B5415">
        <v>0.65898345153664306</v>
      </c>
    </row>
    <row r="5417" spans="1:2">
      <c r="A5417" t="s">
        <v>2031</v>
      </c>
    </row>
    <row r="5418" spans="1:2">
      <c r="A5418" t="s">
        <v>1182</v>
      </c>
      <c r="B5418">
        <v>945</v>
      </c>
    </row>
    <row r="5419" spans="1:2">
      <c r="A5419" t="s">
        <v>2032</v>
      </c>
      <c r="B5419">
        <v>1135</v>
      </c>
    </row>
    <row r="5420" spans="1:2">
      <c r="A5420" t="s">
        <v>2030</v>
      </c>
      <c r="B5420">
        <v>970</v>
      </c>
    </row>
    <row r="5421" spans="1:2">
      <c r="A5421" t="s">
        <v>586</v>
      </c>
      <c r="B5421">
        <v>3050</v>
      </c>
    </row>
    <row r="5422" spans="1:2">
      <c r="A5422" t="s">
        <v>770</v>
      </c>
      <c r="B5422">
        <v>5410</v>
      </c>
    </row>
    <row r="5423" spans="1:2">
      <c r="A5423" t="s">
        <v>770</v>
      </c>
      <c r="B5423">
        <v>0.63947990543735223</v>
      </c>
    </row>
    <row r="5425" spans="1:2">
      <c r="A5425" t="s">
        <v>1943</v>
      </c>
      <c r="B5425">
        <v>1018.5</v>
      </c>
    </row>
    <row r="5427" spans="1:2" s="344" customFormat="1">
      <c r="A5427" s="345" t="s">
        <v>751</v>
      </c>
    </row>
    <row r="5429" spans="1:2">
      <c r="A5429" t="s">
        <v>753</v>
      </c>
      <c r="B5429" s="346">
        <v>945</v>
      </c>
    </row>
    <row r="5431" spans="1:2">
      <c r="A5431" t="s">
        <v>581</v>
      </c>
    </row>
    <row r="5432" spans="1:2">
      <c r="A5432" t="s">
        <v>214</v>
      </c>
      <c r="B5432">
        <v>945</v>
      </c>
    </row>
    <row r="5433" spans="1:2">
      <c r="A5433" t="s">
        <v>215</v>
      </c>
      <c r="B5433">
        <v>1135</v>
      </c>
    </row>
    <row r="5434" spans="1:2">
      <c r="A5434" t="s">
        <v>2009</v>
      </c>
      <c r="B5434">
        <v>1135</v>
      </c>
    </row>
    <row r="5435" spans="1:2">
      <c r="A5435" t="s">
        <v>586</v>
      </c>
      <c r="B5435">
        <v>3215</v>
      </c>
    </row>
    <row r="5437" spans="1:2">
      <c r="A5437" t="s">
        <v>268</v>
      </c>
    </row>
    <row r="5438" spans="1:2">
      <c r="A5438" t="s">
        <v>699</v>
      </c>
      <c r="B5438">
        <v>2895</v>
      </c>
    </row>
    <row r="5439" spans="1:2">
      <c r="A5439" t="s">
        <v>588</v>
      </c>
      <c r="B5439">
        <v>8685</v>
      </c>
    </row>
    <row r="5442" spans="1:2">
      <c r="A5442" t="s">
        <v>769</v>
      </c>
    </row>
    <row r="5444" spans="1:2">
      <c r="A5444" t="s">
        <v>1180</v>
      </c>
    </row>
    <row r="5445" spans="1:2">
      <c r="A5445" t="s">
        <v>1178</v>
      </c>
      <c r="B5445">
        <v>905</v>
      </c>
    </row>
    <row r="5446" spans="1:2">
      <c r="A5446" t="s">
        <v>1179</v>
      </c>
      <c r="B5446">
        <v>905</v>
      </c>
    </row>
    <row r="5447" spans="1:2">
      <c r="A5447" t="s">
        <v>2030</v>
      </c>
      <c r="B5447">
        <v>905</v>
      </c>
    </row>
    <row r="5448" spans="1:2">
      <c r="A5448" t="s">
        <v>586</v>
      </c>
      <c r="B5448">
        <v>2715</v>
      </c>
    </row>
    <row r="5449" spans="1:2">
      <c r="A5449" t="s">
        <v>770</v>
      </c>
      <c r="B5449">
        <v>5970</v>
      </c>
    </row>
    <row r="5450" spans="1:2">
      <c r="A5450" t="s">
        <v>770</v>
      </c>
      <c r="B5450">
        <v>0.68739205526770297</v>
      </c>
    </row>
    <row r="5452" spans="1:2">
      <c r="A5452" t="s">
        <v>1181</v>
      </c>
    </row>
    <row r="5453" spans="1:2">
      <c r="A5453" t="s">
        <v>1182</v>
      </c>
      <c r="B5453">
        <v>945</v>
      </c>
    </row>
    <row r="5454" spans="1:2">
      <c r="A5454" t="s">
        <v>1179</v>
      </c>
      <c r="B5454">
        <v>950</v>
      </c>
    </row>
    <row r="5455" spans="1:2">
      <c r="A5455" t="s">
        <v>2030</v>
      </c>
      <c r="B5455">
        <v>950</v>
      </c>
    </row>
    <row r="5456" spans="1:2">
      <c r="A5456" t="s">
        <v>586</v>
      </c>
      <c r="B5456">
        <v>2845</v>
      </c>
    </row>
    <row r="5457" spans="1:2">
      <c r="A5457" t="s">
        <v>770</v>
      </c>
      <c r="B5457">
        <v>5840</v>
      </c>
    </row>
    <row r="5458" spans="1:2">
      <c r="A5458" t="s">
        <v>770</v>
      </c>
      <c r="B5458">
        <v>0.67242371905584342</v>
      </c>
    </row>
    <row r="5460" spans="1:2">
      <c r="A5460" t="s">
        <v>2031</v>
      </c>
    </row>
    <row r="5461" spans="1:2">
      <c r="A5461" t="s">
        <v>1182</v>
      </c>
      <c r="B5461">
        <v>945</v>
      </c>
    </row>
    <row r="5462" spans="1:2">
      <c r="A5462" t="s">
        <v>2032</v>
      </c>
      <c r="B5462">
        <v>1135</v>
      </c>
    </row>
    <row r="5463" spans="1:2">
      <c r="A5463" t="s">
        <v>2030</v>
      </c>
      <c r="B5463">
        <v>950</v>
      </c>
    </row>
    <row r="5464" spans="1:2">
      <c r="A5464" t="s">
        <v>586</v>
      </c>
      <c r="B5464">
        <v>3030</v>
      </c>
    </row>
    <row r="5465" spans="1:2">
      <c r="A5465" t="s">
        <v>770</v>
      </c>
      <c r="B5465">
        <v>5655</v>
      </c>
    </row>
    <row r="5466" spans="1:2">
      <c r="A5466" t="s">
        <v>770</v>
      </c>
      <c r="B5466">
        <v>0.65112262521588948</v>
      </c>
    </row>
    <row r="5468" spans="1:2">
      <c r="A5468" t="s">
        <v>1943</v>
      </c>
      <c r="B5468">
        <v>997.5</v>
      </c>
    </row>
    <row r="5470" spans="1:2" s="344" customFormat="1">
      <c r="A5470" s="345" t="s">
        <v>1755</v>
      </c>
    </row>
    <row r="5472" spans="1:2">
      <c r="A5472" t="s">
        <v>753</v>
      </c>
      <c r="B5472" s="346">
        <v>90</v>
      </c>
    </row>
    <row r="5474" spans="1:2">
      <c r="A5474" t="s">
        <v>581</v>
      </c>
    </row>
    <row r="5475" spans="1:2">
      <c r="A5475" t="s">
        <v>214</v>
      </c>
      <c r="B5475">
        <v>90</v>
      </c>
    </row>
    <row r="5476" spans="1:2">
      <c r="A5476" t="s">
        <v>215</v>
      </c>
      <c r="B5476">
        <v>110</v>
      </c>
    </row>
    <row r="5477" spans="1:2">
      <c r="A5477" t="s">
        <v>2009</v>
      </c>
      <c r="B5477">
        <v>110</v>
      </c>
    </row>
    <row r="5478" spans="1:2">
      <c r="A5478" t="s">
        <v>586</v>
      </c>
      <c r="B5478">
        <v>310</v>
      </c>
    </row>
    <row r="5480" spans="1:2">
      <c r="A5480" t="s">
        <v>268</v>
      </c>
    </row>
    <row r="5481" spans="1:2">
      <c r="A5481" t="s">
        <v>699</v>
      </c>
      <c r="B5481">
        <v>2820</v>
      </c>
    </row>
    <row r="5482" spans="1:2">
      <c r="A5482" t="s">
        <v>588</v>
      </c>
      <c r="B5482">
        <v>8460</v>
      </c>
    </row>
    <row r="5485" spans="1:2">
      <c r="A5485" t="s">
        <v>769</v>
      </c>
    </row>
    <row r="5487" spans="1:2">
      <c r="A5487" t="s">
        <v>1180</v>
      </c>
    </row>
    <row r="5488" spans="1:2">
      <c r="A5488" t="s">
        <v>1178</v>
      </c>
      <c r="B5488">
        <v>925</v>
      </c>
    </row>
    <row r="5489" spans="1:2">
      <c r="A5489" t="s">
        <v>1179</v>
      </c>
      <c r="B5489">
        <v>925</v>
      </c>
    </row>
    <row r="5490" spans="1:2">
      <c r="A5490" t="s">
        <v>2030</v>
      </c>
      <c r="B5490">
        <v>925</v>
      </c>
    </row>
    <row r="5491" spans="1:2">
      <c r="A5491" t="s">
        <v>586</v>
      </c>
      <c r="B5491">
        <v>2775</v>
      </c>
    </row>
    <row r="5492" spans="1:2">
      <c r="A5492" t="s">
        <v>770</v>
      </c>
      <c r="B5492">
        <v>5685</v>
      </c>
    </row>
    <row r="5493" spans="1:2">
      <c r="A5493" t="s">
        <v>770</v>
      </c>
      <c r="B5493">
        <v>0.67198581560283688</v>
      </c>
    </row>
    <row r="5495" spans="1:2">
      <c r="A5495" t="s">
        <v>1181</v>
      </c>
    </row>
    <row r="5496" spans="1:2">
      <c r="A5496" t="s">
        <v>1182</v>
      </c>
      <c r="B5496">
        <v>90</v>
      </c>
    </row>
    <row r="5497" spans="1:2">
      <c r="A5497" t="s">
        <v>1179</v>
      </c>
      <c r="B5497">
        <v>970</v>
      </c>
    </row>
    <row r="5498" spans="1:2">
      <c r="A5498" t="s">
        <v>2030</v>
      </c>
      <c r="B5498">
        <v>970</v>
      </c>
    </row>
    <row r="5499" spans="1:2">
      <c r="A5499" t="s">
        <v>586</v>
      </c>
      <c r="B5499">
        <v>2030</v>
      </c>
    </row>
    <row r="5500" spans="1:2">
      <c r="A5500" t="s">
        <v>770</v>
      </c>
      <c r="B5500">
        <v>6430</v>
      </c>
    </row>
    <row r="5501" spans="1:2">
      <c r="A5501" t="s">
        <v>770</v>
      </c>
      <c r="B5501">
        <v>0.76004728132387711</v>
      </c>
    </row>
    <row r="5503" spans="1:2">
      <c r="A5503" t="s">
        <v>2031</v>
      </c>
    </row>
    <row r="5504" spans="1:2">
      <c r="A5504" t="s">
        <v>1182</v>
      </c>
      <c r="B5504">
        <v>90</v>
      </c>
    </row>
    <row r="5505" spans="1:2">
      <c r="A5505" t="s">
        <v>2032</v>
      </c>
      <c r="B5505">
        <v>110</v>
      </c>
    </row>
    <row r="5506" spans="1:2">
      <c r="A5506" t="s">
        <v>2030</v>
      </c>
      <c r="B5506">
        <v>970</v>
      </c>
    </row>
    <row r="5507" spans="1:2">
      <c r="A5507" t="s">
        <v>586</v>
      </c>
      <c r="B5507">
        <v>1170</v>
      </c>
    </row>
    <row r="5508" spans="1:2">
      <c r="A5508" t="s">
        <v>770</v>
      </c>
      <c r="B5508">
        <v>7290</v>
      </c>
    </row>
    <row r="5509" spans="1:2">
      <c r="A5509" t="s">
        <v>770</v>
      </c>
      <c r="B5509">
        <v>0.86170212765957444</v>
      </c>
    </row>
    <row r="5511" spans="1:2">
      <c r="A5511" t="s">
        <v>1943</v>
      </c>
      <c r="B5511">
        <v>1018.5</v>
      </c>
    </row>
    <row r="5513" spans="1:2" s="344" customFormat="1">
      <c r="A5513" s="345" t="s">
        <v>1756</v>
      </c>
    </row>
    <row r="5515" spans="1:2">
      <c r="A5515" t="s">
        <v>753</v>
      </c>
      <c r="B5515" s="346">
        <v>90</v>
      </c>
    </row>
    <row r="5517" spans="1:2">
      <c r="A5517" t="s">
        <v>581</v>
      </c>
    </row>
    <row r="5518" spans="1:2">
      <c r="A5518" t="s">
        <v>214</v>
      </c>
      <c r="B5518">
        <v>90</v>
      </c>
    </row>
    <row r="5519" spans="1:2">
      <c r="A5519" t="s">
        <v>215</v>
      </c>
      <c r="B5519">
        <v>110</v>
      </c>
    </row>
    <row r="5520" spans="1:2">
      <c r="A5520" t="s">
        <v>2009</v>
      </c>
      <c r="B5520">
        <v>110</v>
      </c>
    </row>
    <row r="5521" spans="1:2">
      <c r="A5521" t="s">
        <v>586</v>
      </c>
      <c r="B5521">
        <v>310</v>
      </c>
    </row>
    <row r="5523" spans="1:2">
      <c r="A5523" t="s">
        <v>268</v>
      </c>
    </row>
    <row r="5524" spans="1:2">
      <c r="A5524" t="s">
        <v>699</v>
      </c>
      <c r="B5524">
        <v>130</v>
      </c>
    </row>
    <row r="5525" spans="1:2">
      <c r="A5525" t="s">
        <v>588</v>
      </c>
      <c r="B5525">
        <v>390</v>
      </c>
    </row>
    <row r="5528" spans="1:2">
      <c r="A5528" t="s">
        <v>769</v>
      </c>
    </row>
    <row r="5530" spans="1:2">
      <c r="A5530" t="s">
        <v>1180</v>
      </c>
    </row>
    <row r="5531" spans="1:2">
      <c r="A5531" t="s">
        <v>1178</v>
      </c>
      <c r="B5531">
        <v>85</v>
      </c>
    </row>
    <row r="5532" spans="1:2">
      <c r="A5532" t="s">
        <v>1179</v>
      </c>
      <c r="B5532">
        <v>85</v>
      </c>
    </row>
    <row r="5533" spans="1:2">
      <c r="A5533" t="s">
        <v>2030</v>
      </c>
      <c r="B5533">
        <v>85</v>
      </c>
    </row>
    <row r="5534" spans="1:2">
      <c r="A5534" t="s">
        <v>586</v>
      </c>
      <c r="B5534">
        <v>255</v>
      </c>
    </row>
    <row r="5535" spans="1:2">
      <c r="A5535" t="s">
        <v>770</v>
      </c>
      <c r="B5535">
        <v>135</v>
      </c>
    </row>
    <row r="5536" spans="1:2">
      <c r="A5536" t="s">
        <v>770</v>
      </c>
      <c r="B5536">
        <v>0.34615384615384615</v>
      </c>
    </row>
    <row r="5538" spans="1:2">
      <c r="A5538" t="s">
        <v>1181</v>
      </c>
    </row>
    <row r="5539" spans="1:2">
      <c r="A5539" t="s">
        <v>1182</v>
      </c>
      <c r="B5539">
        <v>90</v>
      </c>
    </row>
    <row r="5540" spans="1:2">
      <c r="A5540" t="s">
        <v>1179</v>
      </c>
      <c r="B5540">
        <v>90</v>
      </c>
    </row>
    <row r="5541" spans="1:2">
      <c r="A5541" t="s">
        <v>2030</v>
      </c>
      <c r="B5541">
        <v>90</v>
      </c>
    </row>
    <row r="5542" spans="1:2">
      <c r="A5542" t="s">
        <v>586</v>
      </c>
      <c r="B5542">
        <v>270</v>
      </c>
    </row>
    <row r="5543" spans="1:2">
      <c r="A5543" t="s">
        <v>770</v>
      </c>
      <c r="B5543">
        <v>120</v>
      </c>
    </row>
    <row r="5544" spans="1:2">
      <c r="A5544" t="s">
        <v>770</v>
      </c>
      <c r="B5544">
        <v>0.30769230769230771</v>
      </c>
    </row>
    <row r="5546" spans="1:2">
      <c r="A5546" t="s">
        <v>2031</v>
      </c>
    </row>
    <row r="5547" spans="1:2">
      <c r="A5547" t="s">
        <v>1182</v>
      </c>
      <c r="B5547">
        <v>90</v>
      </c>
    </row>
    <row r="5548" spans="1:2">
      <c r="A5548" t="s">
        <v>2032</v>
      </c>
      <c r="B5548">
        <v>110</v>
      </c>
    </row>
    <row r="5549" spans="1:2">
      <c r="A5549" t="s">
        <v>2030</v>
      </c>
      <c r="B5549">
        <v>90</v>
      </c>
    </row>
    <row r="5550" spans="1:2">
      <c r="A5550" t="s">
        <v>586</v>
      </c>
      <c r="B5550">
        <v>290</v>
      </c>
    </row>
    <row r="5551" spans="1:2">
      <c r="A5551" t="s">
        <v>770</v>
      </c>
      <c r="B5551">
        <v>100</v>
      </c>
    </row>
    <row r="5552" spans="1:2">
      <c r="A5552" t="s">
        <v>770</v>
      </c>
      <c r="B5552">
        <v>0.25641025641025639</v>
      </c>
    </row>
    <row r="5554" spans="1:2">
      <c r="A5554" t="s">
        <v>1943</v>
      </c>
      <c r="B5554">
        <v>94.5</v>
      </c>
    </row>
    <row r="5556" spans="1:2" s="344" customFormat="1">
      <c r="A5556" s="345" t="s">
        <v>1924</v>
      </c>
    </row>
    <row r="5558" spans="1:2">
      <c r="A5558" t="s">
        <v>753</v>
      </c>
      <c r="B5558" s="346">
        <v>1470</v>
      </c>
    </row>
    <row r="5560" spans="1:2">
      <c r="A5560" t="s">
        <v>581</v>
      </c>
    </row>
    <row r="5561" spans="1:2">
      <c r="A5561" t="s">
        <v>214</v>
      </c>
      <c r="B5561">
        <v>1470</v>
      </c>
    </row>
    <row r="5562" spans="1:2">
      <c r="A5562" t="s">
        <v>215</v>
      </c>
      <c r="B5562">
        <v>1765</v>
      </c>
    </row>
    <row r="5563" spans="1:2">
      <c r="A5563" t="s">
        <v>2009</v>
      </c>
      <c r="B5563">
        <v>1765</v>
      </c>
    </row>
    <row r="5564" spans="1:2">
      <c r="A5564" t="s">
        <v>586</v>
      </c>
      <c r="B5564">
        <v>5000</v>
      </c>
    </row>
    <row r="5566" spans="1:2">
      <c r="A5566" t="s">
        <v>268</v>
      </c>
    </row>
    <row r="5567" spans="1:2">
      <c r="A5567" t="s">
        <v>699</v>
      </c>
      <c r="B5567">
        <v>3290</v>
      </c>
    </row>
    <row r="5568" spans="1:2">
      <c r="A5568" t="s">
        <v>588</v>
      </c>
      <c r="B5568">
        <v>9870</v>
      </c>
    </row>
    <row r="5571" spans="1:2">
      <c r="A5571" t="s">
        <v>769</v>
      </c>
    </row>
    <row r="5573" spans="1:2">
      <c r="A5573" t="s">
        <v>1180</v>
      </c>
    </row>
    <row r="5574" spans="1:2">
      <c r="A5574" t="s">
        <v>1178</v>
      </c>
      <c r="B5574">
        <v>1210</v>
      </c>
    </row>
    <row r="5575" spans="1:2">
      <c r="A5575" t="s">
        <v>1179</v>
      </c>
      <c r="B5575">
        <v>1210</v>
      </c>
    </row>
    <row r="5576" spans="1:2">
      <c r="A5576" t="s">
        <v>2030</v>
      </c>
      <c r="B5576">
        <v>1210</v>
      </c>
    </row>
    <row r="5577" spans="1:2">
      <c r="A5577" t="s">
        <v>586</v>
      </c>
      <c r="B5577">
        <v>3630</v>
      </c>
    </row>
    <row r="5578" spans="1:2">
      <c r="A5578" t="s">
        <v>770</v>
      </c>
      <c r="B5578">
        <v>6240</v>
      </c>
    </row>
    <row r="5579" spans="1:2">
      <c r="A5579" t="s">
        <v>770</v>
      </c>
      <c r="B5579">
        <v>0.63221884498480241</v>
      </c>
    </row>
    <row r="5581" spans="1:2">
      <c r="A5581" t="s">
        <v>1181</v>
      </c>
    </row>
    <row r="5582" spans="1:2">
      <c r="A5582" t="s">
        <v>1182</v>
      </c>
      <c r="B5582">
        <v>1470</v>
      </c>
    </row>
    <row r="5583" spans="1:2">
      <c r="A5583" t="s">
        <v>1179</v>
      </c>
      <c r="B5583">
        <v>1270</v>
      </c>
    </row>
    <row r="5584" spans="1:2">
      <c r="A5584" t="s">
        <v>2030</v>
      </c>
      <c r="B5584">
        <v>1270</v>
      </c>
    </row>
    <row r="5585" spans="1:2">
      <c r="A5585" t="s">
        <v>586</v>
      </c>
      <c r="B5585">
        <v>4010</v>
      </c>
    </row>
    <row r="5586" spans="1:2">
      <c r="A5586" t="s">
        <v>770</v>
      </c>
      <c r="B5586">
        <v>5860</v>
      </c>
    </row>
    <row r="5587" spans="1:2">
      <c r="A5587" t="s">
        <v>770</v>
      </c>
      <c r="B5587">
        <v>0.59371833839918942</v>
      </c>
    </row>
    <row r="5589" spans="1:2">
      <c r="A5589" t="s">
        <v>2031</v>
      </c>
    </row>
    <row r="5590" spans="1:2">
      <c r="A5590" t="s">
        <v>1182</v>
      </c>
      <c r="B5590">
        <v>1470</v>
      </c>
    </row>
    <row r="5591" spans="1:2">
      <c r="A5591" t="s">
        <v>2032</v>
      </c>
      <c r="B5591">
        <v>1765</v>
      </c>
    </row>
    <row r="5592" spans="1:2">
      <c r="A5592" t="s">
        <v>2030</v>
      </c>
      <c r="B5592">
        <v>1270</v>
      </c>
    </row>
    <row r="5593" spans="1:2">
      <c r="A5593" t="s">
        <v>586</v>
      </c>
      <c r="B5593">
        <v>4505</v>
      </c>
    </row>
    <row r="5594" spans="1:2">
      <c r="A5594" t="s">
        <v>770</v>
      </c>
      <c r="B5594">
        <v>5365</v>
      </c>
    </row>
    <row r="5595" spans="1:2">
      <c r="A5595" t="s">
        <v>770</v>
      </c>
      <c r="B5595">
        <v>0.5435663627152989</v>
      </c>
    </row>
    <row r="5597" spans="1:2">
      <c r="A5597" t="s">
        <v>1943</v>
      </c>
      <c r="B5597">
        <v>1333.5</v>
      </c>
    </row>
    <row r="5599" spans="1:2" s="344" customFormat="1">
      <c r="A5599" s="345" t="s">
        <v>1893</v>
      </c>
    </row>
    <row r="5601" spans="1:2">
      <c r="A5601" t="s">
        <v>753</v>
      </c>
      <c r="B5601" s="346">
        <v>1525</v>
      </c>
    </row>
    <row r="5603" spans="1:2">
      <c r="A5603" t="s">
        <v>581</v>
      </c>
    </row>
    <row r="5604" spans="1:2">
      <c r="A5604" t="s">
        <v>214</v>
      </c>
      <c r="B5604">
        <v>1525</v>
      </c>
    </row>
    <row r="5605" spans="1:2">
      <c r="A5605" t="s">
        <v>215</v>
      </c>
      <c r="B5605">
        <v>1830</v>
      </c>
    </row>
    <row r="5606" spans="1:2">
      <c r="A5606" t="s">
        <v>2009</v>
      </c>
      <c r="B5606">
        <v>1830</v>
      </c>
    </row>
    <row r="5607" spans="1:2">
      <c r="A5607" t="s">
        <v>586</v>
      </c>
      <c r="B5607">
        <v>5185</v>
      </c>
    </row>
    <row r="5609" spans="1:2">
      <c r="A5609" t="s">
        <v>268</v>
      </c>
    </row>
    <row r="5610" spans="1:2">
      <c r="A5610" t="s">
        <v>699</v>
      </c>
      <c r="B5610">
        <v>3290</v>
      </c>
    </row>
    <row r="5611" spans="1:2">
      <c r="A5611" t="s">
        <v>588</v>
      </c>
      <c r="B5611">
        <v>9870</v>
      </c>
    </row>
    <row r="5614" spans="1:2">
      <c r="A5614" t="s">
        <v>769</v>
      </c>
    </row>
    <row r="5616" spans="1:2">
      <c r="A5616" t="s">
        <v>1180</v>
      </c>
    </row>
    <row r="5617" spans="1:2">
      <c r="A5617" t="s">
        <v>1178</v>
      </c>
      <c r="B5617">
        <v>1210</v>
      </c>
    </row>
    <row r="5618" spans="1:2">
      <c r="A5618" t="s">
        <v>1179</v>
      </c>
      <c r="B5618">
        <v>1210</v>
      </c>
    </row>
    <row r="5619" spans="1:2">
      <c r="A5619" t="s">
        <v>2030</v>
      </c>
      <c r="B5619">
        <v>1210</v>
      </c>
    </row>
    <row r="5620" spans="1:2">
      <c r="A5620" t="s">
        <v>586</v>
      </c>
      <c r="B5620">
        <v>3630</v>
      </c>
    </row>
    <row r="5621" spans="1:2">
      <c r="A5621" t="s">
        <v>770</v>
      </c>
      <c r="B5621">
        <v>6240</v>
      </c>
    </row>
    <row r="5622" spans="1:2">
      <c r="A5622" t="s">
        <v>770</v>
      </c>
      <c r="B5622">
        <v>0.63221884498480241</v>
      </c>
    </row>
    <row r="5624" spans="1:2">
      <c r="A5624" t="s">
        <v>1181</v>
      </c>
    </row>
    <row r="5625" spans="1:2">
      <c r="A5625" t="s">
        <v>1182</v>
      </c>
      <c r="B5625">
        <v>1525</v>
      </c>
    </row>
    <row r="5626" spans="1:2">
      <c r="A5626" t="s">
        <v>1179</v>
      </c>
      <c r="B5626">
        <v>1270</v>
      </c>
    </row>
    <row r="5627" spans="1:2">
      <c r="A5627" t="s">
        <v>2030</v>
      </c>
      <c r="B5627">
        <v>1270</v>
      </c>
    </row>
    <row r="5628" spans="1:2">
      <c r="A5628" t="s">
        <v>586</v>
      </c>
      <c r="B5628">
        <v>4065</v>
      </c>
    </row>
    <row r="5629" spans="1:2">
      <c r="A5629" t="s">
        <v>770</v>
      </c>
      <c r="B5629">
        <v>5805</v>
      </c>
    </row>
    <row r="5630" spans="1:2">
      <c r="A5630" t="s">
        <v>770</v>
      </c>
      <c r="B5630">
        <v>0.58814589665653494</v>
      </c>
    </row>
    <row r="5632" spans="1:2">
      <c r="A5632" t="s">
        <v>2031</v>
      </c>
    </row>
    <row r="5633" spans="1:2">
      <c r="A5633" t="s">
        <v>1182</v>
      </c>
      <c r="B5633">
        <v>1525</v>
      </c>
    </row>
    <row r="5634" spans="1:2">
      <c r="A5634" t="s">
        <v>2032</v>
      </c>
      <c r="B5634">
        <v>1830</v>
      </c>
    </row>
    <row r="5635" spans="1:2">
      <c r="A5635" t="s">
        <v>2030</v>
      </c>
      <c r="B5635">
        <v>1270</v>
      </c>
    </row>
    <row r="5636" spans="1:2">
      <c r="A5636" t="s">
        <v>586</v>
      </c>
      <c r="B5636">
        <v>4625</v>
      </c>
    </row>
    <row r="5637" spans="1:2">
      <c r="A5637" t="s">
        <v>770</v>
      </c>
      <c r="B5637">
        <v>5245</v>
      </c>
    </row>
    <row r="5638" spans="1:2">
      <c r="A5638" t="s">
        <v>770</v>
      </c>
      <c r="B5638">
        <v>0.5314083080040527</v>
      </c>
    </row>
    <row r="5640" spans="1:2">
      <c r="A5640" t="s">
        <v>1943</v>
      </c>
      <c r="B5640">
        <v>1333.5</v>
      </c>
    </row>
    <row r="5642" spans="1:2" s="344" customFormat="1">
      <c r="A5642" s="345" t="s">
        <v>1792</v>
      </c>
    </row>
    <row r="5644" spans="1:2">
      <c r="A5644" t="s">
        <v>753</v>
      </c>
      <c r="B5644" s="346">
        <v>1040</v>
      </c>
    </row>
    <row r="5646" spans="1:2">
      <c r="A5646" t="s">
        <v>581</v>
      </c>
    </row>
    <row r="5647" spans="1:2">
      <c r="A5647" t="s">
        <v>214</v>
      </c>
      <c r="B5647">
        <v>1040</v>
      </c>
    </row>
    <row r="5648" spans="1:2">
      <c r="A5648" t="s">
        <v>215</v>
      </c>
      <c r="B5648">
        <v>1250</v>
      </c>
    </row>
    <row r="5649" spans="1:2">
      <c r="A5649" t="s">
        <v>2009</v>
      </c>
      <c r="B5649">
        <v>1250</v>
      </c>
    </row>
    <row r="5650" spans="1:2">
      <c r="A5650" t="s">
        <v>586</v>
      </c>
      <c r="B5650">
        <v>3540</v>
      </c>
    </row>
    <row r="5652" spans="1:2">
      <c r="A5652" t="s">
        <v>268</v>
      </c>
    </row>
    <row r="5653" spans="1:2">
      <c r="A5653" t="s">
        <v>699</v>
      </c>
      <c r="B5653">
        <v>3715</v>
      </c>
    </row>
    <row r="5654" spans="1:2">
      <c r="A5654" t="s">
        <v>588</v>
      </c>
      <c r="B5654">
        <v>11145</v>
      </c>
    </row>
    <row r="5657" spans="1:2">
      <c r="A5657" t="s">
        <v>769</v>
      </c>
    </row>
    <row r="5659" spans="1:2">
      <c r="A5659" t="s">
        <v>1180</v>
      </c>
    </row>
    <row r="5660" spans="1:2">
      <c r="A5660" t="s">
        <v>1178</v>
      </c>
      <c r="B5660">
        <v>1125</v>
      </c>
    </row>
    <row r="5661" spans="1:2">
      <c r="A5661" t="s">
        <v>1179</v>
      </c>
      <c r="B5661">
        <v>1125</v>
      </c>
    </row>
    <row r="5662" spans="1:2">
      <c r="A5662" t="s">
        <v>2030</v>
      </c>
      <c r="B5662">
        <v>1125</v>
      </c>
    </row>
    <row r="5663" spans="1:2">
      <c r="A5663" t="s">
        <v>586</v>
      </c>
      <c r="B5663">
        <v>3375</v>
      </c>
    </row>
    <row r="5664" spans="1:2">
      <c r="A5664" t="s">
        <v>770</v>
      </c>
      <c r="B5664">
        <v>7770</v>
      </c>
    </row>
    <row r="5665" spans="1:2">
      <c r="A5665" t="s">
        <v>770</v>
      </c>
      <c r="B5665">
        <v>0.69717362045760434</v>
      </c>
    </row>
    <row r="5667" spans="1:2">
      <c r="A5667" t="s">
        <v>1181</v>
      </c>
    </row>
    <row r="5668" spans="1:2">
      <c r="A5668" t="s">
        <v>1182</v>
      </c>
      <c r="B5668">
        <v>1040</v>
      </c>
    </row>
    <row r="5669" spans="1:2">
      <c r="A5669" t="s">
        <v>1179</v>
      </c>
      <c r="B5669">
        <v>1180</v>
      </c>
    </row>
    <row r="5670" spans="1:2">
      <c r="A5670" t="s">
        <v>2030</v>
      </c>
      <c r="B5670">
        <v>1180</v>
      </c>
    </row>
    <row r="5671" spans="1:2">
      <c r="A5671" t="s">
        <v>586</v>
      </c>
      <c r="B5671">
        <v>3400</v>
      </c>
    </row>
    <row r="5672" spans="1:2">
      <c r="A5672" t="s">
        <v>770</v>
      </c>
      <c r="B5672">
        <v>7745</v>
      </c>
    </row>
    <row r="5673" spans="1:2">
      <c r="A5673" t="s">
        <v>770</v>
      </c>
      <c r="B5673">
        <v>0.69493046209062359</v>
      </c>
    </row>
    <row r="5675" spans="1:2">
      <c r="A5675" t="s">
        <v>2031</v>
      </c>
    </row>
    <row r="5676" spans="1:2">
      <c r="A5676" t="s">
        <v>1182</v>
      </c>
      <c r="B5676">
        <v>1040</v>
      </c>
    </row>
    <row r="5677" spans="1:2">
      <c r="A5677" t="s">
        <v>2032</v>
      </c>
      <c r="B5677">
        <v>1250</v>
      </c>
    </row>
    <row r="5678" spans="1:2">
      <c r="A5678" t="s">
        <v>2030</v>
      </c>
      <c r="B5678">
        <v>1180</v>
      </c>
    </row>
    <row r="5679" spans="1:2">
      <c r="A5679" t="s">
        <v>586</v>
      </c>
      <c r="B5679">
        <v>3470</v>
      </c>
    </row>
    <row r="5680" spans="1:2">
      <c r="A5680" t="s">
        <v>770</v>
      </c>
      <c r="B5680">
        <v>7675</v>
      </c>
    </row>
    <row r="5681" spans="1:2">
      <c r="A5681" t="s">
        <v>770</v>
      </c>
      <c r="B5681">
        <v>0.68864961866307761</v>
      </c>
    </row>
    <row r="5683" spans="1:2">
      <c r="A5683" t="s">
        <v>1943</v>
      </c>
      <c r="B5683">
        <v>1239</v>
      </c>
    </row>
    <row r="5685" spans="1:2" s="344" customFormat="1">
      <c r="A5685" s="345" t="s">
        <v>1894</v>
      </c>
    </row>
    <row r="5687" spans="1:2">
      <c r="A5687" t="s">
        <v>753</v>
      </c>
      <c r="B5687" s="346">
        <v>1040</v>
      </c>
    </row>
    <row r="5689" spans="1:2">
      <c r="A5689" t="s">
        <v>581</v>
      </c>
    </row>
    <row r="5690" spans="1:2">
      <c r="A5690" t="s">
        <v>214</v>
      </c>
      <c r="B5690">
        <v>1040</v>
      </c>
    </row>
    <row r="5691" spans="1:2">
      <c r="A5691" t="s">
        <v>215</v>
      </c>
      <c r="B5691">
        <v>1250</v>
      </c>
    </row>
    <row r="5692" spans="1:2">
      <c r="A5692" t="s">
        <v>2009</v>
      </c>
      <c r="B5692">
        <v>1250</v>
      </c>
    </row>
    <row r="5693" spans="1:2">
      <c r="A5693" t="s">
        <v>586</v>
      </c>
      <c r="B5693">
        <v>3540</v>
      </c>
    </row>
    <row r="5695" spans="1:2">
      <c r="A5695" t="s">
        <v>268</v>
      </c>
    </row>
    <row r="5696" spans="1:2">
      <c r="A5696" t="s">
        <v>699</v>
      </c>
      <c r="B5696">
        <v>3290</v>
      </c>
    </row>
    <row r="5697" spans="1:2">
      <c r="A5697" t="s">
        <v>588</v>
      </c>
      <c r="B5697">
        <v>9870</v>
      </c>
    </row>
    <row r="5700" spans="1:2">
      <c r="A5700" t="s">
        <v>769</v>
      </c>
    </row>
    <row r="5702" spans="1:2">
      <c r="A5702" t="s">
        <v>1180</v>
      </c>
    </row>
    <row r="5703" spans="1:2">
      <c r="A5703" t="s">
        <v>1178</v>
      </c>
      <c r="B5703">
        <v>1210</v>
      </c>
    </row>
    <row r="5704" spans="1:2">
      <c r="A5704" t="s">
        <v>1179</v>
      </c>
      <c r="B5704">
        <v>1210</v>
      </c>
    </row>
    <row r="5705" spans="1:2">
      <c r="A5705" t="s">
        <v>2030</v>
      </c>
      <c r="B5705">
        <v>1210</v>
      </c>
    </row>
    <row r="5706" spans="1:2">
      <c r="A5706" t="s">
        <v>586</v>
      </c>
      <c r="B5706">
        <v>3630</v>
      </c>
    </row>
    <row r="5707" spans="1:2">
      <c r="A5707" t="s">
        <v>770</v>
      </c>
      <c r="B5707">
        <v>6240</v>
      </c>
    </row>
    <row r="5708" spans="1:2">
      <c r="A5708" t="s">
        <v>770</v>
      </c>
      <c r="B5708">
        <v>0.63221884498480241</v>
      </c>
    </row>
    <row r="5710" spans="1:2">
      <c r="A5710" t="s">
        <v>1181</v>
      </c>
    </row>
    <row r="5711" spans="1:2">
      <c r="A5711" t="s">
        <v>1182</v>
      </c>
      <c r="B5711">
        <v>1040</v>
      </c>
    </row>
    <row r="5712" spans="1:2">
      <c r="A5712" t="s">
        <v>1179</v>
      </c>
      <c r="B5712">
        <v>1270</v>
      </c>
    </row>
    <row r="5713" spans="1:2">
      <c r="A5713" t="s">
        <v>2030</v>
      </c>
      <c r="B5713">
        <v>1270</v>
      </c>
    </row>
    <row r="5714" spans="1:2">
      <c r="A5714" t="s">
        <v>586</v>
      </c>
      <c r="B5714">
        <v>3580</v>
      </c>
    </row>
    <row r="5715" spans="1:2">
      <c r="A5715" t="s">
        <v>770</v>
      </c>
      <c r="B5715">
        <v>6290</v>
      </c>
    </row>
    <row r="5716" spans="1:2">
      <c r="A5716" t="s">
        <v>770</v>
      </c>
      <c r="B5716">
        <v>0.63728470111448832</v>
      </c>
    </row>
    <row r="5718" spans="1:2">
      <c r="A5718" t="s">
        <v>2031</v>
      </c>
    </row>
    <row r="5719" spans="1:2">
      <c r="A5719" t="s">
        <v>1182</v>
      </c>
      <c r="B5719">
        <v>1040</v>
      </c>
    </row>
    <row r="5720" spans="1:2">
      <c r="A5720" t="s">
        <v>2032</v>
      </c>
      <c r="B5720">
        <v>1250</v>
      </c>
    </row>
    <row r="5721" spans="1:2">
      <c r="A5721" t="s">
        <v>2030</v>
      </c>
      <c r="B5721">
        <v>1270</v>
      </c>
    </row>
    <row r="5722" spans="1:2">
      <c r="A5722" t="s">
        <v>586</v>
      </c>
      <c r="B5722">
        <v>3560</v>
      </c>
    </row>
    <row r="5723" spans="1:2">
      <c r="A5723" t="s">
        <v>770</v>
      </c>
      <c r="B5723">
        <v>6310</v>
      </c>
    </row>
    <row r="5724" spans="1:2">
      <c r="A5724" t="s">
        <v>770</v>
      </c>
      <c r="B5724">
        <v>0.6393110435663627</v>
      </c>
    </row>
    <row r="5726" spans="1:2">
      <c r="A5726" t="s">
        <v>1943</v>
      </c>
      <c r="B5726">
        <v>1333.5</v>
      </c>
    </row>
    <row r="5728" spans="1:2" s="344" customFormat="1">
      <c r="A5728" s="345" t="s">
        <v>1757</v>
      </c>
    </row>
    <row r="5730" spans="1:2">
      <c r="A5730" t="s">
        <v>753</v>
      </c>
      <c r="B5730" s="346">
        <v>365</v>
      </c>
    </row>
    <row r="5732" spans="1:2">
      <c r="A5732" t="s">
        <v>581</v>
      </c>
    </row>
    <row r="5733" spans="1:2">
      <c r="A5733" t="s">
        <v>214</v>
      </c>
      <c r="B5733">
        <v>365</v>
      </c>
    </row>
    <row r="5734" spans="1:2">
      <c r="A5734" t="s">
        <v>215</v>
      </c>
      <c r="B5734">
        <v>440</v>
      </c>
    </row>
    <row r="5735" spans="1:2">
      <c r="A5735" t="s">
        <v>2009</v>
      </c>
      <c r="B5735">
        <v>440</v>
      </c>
    </row>
    <row r="5736" spans="1:2">
      <c r="A5736" t="s">
        <v>586</v>
      </c>
      <c r="B5736">
        <v>1245</v>
      </c>
    </row>
    <row r="5738" spans="1:2">
      <c r="A5738" t="s">
        <v>268</v>
      </c>
    </row>
    <row r="5739" spans="1:2">
      <c r="A5739" t="s">
        <v>699</v>
      </c>
      <c r="B5739">
        <v>3715</v>
      </c>
    </row>
    <row r="5740" spans="1:2">
      <c r="A5740" t="s">
        <v>588</v>
      </c>
      <c r="B5740">
        <v>11145</v>
      </c>
    </row>
    <row r="5743" spans="1:2">
      <c r="A5743" t="s">
        <v>769</v>
      </c>
    </row>
    <row r="5745" spans="1:2">
      <c r="A5745" t="s">
        <v>1180</v>
      </c>
    </row>
    <row r="5746" spans="1:2">
      <c r="A5746" t="s">
        <v>1178</v>
      </c>
      <c r="B5746">
        <v>1125</v>
      </c>
    </row>
    <row r="5747" spans="1:2">
      <c r="A5747" t="s">
        <v>1179</v>
      </c>
      <c r="B5747">
        <v>1125</v>
      </c>
    </row>
    <row r="5748" spans="1:2">
      <c r="A5748" t="s">
        <v>2030</v>
      </c>
      <c r="B5748">
        <v>1125</v>
      </c>
    </row>
    <row r="5749" spans="1:2">
      <c r="A5749" t="s">
        <v>586</v>
      </c>
      <c r="B5749">
        <v>3375</v>
      </c>
    </row>
    <row r="5750" spans="1:2">
      <c r="A5750" t="s">
        <v>770</v>
      </c>
      <c r="B5750">
        <v>7770</v>
      </c>
    </row>
    <row r="5751" spans="1:2">
      <c r="A5751" t="s">
        <v>770</v>
      </c>
      <c r="B5751">
        <v>0.69717362045760434</v>
      </c>
    </row>
    <row r="5753" spans="1:2">
      <c r="A5753" t="s">
        <v>1181</v>
      </c>
    </row>
    <row r="5754" spans="1:2">
      <c r="A5754" t="s">
        <v>1182</v>
      </c>
      <c r="B5754">
        <v>365</v>
      </c>
    </row>
    <row r="5755" spans="1:2">
      <c r="A5755" t="s">
        <v>1179</v>
      </c>
      <c r="B5755">
        <v>1180</v>
      </c>
    </row>
    <row r="5756" spans="1:2">
      <c r="A5756" t="s">
        <v>2030</v>
      </c>
      <c r="B5756">
        <v>1180</v>
      </c>
    </row>
    <row r="5757" spans="1:2">
      <c r="A5757" t="s">
        <v>586</v>
      </c>
      <c r="B5757">
        <v>2725</v>
      </c>
    </row>
    <row r="5758" spans="1:2">
      <c r="A5758" t="s">
        <v>770</v>
      </c>
      <c r="B5758">
        <v>8420</v>
      </c>
    </row>
    <row r="5759" spans="1:2">
      <c r="A5759" t="s">
        <v>770</v>
      </c>
      <c r="B5759">
        <v>0.75549573799910275</v>
      </c>
    </row>
    <row r="5761" spans="1:2">
      <c r="A5761" t="s">
        <v>2031</v>
      </c>
    </row>
    <row r="5762" spans="1:2">
      <c r="A5762" t="s">
        <v>1182</v>
      </c>
      <c r="B5762">
        <v>365</v>
      </c>
    </row>
    <row r="5763" spans="1:2">
      <c r="A5763" t="s">
        <v>2032</v>
      </c>
      <c r="B5763">
        <v>440</v>
      </c>
    </row>
    <row r="5764" spans="1:2">
      <c r="A5764" t="s">
        <v>2030</v>
      </c>
      <c r="B5764">
        <v>1180</v>
      </c>
    </row>
    <row r="5765" spans="1:2">
      <c r="A5765" t="s">
        <v>586</v>
      </c>
      <c r="B5765">
        <v>1985</v>
      </c>
    </row>
    <row r="5766" spans="1:2">
      <c r="A5766" t="s">
        <v>770</v>
      </c>
      <c r="B5766">
        <v>9160</v>
      </c>
    </row>
    <row r="5767" spans="1:2">
      <c r="A5767" t="s">
        <v>770</v>
      </c>
      <c r="B5767">
        <v>0.82189322566173173</v>
      </c>
    </row>
    <row r="5769" spans="1:2">
      <c r="A5769" t="s">
        <v>1943</v>
      </c>
      <c r="B5769">
        <v>1239</v>
      </c>
    </row>
    <row r="5771" spans="1:2" s="344" customFormat="1">
      <c r="A5771" s="345" t="s">
        <v>1793</v>
      </c>
    </row>
    <row r="5773" spans="1:2">
      <c r="A5773" t="s">
        <v>753</v>
      </c>
      <c r="B5773" s="346">
        <v>365</v>
      </c>
    </row>
    <row r="5775" spans="1:2">
      <c r="A5775" t="s">
        <v>581</v>
      </c>
    </row>
    <row r="5776" spans="1:2">
      <c r="A5776" t="s">
        <v>214</v>
      </c>
      <c r="B5776">
        <v>365</v>
      </c>
    </row>
    <row r="5777" spans="1:2">
      <c r="A5777" t="s">
        <v>215</v>
      </c>
      <c r="B5777">
        <v>440</v>
      </c>
    </row>
    <row r="5778" spans="1:2">
      <c r="A5778" t="s">
        <v>2009</v>
      </c>
      <c r="B5778">
        <v>440</v>
      </c>
    </row>
    <row r="5779" spans="1:2">
      <c r="A5779" t="s">
        <v>586</v>
      </c>
      <c r="B5779">
        <v>1245</v>
      </c>
    </row>
    <row r="5781" spans="1:2">
      <c r="A5781" t="s">
        <v>268</v>
      </c>
    </row>
    <row r="5782" spans="1:2">
      <c r="A5782" t="s">
        <v>699</v>
      </c>
      <c r="B5782">
        <v>3060</v>
      </c>
    </row>
    <row r="5783" spans="1:2">
      <c r="A5783" t="s">
        <v>588</v>
      </c>
      <c r="B5783">
        <v>9180</v>
      </c>
    </row>
    <row r="5786" spans="1:2">
      <c r="A5786" t="s">
        <v>769</v>
      </c>
    </row>
    <row r="5788" spans="1:2">
      <c r="A5788" t="s">
        <v>1180</v>
      </c>
    </row>
    <row r="5789" spans="1:2">
      <c r="A5789" t="s">
        <v>1178</v>
      </c>
      <c r="B5789">
        <v>815</v>
      </c>
    </row>
    <row r="5790" spans="1:2">
      <c r="A5790" t="s">
        <v>1179</v>
      </c>
      <c r="B5790">
        <v>815</v>
      </c>
    </row>
    <row r="5791" spans="1:2">
      <c r="A5791" t="s">
        <v>2030</v>
      </c>
      <c r="B5791">
        <v>815</v>
      </c>
    </row>
    <row r="5792" spans="1:2">
      <c r="A5792" t="s">
        <v>586</v>
      </c>
      <c r="B5792">
        <v>2445</v>
      </c>
    </row>
    <row r="5793" spans="1:2">
      <c r="A5793" t="s">
        <v>770</v>
      </c>
      <c r="B5793">
        <v>6735</v>
      </c>
    </row>
    <row r="5794" spans="1:2">
      <c r="A5794" t="s">
        <v>770</v>
      </c>
      <c r="B5794">
        <v>0.7336601307189542</v>
      </c>
    </row>
    <row r="5796" spans="1:2">
      <c r="A5796" t="s">
        <v>1181</v>
      </c>
    </row>
    <row r="5797" spans="1:2">
      <c r="A5797" t="s">
        <v>1182</v>
      </c>
      <c r="B5797">
        <v>365</v>
      </c>
    </row>
    <row r="5798" spans="1:2">
      <c r="A5798" t="s">
        <v>1179</v>
      </c>
      <c r="B5798">
        <v>855</v>
      </c>
    </row>
    <row r="5799" spans="1:2">
      <c r="A5799" t="s">
        <v>2030</v>
      </c>
      <c r="B5799">
        <v>855</v>
      </c>
    </row>
    <row r="5800" spans="1:2">
      <c r="A5800" t="s">
        <v>586</v>
      </c>
      <c r="B5800">
        <v>2075</v>
      </c>
    </row>
    <row r="5801" spans="1:2">
      <c r="A5801" t="s">
        <v>770</v>
      </c>
      <c r="B5801">
        <v>7105</v>
      </c>
    </row>
    <row r="5802" spans="1:2">
      <c r="A5802" t="s">
        <v>770</v>
      </c>
      <c r="B5802">
        <v>0.77396514161220042</v>
      </c>
    </row>
    <row r="5804" spans="1:2">
      <c r="A5804" t="s">
        <v>2031</v>
      </c>
    </row>
    <row r="5805" spans="1:2">
      <c r="A5805" t="s">
        <v>1182</v>
      </c>
      <c r="B5805">
        <v>365</v>
      </c>
    </row>
    <row r="5806" spans="1:2">
      <c r="A5806" t="s">
        <v>2032</v>
      </c>
      <c r="B5806">
        <v>440</v>
      </c>
    </row>
    <row r="5807" spans="1:2">
      <c r="A5807" t="s">
        <v>2030</v>
      </c>
      <c r="B5807">
        <v>855</v>
      </c>
    </row>
    <row r="5808" spans="1:2">
      <c r="A5808" t="s">
        <v>586</v>
      </c>
      <c r="B5808">
        <v>1660</v>
      </c>
    </row>
    <row r="5809" spans="1:2">
      <c r="A5809" t="s">
        <v>770</v>
      </c>
      <c r="B5809">
        <v>7520</v>
      </c>
    </row>
    <row r="5810" spans="1:2">
      <c r="A5810" t="s">
        <v>770</v>
      </c>
      <c r="B5810">
        <v>0.81917211328976036</v>
      </c>
    </row>
    <row r="5812" spans="1:2">
      <c r="A5812" t="s">
        <v>1943</v>
      </c>
      <c r="B5812">
        <v>897.75</v>
      </c>
    </row>
    <row r="5814" spans="1:2" s="344" customFormat="1">
      <c r="A5814" s="345" t="s">
        <v>1758</v>
      </c>
    </row>
    <row r="5816" spans="1:2">
      <c r="A5816" t="s">
        <v>753</v>
      </c>
      <c r="B5816" s="346">
        <v>365</v>
      </c>
    </row>
    <row r="5818" spans="1:2">
      <c r="A5818" t="s">
        <v>581</v>
      </c>
    </row>
    <row r="5819" spans="1:2">
      <c r="A5819" t="s">
        <v>214</v>
      </c>
      <c r="B5819">
        <v>365</v>
      </c>
    </row>
    <row r="5820" spans="1:2">
      <c r="A5820" t="s">
        <v>215</v>
      </c>
      <c r="B5820">
        <v>440</v>
      </c>
    </row>
    <row r="5821" spans="1:2">
      <c r="A5821" t="s">
        <v>2009</v>
      </c>
      <c r="B5821">
        <v>440</v>
      </c>
    </row>
    <row r="5822" spans="1:2">
      <c r="A5822" t="s">
        <v>586</v>
      </c>
      <c r="B5822">
        <v>1245</v>
      </c>
    </row>
    <row r="5824" spans="1:2">
      <c r="A5824" t="s">
        <v>268</v>
      </c>
    </row>
    <row r="5825" spans="1:2">
      <c r="A5825" t="s">
        <v>699</v>
      </c>
      <c r="B5825">
        <v>1455</v>
      </c>
    </row>
    <row r="5826" spans="1:2">
      <c r="A5826" t="s">
        <v>588</v>
      </c>
      <c r="B5826">
        <v>4365</v>
      </c>
    </row>
    <row r="5829" spans="1:2">
      <c r="A5829" t="s">
        <v>769</v>
      </c>
    </row>
    <row r="5831" spans="1:2">
      <c r="A5831" t="s">
        <v>1180</v>
      </c>
    </row>
    <row r="5832" spans="1:2">
      <c r="A5832" t="s">
        <v>1178</v>
      </c>
      <c r="B5832">
        <v>345</v>
      </c>
    </row>
    <row r="5833" spans="1:2">
      <c r="A5833" t="s">
        <v>1179</v>
      </c>
      <c r="B5833">
        <v>345</v>
      </c>
    </row>
    <row r="5834" spans="1:2">
      <c r="A5834" t="s">
        <v>2030</v>
      </c>
      <c r="B5834">
        <v>345</v>
      </c>
    </row>
    <row r="5835" spans="1:2">
      <c r="A5835" t="s">
        <v>586</v>
      </c>
      <c r="B5835">
        <v>1035</v>
      </c>
    </row>
    <row r="5836" spans="1:2">
      <c r="A5836" t="s">
        <v>770</v>
      </c>
      <c r="B5836">
        <v>3330</v>
      </c>
    </row>
    <row r="5837" spans="1:2">
      <c r="A5837" t="s">
        <v>770</v>
      </c>
      <c r="B5837">
        <v>0.76288659793814428</v>
      </c>
    </row>
    <row r="5839" spans="1:2">
      <c r="A5839" t="s">
        <v>1181</v>
      </c>
    </row>
    <row r="5840" spans="1:2">
      <c r="A5840" t="s">
        <v>1182</v>
      </c>
      <c r="B5840">
        <v>365</v>
      </c>
    </row>
    <row r="5841" spans="1:2">
      <c r="A5841" t="s">
        <v>1179</v>
      </c>
      <c r="B5841">
        <v>360</v>
      </c>
    </row>
    <row r="5842" spans="1:2">
      <c r="A5842" t="s">
        <v>2030</v>
      </c>
      <c r="B5842">
        <v>360</v>
      </c>
    </row>
    <row r="5843" spans="1:2">
      <c r="A5843" t="s">
        <v>586</v>
      </c>
      <c r="B5843">
        <v>1085</v>
      </c>
    </row>
    <row r="5844" spans="1:2">
      <c r="A5844" t="s">
        <v>770</v>
      </c>
      <c r="B5844">
        <v>3280</v>
      </c>
    </row>
    <row r="5845" spans="1:2">
      <c r="A5845" t="s">
        <v>770</v>
      </c>
      <c r="B5845">
        <v>0.75143184421534936</v>
      </c>
    </row>
    <row r="5847" spans="1:2">
      <c r="A5847" t="s">
        <v>2031</v>
      </c>
    </row>
    <row r="5848" spans="1:2">
      <c r="A5848" t="s">
        <v>1182</v>
      </c>
      <c r="B5848">
        <v>365</v>
      </c>
    </row>
    <row r="5849" spans="1:2">
      <c r="A5849" t="s">
        <v>2032</v>
      </c>
      <c r="B5849">
        <v>440</v>
      </c>
    </row>
    <row r="5850" spans="1:2">
      <c r="A5850" t="s">
        <v>2030</v>
      </c>
      <c r="B5850">
        <v>360</v>
      </c>
    </row>
    <row r="5851" spans="1:2">
      <c r="A5851" t="s">
        <v>586</v>
      </c>
      <c r="B5851">
        <v>1165</v>
      </c>
    </row>
    <row r="5852" spans="1:2">
      <c r="A5852" t="s">
        <v>770</v>
      </c>
      <c r="B5852">
        <v>3200</v>
      </c>
    </row>
    <row r="5853" spans="1:2">
      <c r="A5853" t="s">
        <v>770</v>
      </c>
      <c r="B5853">
        <v>0.73310423825887738</v>
      </c>
    </row>
    <row r="5855" spans="1:2">
      <c r="A5855" t="s">
        <v>1943</v>
      </c>
      <c r="B5855">
        <v>378</v>
      </c>
    </row>
    <row r="5857" spans="1:2" s="344" customFormat="1">
      <c r="A5857" s="345" t="s">
        <v>747</v>
      </c>
    </row>
    <row r="5859" spans="1:2">
      <c r="A5859" t="s">
        <v>753</v>
      </c>
      <c r="B5859" s="346">
        <v>1660</v>
      </c>
    </row>
    <row r="5861" spans="1:2">
      <c r="A5861" t="s">
        <v>581</v>
      </c>
    </row>
    <row r="5862" spans="1:2">
      <c r="A5862" t="s">
        <v>214</v>
      </c>
      <c r="B5862">
        <v>1660</v>
      </c>
    </row>
    <row r="5863" spans="1:2">
      <c r="A5863" t="s">
        <v>215</v>
      </c>
      <c r="B5863">
        <v>1990</v>
      </c>
    </row>
    <row r="5864" spans="1:2">
      <c r="A5864" t="s">
        <v>2009</v>
      </c>
      <c r="B5864">
        <v>1990</v>
      </c>
    </row>
    <row r="5865" spans="1:2">
      <c r="A5865" t="s">
        <v>586</v>
      </c>
      <c r="B5865">
        <v>5640</v>
      </c>
    </row>
    <row r="5867" spans="1:2">
      <c r="A5867" t="s">
        <v>268</v>
      </c>
    </row>
    <row r="5868" spans="1:2">
      <c r="A5868" t="s">
        <v>699</v>
      </c>
      <c r="B5868">
        <v>3715</v>
      </c>
    </row>
    <row r="5869" spans="1:2">
      <c r="A5869" t="s">
        <v>588</v>
      </c>
      <c r="B5869">
        <v>11145</v>
      </c>
    </row>
    <row r="5872" spans="1:2">
      <c r="A5872" t="s">
        <v>769</v>
      </c>
    </row>
    <row r="5874" spans="1:2">
      <c r="A5874" t="s">
        <v>1180</v>
      </c>
    </row>
    <row r="5875" spans="1:2">
      <c r="A5875" t="s">
        <v>1178</v>
      </c>
      <c r="B5875">
        <v>1125</v>
      </c>
    </row>
    <row r="5876" spans="1:2">
      <c r="A5876" t="s">
        <v>1179</v>
      </c>
      <c r="B5876">
        <v>1125</v>
      </c>
    </row>
    <row r="5877" spans="1:2">
      <c r="A5877" t="s">
        <v>2030</v>
      </c>
      <c r="B5877">
        <v>1125</v>
      </c>
    </row>
    <row r="5878" spans="1:2">
      <c r="A5878" t="s">
        <v>586</v>
      </c>
      <c r="B5878">
        <v>3375</v>
      </c>
    </row>
    <row r="5879" spans="1:2">
      <c r="A5879" t="s">
        <v>770</v>
      </c>
      <c r="B5879">
        <v>7770</v>
      </c>
    </row>
    <row r="5880" spans="1:2">
      <c r="A5880" t="s">
        <v>770</v>
      </c>
      <c r="B5880">
        <v>0.69717362045760434</v>
      </c>
    </row>
    <row r="5882" spans="1:2">
      <c r="A5882" t="s">
        <v>1181</v>
      </c>
    </row>
    <row r="5883" spans="1:2">
      <c r="A5883" t="s">
        <v>1182</v>
      </c>
      <c r="B5883">
        <v>1660</v>
      </c>
    </row>
    <row r="5884" spans="1:2">
      <c r="A5884" t="s">
        <v>1179</v>
      </c>
      <c r="B5884">
        <v>1180</v>
      </c>
    </row>
    <row r="5885" spans="1:2">
      <c r="A5885" t="s">
        <v>2030</v>
      </c>
      <c r="B5885">
        <v>1180</v>
      </c>
    </row>
    <row r="5886" spans="1:2">
      <c r="A5886" t="s">
        <v>586</v>
      </c>
      <c r="B5886">
        <v>4020</v>
      </c>
    </row>
    <row r="5887" spans="1:2">
      <c r="A5887" t="s">
        <v>770</v>
      </c>
      <c r="B5887">
        <v>7125</v>
      </c>
    </row>
    <row r="5888" spans="1:2">
      <c r="A5888" t="s">
        <v>770</v>
      </c>
      <c r="B5888">
        <v>0.63930013458950197</v>
      </c>
    </row>
    <row r="5890" spans="1:2">
      <c r="A5890" t="s">
        <v>2031</v>
      </c>
    </row>
    <row r="5891" spans="1:2">
      <c r="A5891" t="s">
        <v>1182</v>
      </c>
      <c r="B5891">
        <v>1660</v>
      </c>
    </row>
    <row r="5892" spans="1:2">
      <c r="A5892" t="s">
        <v>2032</v>
      </c>
      <c r="B5892">
        <v>1990</v>
      </c>
    </row>
    <row r="5893" spans="1:2">
      <c r="A5893" t="s">
        <v>2030</v>
      </c>
      <c r="B5893">
        <v>1180</v>
      </c>
    </row>
    <row r="5894" spans="1:2">
      <c r="A5894" t="s">
        <v>586</v>
      </c>
      <c r="B5894">
        <v>4830</v>
      </c>
    </row>
    <row r="5895" spans="1:2">
      <c r="A5895" t="s">
        <v>770</v>
      </c>
      <c r="B5895">
        <v>6315</v>
      </c>
    </row>
    <row r="5896" spans="1:2">
      <c r="A5896" t="s">
        <v>770</v>
      </c>
      <c r="B5896">
        <v>0.566621803499327</v>
      </c>
    </row>
    <row r="5898" spans="1:2">
      <c r="A5898" t="s">
        <v>1943</v>
      </c>
      <c r="B5898">
        <v>1239</v>
      </c>
    </row>
    <row r="5900" spans="1:2" s="344" customFormat="1">
      <c r="A5900" s="345" t="s">
        <v>1895</v>
      </c>
    </row>
    <row r="5902" spans="1:2">
      <c r="A5902" t="s">
        <v>753</v>
      </c>
      <c r="B5902" s="346">
        <v>1660</v>
      </c>
    </row>
    <row r="5904" spans="1:2">
      <c r="A5904" t="s">
        <v>581</v>
      </c>
    </row>
    <row r="5905" spans="1:2">
      <c r="A5905" t="s">
        <v>214</v>
      </c>
      <c r="B5905">
        <v>1660</v>
      </c>
    </row>
    <row r="5906" spans="1:2">
      <c r="A5906" t="s">
        <v>215</v>
      </c>
      <c r="B5906">
        <v>1990</v>
      </c>
    </row>
    <row r="5907" spans="1:2">
      <c r="A5907" t="s">
        <v>2009</v>
      </c>
      <c r="B5907">
        <v>1990</v>
      </c>
    </row>
    <row r="5908" spans="1:2">
      <c r="A5908" t="s">
        <v>586</v>
      </c>
      <c r="B5908">
        <v>5640</v>
      </c>
    </row>
    <row r="5910" spans="1:2">
      <c r="A5910" t="s">
        <v>268</v>
      </c>
    </row>
    <row r="5911" spans="1:2">
      <c r="A5911" t="s">
        <v>699</v>
      </c>
      <c r="B5911">
        <v>3290</v>
      </c>
    </row>
    <row r="5912" spans="1:2">
      <c r="A5912" t="s">
        <v>588</v>
      </c>
      <c r="B5912">
        <v>9870</v>
      </c>
    </row>
    <row r="5915" spans="1:2">
      <c r="A5915" t="s">
        <v>769</v>
      </c>
    </row>
    <row r="5917" spans="1:2">
      <c r="A5917" t="s">
        <v>1180</v>
      </c>
    </row>
    <row r="5918" spans="1:2">
      <c r="A5918" t="s">
        <v>1178</v>
      </c>
      <c r="B5918">
        <v>1210</v>
      </c>
    </row>
    <row r="5919" spans="1:2">
      <c r="A5919" t="s">
        <v>1179</v>
      </c>
      <c r="B5919">
        <v>1210</v>
      </c>
    </row>
    <row r="5920" spans="1:2">
      <c r="A5920" t="s">
        <v>2030</v>
      </c>
      <c r="B5920">
        <v>1210</v>
      </c>
    </row>
    <row r="5921" spans="1:2">
      <c r="A5921" t="s">
        <v>586</v>
      </c>
      <c r="B5921">
        <v>3630</v>
      </c>
    </row>
    <row r="5922" spans="1:2">
      <c r="A5922" t="s">
        <v>770</v>
      </c>
      <c r="B5922">
        <v>6240</v>
      </c>
    </row>
    <row r="5923" spans="1:2">
      <c r="A5923" t="s">
        <v>770</v>
      </c>
      <c r="B5923">
        <v>0.63221884498480241</v>
      </c>
    </row>
    <row r="5925" spans="1:2">
      <c r="A5925" t="s">
        <v>1181</v>
      </c>
    </row>
    <row r="5926" spans="1:2">
      <c r="A5926" t="s">
        <v>1182</v>
      </c>
      <c r="B5926">
        <v>1660</v>
      </c>
    </row>
    <row r="5927" spans="1:2">
      <c r="A5927" t="s">
        <v>1179</v>
      </c>
      <c r="B5927">
        <v>1270</v>
      </c>
    </row>
    <row r="5928" spans="1:2">
      <c r="A5928" t="s">
        <v>2030</v>
      </c>
      <c r="B5928">
        <v>1270</v>
      </c>
    </row>
    <row r="5929" spans="1:2">
      <c r="A5929" t="s">
        <v>586</v>
      </c>
      <c r="B5929">
        <v>4200</v>
      </c>
    </row>
    <row r="5930" spans="1:2">
      <c r="A5930" t="s">
        <v>770</v>
      </c>
      <c r="B5930">
        <v>5670</v>
      </c>
    </row>
    <row r="5931" spans="1:2">
      <c r="A5931" t="s">
        <v>770</v>
      </c>
      <c r="B5931">
        <v>0.57446808510638303</v>
      </c>
    </row>
    <row r="5933" spans="1:2">
      <c r="A5933" t="s">
        <v>2031</v>
      </c>
    </row>
    <row r="5934" spans="1:2">
      <c r="A5934" t="s">
        <v>1182</v>
      </c>
      <c r="B5934">
        <v>1660</v>
      </c>
    </row>
    <row r="5935" spans="1:2">
      <c r="A5935" t="s">
        <v>2032</v>
      </c>
      <c r="B5935">
        <v>1990</v>
      </c>
    </row>
    <row r="5936" spans="1:2">
      <c r="A5936" t="s">
        <v>2030</v>
      </c>
      <c r="B5936">
        <v>1270</v>
      </c>
    </row>
    <row r="5937" spans="1:2">
      <c r="A5937" t="s">
        <v>586</v>
      </c>
      <c r="B5937">
        <v>4920</v>
      </c>
    </row>
    <row r="5938" spans="1:2">
      <c r="A5938" t="s">
        <v>770</v>
      </c>
      <c r="B5938">
        <v>4950</v>
      </c>
    </row>
    <row r="5939" spans="1:2">
      <c r="A5939" t="s">
        <v>770</v>
      </c>
      <c r="B5939">
        <v>0.50151975683890582</v>
      </c>
    </row>
    <row r="5941" spans="1:2">
      <c r="A5941" t="s">
        <v>1943</v>
      </c>
      <c r="B5941">
        <v>1333.5</v>
      </c>
    </row>
    <row r="5943" spans="1:2" s="344" customFormat="1">
      <c r="A5943" s="345" t="s">
        <v>748</v>
      </c>
    </row>
    <row r="5945" spans="1:2">
      <c r="A5945" t="s">
        <v>753</v>
      </c>
      <c r="B5945" s="346">
        <v>975</v>
      </c>
    </row>
    <row r="5947" spans="1:2">
      <c r="A5947" t="s">
        <v>581</v>
      </c>
    </row>
    <row r="5948" spans="1:2">
      <c r="A5948" t="s">
        <v>214</v>
      </c>
      <c r="B5948">
        <v>975</v>
      </c>
    </row>
    <row r="5949" spans="1:2">
      <c r="A5949" t="s">
        <v>215</v>
      </c>
      <c r="B5949">
        <v>1170</v>
      </c>
    </row>
    <row r="5950" spans="1:2">
      <c r="A5950" t="s">
        <v>2009</v>
      </c>
      <c r="B5950">
        <v>1170</v>
      </c>
    </row>
    <row r="5951" spans="1:2">
      <c r="A5951" t="s">
        <v>586</v>
      </c>
      <c r="B5951">
        <v>3315</v>
      </c>
    </row>
    <row r="5953" spans="1:2">
      <c r="A5953" t="s">
        <v>268</v>
      </c>
    </row>
    <row r="5954" spans="1:2">
      <c r="A5954" t="s">
        <v>699</v>
      </c>
      <c r="B5954">
        <v>3715</v>
      </c>
    </row>
    <row r="5955" spans="1:2">
      <c r="A5955" t="s">
        <v>588</v>
      </c>
      <c r="B5955">
        <v>11145</v>
      </c>
    </row>
    <row r="5958" spans="1:2">
      <c r="A5958" t="s">
        <v>769</v>
      </c>
    </row>
    <row r="5960" spans="1:2">
      <c r="A5960" t="s">
        <v>1180</v>
      </c>
    </row>
    <row r="5961" spans="1:2">
      <c r="A5961" t="s">
        <v>1178</v>
      </c>
      <c r="B5961">
        <v>1125</v>
      </c>
    </row>
    <row r="5962" spans="1:2">
      <c r="A5962" t="s">
        <v>1179</v>
      </c>
      <c r="B5962">
        <v>1125</v>
      </c>
    </row>
    <row r="5963" spans="1:2">
      <c r="A5963" t="s">
        <v>2030</v>
      </c>
      <c r="B5963">
        <v>1125</v>
      </c>
    </row>
    <row r="5964" spans="1:2">
      <c r="A5964" t="s">
        <v>586</v>
      </c>
      <c r="B5964">
        <v>3375</v>
      </c>
    </row>
    <row r="5965" spans="1:2">
      <c r="A5965" t="s">
        <v>770</v>
      </c>
      <c r="B5965">
        <v>7770</v>
      </c>
    </row>
    <row r="5966" spans="1:2">
      <c r="A5966" t="s">
        <v>770</v>
      </c>
      <c r="B5966">
        <v>0.69717362045760434</v>
      </c>
    </row>
    <row r="5968" spans="1:2">
      <c r="A5968" t="s">
        <v>1181</v>
      </c>
    </row>
    <row r="5969" spans="1:2">
      <c r="A5969" t="s">
        <v>1182</v>
      </c>
      <c r="B5969">
        <v>975</v>
      </c>
    </row>
    <row r="5970" spans="1:2">
      <c r="A5970" t="s">
        <v>1179</v>
      </c>
      <c r="B5970">
        <v>1180</v>
      </c>
    </row>
    <row r="5971" spans="1:2">
      <c r="A5971" t="s">
        <v>2030</v>
      </c>
      <c r="B5971">
        <v>1180</v>
      </c>
    </row>
    <row r="5972" spans="1:2">
      <c r="A5972" t="s">
        <v>586</v>
      </c>
      <c r="B5972">
        <v>3335</v>
      </c>
    </row>
    <row r="5973" spans="1:2">
      <c r="A5973" t="s">
        <v>770</v>
      </c>
      <c r="B5973">
        <v>7810</v>
      </c>
    </row>
    <row r="5974" spans="1:2">
      <c r="A5974" t="s">
        <v>770</v>
      </c>
      <c r="B5974">
        <v>0.70076267384477342</v>
      </c>
    </row>
    <row r="5976" spans="1:2">
      <c r="A5976" t="s">
        <v>2031</v>
      </c>
    </row>
    <row r="5977" spans="1:2">
      <c r="A5977" t="s">
        <v>1182</v>
      </c>
      <c r="B5977">
        <v>975</v>
      </c>
    </row>
    <row r="5978" spans="1:2">
      <c r="A5978" t="s">
        <v>2032</v>
      </c>
      <c r="B5978">
        <v>1170</v>
      </c>
    </row>
    <row r="5979" spans="1:2">
      <c r="A5979" t="s">
        <v>2030</v>
      </c>
      <c r="B5979">
        <v>1180</v>
      </c>
    </row>
    <row r="5980" spans="1:2">
      <c r="A5980" t="s">
        <v>586</v>
      </c>
      <c r="B5980">
        <v>3325</v>
      </c>
    </row>
    <row r="5981" spans="1:2">
      <c r="A5981" t="s">
        <v>770</v>
      </c>
      <c r="B5981">
        <v>7820</v>
      </c>
    </row>
    <row r="5982" spans="1:2">
      <c r="A5982" t="s">
        <v>770</v>
      </c>
      <c r="B5982">
        <v>0.70165993719156572</v>
      </c>
    </row>
    <row r="5984" spans="1:2">
      <c r="A5984" t="s">
        <v>1943</v>
      </c>
      <c r="B5984">
        <v>1239</v>
      </c>
    </row>
    <row r="5986" spans="1:2" s="344" customFormat="1">
      <c r="A5986" s="345" t="s">
        <v>1896</v>
      </c>
    </row>
    <row r="5988" spans="1:2">
      <c r="A5988" t="s">
        <v>753</v>
      </c>
      <c r="B5988" s="346">
        <v>975</v>
      </c>
    </row>
    <row r="5990" spans="1:2">
      <c r="A5990" t="s">
        <v>581</v>
      </c>
    </row>
    <row r="5991" spans="1:2">
      <c r="A5991" t="s">
        <v>214</v>
      </c>
      <c r="B5991">
        <v>975</v>
      </c>
    </row>
    <row r="5992" spans="1:2">
      <c r="A5992" t="s">
        <v>215</v>
      </c>
      <c r="B5992">
        <v>1170</v>
      </c>
    </row>
    <row r="5993" spans="1:2">
      <c r="A5993" t="s">
        <v>2009</v>
      </c>
      <c r="B5993">
        <v>1170</v>
      </c>
    </row>
    <row r="5994" spans="1:2">
      <c r="A5994" t="s">
        <v>586</v>
      </c>
      <c r="B5994">
        <v>3315</v>
      </c>
    </row>
    <row r="5996" spans="1:2">
      <c r="A5996" t="s">
        <v>268</v>
      </c>
    </row>
    <row r="5997" spans="1:2">
      <c r="A5997" t="s">
        <v>699</v>
      </c>
      <c r="B5997">
        <v>3290</v>
      </c>
    </row>
    <row r="5998" spans="1:2">
      <c r="A5998" t="s">
        <v>588</v>
      </c>
      <c r="B5998">
        <v>9870</v>
      </c>
    </row>
    <row r="6001" spans="1:2">
      <c r="A6001" t="s">
        <v>769</v>
      </c>
    </row>
    <row r="6003" spans="1:2">
      <c r="A6003" t="s">
        <v>1180</v>
      </c>
    </row>
    <row r="6004" spans="1:2">
      <c r="A6004" t="s">
        <v>1178</v>
      </c>
      <c r="B6004">
        <v>1210</v>
      </c>
    </row>
    <row r="6005" spans="1:2">
      <c r="A6005" t="s">
        <v>1179</v>
      </c>
      <c r="B6005">
        <v>1210</v>
      </c>
    </row>
    <row r="6006" spans="1:2">
      <c r="A6006" t="s">
        <v>2030</v>
      </c>
      <c r="B6006">
        <v>1210</v>
      </c>
    </row>
    <row r="6007" spans="1:2">
      <c r="A6007" t="s">
        <v>586</v>
      </c>
      <c r="B6007">
        <v>3630</v>
      </c>
    </row>
    <row r="6008" spans="1:2">
      <c r="A6008" t="s">
        <v>770</v>
      </c>
      <c r="B6008">
        <v>6240</v>
      </c>
    </row>
    <row r="6009" spans="1:2">
      <c r="A6009" t="s">
        <v>770</v>
      </c>
      <c r="B6009">
        <v>0.63221884498480241</v>
      </c>
    </row>
    <row r="6011" spans="1:2">
      <c r="A6011" t="s">
        <v>1181</v>
      </c>
    </row>
    <row r="6012" spans="1:2">
      <c r="A6012" t="s">
        <v>1182</v>
      </c>
      <c r="B6012">
        <v>975</v>
      </c>
    </row>
    <row r="6013" spans="1:2">
      <c r="A6013" t="s">
        <v>1179</v>
      </c>
      <c r="B6013">
        <v>1270</v>
      </c>
    </row>
    <row r="6014" spans="1:2">
      <c r="A6014" t="s">
        <v>2030</v>
      </c>
      <c r="B6014">
        <v>1270</v>
      </c>
    </row>
    <row r="6015" spans="1:2">
      <c r="A6015" t="s">
        <v>586</v>
      </c>
      <c r="B6015">
        <v>3515</v>
      </c>
    </row>
    <row r="6016" spans="1:2">
      <c r="A6016" t="s">
        <v>770</v>
      </c>
      <c r="B6016">
        <v>6355</v>
      </c>
    </row>
    <row r="6017" spans="1:2">
      <c r="A6017" t="s">
        <v>770</v>
      </c>
      <c r="B6017">
        <v>0.64387031408308004</v>
      </c>
    </row>
    <row r="6019" spans="1:2">
      <c r="A6019" t="s">
        <v>2031</v>
      </c>
    </row>
    <row r="6020" spans="1:2">
      <c r="A6020" t="s">
        <v>1182</v>
      </c>
      <c r="B6020">
        <v>975</v>
      </c>
    </row>
    <row r="6021" spans="1:2">
      <c r="A6021" t="s">
        <v>2032</v>
      </c>
      <c r="B6021">
        <v>1170</v>
      </c>
    </row>
    <row r="6022" spans="1:2">
      <c r="A6022" t="s">
        <v>2030</v>
      </c>
      <c r="B6022">
        <v>1270</v>
      </c>
    </row>
    <row r="6023" spans="1:2">
      <c r="A6023" t="s">
        <v>586</v>
      </c>
      <c r="B6023">
        <v>3415</v>
      </c>
    </row>
    <row r="6024" spans="1:2">
      <c r="A6024" t="s">
        <v>770</v>
      </c>
      <c r="B6024">
        <v>6455</v>
      </c>
    </row>
    <row r="6025" spans="1:2">
      <c r="A6025" t="s">
        <v>770</v>
      </c>
      <c r="B6025">
        <v>0.65400202634245186</v>
      </c>
    </row>
    <row r="6027" spans="1:2">
      <c r="A6027" t="s">
        <v>1943</v>
      </c>
      <c r="B6027">
        <v>1333.5</v>
      </c>
    </row>
    <row r="6029" spans="1:2" s="344" customFormat="1">
      <c r="A6029" s="345" t="s">
        <v>1925</v>
      </c>
    </row>
    <row r="6031" spans="1:2">
      <c r="A6031" t="s">
        <v>753</v>
      </c>
      <c r="B6031" s="346">
        <v>975</v>
      </c>
    </row>
    <row r="6033" spans="1:2">
      <c r="A6033" t="s">
        <v>581</v>
      </c>
    </row>
    <row r="6034" spans="1:2">
      <c r="A6034" t="s">
        <v>214</v>
      </c>
      <c r="B6034">
        <v>975</v>
      </c>
    </row>
    <row r="6035" spans="1:2">
      <c r="A6035" t="s">
        <v>215</v>
      </c>
      <c r="B6035">
        <v>1170</v>
      </c>
    </row>
    <row r="6036" spans="1:2">
      <c r="A6036" t="s">
        <v>2009</v>
      </c>
      <c r="B6036">
        <v>1170</v>
      </c>
    </row>
    <row r="6037" spans="1:2">
      <c r="A6037" t="s">
        <v>586</v>
      </c>
      <c r="B6037">
        <v>3315</v>
      </c>
    </row>
    <row r="6039" spans="1:2">
      <c r="A6039" t="s">
        <v>268</v>
      </c>
    </row>
    <row r="6040" spans="1:2">
      <c r="A6040" t="s">
        <v>699</v>
      </c>
      <c r="B6040">
        <v>2565</v>
      </c>
    </row>
    <row r="6041" spans="1:2">
      <c r="A6041" t="s">
        <v>588</v>
      </c>
      <c r="B6041">
        <v>7695</v>
      </c>
    </row>
    <row r="6044" spans="1:2">
      <c r="A6044" t="s">
        <v>769</v>
      </c>
    </row>
    <row r="6046" spans="1:2">
      <c r="A6046" t="s">
        <v>1180</v>
      </c>
    </row>
    <row r="6047" spans="1:2">
      <c r="A6047" t="s">
        <v>1178</v>
      </c>
      <c r="B6047">
        <v>750</v>
      </c>
    </row>
    <row r="6048" spans="1:2">
      <c r="A6048" t="s">
        <v>1179</v>
      </c>
      <c r="B6048">
        <v>750</v>
      </c>
    </row>
    <row r="6049" spans="1:2">
      <c r="A6049" t="s">
        <v>2030</v>
      </c>
      <c r="B6049">
        <v>750</v>
      </c>
    </row>
    <row r="6050" spans="1:2">
      <c r="A6050" t="s">
        <v>586</v>
      </c>
      <c r="B6050">
        <v>2250</v>
      </c>
    </row>
    <row r="6051" spans="1:2">
      <c r="A6051" t="s">
        <v>770</v>
      </c>
      <c r="B6051">
        <v>5445</v>
      </c>
    </row>
    <row r="6052" spans="1:2">
      <c r="A6052" t="s">
        <v>770</v>
      </c>
      <c r="B6052">
        <v>0.70760233918128657</v>
      </c>
    </row>
    <row r="6054" spans="1:2">
      <c r="A6054" t="s">
        <v>1181</v>
      </c>
    </row>
    <row r="6055" spans="1:2">
      <c r="A6055" t="s">
        <v>1182</v>
      </c>
      <c r="B6055">
        <v>975</v>
      </c>
    </row>
    <row r="6056" spans="1:2">
      <c r="A6056" t="s">
        <v>1179</v>
      </c>
      <c r="B6056">
        <v>790</v>
      </c>
    </row>
    <row r="6057" spans="1:2">
      <c r="A6057" t="s">
        <v>2030</v>
      </c>
      <c r="B6057">
        <v>790</v>
      </c>
    </row>
    <row r="6058" spans="1:2">
      <c r="A6058" t="s">
        <v>586</v>
      </c>
      <c r="B6058">
        <v>2555</v>
      </c>
    </row>
    <row r="6059" spans="1:2">
      <c r="A6059" t="s">
        <v>770</v>
      </c>
      <c r="B6059">
        <v>5140</v>
      </c>
    </row>
    <row r="6060" spans="1:2">
      <c r="A6060" t="s">
        <v>770</v>
      </c>
      <c r="B6060">
        <v>0.66796621182586091</v>
      </c>
    </row>
    <row r="6062" spans="1:2">
      <c r="A6062" t="s">
        <v>2031</v>
      </c>
    </row>
    <row r="6063" spans="1:2">
      <c r="A6063" t="s">
        <v>1182</v>
      </c>
      <c r="B6063">
        <v>975</v>
      </c>
    </row>
    <row r="6064" spans="1:2">
      <c r="A6064" t="s">
        <v>2032</v>
      </c>
      <c r="B6064">
        <v>1170</v>
      </c>
    </row>
    <row r="6065" spans="1:2">
      <c r="A6065" t="s">
        <v>2030</v>
      </c>
      <c r="B6065">
        <v>790</v>
      </c>
    </row>
    <row r="6066" spans="1:2">
      <c r="A6066" t="s">
        <v>586</v>
      </c>
      <c r="B6066">
        <v>2935</v>
      </c>
    </row>
    <row r="6067" spans="1:2">
      <c r="A6067" t="s">
        <v>770</v>
      </c>
      <c r="B6067">
        <v>4760</v>
      </c>
    </row>
    <row r="6068" spans="1:2">
      <c r="A6068" t="s">
        <v>770</v>
      </c>
      <c r="B6068">
        <v>0.6185834957764782</v>
      </c>
    </row>
    <row r="6070" spans="1:2">
      <c r="A6070" t="s">
        <v>1943</v>
      </c>
      <c r="B6070">
        <v>829.5</v>
      </c>
    </row>
    <row r="6072" spans="1:2" s="344" customFormat="1">
      <c r="A6072" s="345" t="s">
        <v>749</v>
      </c>
    </row>
    <row r="6074" spans="1:2">
      <c r="A6074" t="s">
        <v>753</v>
      </c>
      <c r="B6074" s="346">
        <v>2530</v>
      </c>
    </row>
    <row r="6076" spans="1:2">
      <c r="A6076" t="s">
        <v>581</v>
      </c>
    </row>
    <row r="6077" spans="1:2">
      <c r="A6077" t="s">
        <v>214</v>
      </c>
      <c r="B6077">
        <v>2530</v>
      </c>
    </row>
    <row r="6078" spans="1:2">
      <c r="A6078" t="s">
        <v>215</v>
      </c>
      <c r="B6078">
        <v>3035</v>
      </c>
    </row>
    <row r="6079" spans="1:2">
      <c r="A6079" t="s">
        <v>2009</v>
      </c>
      <c r="B6079">
        <v>3035</v>
      </c>
    </row>
    <row r="6080" spans="1:2">
      <c r="A6080" t="s">
        <v>586</v>
      </c>
      <c r="B6080">
        <v>8600</v>
      </c>
    </row>
    <row r="6082" spans="1:2">
      <c r="A6082" t="s">
        <v>268</v>
      </c>
    </row>
    <row r="6083" spans="1:2">
      <c r="A6083" t="s">
        <v>699</v>
      </c>
      <c r="B6083">
        <v>3715</v>
      </c>
    </row>
    <row r="6084" spans="1:2">
      <c r="A6084" t="s">
        <v>588</v>
      </c>
      <c r="B6084">
        <v>11145</v>
      </c>
    </row>
    <row r="6087" spans="1:2">
      <c r="A6087" t="s">
        <v>769</v>
      </c>
    </row>
    <row r="6089" spans="1:2">
      <c r="A6089" t="s">
        <v>1180</v>
      </c>
    </row>
    <row r="6090" spans="1:2">
      <c r="A6090" t="s">
        <v>1178</v>
      </c>
      <c r="B6090">
        <v>1125</v>
      </c>
    </row>
    <row r="6091" spans="1:2">
      <c r="A6091" t="s">
        <v>1179</v>
      </c>
      <c r="B6091">
        <v>1125</v>
      </c>
    </row>
    <row r="6092" spans="1:2">
      <c r="A6092" t="s">
        <v>2030</v>
      </c>
      <c r="B6092">
        <v>1125</v>
      </c>
    </row>
    <row r="6093" spans="1:2">
      <c r="A6093" t="s">
        <v>586</v>
      </c>
      <c r="B6093">
        <v>3375</v>
      </c>
    </row>
    <row r="6094" spans="1:2">
      <c r="A6094" t="s">
        <v>770</v>
      </c>
      <c r="B6094">
        <v>7770</v>
      </c>
    </row>
    <row r="6095" spans="1:2">
      <c r="A6095" t="s">
        <v>770</v>
      </c>
      <c r="B6095">
        <v>0.69717362045760434</v>
      </c>
    </row>
    <row r="6097" spans="1:2">
      <c r="A6097" t="s">
        <v>1181</v>
      </c>
    </row>
    <row r="6098" spans="1:2">
      <c r="A6098" t="s">
        <v>1182</v>
      </c>
      <c r="B6098">
        <v>2530</v>
      </c>
    </row>
    <row r="6099" spans="1:2">
      <c r="A6099" t="s">
        <v>1179</v>
      </c>
      <c r="B6099">
        <v>1180</v>
      </c>
    </row>
    <row r="6100" spans="1:2">
      <c r="A6100" t="s">
        <v>2030</v>
      </c>
      <c r="B6100">
        <v>1180</v>
      </c>
    </row>
    <row r="6101" spans="1:2">
      <c r="A6101" t="s">
        <v>586</v>
      </c>
      <c r="B6101">
        <v>4890</v>
      </c>
    </row>
    <row r="6102" spans="1:2">
      <c r="A6102" t="s">
        <v>770</v>
      </c>
      <c r="B6102">
        <v>6255</v>
      </c>
    </row>
    <row r="6103" spans="1:2">
      <c r="A6103" t="s">
        <v>770</v>
      </c>
      <c r="B6103">
        <v>0.56123822341857332</v>
      </c>
    </row>
    <row r="6105" spans="1:2">
      <c r="A6105" t="s">
        <v>2031</v>
      </c>
    </row>
    <row r="6106" spans="1:2">
      <c r="A6106" t="s">
        <v>1182</v>
      </c>
      <c r="B6106">
        <v>2530</v>
      </c>
    </row>
    <row r="6107" spans="1:2">
      <c r="A6107" t="s">
        <v>2032</v>
      </c>
      <c r="B6107">
        <v>3035</v>
      </c>
    </row>
    <row r="6108" spans="1:2">
      <c r="A6108" t="s">
        <v>2030</v>
      </c>
      <c r="B6108">
        <v>1180</v>
      </c>
    </row>
    <row r="6109" spans="1:2">
      <c r="A6109" t="s">
        <v>586</v>
      </c>
      <c r="B6109">
        <v>6745</v>
      </c>
    </row>
    <row r="6110" spans="1:2">
      <c r="A6110" t="s">
        <v>770</v>
      </c>
      <c r="B6110">
        <v>4400</v>
      </c>
    </row>
    <row r="6111" spans="1:2">
      <c r="A6111" t="s">
        <v>770</v>
      </c>
      <c r="B6111">
        <v>0.39479587258860477</v>
      </c>
    </row>
    <row r="6113" spans="1:2">
      <c r="A6113" t="s">
        <v>1943</v>
      </c>
      <c r="B6113">
        <v>1239</v>
      </c>
    </row>
    <row r="6115" spans="1:2" s="344" customFormat="1">
      <c r="A6115" s="345" t="s">
        <v>1897</v>
      </c>
    </row>
    <row r="6117" spans="1:2">
      <c r="A6117" t="s">
        <v>753</v>
      </c>
      <c r="B6117" s="346">
        <v>2530</v>
      </c>
    </row>
    <row r="6119" spans="1:2">
      <c r="A6119" t="s">
        <v>581</v>
      </c>
    </row>
    <row r="6120" spans="1:2">
      <c r="A6120" t="s">
        <v>214</v>
      </c>
      <c r="B6120">
        <v>2530</v>
      </c>
    </row>
    <row r="6121" spans="1:2">
      <c r="A6121" t="s">
        <v>215</v>
      </c>
      <c r="B6121">
        <v>3035</v>
      </c>
    </row>
    <row r="6122" spans="1:2">
      <c r="A6122" t="s">
        <v>2009</v>
      </c>
      <c r="B6122">
        <v>3035</v>
      </c>
    </row>
    <row r="6123" spans="1:2">
      <c r="A6123" t="s">
        <v>586</v>
      </c>
      <c r="B6123">
        <v>8600</v>
      </c>
    </row>
    <row r="6125" spans="1:2">
      <c r="A6125" t="s">
        <v>268</v>
      </c>
    </row>
    <row r="6126" spans="1:2">
      <c r="A6126" t="s">
        <v>699</v>
      </c>
      <c r="B6126">
        <v>3290</v>
      </c>
    </row>
    <row r="6127" spans="1:2">
      <c r="A6127" t="s">
        <v>588</v>
      </c>
      <c r="B6127">
        <v>9870</v>
      </c>
    </row>
    <row r="6130" spans="1:2">
      <c r="A6130" t="s">
        <v>769</v>
      </c>
    </row>
    <row r="6132" spans="1:2">
      <c r="A6132" t="s">
        <v>1180</v>
      </c>
    </row>
    <row r="6133" spans="1:2">
      <c r="A6133" t="s">
        <v>1178</v>
      </c>
      <c r="B6133">
        <v>1210</v>
      </c>
    </row>
    <row r="6134" spans="1:2">
      <c r="A6134" t="s">
        <v>1179</v>
      </c>
      <c r="B6134">
        <v>1210</v>
      </c>
    </row>
    <row r="6135" spans="1:2">
      <c r="A6135" t="s">
        <v>2030</v>
      </c>
      <c r="B6135">
        <v>1210</v>
      </c>
    </row>
    <row r="6136" spans="1:2">
      <c r="A6136" t="s">
        <v>586</v>
      </c>
      <c r="B6136">
        <v>3630</v>
      </c>
    </row>
    <row r="6137" spans="1:2">
      <c r="A6137" t="s">
        <v>770</v>
      </c>
      <c r="B6137">
        <v>6240</v>
      </c>
    </row>
    <row r="6138" spans="1:2">
      <c r="A6138" t="s">
        <v>770</v>
      </c>
      <c r="B6138">
        <v>0.63221884498480241</v>
      </c>
    </row>
    <row r="6140" spans="1:2">
      <c r="A6140" t="s">
        <v>1181</v>
      </c>
    </row>
    <row r="6141" spans="1:2">
      <c r="A6141" t="s">
        <v>1182</v>
      </c>
      <c r="B6141">
        <v>2530</v>
      </c>
    </row>
    <row r="6142" spans="1:2">
      <c r="A6142" t="s">
        <v>1179</v>
      </c>
      <c r="B6142">
        <v>1270</v>
      </c>
    </row>
    <row r="6143" spans="1:2">
      <c r="A6143" t="s">
        <v>2030</v>
      </c>
      <c r="B6143">
        <v>1270</v>
      </c>
    </row>
    <row r="6144" spans="1:2">
      <c r="A6144" t="s">
        <v>586</v>
      </c>
      <c r="B6144">
        <v>5070</v>
      </c>
    </row>
    <row r="6145" spans="1:2">
      <c r="A6145" t="s">
        <v>770</v>
      </c>
      <c r="B6145">
        <v>4800</v>
      </c>
    </row>
    <row r="6146" spans="1:2">
      <c r="A6146" t="s">
        <v>770</v>
      </c>
      <c r="B6146">
        <v>0.48632218844984804</v>
      </c>
    </row>
    <row r="6148" spans="1:2">
      <c r="A6148" t="s">
        <v>2031</v>
      </c>
    </row>
    <row r="6149" spans="1:2">
      <c r="A6149" t="s">
        <v>1182</v>
      </c>
      <c r="B6149">
        <v>2530</v>
      </c>
    </row>
    <row r="6150" spans="1:2">
      <c r="A6150" t="s">
        <v>2032</v>
      </c>
      <c r="B6150">
        <v>3035</v>
      </c>
    </row>
    <row r="6151" spans="1:2">
      <c r="A6151" t="s">
        <v>2030</v>
      </c>
      <c r="B6151">
        <v>1270</v>
      </c>
    </row>
    <row r="6152" spans="1:2">
      <c r="A6152" t="s">
        <v>586</v>
      </c>
      <c r="B6152">
        <v>6835</v>
      </c>
    </row>
    <row r="6153" spans="1:2">
      <c r="A6153" t="s">
        <v>770</v>
      </c>
      <c r="B6153">
        <v>3035</v>
      </c>
    </row>
    <row r="6154" spans="1:2">
      <c r="A6154" t="s">
        <v>770</v>
      </c>
      <c r="B6154">
        <v>0.30749746707193515</v>
      </c>
    </row>
    <row r="6156" spans="1:2">
      <c r="A6156" t="s">
        <v>1943</v>
      </c>
      <c r="B6156">
        <v>1333.5</v>
      </c>
    </row>
    <row r="6158" spans="1:2" s="344" customFormat="1">
      <c r="A6158" s="345" t="s">
        <v>1759</v>
      </c>
    </row>
    <row r="6160" spans="1:2">
      <c r="A6160" t="s">
        <v>753</v>
      </c>
      <c r="B6160" s="346">
        <v>660</v>
      </c>
    </row>
    <row r="6162" spans="1:2">
      <c r="A6162" t="s">
        <v>581</v>
      </c>
    </row>
    <row r="6163" spans="1:2">
      <c r="A6163" t="s">
        <v>214</v>
      </c>
      <c r="B6163">
        <v>660</v>
      </c>
    </row>
    <row r="6164" spans="1:2">
      <c r="A6164" t="s">
        <v>215</v>
      </c>
      <c r="B6164">
        <v>790</v>
      </c>
    </row>
    <row r="6165" spans="1:2">
      <c r="A6165" t="s">
        <v>2009</v>
      </c>
      <c r="B6165">
        <v>790</v>
      </c>
    </row>
    <row r="6166" spans="1:2">
      <c r="A6166" t="s">
        <v>586</v>
      </c>
      <c r="B6166">
        <v>2240</v>
      </c>
    </row>
    <row r="6168" spans="1:2">
      <c r="A6168" t="s">
        <v>268</v>
      </c>
    </row>
    <row r="6169" spans="1:2">
      <c r="A6169" t="s">
        <v>699</v>
      </c>
      <c r="B6169">
        <v>2755</v>
      </c>
    </row>
    <row r="6170" spans="1:2">
      <c r="A6170" t="s">
        <v>588</v>
      </c>
      <c r="B6170">
        <v>8265</v>
      </c>
    </row>
    <row r="6173" spans="1:2">
      <c r="A6173" t="s">
        <v>769</v>
      </c>
    </row>
    <row r="6175" spans="1:2">
      <c r="A6175" t="s">
        <v>1180</v>
      </c>
    </row>
    <row r="6176" spans="1:2">
      <c r="A6176" t="s">
        <v>1178</v>
      </c>
      <c r="B6176">
        <v>630</v>
      </c>
    </row>
    <row r="6177" spans="1:2">
      <c r="A6177" t="s">
        <v>1179</v>
      </c>
      <c r="B6177">
        <v>630</v>
      </c>
    </row>
    <row r="6178" spans="1:2">
      <c r="A6178" t="s">
        <v>2030</v>
      </c>
      <c r="B6178">
        <v>630</v>
      </c>
    </row>
    <row r="6179" spans="1:2">
      <c r="A6179" t="s">
        <v>586</v>
      </c>
      <c r="B6179">
        <v>1890</v>
      </c>
    </row>
    <row r="6180" spans="1:2">
      <c r="A6180" t="s">
        <v>770</v>
      </c>
      <c r="B6180">
        <v>6375</v>
      </c>
    </row>
    <row r="6181" spans="1:2">
      <c r="A6181" t="s">
        <v>770</v>
      </c>
      <c r="B6181">
        <v>0.77132486388384758</v>
      </c>
    </row>
    <row r="6183" spans="1:2">
      <c r="A6183" t="s">
        <v>1181</v>
      </c>
    </row>
    <row r="6184" spans="1:2">
      <c r="A6184" t="s">
        <v>1182</v>
      </c>
      <c r="B6184">
        <v>660</v>
      </c>
    </row>
    <row r="6185" spans="1:2">
      <c r="A6185" t="s">
        <v>1179</v>
      </c>
      <c r="B6185">
        <v>660</v>
      </c>
    </row>
    <row r="6186" spans="1:2">
      <c r="A6186" t="s">
        <v>2030</v>
      </c>
      <c r="B6186">
        <v>660</v>
      </c>
    </row>
    <row r="6187" spans="1:2">
      <c r="A6187" t="s">
        <v>586</v>
      </c>
      <c r="B6187">
        <v>1980</v>
      </c>
    </row>
    <row r="6188" spans="1:2">
      <c r="A6188" t="s">
        <v>770</v>
      </c>
      <c r="B6188">
        <v>6285</v>
      </c>
    </row>
    <row r="6189" spans="1:2">
      <c r="A6189" t="s">
        <v>770</v>
      </c>
      <c r="B6189">
        <v>0.76043557168784026</v>
      </c>
    </row>
    <row r="6191" spans="1:2">
      <c r="A6191" t="s">
        <v>2031</v>
      </c>
    </row>
    <row r="6192" spans="1:2">
      <c r="A6192" t="s">
        <v>1182</v>
      </c>
      <c r="B6192">
        <v>660</v>
      </c>
    </row>
    <row r="6193" spans="1:2">
      <c r="A6193" t="s">
        <v>2032</v>
      </c>
      <c r="B6193">
        <v>790</v>
      </c>
    </row>
    <row r="6194" spans="1:2">
      <c r="A6194" t="s">
        <v>2030</v>
      </c>
      <c r="B6194">
        <v>660</v>
      </c>
    </row>
    <row r="6195" spans="1:2">
      <c r="A6195" t="s">
        <v>586</v>
      </c>
      <c r="B6195">
        <v>2110</v>
      </c>
    </row>
    <row r="6196" spans="1:2">
      <c r="A6196" t="s">
        <v>770</v>
      </c>
      <c r="B6196">
        <v>6155</v>
      </c>
    </row>
    <row r="6197" spans="1:2">
      <c r="A6197" t="s">
        <v>770</v>
      </c>
      <c r="B6197">
        <v>0.7447065940713854</v>
      </c>
    </row>
    <row r="6199" spans="1:2">
      <c r="A6199" t="s">
        <v>1943</v>
      </c>
      <c r="B6199">
        <v>693</v>
      </c>
    </row>
    <row r="6201" spans="1:2" s="344" customFormat="1">
      <c r="A6201" s="345" t="s">
        <v>1984</v>
      </c>
    </row>
    <row r="6203" spans="1:2">
      <c r="A6203" t="s">
        <v>753</v>
      </c>
      <c r="B6203" s="346">
        <v>1480</v>
      </c>
    </row>
    <row r="6205" spans="1:2">
      <c r="A6205" t="s">
        <v>581</v>
      </c>
    </row>
    <row r="6206" spans="1:2">
      <c r="A6206" t="s">
        <v>214</v>
      </c>
      <c r="B6206">
        <v>1480</v>
      </c>
    </row>
    <row r="6207" spans="1:2">
      <c r="A6207" t="s">
        <v>215</v>
      </c>
      <c r="B6207">
        <v>1630</v>
      </c>
    </row>
    <row r="6208" spans="1:2">
      <c r="A6208" t="s">
        <v>2009</v>
      </c>
      <c r="B6208">
        <v>1955</v>
      </c>
    </row>
    <row r="6209" spans="1:2">
      <c r="A6209" t="s">
        <v>586</v>
      </c>
      <c r="B6209">
        <v>5065</v>
      </c>
    </row>
    <row r="6211" spans="1:2">
      <c r="A6211" t="s">
        <v>268</v>
      </c>
    </row>
    <row r="6212" spans="1:2">
      <c r="A6212" t="s">
        <v>699</v>
      </c>
      <c r="B6212">
        <v>5920</v>
      </c>
    </row>
    <row r="6213" spans="1:2">
      <c r="A6213" t="s">
        <v>588</v>
      </c>
      <c r="B6213">
        <v>17760</v>
      </c>
    </row>
    <row r="6216" spans="1:2">
      <c r="A6216" t="s">
        <v>769</v>
      </c>
    </row>
    <row r="6218" spans="1:2">
      <c r="A6218" t="s">
        <v>1180</v>
      </c>
    </row>
    <row r="6219" spans="1:2">
      <c r="A6219" t="s">
        <v>1178</v>
      </c>
      <c r="B6219">
        <v>1480</v>
      </c>
    </row>
    <row r="6220" spans="1:2">
      <c r="A6220" t="s">
        <v>1179</v>
      </c>
      <c r="B6220">
        <v>1480</v>
      </c>
    </row>
    <row r="6221" spans="1:2">
      <c r="A6221" t="s">
        <v>2030</v>
      </c>
      <c r="B6221">
        <v>1480</v>
      </c>
    </row>
    <row r="6222" spans="1:2">
      <c r="A6222" t="s">
        <v>586</v>
      </c>
      <c r="B6222">
        <v>4440</v>
      </c>
    </row>
    <row r="6223" spans="1:2">
      <c r="A6223" t="s">
        <v>770</v>
      </c>
      <c r="B6223">
        <v>13320</v>
      </c>
    </row>
    <row r="6224" spans="1:2">
      <c r="A6224" t="s">
        <v>770</v>
      </c>
      <c r="B6224">
        <v>0.75</v>
      </c>
    </row>
    <row r="6226" spans="1:2">
      <c r="A6226" t="s">
        <v>1181</v>
      </c>
    </row>
    <row r="6227" spans="1:2">
      <c r="A6227" t="s">
        <v>1182</v>
      </c>
      <c r="B6227">
        <v>1480</v>
      </c>
    </row>
    <row r="6228" spans="1:2">
      <c r="A6228" t="s">
        <v>1179</v>
      </c>
      <c r="B6228">
        <v>1555</v>
      </c>
    </row>
    <row r="6229" spans="1:2">
      <c r="A6229" t="s">
        <v>2030</v>
      </c>
      <c r="B6229">
        <v>1555</v>
      </c>
    </row>
    <row r="6230" spans="1:2">
      <c r="A6230" t="s">
        <v>586</v>
      </c>
      <c r="B6230">
        <v>4590</v>
      </c>
    </row>
    <row r="6231" spans="1:2">
      <c r="A6231" t="s">
        <v>770</v>
      </c>
      <c r="B6231">
        <v>13170</v>
      </c>
    </row>
    <row r="6232" spans="1:2">
      <c r="A6232" t="s">
        <v>770</v>
      </c>
      <c r="B6232">
        <v>0.74155405405405406</v>
      </c>
    </row>
    <row r="6234" spans="1:2">
      <c r="A6234" t="s">
        <v>2031</v>
      </c>
    </row>
    <row r="6235" spans="1:2">
      <c r="A6235" t="s">
        <v>1182</v>
      </c>
      <c r="B6235">
        <v>1480</v>
      </c>
    </row>
    <row r="6236" spans="1:2">
      <c r="A6236" t="s">
        <v>2032</v>
      </c>
      <c r="B6236">
        <v>1630</v>
      </c>
    </row>
    <row r="6237" spans="1:2">
      <c r="A6237" t="s">
        <v>2030</v>
      </c>
      <c r="B6237">
        <v>1635</v>
      </c>
    </row>
    <row r="6238" spans="1:2">
      <c r="A6238" t="s">
        <v>586</v>
      </c>
      <c r="B6238">
        <v>4745</v>
      </c>
    </row>
    <row r="6239" spans="1:2">
      <c r="A6239" t="s">
        <v>770</v>
      </c>
      <c r="B6239">
        <v>13015</v>
      </c>
    </row>
    <row r="6240" spans="1:2">
      <c r="A6240" t="s">
        <v>770</v>
      </c>
      <c r="B6240">
        <v>0.73282657657657657</v>
      </c>
    </row>
    <row r="6242" spans="1:2">
      <c r="A6242" t="s">
        <v>1943</v>
      </c>
      <c r="B6242">
        <v>1716.75</v>
      </c>
    </row>
    <row r="6244" spans="1:2" s="344" customFormat="1">
      <c r="A6244" s="345" t="s">
        <v>1985</v>
      </c>
    </row>
    <row r="6246" spans="1:2">
      <c r="A6246" t="s">
        <v>753</v>
      </c>
      <c r="B6246" s="346">
        <v>1480</v>
      </c>
    </row>
    <row r="6248" spans="1:2">
      <c r="A6248" t="s">
        <v>581</v>
      </c>
    </row>
    <row r="6249" spans="1:2">
      <c r="A6249" t="s">
        <v>214</v>
      </c>
      <c r="B6249">
        <v>1480</v>
      </c>
    </row>
    <row r="6250" spans="1:2">
      <c r="A6250" t="s">
        <v>215</v>
      </c>
      <c r="B6250">
        <v>1630</v>
      </c>
    </row>
    <row r="6251" spans="1:2">
      <c r="A6251" t="s">
        <v>2009</v>
      </c>
      <c r="B6251">
        <v>1955</v>
      </c>
    </row>
    <row r="6252" spans="1:2">
      <c r="A6252" t="s">
        <v>586</v>
      </c>
      <c r="B6252">
        <v>5065</v>
      </c>
    </row>
    <row r="6254" spans="1:2">
      <c r="A6254" t="s">
        <v>268</v>
      </c>
    </row>
    <row r="6255" spans="1:2">
      <c r="A6255" t="s">
        <v>699</v>
      </c>
      <c r="B6255">
        <v>8880</v>
      </c>
    </row>
    <row r="6256" spans="1:2">
      <c r="A6256" t="s">
        <v>588</v>
      </c>
      <c r="B6256">
        <v>26640</v>
      </c>
    </row>
    <row r="6259" spans="1:2">
      <c r="A6259" t="s">
        <v>769</v>
      </c>
    </row>
    <row r="6261" spans="1:2">
      <c r="A6261" t="s">
        <v>1180</v>
      </c>
    </row>
    <row r="6262" spans="1:2">
      <c r="A6262" t="s">
        <v>1178</v>
      </c>
      <c r="B6262">
        <v>2160</v>
      </c>
    </row>
    <row r="6263" spans="1:2">
      <c r="A6263" t="s">
        <v>1179</v>
      </c>
      <c r="B6263">
        <v>2160</v>
      </c>
    </row>
    <row r="6264" spans="1:2">
      <c r="A6264" t="s">
        <v>2030</v>
      </c>
      <c r="B6264">
        <v>2160</v>
      </c>
    </row>
    <row r="6265" spans="1:2">
      <c r="A6265" t="s">
        <v>586</v>
      </c>
      <c r="B6265">
        <v>6480</v>
      </c>
    </row>
    <row r="6266" spans="1:2">
      <c r="A6266" t="s">
        <v>770</v>
      </c>
      <c r="B6266">
        <v>20160</v>
      </c>
    </row>
    <row r="6267" spans="1:2">
      <c r="A6267" t="s">
        <v>770</v>
      </c>
      <c r="B6267">
        <v>0.7567567567567568</v>
      </c>
    </row>
    <row r="6269" spans="1:2">
      <c r="A6269" t="s">
        <v>1181</v>
      </c>
    </row>
    <row r="6270" spans="1:2">
      <c r="A6270" t="s">
        <v>1182</v>
      </c>
      <c r="B6270">
        <v>1480</v>
      </c>
    </row>
    <row r="6271" spans="1:2">
      <c r="A6271" t="s">
        <v>1179</v>
      </c>
      <c r="B6271">
        <v>2270</v>
      </c>
    </row>
    <row r="6272" spans="1:2">
      <c r="A6272" t="s">
        <v>2030</v>
      </c>
      <c r="B6272">
        <v>2270</v>
      </c>
    </row>
    <row r="6273" spans="1:2">
      <c r="A6273" t="s">
        <v>586</v>
      </c>
      <c r="B6273">
        <v>6020</v>
      </c>
    </row>
    <row r="6274" spans="1:2">
      <c r="A6274" t="s">
        <v>770</v>
      </c>
      <c r="B6274">
        <v>20620</v>
      </c>
    </row>
    <row r="6275" spans="1:2">
      <c r="A6275" t="s">
        <v>770</v>
      </c>
      <c r="B6275">
        <v>0.77402402402402404</v>
      </c>
    </row>
    <row r="6277" spans="1:2">
      <c r="A6277" t="s">
        <v>2031</v>
      </c>
    </row>
    <row r="6278" spans="1:2">
      <c r="A6278" t="s">
        <v>1182</v>
      </c>
      <c r="B6278">
        <v>1480</v>
      </c>
    </row>
    <row r="6279" spans="1:2">
      <c r="A6279" t="s">
        <v>2032</v>
      </c>
      <c r="B6279">
        <v>1630</v>
      </c>
    </row>
    <row r="6280" spans="1:2">
      <c r="A6280" t="s">
        <v>2030</v>
      </c>
      <c r="B6280">
        <v>2385</v>
      </c>
    </row>
    <row r="6281" spans="1:2">
      <c r="A6281" t="s">
        <v>586</v>
      </c>
      <c r="B6281">
        <v>5495</v>
      </c>
    </row>
    <row r="6282" spans="1:2">
      <c r="A6282" t="s">
        <v>770</v>
      </c>
      <c r="B6282">
        <v>21145</v>
      </c>
    </row>
    <row r="6283" spans="1:2">
      <c r="A6283" t="s">
        <v>770</v>
      </c>
      <c r="B6283">
        <v>0.79373123123123124</v>
      </c>
    </row>
    <row r="6285" spans="1:2">
      <c r="A6285" t="s">
        <v>1943</v>
      </c>
      <c r="B6285">
        <v>2504.25</v>
      </c>
    </row>
    <row r="6287" spans="1:2" s="344" customFormat="1">
      <c r="A6287" s="345" t="s">
        <v>1986</v>
      </c>
    </row>
    <row r="6289" spans="1:2">
      <c r="A6289" t="s">
        <v>753</v>
      </c>
      <c r="B6289" s="346">
        <v>360</v>
      </c>
    </row>
    <row r="6291" spans="1:2">
      <c r="A6291" t="s">
        <v>581</v>
      </c>
    </row>
    <row r="6292" spans="1:2">
      <c r="A6292" t="s">
        <v>214</v>
      </c>
      <c r="B6292">
        <v>360</v>
      </c>
    </row>
    <row r="6293" spans="1:2">
      <c r="A6293" t="s">
        <v>215</v>
      </c>
      <c r="B6293">
        <v>395</v>
      </c>
    </row>
    <row r="6294" spans="1:2">
      <c r="A6294" t="s">
        <v>2009</v>
      </c>
      <c r="B6294">
        <v>475</v>
      </c>
    </row>
    <row r="6295" spans="1:2">
      <c r="A6295" t="s">
        <v>586</v>
      </c>
      <c r="B6295">
        <v>1230</v>
      </c>
    </row>
    <row r="6297" spans="1:2">
      <c r="A6297" t="s">
        <v>268</v>
      </c>
    </row>
    <row r="6298" spans="1:2">
      <c r="A6298" t="s">
        <v>699</v>
      </c>
      <c r="B6298">
        <v>5920</v>
      </c>
    </row>
    <row r="6299" spans="1:2">
      <c r="A6299" t="s">
        <v>588</v>
      </c>
      <c r="B6299">
        <v>17760</v>
      </c>
    </row>
    <row r="6302" spans="1:2">
      <c r="A6302" t="s">
        <v>769</v>
      </c>
    </row>
    <row r="6304" spans="1:2">
      <c r="A6304" t="s">
        <v>1180</v>
      </c>
    </row>
    <row r="6305" spans="1:2">
      <c r="A6305" t="s">
        <v>1178</v>
      </c>
      <c r="B6305">
        <v>1480</v>
      </c>
    </row>
    <row r="6306" spans="1:2">
      <c r="A6306" t="s">
        <v>1179</v>
      </c>
      <c r="B6306">
        <v>1480</v>
      </c>
    </row>
    <row r="6307" spans="1:2">
      <c r="A6307" t="s">
        <v>2030</v>
      </c>
      <c r="B6307">
        <v>1480</v>
      </c>
    </row>
    <row r="6308" spans="1:2">
      <c r="A6308" t="s">
        <v>586</v>
      </c>
      <c r="B6308">
        <v>4440</v>
      </c>
    </row>
    <row r="6309" spans="1:2">
      <c r="A6309" t="s">
        <v>770</v>
      </c>
      <c r="B6309">
        <v>13320</v>
      </c>
    </row>
    <row r="6310" spans="1:2">
      <c r="A6310" t="s">
        <v>770</v>
      </c>
      <c r="B6310">
        <v>0.75</v>
      </c>
    </row>
    <row r="6312" spans="1:2">
      <c r="A6312" t="s">
        <v>1181</v>
      </c>
    </row>
    <row r="6313" spans="1:2">
      <c r="A6313" t="s">
        <v>1182</v>
      </c>
      <c r="B6313">
        <v>360</v>
      </c>
    </row>
    <row r="6314" spans="1:2">
      <c r="A6314" t="s">
        <v>1179</v>
      </c>
      <c r="B6314">
        <v>1555</v>
      </c>
    </row>
    <row r="6315" spans="1:2">
      <c r="A6315" t="s">
        <v>2030</v>
      </c>
      <c r="B6315">
        <v>1555</v>
      </c>
    </row>
    <row r="6316" spans="1:2">
      <c r="A6316" t="s">
        <v>586</v>
      </c>
      <c r="B6316">
        <v>3470</v>
      </c>
    </row>
    <row r="6317" spans="1:2">
      <c r="A6317" t="s">
        <v>770</v>
      </c>
      <c r="B6317">
        <v>14290</v>
      </c>
    </row>
    <row r="6318" spans="1:2">
      <c r="A6318" t="s">
        <v>770</v>
      </c>
      <c r="B6318">
        <v>0.80461711711711714</v>
      </c>
    </row>
    <row r="6320" spans="1:2">
      <c r="A6320" t="s">
        <v>2031</v>
      </c>
    </row>
    <row r="6321" spans="1:2">
      <c r="A6321" t="s">
        <v>1182</v>
      </c>
      <c r="B6321">
        <v>360</v>
      </c>
    </row>
    <row r="6322" spans="1:2">
      <c r="A6322" t="s">
        <v>2032</v>
      </c>
      <c r="B6322">
        <v>395</v>
      </c>
    </row>
    <row r="6323" spans="1:2">
      <c r="A6323" t="s">
        <v>2030</v>
      </c>
      <c r="B6323">
        <v>1635</v>
      </c>
    </row>
    <row r="6324" spans="1:2">
      <c r="A6324" t="s">
        <v>586</v>
      </c>
      <c r="B6324">
        <v>2390</v>
      </c>
    </row>
    <row r="6325" spans="1:2">
      <c r="A6325" t="s">
        <v>770</v>
      </c>
      <c r="B6325">
        <v>15370</v>
      </c>
    </row>
    <row r="6326" spans="1:2">
      <c r="A6326" t="s">
        <v>770</v>
      </c>
      <c r="B6326">
        <v>0.86542792792792789</v>
      </c>
    </row>
    <row r="6328" spans="1:2">
      <c r="A6328" t="s">
        <v>1943</v>
      </c>
      <c r="B6328">
        <v>1716.75</v>
      </c>
    </row>
    <row r="6330" spans="1:2" s="344" customFormat="1">
      <c r="A6330" s="345" t="s">
        <v>1987</v>
      </c>
    </row>
    <row r="6332" spans="1:2">
      <c r="A6332" t="s">
        <v>753</v>
      </c>
      <c r="B6332" s="346">
        <v>360</v>
      </c>
    </row>
    <row r="6334" spans="1:2">
      <c r="A6334" t="s">
        <v>581</v>
      </c>
    </row>
    <row r="6335" spans="1:2">
      <c r="A6335" t="s">
        <v>214</v>
      </c>
      <c r="B6335">
        <v>360</v>
      </c>
    </row>
    <row r="6336" spans="1:2">
      <c r="A6336" t="s">
        <v>215</v>
      </c>
      <c r="B6336">
        <v>395</v>
      </c>
    </row>
    <row r="6337" spans="1:2">
      <c r="A6337" t="s">
        <v>2009</v>
      </c>
      <c r="B6337">
        <v>475</v>
      </c>
    </row>
    <row r="6338" spans="1:2">
      <c r="A6338" t="s">
        <v>586</v>
      </c>
      <c r="B6338">
        <v>1230</v>
      </c>
    </row>
    <row r="6340" spans="1:2">
      <c r="A6340" t="s">
        <v>268</v>
      </c>
    </row>
    <row r="6341" spans="1:2">
      <c r="A6341" t="s">
        <v>699</v>
      </c>
      <c r="B6341">
        <v>1480</v>
      </c>
    </row>
    <row r="6342" spans="1:2">
      <c r="A6342" t="s">
        <v>588</v>
      </c>
      <c r="B6342">
        <v>4440</v>
      </c>
    </row>
    <row r="6345" spans="1:2">
      <c r="A6345" t="s">
        <v>769</v>
      </c>
    </row>
    <row r="6347" spans="1:2">
      <c r="A6347" t="s">
        <v>1180</v>
      </c>
    </row>
    <row r="6348" spans="1:2">
      <c r="A6348" t="s">
        <v>1178</v>
      </c>
      <c r="B6348">
        <v>360</v>
      </c>
    </row>
    <row r="6349" spans="1:2">
      <c r="A6349" t="s">
        <v>1179</v>
      </c>
      <c r="B6349">
        <v>360</v>
      </c>
    </row>
    <row r="6350" spans="1:2">
      <c r="A6350" t="s">
        <v>2030</v>
      </c>
      <c r="B6350">
        <v>360</v>
      </c>
    </row>
    <row r="6351" spans="1:2">
      <c r="A6351" t="s">
        <v>586</v>
      </c>
      <c r="B6351">
        <v>1080</v>
      </c>
    </row>
    <row r="6352" spans="1:2">
      <c r="A6352" t="s">
        <v>770</v>
      </c>
      <c r="B6352">
        <v>3360</v>
      </c>
    </row>
    <row r="6353" spans="1:2">
      <c r="A6353" t="s">
        <v>770</v>
      </c>
      <c r="B6353">
        <v>0.7567567567567568</v>
      </c>
    </row>
    <row r="6355" spans="1:2">
      <c r="A6355" t="s">
        <v>1181</v>
      </c>
    </row>
    <row r="6356" spans="1:2">
      <c r="A6356" t="s">
        <v>1182</v>
      </c>
      <c r="B6356">
        <v>360</v>
      </c>
    </row>
    <row r="6357" spans="1:2">
      <c r="A6357" t="s">
        <v>1179</v>
      </c>
      <c r="B6357">
        <v>380</v>
      </c>
    </row>
    <row r="6358" spans="1:2">
      <c r="A6358" t="s">
        <v>2030</v>
      </c>
      <c r="B6358">
        <v>380</v>
      </c>
    </row>
    <row r="6359" spans="1:2">
      <c r="A6359" t="s">
        <v>586</v>
      </c>
      <c r="B6359">
        <v>1120</v>
      </c>
    </row>
    <row r="6360" spans="1:2">
      <c r="A6360" t="s">
        <v>770</v>
      </c>
      <c r="B6360">
        <v>3320</v>
      </c>
    </row>
    <row r="6361" spans="1:2">
      <c r="A6361" t="s">
        <v>770</v>
      </c>
      <c r="B6361">
        <v>0.74774774774774777</v>
      </c>
    </row>
    <row r="6363" spans="1:2">
      <c r="A6363" t="s">
        <v>2031</v>
      </c>
    </row>
    <row r="6364" spans="1:2">
      <c r="A6364" t="s">
        <v>1182</v>
      </c>
      <c r="B6364">
        <v>360</v>
      </c>
    </row>
    <row r="6365" spans="1:2">
      <c r="A6365" t="s">
        <v>2032</v>
      </c>
      <c r="B6365">
        <v>395</v>
      </c>
    </row>
    <row r="6366" spans="1:2">
      <c r="A6366" t="s">
        <v>2030</v>
      </c>
      <c r="B6366">
        <v>400</v>
      </c>
    </row>
    <row r="6367" spans="1:2">
      <c r="A6367" t="s">
        <v>586</v>
      </c>
      <c r="B6367">
        <v>1155</v>
      </c>
    </row>
    <row r="6368" spans="1:2">
      <c r="A6368" t="s">
        <v>770</v>
      </c>
      <c r="B6368">
        <v>3285</v>
      </c>
    </row>
    <row r="6369" spans="1:2">
      <c r="A6369" t="s">
        <v>770</v>
      </c>
      <c r="B6369">
        <v>0.73986486486486491</v>
      </c>
    </row>
    <row r="6371" spans="1:2">
      <c r="A6371" t="s">
        <v>1943</v>
      </c>
      <c r="B6371">
        <v>420</v>
      </c>
    </row>
    <row r="6373" spans="1:2" s="344" customFormat="1">
      <c r="A6373" s="345" t="s">
        <v>1988</v>
      </c>
    </row>
    <row r="6375" spans="1:2">
      <c r="A6375" t="s">
        <v>753</v>
      </c>
      <c r="B6375" s="346">
        <v>360</v>
      </c>
    </row>
    <row r="6377" spans="1:2">
      <c r="A6377" t="s">
        <v>581</v>
      </c>
    </row>
    <row r="6378" spans="1:2">
      <c r="A6378" t="s">
        <v>214</v>
      </c>
      <c r="B6378">
        <v>360</v>
      </c>
    </row>
    <row r="6379" spans="1:2">
      <c r="A6379" t="s">
        <v>215</v>
      </c>
      <c r="B6379">
        <v>395</v>
      </c>
    </row>
    <row r="6380" spans="1:2">
      <c r="A6380" t="s">
        <v>2009</v>
      </c>
      <c r="B6380">
        <v>475</v>
      </c>
    </row>
    <row r="6381" spans="1:2">
      <c r="A6381" t="s">
        <v>586</v>
      </c>
      <c r="B6381">
        <v>1230</v>
      </c>
    </row>
    <row r="6383" spans="1:2">
      <c r="A6383" t="s">
        <v>268</v>
      </c>
    </row>
    <row r="6384" spans="1:2">
      <c r="A6384" t="s">
        <v>699</v>
      </c>
      <c r="B6384">
        <v>8880</v>
      </c>
    </row>
    <row r="6385" spans="1:2">
      <c r="A6385" t="s">
        <v>588</v>
      </c>
      <c r="B6385">
        <v>26640</v>
      </c>
    </row>
    <row r="6388" spans="1:2">
      <c r="A6388" t="s">
        <v>769</v>
      </c>
    </row>
    <row r="6390" spans="1:2">
      <c r="A6390" t="s">
        <v>1180</v>
      </c>
    </row>
    <row r="6391" spans="1:2">
      <c r="A6391" t="s">
        <v>1178</v>
      </c>
      <c r="B6391">
        <v>2160</v>
      </c>
    </row>
    <row r="6392" spans="1:2">
      <c r="A6392" t="s">
        <v>1179</v>
      </c>
      <c r="B6392">
        <v>2160</v>
      </c>
    </row>
    <row r="6393" spans="1:2">
      <c r="A6393" t="s">
        <v>2030</v>
      </c>
      <c r="B6393">
        <v>2160</v>
      </c>
    </row>
    <row r="6394" spans="1:2">
      <c r="A6394" t="s">
        <v>586</v>
      </c>
      <c r="B6394">
        <v>6480</v>
      </c>
    </row>
    <row r="6395" spans="1:2">
      <c r="A6395" t="s">
        <v>770</v>
      </c>
      <c r="B6395">
        <v>20160</v>
      </c>
    </row>
    <row r="6396" spans="1:2">
      <c r="A6396" t="s">
        <v>770</v>
      </c>
      <c r="B6396">
        <v>0.7567567567567568</v>
      </c>
    </row>
    <row r="6398" spans="1:2">
      <c r="A6398" t="s">
        <v>1181</v>
      </c>
    </row>
    <row r="6399" spans="1:2">
      <c r="A6399" t="s">
        <v>1182</v>
      </c>
      <c r="B6399">
        <v>360</v>
      </c>
    </row>
    <row r="6400" spans="1:2">
      <c r="A6400" t="s">
        <v>1179</v>
      </c>
      <c r="B6400">
        <v>2270</v>
      </c>
    </row>
    <row r="6401" spans="1:2">
      <c r="A6401" t="s">
        <v>2030</v>
      </c>
      <c r="B6401">
        <v>2270</v>
      </c>
    </row>
    <row r="6402" spans="1:2">
      <c r="A6402" t="s">
        <v>586</v>
      </c>
      <c r="B6402">
        <v>4900</v>
      </c>
    </row>
    <row r="6403" spans="1:2">
      <c r="A6403" t="s">
        <v>770</v>
      </c>
      <c r="B6403">
        <v>21740</v>
      </c>
    </row>
    <row r="6404" spans="1:2">
      <c r="A6404" t="s">
        <v>770</v>
      </c>
      <c r="B6404">
        <v>0.81606606606606602</v>
      </c>
    </row>
    <row r="6406" spans="1:2">
      <c r="A6406" t="s">
        <v>2031</v>
      </c>
    </row>
    <row r="6407" spans="1:2">
      <c r="A6407" t="s">
        <v>1182</v>
      </c>
      <c r="B6407">
        <v>360</v>
      </c>
    </row>
    <row r="6408" spans="1:2">
      <c r="A6408" t="s">
        <v>2032</v>
      </c>
      <c r="B6408">
        <v>395</v>
      </c>
    </row>
    <row r="6409" spans="1:2">
      <c r="A6409" t="s">
        <v>2030</v>
      </c>
      <c r="B6409">
        <v>2385</v>
      </c>
    </row>
    <row r="6410" spans="1:2">
      <c r="A6410" t="s">
        <v>586</v>
      </c>
      <c r="B6410">
        <v>3140</v>
      </c>
    </row>
    <row r="6411" spans="1:2">
      <c r="A6411" t="s">
        <v>770</v>
      </c>
      <c r="B6411">
        <v>23500</v>
      </c>
    </row>
    <row r="6412" spans="1:2">
      <c r="A6412" t="s">
        <v>770</v>
      </c>
      <c r="B6412">
        <v>0.88213213213213215</v>
      </c>
    </row>
    <row r="6414" spans="1:2">
      <c r="A6414" t="s">
        <v>1943</v>
      </c>
      <c r="B6414">
        <v>2504.25</v>
      </c>
    </row>
    <row r="6416" spans="1:2" s="344" customFormat="1">
      <c r="A6416" s="345" t="s">
        <v>1989</v>
      </c>
    </row>
    <row r="6418" spans="1:2">
      <c r="A6418" t="s">
        <v>753</v>
      </c>
      <c r="B6418" s="346">
        <v>2160</v>
      </c>
    </row>
    <row r="6420" spans="1:2">
      <c r="A6420" t="s">
        <v>581</v>
      </c>
    </row>
    <row r="6421" spans="1:2">
      <c r="A6421" t="s">
        <v>214</v>
      </c>
      <c r="B6421">
        <v>2160</v>
      </c>
    </row>
    <row r="6422" spans="1:2">
      <c r="A6422" t="s">
        <v>215</v>
      </c>
      <c r="B6422">
        <v>2375</v>
      </c>
    </row>
    <row r="6423" spans="1:2">
      <c r="A6423" t="s">
        <v>2009</v>
      </c>
      <c r="B6423">
        <v>2850</v>
      </c>
    </row>
    <row r="6424" spans="1:2">
      <c r="A6424" t="s">
        <v>586</v>
      </c>
      <c r="B6424">
        <v>7385</v>
      </c>
    </row>
    <row r="6426" spans="1:2">
      <c r="A6426" t="s">
        <v>268</v>
      </c>
    </row>
    <row r="6427" spans="1:2">
      <c r="A6427" t="s">
        <v>699</v>
      </c>
      <c r="B6427">
        <v>8880</v>
      </c>
    </row>
    <row r="6428" spans="1:2">
      <c r="A6428" t="s">
        <v>588</v>
      </c>
      <c r="B6428">
        <v>26640</v>
      </c>
    </row>
    <row r="6431" spans="1:2">
      <c r="A6431" t="s">
        <v>769</v>
      </c>
    </row>
    <row r="6433" spans="1:2">
      <c r="A6433" t="s">
        <v>1180</v>
      </c>
    </row>
    <row r="6434" spans="1:2">
      <c r="A6434" t="s">
        <v>1178</v>
      </c>
      <c r="B6434">
        <v>2160</v>
      </c>
    </row>
    <row r="6435" spans="1:2">
      <c r="A6435" t="s">
        <v>1179</v>
      </c>
      <c r="B6435">
        <v>2160</v>
      </c>
    </row>
    <row r="6436" spans="1:2">
      <c r="A6436" t="s">
        <v>2030</v>
      </c>
      <c r="B6436">
        <v>2160</v>
      </c>
    </row>
    <row r="6437" spans="1:2">
      <c r="A6437" t="s">
        <v>586</v>
      </c>
      <c r="B6437">
        <v>6480</v>
      </c>
    </row>
    <row r="6438" spans="1:2">
      <c r="A6438" t="s">
        <v>770</v>
      </c>
      <c r="B6438">
        <v>20160</v>
      </c>
    </row>
    <row r="6439" spans="1:2">
      <c r="A6439" t="s">
        <v>770</v>
      </c>
      <c r="B6439">
        <v>0.7567567567567568</v>
      </c>
    </row>
    <row r="6441" spans="1:2">
      <c r="A6441" t="s">
        <v>1181</v>
      </c>
    </row>
    <row r="6442" spans="1:2">
      <c r="A6442" t="s">
        <v>1182</v>
      </c>
      <c r="B6442">
        <v>2160</v>
      </c>
    </row>
    <row r="6443" spans="1:2">
      <c r="A6443" t="s">
        <v>1179</v>
      </c>
      <c r="B6443">
        <v>2270</v>
      </c>
    </row>
    <row r="6444" spans="1:2">
      <c r="A6444" t="s">
        <v>2030</v>
      </c>
      <c r="B6444">
        <v>2270</v>
      </c>
    </row>
    <row r="6445" spans="1:2">
      <c r="A6445" t="s">
        <v>586</v>
      </c>
      <c r="B6445">
        <v>6700</v>
      </c>
    </row>
    <row r="6446" spans="1:2">
      <c r="A6446" t="s">
        <v>770</v>
      </c>
      <c r="B6446">
        <v>19940</v>
      </c>
    </row>
    <row r="6447" spans="1:2">
      <c r="A6447" t="s">
        <v>770</v>
      </c>
      <c r="B6447">
        <v>0.74849849849849848</v>
      </c>
    </row>
    <row r="6449" spans="1:2">
      <c r="A6449" t="s">
        <v>2031</v>
      </c>
    </row>
    <row r="6450" spans="1:2">
      <c r="A6450" t="s">
        <v>1182</v>
      </c>
      <c r="B6450">
        <v>2160</v>
      </c>
    </row>
    <row r="6451" spans="1:2">
      <c r="A6451" t="s">
        <v>2032</v>
      </c>
      <c r="B6451">
        <v>2375</v>
      </c>
    </row>
    <row r="6452" spans="1:2">
      <c r="A6452" t="s">
        <v>2030</v>
      </c>
      <c r="B6452">
        <v>2385</v>
      </c>
    </row>
    <row r="6453" spans="1:2">
      <c r="A6453" t="s">
        <v>586</v>
      </c>
      <c r="B6453">
        <v>6920</v>
      </c>
    </row>
    <row r="6454" spans="1:2">
      <c r="A6454" t="s">
        <v>770</v>
      </c>
      <c r="B6454">
        <v>19720</v>
      </c>
    </row>
    <row r="6455" spans="1:2">
      <c r="A6455" t="s">
        <v>770</v>
      </c>
      <c r="B6455">
        <v>0.74024024024024027</v>
      </c>
    </row>
    <row r="6457" spans="1:2">
      <c r="A6457" t="s">
        <v>1943</v>
      </c>
      <c r="B6457">
        <v>2504.25</v>
      </c>
    </row>
    <row r="6459" spans="1:2" s="344" customFormat="1">
      <c r="A6459" s="345" t="s">
        <v>1990</v>
      </c>
    </row>
    <row r="6461" spans="1:2">
      <c r="A6461" t="s">
        <v>753</v>
      </c>
      <c r="B6461" s="346">
        <v>3370</v>
      </c>
    </row>
    <row r="6463" spans="1:2">
      <c r="A6463" t="s">
        <v>581</v>
      </c>
    </row>
    <row r="6464" spans="1:2">
      <c r="A6464" t="s">
        <v>214</v>
      </c>
      <c r="B6464">
        <v>3370</v>
      </c>
    </row>
    <row r="6465" spans="1:2">
      <c r="A6465" t="s">
        <v>215</v>
      </c>
      <c r="B6465">
        <v>3705</v>
      </c>
    </row>
    <row r="6466" spans="1:2">
      <c r="A6466" t="s">
        <v>2009</v>
      </c>
      <c r="B6466">
        <v>4445</v>
      </c>
    </row>
    <row r="6467" spans="1:2">
      <c r="A6467" t="s">
        <v>586</v>
      </c>
      <c r="B6467">
        <v>11520</v>
      </c>
    </row>
    <row r="6469" spans="1:2">
      <c r="A6469" t="s">
        <v>268</v>
      </c>
    </row>
    <row r="6470" spans="1:2">
      <c r="A6470" t="s">
        <v>699</v>
      </c>
      <c r="B6470">
        <v>10660</v>
      </c>
    </row>
    <row r="6471" spans="1:2">
      <c r="A6471" t="s">
        <v>588</v>
      </c>
      <c r="B6471">
        <v>31980</v>
      </c>
    </row>
    <row r="6474" spans="1:2">
      <c r="A6474" t="s">
        <v>769</v>
      </c>
    </row>
    <row r="6476" spans="1:2">
      <c r="A6476" t="s">
        <v>1180</v>
      </c>
    </row>
    <row r="6477" spans="1:2">
      <c r="A6477" t="s">
        <v>1178</v>
      </c>
      <c r="B6477">
        <v>3370</v>
      </c>
    </row>
    <row r="6478" spans="1:2">
      <c r="A6478" t="s">
        <v>1179</v>
      </c>
      <c r="B6478">
        <v>3370</v>
      </c>
    </row>
    <row r="6479" spans="1:2">
      <c r="A6479" t="s">
        <v>2030</v>
      </c>
      <c r="B6479">
        <v>3370</v>
      </c>
    </row>
    <row r="6480" spans="1:2">
      <c r="A6480" t="s">
        <v>586</v>
      </c>
      <c r="B6480">
        <v>10110</v>
      </c>
    </row>
    <row r="6481" spans="1:2">
      <c r="A6481" t="s">
        <v>770</v>
      </c>
      <c r="B6481">
        <v>21870</v>
      </c>
    </row>
    <row r="6482" spans="1:2">
      <c r="A6482" t="s">
        <v>770</v>
      </c>
      <c r="B6482">
        <v>0.68386491557223261</v>
      </c>
    </row>
    <row r="6484" spans="1:2">
      <c r="A6484" t="s">
        <v>1181</v>
      </c>
    </row>
    <row r="6485" spans="1:2">
      <c r="A6485" t="s">
        <v>1182</v>
      </c>
      <c r="B6485">
        <v>3370</v>
      </c>
    </row>
    <row r="6486" spans="1:2">
      <c r="A6486" t="s">
        <v>1179</v>
      </c>
      <c r="B6486">
        <v>3540</v>
      </c>
    </row>
    <row r="6487" spans="1:2">
      <c r="A6487" t="s">
        <v>2030</v>
      </c>
      <c r="B6487">
        <v>3540</v>
      </c>
    </row>
    <row r="6488" spans="1:2">
      <c r="A6488" t="s">
        <v>586</v>
      </c>
      <c r="B6488">
        <v>10450</v>
      </c>
    </row>
    <row r="6489" spans="1:2">
      <c r="A6489" t="s">
        <v>770</v>
      </c>
      <c r="B6489">
        <v>21530</v>
      </c>
    </row>
    <row r="6490" spans="1:2">
      <c r="A6490" t="s">
        <v>770</v>
      </c>
      <c r="B6490">
        <v>0.67323327079424644</v>
      </c>
    </row>
    <row r="6492" spans="1:2">
      <c r="A6492" t="s">
        <v>2031</v>
      </c>
    </row>
    <row r="6493" spans="1:2">
      <c r="A6493" t="s">
        <v>1182</v>
      </c>
      <c r="B6493">
        <v>3370</v>
      </c>
    </row>
    <row r="6494" spans="1:2">
      <c r="A6494" t="s">
        <v>2032</v>
      </c>
      <c r="B6494">
        <v>3705</v>
      </c>
    </row>
    <row r="6495" spans="1:2">
      <c r="A6495" t="s">
        <v>2030</v>
      </c>
      <c r="B6495">
        <v>3715</v>
      </c>
    </row>
    <row r="6496" spans="1:2">
      <c r="A6496" t="s">
        <v>586</v>
      </c>
      <c r="B6496">
        <v>10790</v>
      </c>
    </row>
    <row r="6497" spans="1:2">
      <c r="A6497" t="s">
        <v>770</v>
      </c>
      <c r="B6497">
        <v>21190</v>
      </c>
    </row>
    <row r="6498" spans="1:2">
      <c r="A6498" t="s">
        <v>770</v>
      </c>
      <c r="B6498">
        <v>0.66260162601626016</v>
      </c>
    </row>
    <row r="6500" spans="1:2">
      <c r="A6500" t="s">
        <v>1943</v>
      </c>
      <c r="B6500">
        <v>3900.75</v>
      </c>
    </row>
    <row r="6502" spans="1:2" s="344" customFormat="1">
      <c r="A6502" s="345" t="s">
        <v>1991</v>
      </c>
    </row>
    <row r="6504" spans="1:2">
      <c r="A6504" t="s">
        <v>753</v>
      </c>
      <c r="B6504" s="346">
        <v>3370</v>
      </c>
    </row>
    <row r="6506" spans="1:2">
      <c r="A6506" t="s">
        <v>581</v>
      </c>
    </row>
    <row r="6507" spans="1:2">
      <c r="A6507" t="s">
        <v>214</v>
      </c>
      <c r="B6507">
        <v>3370</v>
      </c>
    </row>
    <row r="6508" spans="1:2">
      <c r="A6508" t="s">
        <v>215</v>
      </c>
      <c r="B6508">
        <v>3705</v>
      </c>
    </row>
    <row r="6509" spans="1:2">
      <c r="A6509" t="s">
        <v>2009</v>
      </c>
      <c r="B6509">
        <v>4445</v>
      </c>
    </row>
    <row r="6510" spans="1:2">
      <c r="A6510" t="s">
        <v>586</v>
      </c>
      <c r="B6510">
        <v>11520</v>
      </c>
    </row>
    <row r="6512" spans="1:2">
      <c r="A6512" t="s">
        <v>268</v>
      </c>
    </row>
    <row r="6513" spans="1:2">
      <c r="A6513" t="s">
        <v>699</v>
      </c>
      <c r="B6513">
        <v>16270</v>
      </c>
    </row>
    <row r="6514" spans="1:2">
      <c r="A6514" t="s">
        <v>588</v>
      </c>
      <c r="B6514">
        <v>48810</v>
      </c>
    </row>
    <row r="6517" spans="1:2">
      <c r="A6517" t="s">
        <v>769</v>
      </c>
    </row>
    <row r="6519" spans="1:2">
      <c r="A6519" t="s">
        <v>1180</v>
      </c>
    </row>
    <row r="6520" spans="1:2">
      <c r="A6520" t="s">
        <v>1178</v>
      </c>
      <c r="B6520">
        <v>4050</v>
      </c>
    </row>
    <row r="6521" spans="1:2">
      <c r="A6521" t="s">
        <v>1179</v>
      </c>
      <c r="B6521">
        <v>4050</v>
      </c>
    </row>
    <row r="6522" spans="1:2">
      <c r="A6522" t="s">
        <v>2030</v>
      </c>
      <c r="B6522">
        <v>4050</v>
      </c>
    </row>
    <row r="6523" spans="1:2">
      <c r="A6523" t="s">
        <v>586</v>
      </c>
      <c r="B6523">
        <v>12150</v>
      </c>
    </row>
    <row r="6524" spans="1:2">
      <c r="A6524" t="s">
        <v>770</v>
      </c>
      <c r="B6524">
        <v>36660</v>
      </c>
    </row>
    <row r="6525" spans="1:2">
      <c r="A6525" t="s">
        <v>770</v>
      </c>
      <c r="B6525">
        <v>0.75107559926244627</v>
      </c>
    </row>
    <row r="6527" spans="1:2">
      <c r="A6527" t="s">
        <v>1181</v>
      </c>
    </row>
    <row r="6528" spans="1:2">
      <c r="A6528" t="s">
        <v>1182</v>
      </c>
      <c r="B6528">
        <v>3370</v>
      </c>
    </row>
    <row r="6529" spans="1:2">
      <c r="A6529" t="s">
        <v>1179</v>
      </c>
      <c r="B6529">
        <v>4255</v>
      </c>
    </row>
    <row r="6530" spans="1:2">
      <c r="A6530" t="s">
        <v>2030</v>
      </c>
      <c r="B6530">
        <v>4255</v>
      </c>
    </row>
    <row r="6531" spans="1:2">
      <c r="A6531" t="s">
        <v>586</v>
      </c>
      <c r="B6531">
        <v>11880</v>
      </c>
    </row>
    <row r="6532" spans="1:2">
      <c r="A6532" t="s">
        <v>770</v>
      </c>
      <c r="B6532">
        <v>36930</v>
      </c>
    </row>
    <row r="6533" spans="1:2">
      <c r="A6533" t="s">
        <v>770</v>
      </c>
      <c r="B6533">
        <v>0.75660725261216966</v>
      </c>
    </row>
    <row r="6535" spans="1:2">
      <c r="A6535" t="s">
        <v>2031</v>
      </c>
    </row>
    <row r="6536" spans="1:2">
      <c r="A6536" t="s">
        <v>1182</v>
      </c>
      <c r="B6536">
        <v>3370</v>
      </c>
    </row>
    <row r="6537" spans="1:2">
      <c r="A6537" t="s">
        <v>2032</v>
      </c>
      <c r="B6537">
        <v>3705</v>
      </c>
    </row>
    <row r="6538" spans="1:2">
      <c r="A6538" t="s">
        <v>2030</v>
      </c>
      <c r="B6538">
        <v>4470</v>
      </c>
    </row>
    <row r="6539" spans="1:2">
      <c r="A6539" t="s">
        <v>586</v>
      </c>
      <c r="B6539">
        <v>11545</v>
      </c>
    </row>
    <row r="6540" spans="1:2">
      <c r="A6540" t="s">
        <v>770</v>
      </c>
      <c r="B6540">
        <v>37265</v>
      </c>
    </row>
    <row r="6541" spans="1:2">
      <c r="A6541" t="s">
        <v>770</v>
      </c>
      <c r="B6541">
        <v>0.76347060028682645</v>
      </c>
    </row>
    <row r="6543" spans="1:2">
      <c r="A6543" t="s">
        <v>1943</v>
      </c>
      <c r="B6543">
        <v>4693.5</v>
      </c>
    </row>
    <row r="6545" spans="1:2" s="344" customFormat="1">
      <c r="A6545" s="345" t="s">
        <v>1992</v>
      </c>
    </row>
    <row r="6547" spans="1:2">
      <c r="A6547" t="s">
        <v>753</v>
      </c>
      <c r="B6547" s="346">
        <v>2160</v>
      </c>
    </row>
    <row r="6549" spans="1:2">
      <c r="A6549" t="s">
        <v>581</v>
      </c>
    </row>
    <row r="6550" spans="1:2">
      <c r="A6550" t="s">
        <v>214</v>
      </c>
      <c r="B6550">
        <v>2160</v>
      </c>
    </row>
    <row r="6551" spans="1:2">
      <c r="A6551" t="s">
        <v>215</v>
      </c>
      <c r="B6551">
        <v>2375</v>
      </c>
    </row>
    <row r="6552" spans="1:2">
      <c r="A6552" t="s">
        <v>2009</v>
      </c>
      <c r="B6552">
        <v>2850</v>
      </c>
    </row>
    <row r="6553" spans="1:2">
      <c r="A6553" t="s">
        <v>586</v>
      </c>
      <c r="B6553">
        <v>7385</v>
      </c>
    </row>
    <row r="6555" spans="1:2">
      <c r="A6555" t="s">
        <v>268</v>
      </c>
    </row>
    <row r="6556" spans="1:2">
      <c r="A6556" t="s">
        <v>699</v>
      </c>
      <c r="B6556">
        <v>10660</v>
      </c>
    </row>
    <row r="6557" spans="1:2">
      <c r="A6557" t="s">
        <v>588</v>
      </c>
      <c r="B6557">
        <v>31980</v>
      </c>
    </row>
    <row r="6560" spans="1:2">
      <c r="A6560" t="s">
        <v>769</v>
      </c>
    </row>
    <row r="6562" spans="1:2">
      <c r="A6562" t="s">
        <v>1180</v>
      </c>
    </row>
    <row r="6563" spans="1:2">
      <c r="A6563" t="s">
        <v>1178</v>
      </c>
      <c r="B6563">
        <v>3370</v>
      </c>
    </row>
    <row r="6564" spans="1:2">
      <c r="A6564" t="s">
        <v>1179</v>
      </c>
      <c r="B6564">
        <v>3370</v>
      </c>
    </row>
    <row r="6565" spans="1:2">
      <c r="A6565" t="s">
        <v>2030</v>
      </c>
      <c r="B6565">
        <v>3370</v>
      </c>
    </row>
    <row r="6566" spans="1:2">
      <c r="A6566" t="s">
        <v>586</v>
      </c>
      <c r="B6566">
        <v>10110</v>
      </c>
    </row>
    <row r="6567" spans="1:2">
      <c r="A6567" t="s">
        <v>770</v>
      </c>
      <c r="B6567">
        <v>21870</v>
      </c>
    </row>
    <row r="6568" spans="1:2">
      <c r="A6568" t="s">
        <v>770</v>
      </c>
      <c r="B6568">
        <v>0.68386491557223261</v>
      </c>
    </row>
    <row r="6570" spans="1:2">
      <c r="A6570" t="s">
        <v>1181</v>
      </c>
    </row>
    <row r="6571" spans="1:2">
      <c r="A6571" t="s">
        <v>1182</v>
      </c>
      <c r="B6571">
        <v>2160</v>
      </c>
    </row>
    <row r="6572" spans="1:2">
      <c r="A6572" t="s">
        <v>1179</v>
      </c>
      <c r="B6572">
        <v>3540</v>
      </c>
    </row>
    <row r="6573" spans="1:2">
      <c r="A6573" t="s">
        <v>2030</v>
      </c>
      <c r="B6573">
        <v>3540</v>
      </c>
    </row>
    <row r="6574" spans="1:2">
      <c r="A6574" t="s">
        <v>586</v>
      </c>
      <c r="B6574">
        <v>9240</v>
      </c>
    </row>
    <row r="6575" spans="1:2">
      <c r="A6575" t="s">
        <v>770</v>
      </c>
      <c r="B6575">
        <v>22740</v>
      </c>
    </row>
    <row r="6576" spans="1:2">
      <c r="A6576" t="s">
        <v>770</v>
      </c>
      <c r="B6576">
        <v>0.71106941838649151</v>
      </c>
    </row>
    <row r="6578" spans="1:2">
      <c r="A6578" t="s">
        <v>2031</v>
      </c>
    </row>
    <row r="6579" spans="1:2">
      <c r="A6579" t="s">
        <v>1182</v>
      </c>
      <c r="B6579">
        <v>2160</v>
      </c>
    </row>
    <row r="6580" spans="1:2">
      <c r="A6580" t="s">
        <v>2032</v>
      </c>
      <c r="B6580">
        <v>2375</v>
      </c>
    </row>
    <row r="6581" spans="1:2">
      <c r="A6581" t="s">
        <v>2030</v>
      </c>
      <c r="B6581">
        <v>3715</v>
      </c>
    </row>
    <row r="6582" spans="1:2">
      <c r="A6582" t="s">
        <v>586</v>
      </c>
      <c r="B6582">
        <v>8250</v>
      </c>
    </row>
    <row r="6583" spans="1:2">
      <c r="A6583" t="s">
        <v>770</v>
      </c>
      <c r="B6583">
        <v>23730</v>
      </c>
    </row>
    <row r="6584" spans="1:2">
      <c r="A6584" t="s">
        <v>770</v>
      </c>
      <c r="B6584">
        <v>0.74202626641651037</v>
      </c>
    </row>
    <row r="6586" spans="1:2">
      <c r="A6586" t="s">
        <v>1943</v>
      </c>
      <c r="B6586">
        <v>3900.75</v>
      </c>
    </row>
    <row r="6588" spans="1:2" s="344" customFormat="1">
      <c r="A6588" s="345" t="s">
        <v>1993</v>
      </c>
    </row>
    <row r="6590" spans="1:2">
      <c r="A6590" t="s">
        <v>753</v>
      </c>
      <c r="B6590" s="346">
        <v>2160</v>
      </c>
    </row>
    <row r="6592" spans="1:2">
      <c r="A6592" t="s">
        <v>581</v>
      </c>
    </row>
    <row r="6593" spans="1:2">
      <c r="A6593" t="s">
        <v>214</v>
      </c>
      <c r="B6593">
        <v>2160</v>
      </c>
    </row>
    <row r="6594" spans="1:2">
      <c r="A6594" t="s">
        <v>215</v>
      </c>
      <c r="B6594">
        <v>2375</v>
      </c>
    </row>
    <row r="6595" spans="1:2">
      <c r="A6595" t="s">
        <v>2009</v>
      </c>
      <c r="B6595">
        <v>2850</v>
      </c>
    </row>
    <row r="6596" spans="1:2">
      <c r="A6596" t="s">
        <v>586</v>
      </c>
      <c r="B6596">
        <v>7385</v>
      </c>
    </row>
    <row r="6598" spans="1:2">
      <c r="A6598" t="s">
        <v>268</v>
      </c>
    </row>
    <row r="6599" spans="1:2">
      <c r="A6599" t="s">
        <v>699</v>
      </c>
      <c r="B6599">
        <v>7095</v>
      </c>
    </row>
    <row r="6600" spans="1:2">
      <c r="A6600" t="s">
        <v>588</v>
      </c>
      <c r="B6600">
        <v>21285</v>
      </c>
    </row>
    <row r="6603" spans="1:2">
      <c r="A6603" t="s">
        <v>769</v>
      </c>
    </row>
    <row r="6605" spans="1:2">
      <c r="A6605" t="s">
        <v>1180</v>
      </c>
    </row>
    <row r="6606" spans="1:2">
      <c r="A6606" t="s">
        <v>1178</v>
      </c>
      <c r="B6606">
        <v>2160</v>
      </c>
    </row>
    <row r="6607" spans="1:2">
      <c r="A6607" t="s">
        <v>1179</v>
      </c>
      <c r="B6607">
        <v>2160</v>
      </c>
    </row>
    <row r="6608" spans="1:2">
      <c r="A6608" t="s">
        <v>2030</v>
      </c>
      <c r="B6608">
        <v>2160</v>
      </c>
    </row>
    <row r="6609" spans="1:2">
      <c r="A6609" t="s">
        <v>586</v>
      </c>
      <c r="B6609">
        <v>6480</v>
      </c>
    </row>
    <row r="6610" spans="1:2">
      <c r="A6610" t="s">
        <v>770</v>
      </c>
      <c r="B6610">
        <v>14805</v>
      </c>
    </row>
    <row r="6611" spans="1:2">
      <c r="A6611" t="s">
        <v>770</v>
      </c>
      <c r="B6611">
        <v>0.69556025369978858</v>
      </c>
    </row>
    <row r="6613" spans="1:2">
      <c r="A6613" t="s">
        <v>1181</v>
      </c>
    </row>
    <row r="6614" spans="1:2">
      <c r="A6614" t="s">
        <v>1182</v>
      </c>
      <c r="B6614">
        <v>2160</v>
      </c>
    </row>
    <row r="6615" spans="1:2">
      <c r="A6615" t="s">
        <v>1179</v>
      </c>
      <c r="B6615">
        <v>2270</v>
      </c>
    </row>
    <row r="6616" spans="1:2">
      <c r="A6616" t="s">
        <v>2030</v>
      </c>
      <c r="B6616">
        <v>2270</v>
      </c>
    </row>
    <row r="6617" spans="1:2">
      <c r="A6617" t="s">
        <v>586</v>
      </c>
      <c r="B6617">
        <v>6700</v>
      </c>
    </row>
    <row r="6618" spans="1:2">
      <c r="A6618" t="s">
        <v>770</v>
      </c>
      <c r="B6618">
        <v>14585</v>
      </c>
    </row>
    <row r="6619" spans="1:2">
      <c r="A6619" t="s">
        <v>770</v>
      </c>
      <c r="B6619">
        <v>0.6852243363871271</v>
      </c>
    </row>
    <row r="6621" spans="1:2">
      <c r="A6621" t="s">
        <v>2031</v>
      </c>
    </row>
    <row r="6622" spans="1:2">
      <c r="A6622" t="s">
        <v>1182</v>
      </c>
      <c r="B6622">
        <v>2160</v>
      </c>
    </row>
    <row r="6623" spans="1:2">
      <c r="A6623" t="s">
        <v>2032</v>
      </c>
      <c r="B6623">
        <v>2375</v>
      </c>
    </row>
    <row r="6624" spans="1:2">
      <c r="A6624" t="s">
        <v>2030</v>
      </c>
      <c r="B6624">
        <v>2385</v>
      </c>
    </row>
    <row r="6625" spans="1:2">
      <c r="A6625" t="s">
        <v>586</v>
      </c>
      <c r="B6625">
        <v>6920</v>
      </c>
    </row>
    <row r="6626" spans="1:2">
      <c r="A6626" t="s">
        <v>770</v>
      </c>
      <c r="B6626">
        <v>14365</v>
      </c>
    </row>
    <row r="6627" spans="1:2">
      <c r="A6627" t="s">
        <v>770</v>
      </c>
      <c r="B6627">
        <v>0.67488841907446562</v>
      </c>
    </row>
    <row r="6629" spans="1:2">
      <c r="A6629" t="s">
        <v>1943</v>
      </c>
      <c r="B6629">
        <v>2504.25</v>
      </c>
    </row>
    <row r="6631" spans="1:2" s="344" customFormat="1">
      <c r="A6631" s="345" t="s">
        <v>1994</v>
      </c>
    </row>
    <row r="6633" spans="1:2">
      <c r="A6633" t="s">
        <v>753</v>
      </c>
      <c r="B6633" s="346">
        <v>2160</v>
      </c>
    </row>
    <row r="6635" spans="1:2">
      <c r="A6635" t="s">
        <v>581</v>
      </c>
    </row>
    <row r="6636" spans="1:2">
      <c r="A6636" t="s">
        <v>214</v>
      </c>
      <c r="B6636">
        <v>2160</v>
      </c>
    </row>
    <row r="6637" spans="1:2">
      <c r="A6637" t="s">
        <v>215</v>
      </c>
      <c r="B6637">
        <v>2375</v>
      </c>
    </row>
    <row r="6638" spans="1:2">
      <c r="A6638" t="s">
        <v>2009</v>
      </c>
      <c r="B6638">
        <v>2850</v>
      </c>
    </row>
    <row r="6639" spans="1:2">
      <c r="A6639" t="s">
        <v>586</v>
      </c>
      <c r="B6639">
        <v>7385</v>
      </c>
    </row>
    <row r="6641" spans="1:2">
      <c r="A6641" t="s">
        <v>268</v>
      </c>
    </row>
    <row r="6642" spans="1:2">
      <c r="A6642" t="s">
        <v>699</v>
      </c>
      <c r="B6642">
        <v>16270</v>
      </c>
    </row>
    <row r="6643" spans="1:2">
      <c r="A6643" t="s">
        <v>588</v>
      </c>
      <c r="B6643">
        <v>48810</v>
      </c>
    </row>
    <row r="6646" spans="1:2">
      <c r="A6646" t="s">
        <v>769</v>
      </c>
    </row>
    <row r="6648" spans="1:2">
      <c r="A6648" t="s">
        <v>1180</v>
      </c>
    </row>
    <row r="6649" spans="1:2">
      <c r="A6649" t="s">
        <v>1178</v>
      </c>
      <c r="B6649">
        <v>4050</v>
      </c>
    </row>
    <row r="6650" spans="1:2">
      <c r="A6650" t="s">
        <v>1179</v>
      </c>
      <c r="B6650">
        <v>4050</v>
      </c>
    </row>
    <row r="6651" spans="1:2">
      <c r="A6651" t="s">
        <v>2030</v>
      </c>
      <c r="B6651">
        <v>4050</v>
      </c>
    </row>
    <row r="6652" spans="1:2">
      <c r="A6652" t="s">
        <v>586</v>
      </c>
      <c r="B6652">
        <v>12150</v>
      </c>
    </row>
    <row r="6653" spans="1:2">
      <c r="A6653" t="s">
        <v>770</v>
      </c>
      <c r="B6653">
        <v>36660</v>
      </c>
    </row>
    <row r="6654" spans="1:2">
      <c r="A6654" t="s">
        <v>770</v>
      </c>
      <c r="B6654">
        <v>0.75107559926244627</v>
      </c>
    </row>
    <row r="6656" spans="1:2">
      <c r="A6656" t="s">
        <v>1181</v>
      </c>
    </row>
    <row r="6657" spans="1:2">
      <c r="A6657" t="s">
        <v>1182</v>
      </c>
      <c r="B6657">
        <v>2160</v>
      </c>
    </row>
    <row r="6658" spans="1:2">
      <c r="A6658" t="s">
        <v>1179</v>
      </c>
      <c r="B6658">
        <v>4255</v>
      </c>
    </row>
    <row r="6659" spans="1:2">
      <c r="A6659" t="s">
        <v>2030</v>
      </c>
      <c r="B6659">
        <v>4255</v>
      </c>
    </row>
    <row r="6660" spans="1:2">
      <c r="A6660" t="s">
        <v>586</v>
      </c>
      <c r="B6660">
        <v>10670</v>
      </c>
    </row>
    <row r="6661" spans="1:2">
      <c r="A6661" t="s">
        <v>770</v>
      </c>
      <c r="B6661">
        <v>38140</v>
      </c>
    </row>
    <row r="6662" spans="1:2">
      <c r="A6662" t="s">
        <v>770</v>
      </c>
      <c r="B6662">
        <v>0.78139725466093013</v>
      </c>
    </row>
    <row r="6664" spans="1:2">
      <c r="A6664" t="s">
        <v>2031</v>
      </c>
    </row>
    <row r="6665" spans="1:2">
      <c r="A6665" t="s">
        <v>1182</v>
      </c>
      <c r="B6665">
        <v>2160</v>
      </c>
    </row>
    <row r="6666" spans="1:2">
      <c r="A6666" t="s">
        <v>2032</v>
      </c>
      <c r="B6666">
        <v>2375</v>
      </c>
    </row>
    <row r="6667" spans="1:2">
      <c r="A6667" t="s">
        <v>2030</v>
      </c>
      <c r="B6667">
        <v>4470</v>
      </c>
    </row>
    <row r="6668" spans="1:2">
      <c r="A6668" t="s">
        <v>586</v>
      </c>
      <c r="B6668">
        <v>9005</v>
      </c>
    </row>
    <row r="6669" spans="1:2">
      <c r="A6669" t="s">
        <v>770</v>
      </c>
      <c r="B6669">
        <v>39805</v>
      </c>
    </row>
    <row r="6670" spans="1:2">
      <c r="A6670" t="s">
        <v>770</v>
      </c>
      <c r="B6670">
        <v>0.81550911698422457</v>
      </c>
    </row>
    <row r="6672" spans="1:2">
      <c r="A6672" t="s">
        <v>1943</v>
      </c>
      <c r="B6672">
        <v>4693.5</v>
      </c>
    </row>
    <row r="6674" spans="1:2" s="344" customFormat="1">
      <c r="A6674" s="345" t="s">
        <v>1995</v>
      </c>
    </row>
    <row r="6676" spans="1:2">
      <c r="A6676" t="s">
        <v>753</v>
      </c>
      <c r="B6676" s="346">
        <v>4050</v>
      </c>
    </row>
    <row r="6678" spans="1:2">
      <c r="A6678" t="s">
        <v>581</v>
      </c>
    </row>
    <row r="6679" spans="1:2">
      <c r="A6679" t="s">
        <v>214</v>
      </c>
      <c r="B6679">
        <v>4050</v>
      </c>
    </row>
    <row r="6680" spans="1:2">
      <c r="A6680" t="s">
        <v>215</v>
      </c>
      <c r="B6680">
        <v>4455</v>
      </c>
    </row>
    <row r="6681" spans="1:2">
      <c r="A6681" t="s">
        <v>2009</v>
      </c>
      <c r="B6681">
        <v>5345</v>
      </c>
    </row>
    <row r="6682" spans="1:2">
      <c r="A6682" t="s">
        <v>586</v>
      </c>
      <c r="B6682">
        <v>13850</v>
      </c>
    </row>
    <row r="6684" spans="1:2">
      <c r="A6684" t="s">
        <v>268</v>
      </c>
    </row>
    <row r="6685" spans="1:2">
      <c r="A6685" t="s">
        <v>699</v>
      </c>
      <c r="B6685">
        <v>16270</v>
      </c>
    </row>
    <row r="6686" spans="1:2">
      <c r="A6686" t="s">
        <v>588</v>
      </c>
      <c r="B6686">
        <v>48810</v>
      </c>
    </row>
    <row r="6689" spans="1:2">
      <c r="A6689" t="s">
        <v>769</v>
      </c>
    </row>
    <row r="6691" spans="1:2">
      <c r="A6691" t="s">
        <v>1180</v>
      </c>
    </row>
    <row r="6692" spans="1:2">
      <c r="A6692" t="s">
        <v>1178</v>
      </c>
      <c r="B6692">
        <v>4050</v>
      </c>
    </row>
    <row r="6693" spans="1:2">
      <c r="A6693" t="s">
        <v>1179</v>
      </c>
      <c r="B6693">
        <v>4050</v>
      </c>
    </row>
    <row r="6694" spans="1:2">
      <c r="A6694" t="s">
        <v>2030</v>
      </c>
      <c r="B6694">
        <v>4050</v>
      </c>
    </row>
    <row r="6695" spans="1:2">
      <c r="A6695" t="s">
        <v>586</v>
      </c>
      <c r="B6695">
        <v>12150</v>
      </c>
    </row>
    <row r="6696" spans="1:2">
      <c r="A6696" t="s">
        <v>770</v>
      </c>
      <c r="B6696">
        <v>36660</v>
      </c>
    </row>
    <row r="6697" spans="1:2">
      <c r="A6697" t="s">
        <v>770</v>
      </c>
      <c r="B6697">
        <v>0.75107559926244627</v>
      </c>
    </row>
    <row r="6699" spans="1:2">
      <c r="A6699" t="s">
        <v>1181</v>
      </c>
    </row>
    <row r="6700" spans="1:2">
      <c r="A6700" t="s">
        <v>1182</v>
      </c>
      <c r="B6700">
        <v>4050</v>
      </c>
    </row>
    <row r="6701" spans="1:2">
      <c r="A6701" t="s">
        <v>1179</v>
      </c>
      <c r="B6701">
        <v>4255</v>
      </c>
    </row>
    <row r="6702" spans="1:2">
      <c r="A6702" t="s">
        <v>2030</v>
      </c>
      <c r="B6702">
        <v>4255</v>
      </c>
    </row>
    <row r="6703" spans="1:2">
      <c r="A6703" t="s">
        <v>586</v>
      </c>
      <c r="B6703">
        <v>12560</v>
      </c>
    </row>
    <row r="6704" spans="1:2">
      <c r="A6704" t="s">
        <v>770</v>
      </c>
      <c r="B6704">
        <v>36250</v>
      </c>
    </row>
    <row r="6705" spans="1:2">
      <c r="A6705" t="s">
        <v>770</v>
      </c>
      <c r="B6705">
        <v>0.7426756812128662</v>
      </c>
    </row>
    <row r="6707" spans="1:2">
      <c r="A6707" t="s">
        <v>2031</v>
      </c>
    </row>
    <row r="6708" spans="1:2">
      <c r="A6708" t="s">
        <v>1182</v>
      </c>
      <c r="B6708">
        <v>4050</v>
      </c>
    </row>
    <row r="6709" spans="1:2">
      <c r="A6709" t="s">
        <v>2032</v>
      </c>
      <c r="B6709">
        <v>4455</v>
      </c>
    </row>
    <row r="6710" spans="1:2">
      <c r="A6710" t="s">
        <v>2030</v>
      </c>
      <c r="B6710">
        <v>4470</v>
      </c>
    </row>
    <row r="6711" spans="1:2">
      <c r="A6711" t="s">
        <v>586</v>
      </c>
      <c r="B6711">
        <v>12975</v>
      </c>
    </row>
    <row r="6712" spans="1:2">
      <c r="A6712" t="s">
        <v>770</v>
      </c>
      <c r="B6712">
        <v>35835</v>
      </c>
    </row>
    <row r="6713" spans="1:2">
      <c r="A6713" t="s">
        <v>770</v>
      </c>
      <c r="B6713">
        <v>0.73417332513829137</v>
      </c>
    </row>
    <row r="6715" spans="1:2">
      <c r="A6715" t="s">
        <v>1943</v>
      </c>
      <c r="B6715">
        <v>4693.5</v>
      </c>
    </row>
    <row r="6717" spans="1:2" s="344" customFormat="1">
      <c r="A6717" s="345" t="s">
        <v>1996</v>
      </c>
    </row>
    <row r="6719" spans="1:2">
      <c r="A6719" t="s">
        <v>753</v>
      </c>
      <c r="B6719" s="346">
        <v>1180</v>
      </c>
    </row>
    <row r="6721" spans="1:2">
      <c r="A6721" t="s">
        <v>581</v>
      </c>
    </row>
    <row r="6722" spans="1:2">
      <c r="A6722" t="s">
        <v>214</v>
      </c>
      <c r="B6722">
        <v>1180</v>
      </c>
    </row>
    <row r="6723" spans="1:2">
      <c r="A6723" t="s">
        <v>215</v>
      </c>
      <c r="B6723">
        <v>1300</v>
      </c>
    </row>
    <row r="6724" spans="1:2">
      <c r="A6724" t="s">
        <v>2009</v>
      </c>
      <c r="B6724">
        <v>1560</v>
      </c>
    </row>
    <row r="6725" spans="1:2">
      <c r="A6725" t="s">
        <v>586</v>
      </c>
      <c r="B6725">
        <v>4040</v>
      </c>
    </row>
    <row r="6727" spans="1:2">
      <c r="A6727" t="s">
        <v>268</v>
      </c>
    </row>
    <row r="6728" spans="1:2">
      <c r="A6728" t="s">
        <v>699</v>
      </c>
      <c r="B6728">
        <v>3795</v>
      </c>
    </row>
    <row r="6729" spans="1:2">
      <c r="A6729" t="s">
        <v>588</v>
      </c>
      <c r="B6729">
        <v>11385</v>
      </c>
    </row>
    <row r="6732" spans="1:2">
      <c r="A6732" t="s">
        <v>769</v>
      </c>
    </row>
    <row r="6734" spans="1:2">
      <c r="A6734" t="s">
        <v>1180</v>
      </c>
    </row>
    <row r="6735" spans="1:2">
      <c r="A6735" t="s">
        <v>1178</v>
      </c>
      <c r="B6735">
        <v>1180</v>
      </c>
    </row>
    <row r="6736" spans="1:2">
      <c r="A6736" t="s">
        <v>1179</v>
      </c>
      <c r="B6736">
        <v>1180</v>
      </c>
    </row>
    <row r="6737" spans="1:2">
      <c r="A6737" t="s">
        <v>2030</v>
      </c>
      <c r="B6737">
        <v>1180</v>
      </c>
    </row>
    <row r="6738" spans="1:2">
      <c r="A6738" t="s">
        <v>586</v>
      </c>
      <c r="B6738">
        <v>3540</v>
      </c>
    </row>
    <row r="6739" spans="1:2">
      <c r="A6739" t="s">
        <v>770</v>
      </c>
      <c r="B6739">
        <v>7845</v>
      </c>
    </row>
    <row r="6740" spans="1:2">
      <c r="A6740" t="s">
        <v>770</v>
      </c>
      <c r="B6740">
        <v>0.689064558629776</v>
      </c>
    </row>
    <row r="6742" spans="1:2">
      <c r="A6742" t="s">
        <v>1181</v>
      </c>
    </row>
    <row r="6743" spans="1:2">
      <c r="A6743" t="s">
        <v>1182</v>
      </c>
      <c r="B6743">
        <v>1180</v>
      </c>
    </row>
    <row r="6744" spans="1:2">
      <c r="A6744" t="s">
        <v>1179</v>
      </c>
      <c r="B6744">
        <v>1240</v>
      </c>
    </row>
    <row r="6745" spans="1:2">
      <c r="A6745" t="s">
        <v>2030</v>
      </c>
      <c r="B6745">
        <v>1240</v>
      </c>
    </row>
    <row r="6746" spans="1:2">
      <c r="A6746" t="s">
        <v>586</v>
      </c>
      <c r="B6746">
        <v>3660</v>
      </c>
    </row>
    <row r="6747" spans="1:2">
      <c r="A6747" t="s">
        <v>770</v>
      </c>
      <c r="B6747">
        <v>7725</v>
      </c>
    </row>
    <row r="6748" spans="1:2">
      <c r="A6748" t="s">
        <v>770</v>
      </c>
      <c r="B6748">
        <v>0.6785243741765481</v>
      </c>
    </row>
    <row r="6750" spans="1:2">
      <c r="A6750" t="s">
        <v>2031</v>
      </c>
    </row>
    <row r="6751" spans="1:2">
      <c r="A6751" t="s">
        <v>1182</v>
      </c>
      <c r="B6751">
        <v>1180</v>
      </c>
    </row>
    <row r="6752" spans="1:2">
      <c r="A6752" t="s">
        <v>2032</v>
      </c>
      <c r="B6752">
        <v>1300</v>
      </c>
    </row>
    <row r="6753" spans="1:2">
      <c r="A6753" t="s">
        <v>2030</v>
      </c>
      <c r="B6753">
        <v>1300</v>
      </c>
    </row>
    <row r="6754" spans="1:2">
      <c r="A6754" t="s">
        <v>586</v>
      </c>
      <c r="B6754">
        <v>3780</v>
      </c>
    </row>
    <row r="6755" spans="1:2">
      <c r="A6755" t="s">
        <v>770</v>
      </c>
      <c r="B6755">
        <v>7605</v>
      </c>
    </row>
    <row r="6756" spans="1:2">
      <c r="A6756" t="s">
        <v>770</v>
      </c>
      <c r="B6756">
        <v>0.66798418972332019</v>
      </c>
    </row>
    <row r="6758" spans="1:2">
      <c r="A6758" t="s">
        <v>1943</v>
      </c>
      <c r="B6758">
        <v>1365</v>
      </c>
    </row>
    <row r="6760" spans="1:2" s="344" customFormat="1">
      <c r="A6760" s="345" t="s">
        <v>1997</v>
      </c>
    </row>
    <row r="6762" spans="1:2">
      <c r="A6762" t="s">
        <v>753</v>
      </c>
      <c r="B6762" s="346">
        <v>1180</v>
      </c>
    </row>
    <row r="6764" spans="1:2">
      <c r="A6764" t="s">
        <v>581</v>
      </c>
    </row>
    <row r="6765" spans="1:2">
      <c r="A6765" t="s">
        <v>214</v>
      </c>
      <c r="B6765">
        <v>1180</v>
      </c>
    </row>
    <row r="6766" spans="1:2">
      <c r="A6766" t="s">
        <v>215</v>
      </c>
      <c r="B6766">
        <v>1300</v>
      </c>
    </row>
    <row r="6767" spans="1:2">
      <c r="A6767" t="s">
        <v>2009</v>
      </c>
      <c r="B6767">
        <v>1560</v>
      </c>
    </row>
    <row r="6768" spans="1:2">
      <c r="A6768" t="s">
        <v>586</v>
      </c>
      <c r="B6768">
        <v>4040</v>
      </c>
    </row>
    <row r="6770" spans="1:2">
      <c r="A6770" t="s">
        <v>268</v>
      </c>
    </row>
    <row r="6771" spans="1:2">
      <c r="A6771" t="s">
        <v>699</v>
      </c>
      <c r="B6771">
        <v>5920</v>
      </c>
    </row>
    <row r="6772" spans="1:2">
      <c r="A6772" t="s">
        <v>588</v>
      </c>
      <c r="B6772">
        <v>17760</v>
      </c>
    </row>
    <row r="6775" spans="1:2">
      <c r="A6775" t="s">
        <v>769</v>
      </c>
    </row>
    <row r="6777" spans="1:2">
      <c r="A6777" t="s">
        <v>1180</v>
      </c>
    </row>
    <row r="6778" spans="1:2">
      <c r="A6778" t="s">
        <v>1178</v>
      </c>
      <c r="B6778">
        <v>1480</v>
      </c>
    </row>
    <row r="6779" spans="1:2">
      <c r="A6779" t="s">
        <v>1179</v>
      </c>
      <c r="B6779">
        <v>1480</v>
      </c>
    </row>
    <row r="6780" spans="1:2">
      <c r="A6780" t="s">
        <v>2030</v>
      </c>
      <c r="B6780">
        <v>1480</v>
      </c>
    </row>
    <row r="6781" spans="1:2">
      <c r="A6781" t="s">
        <v>586</v>
      </c>
      <c r="B6781">
        <v>4440</v>
      </c>
    </row>
    <row r="6782" spans="1:2">
      <c r="A6782" t="s">
        <v>770</v>
      </c>
      <c r="B6782">
        <v>13320</v>
      </c>
    </row>
    <row r="6783" spans="1:2">
      <c r="A6783" t="s">
        <v>770</v>
      </c>
      <c r="B6783">
        <v>0.75</v>
      </c>
    </row>
    <row r="6785" spans="1:2">
      <c r="A6785" t="s">
        <v>1181</v>
      </c>
    </row>
    <row r="6786" spans="1:2">
      <c r="A6786" t="s">
        <v>1182</v>
      </c>
      <c r="B6786">
        <v>1180</v>
      </c>
    </row>
    <row r="6787" spans="1:2">
      <c r="A6787" t="s">
        <v>1179</v>
      </c>
      <c r="B6787">
        <v>1555</v>
      </c>
    </row>
    <row r="6788" spans="1:2">
      <c r="A6788" t="s">
        <v>2030</v>
      </c>
      <c r="B6788">
        <v>1555</v>
      </c>
    </row>
    <row r="6789" spans="1:2">
      <c r="A6789" t="s">
        <v>586</v>
      </c>
      <c r="B6789">
        <v>4290</v>
      </c>
    </row>
    <row r="6790" spans="1:2">
      <c r="A6790" t="s">
        <v>770</v>
      </c>
      <c r="B6790">
        <v>13470</v>
      </c>
    </row>
    <row r="6791" spans="1:2">
      <c r="A6791" t="s">
        <v>770</v>
      </c>
      <c r="B6791">
        <v>0.75844594594594594</v>
      </c>
    </row>
    <row r="6793" spans="1:2">
      <c r="A6793" t="s">
        <v>2031</v>
      </c>
    </row>
    <row r="6794" spans="1:2">
      <c r="A6794" t="s">
        <v>1182</v>
      </c>
      <c r="B6794">
        <v>1180</v>
      </c>
    </row>
    <row r="6795" spans="1:2">
      <c r="A6795" t="s">
        <v>2032</v>
      </c>
      <c r="B6795">
        <v>1300</v>
      </c>
    </row>
    <row r="6796" spans="1:2">
      <c r="A6796" t="s">
        <v>2030</v>
      </c>
      <c r="B6796">
        <v>1635</v>
      </c>
    </row>
    <row r="6797" spans="1:2">
      <c r="A6797" t="s">
        <v>586</v>
      </c>
      <c r="B6797">
        <v>4115</v>
      </c>
    </row>
    <row r="6798" spans="1:2">
      <c r="A6798" t="s">
        <v>770</v>
      </c>
      <c r="B6798">
        <v>13645</v>
      </c>
    </row>
    <row r="6799" spans="1:2">
      <c r="A6799" t="s">
        <v>770</v>
      </c>
      <c r="B6799">
        <v>0.7682995495495496</v>
      </c>
    </row>
    <row r="6801" spans="1:2">
      <c r="A6801" t="s">
        <v>1943</v>
      </c>
      <c r="B6801">
        <v>1716.75</v>
      </c>
    </row>
    <row r="6803" spans="1:2" s="344" customFormat="1" ht="14.25" customHeight="1">
      <c r="A6803" s="345" t="s">
        <v>1998</v>
      </c>
    </row>
    <row r="6805" spans="1:2" ht="14.25" customHeight="1">
      <c r="A6805" t="s">
        <v>753</v>
      </c>
      <c r="B6805" s="346">
        <v>880</v>
      </c>
    </row>
    <row r="6807" spans="1:2" ht="14.25" customHeight="1">
      <c r="A6807" t="s">
        <v>581</v>
      </c>
    </row>
    <row r="6808" spans="1:2" ht="14.25" customHeight="1">
      <c r="A6808" t="s">
        <v>214</v>
      </c>
      <c r="B6808">
        <v>880</v>
      </c>
    </row>
    <row r="6809" spans="1:2" ht="14.25" customHeight="1">
      <c r="A6809" t="s">
        <v>215</v>
      </c>
      <c r="B6809">
        <v>970</v>
      </c>
    </row>
    <row r="6810" spans="1:2" ht="14.25" customHeight="1">
      <c r="A6810" t="s">
        <v>2009</v>
      </c>
      <c r="B6810">
        <v>1165</v>
      </c>
    </row>
    <row r="6811" spans="1:2" ht="14.25" customHeight="1">
      <c r="A6811" t="s">
        <v>586</v>
      </c>
      <c r="B6811">
        <v>3015</v>
      </c>
    </row>
    <row r="6813" spans="1:2" ht="14.25" customHeight="1">
      <c r="A6813" t="s">
        <v>268</v>
      </c>
    </row>
    <row r="6814" spans="1:2" ht="14.25" customHeight="1">
      <c r="A6814" t="s">
        <v>699</v>
      </c>
      <c r="B6814">
        <v>3795</v>
      </c>
    </row>
    <row r="6815" spans="1:2" ht="14.25" customHeight="1">
      <c r="A6815" t="s">
        <v>588</v>
      </c>
      <c r="B6815">
        <v>11385</v>
      </c>
    </row>
    <row r="6818" spans="1:2" ht="14.25" customHeight="1">
      <c r="A6818" t="s">
        <v>769</v>
      </c>
    </row>
    <row r="6820" spans="1:2" ht="14.25" customHeight="1">
      <c r="A6820" t="s">
        <v>1180</v>
      </c>
    </row>
    <row r="6821" spans="1:2" ht="14.25" customHeight="1">
      <c r="A6821" t="s">
        <v>1178</v>
      </c>
      <c r="B6821">
        <v>1180</v>
      </c>
    </row>
    <row r="6822" spans="1:2" ht="14.25" customHeight="1">
      <c r="A6822" t="s">
        <v>1179</v>
      </c>
      <c r="B6822">
        <v>1180</v>
      </c>
    </row>
    <row r="6823" spans="1:2" ht="14.25" customHeight="1">
      <c r="A6823" t="s">
        <v>2030</v>
      </c>
      <c r="B6823">
        <v>1180</v>
      </c>
    </row>
    <row r="6824" spans="1:2" ht="14.25" customHeight="1">
      <c r="A6824" t="s">
        <v>586</v>
      </c>
      <c r="B6824">
        <v>3540</v>
      </c>
    </row>
    <row r="6825" spans="1:2" ht="14.25" customHeight="1">
      <c r="A6825" t="s">
        <v>770</v>
      </c>
      <c r="B6825">
        <v>7845</v>
      </c>
    </row>
    <row r="6826" spans="1:2" ht="14.25" customHeight="1">
      <c r="A6826" t="s">
        <v>770</v>
      </c>
      <c r="B6826">
        <v>0.689064558629776</v>
      </c>
    </row>
    <row r="6828" spans="1:2" ht="14.25" customHeight="1">
      <c r="A6828" t="s">
        <v>1181</v>
      </c>
    </row>
    <row r="6829" spans="1:2" ht="14.25" customHeight="1">
      <c r="A6829" t="s">
        <v>1182</v>
      </c>
      <c r="B6829">
        <v>880</v>
      </c>
    </row>
    <row r="6830" spans="1:2" ht="14.25" customHeight="1">
      <c r="A6830" t="s">
        <v>1179</v>
      </c>
      <c r="B6830">
        <v>1240</v>
      </c>
    </row>
    <row r="6831" spans="1:2" ht="14.25" customHeight="1">
      <c r="A6831" t="s">
        <v>2030</v>
      </c>
      <c r="B6831">
        <v>1240</v>
      </c>
    </row>
    <row r="6832" spans="1:2" ht="14.25" customHeight="1">
      <c r="A6832" t="s">
        <v>586</v>
      </c>
      <c r="B6832">
        <v>3360</v>
      </c>
    </row>
    <row r="6833" spans="1:2" ht="14.25" customHeight="1">
      <c r="A6833" t="s">
        <v>770</v>
      </c>
      <c r="B6833">
        <v>8025</v>
      </c>
    </row>
    <row r="6834" spans="1:2" ht="14.25" customHeight="1">
      <c r="A6834" t="s">
        <v>770</v>
      </c>
      <c r="B6834">
        <v>0.70487483530961792</v>
      </c>
    </row>
    <row r="6836" spans="1:2" ht="14.25" customHeight="1">
      <c r="A6836" t="s">
        <v>2031</v>
      </c>
    </row>
    <row r="6837" spans="1:2" ht="14.25" customHeight="1">
      <c r="A6837" t="s">
        <v>1182</v>
      </c>
      <c r="B6837">
        <v>880</v>
      </c>
    </row>
    <row r="6838" spans="1:2" ht="14.25" customHeight="1">
      <c r="A6838" t="s">
        <v>2032</v>
      </c>
      <c r="B6838">
        <v>970</v>
      </c>
    </row>
    <row r="6839" spans="1:2" ht="14.25" customHeight="1">
      <c r="A6839" t="s">
        <v>2030</v>
      </c>
      <c r="B6839">
        <v>1300</v>
      </c>
    </row>
    <row r="6840" spans="1:2" ht="14.25" customHeight="1">
      <c r="A6840" t="s">
        <v>586</v>
      </c>
      <c r="B6840">
        <v>3150</v>
      </c>
    </row>
    <row r="6841" spans="1:2" ht="14.25" customHeight="1">
      <c r="A6841" t="s">
        <v>770</v>
      </c>
      <c r="B6841">
        <v>8235</v>
      </c>
    </row>
    <row r="6842" spans="1:2" ht="14.25" customHeight="1">
      <c r="A6842" t="s">
        <v>770</v>
      </c>
      <c r="B6842">
        <v>0.72332015810276684</v>
      </c>
    </row>
    <row r="6844" spans="1:2" ht="14.25" customHeight="1">
      <c r="A6844" t="s">
        <v>1943</v>
      </c>
      <c r="B6844">
        <v>1365</v>
      </c>
    </row>
    <row r="6846" spans="1:2" s="344" customFormat="1" ht="14.25" customHeight="1">
      <c r="A6846" s="345" t="s">
        <v>1999</v>
      </c>
    </row>
    <row r="6848" spans="1:2" ht="14.25" customHeight="1">
      <c r="A6848" t="s">
        <v>753</v>
      </c>
      <c r="B6848" s="346">
        <v>880</v>
      </c>
    </row>
    <row r="6850" spans="1:2" ht="14.25" customHeight="1">
      <c r="A6850" t="s">
        <v>581</v>
      </c>
    </row>
    <row r="6851" spans="1:2" ht="14.25" customHeight="1">
      <c r="A6851" t="s">
        <v>214</v>
      </c>
      <c r="B6851">
        <v>880</v>
      </c>
    </row>
    <row r="6852" spans="1:2" ht="14.25" customHeight="1">
      <c r="A6852" t="s">
        <v>215</v>
      </c>
      <c r="B6852">
        <v>970</v>
      </c>
    </row>
    <row r="6853" spans="1:2" ht="14.25" customHeight="1">
      <c r="A6853" t="s">
        <v>2009</v>
      </c>
      <c r="B6853">
        <v>1165</v>
      </c>
    </row>
    <row r="6854" spans="1:2" ht="14.25" customHeight="1">
      <c r="A6854" t="s">
        <v>586</v>
      </c>
      <c r="B6854">
        <v>3015</v>
      </c>
    </row>
    <row r="6856" spans="1:2" ht="14.25" customHeight="1">
      <c r="A6856" t="s">
        <v>268</v>
      </c>
    </row>
    <row r="6857" spans="1:2" ht="14.25" customHeight="1">
      <c r="A6857" t="s">
        <v>699</v>
      </c>
      <c r="B6857">
        <v>2845</v>
      </c>
    </row>
    <row r="6858" spans="1:2" ht="14.25" customHeight="1">
      <c r="A6858" t="s">
        <v>588</v>
      </c>
      <c r="B6858">
        <v>8535</v>
      </c>
    </row>
    <row r="6861" spans="1:2" ht="14.25" customHeight="1">
      <c r="A6861" t="s">
        <v>769</v>
      </c>
    </row>
    <row r="6863" spans="1:2" ht="14.25" customHeight="1">
      <c r="A6863" t="s">
        <v>1180</v>
      </c>
    </row>
    <row r="6864" spans="1:2" ht="14.25" customHeight="1">
      <c r="A6864" t="s">
        <v>1178</v>
      </c>
      <c r="B6864">
        <v>880</v>
      </c>
    </row>
    <row r="6865" spans="1:2" ht="14.25" customHeight="1">
      <c r="A6865" t="s">
        <v>1179</v>
      </c>
      <c r="B6865">
        <v>880</v>
      </c>
    </row>
    <row r="6866" spans="1:2" ht="14.25" customHeight="1">
      <c r="A6866" t="s">
        <v>2030</v>
      </c>
      <c r="B6866">
        <v>880</v>
      </c>
    </row>
    <row r="6867" spans="1:2" ht="14.25" customHeight="1">
      <c r="A6867" t="s">
        <v>586</v>
      </c>
      <c r="B6867">
        <v>2640</v>
      </c>
    </row>
    <row r="6868" spans="1:2" ht="14.25" customHeight="1">
      <c r="A6868" t="s">
        <v>770</v>
      </c>
      <c r="B6868">
        <v>5895</v>
      </c>
    </row>
    <row r="6869" spans="1:2" ht="14.25" customHeight="1">
      <c r="A6869" t="s">
        <v>770</v>
      </c>
      <c r="B6869">
        <v>0.69068541300527242</v>
      </c>
    </row>
    <row r="6871" spans="1:2" ht="14.25" customHeight="1">
      <c r="A6871" t="s">
        <v>1181</v>
      </c>
    </row>
    <row r="6872" spans="1:2" ht="14.25" customHeight="1">
      <c r="A6872" t="s">
        <v>1182</v>
      </c>
      <c r="B6872">
        <v>880</v>
      </c>
    </row>
    <row r="6873" spans="1:2" ht="14.25" customHeight="1">
      <c r="A6873" t="s">
        <v>1179</v>
      </c>
      <c r="B6873">
        <v>925</v>
      </c>
    </row>
    <row r="6874" spans="1:2" ht="14.25" customHeight="1">
      <c r="A6874" t="s">
        <v>2030</v>
      </c>
      <c r="B6874">
        <v>925</v>
      </c>
    </row>
    <row r="6875" spans="1:2" ht="14.25" customHeight="1">
      <c r="A6875" t="s">
        <v>586</v>
      </c>
      <c r="B6875">
        <v>2730</v>
      </c>
    </row>
    <row r="6876" spans="1:2" ht="14.25" customHeight="1">
      <c r="A6876" t="s">
        <v>770</v>
      </c>
      <c r="B6876">
        <v>5805</v>
      </c>
    </row>
    <row r="6877" spans="1:2" ht="14.25" customHeight="1">
      <c r="A6877" t="s">
        <v>770</v>
      </c>
      <c r="B6877">
        <v>0.68014059753954303</v>
      </c>
    </row>
    <row r="6879" spans="1:2" ht="14.25" customHeight="1">
      <c r="A6879" t="s">
        <v>2031</v>
      </c>
    </row>
    <row r="6880" spans="1:2" ht="14.25" customHeight="1">
      <c r="A6880" t="s">
        <v>1182</v>
      </c>
      <c r="B6880">
        <v>880</v>
      </c>
    </row>
    <row r="6881" spans="1:2" ht="14.25" customHeight="1">
      <c r="A6881" t="s">
        <v>2032</v>
      </c>
      <c r="B6881">
        <v>970</v>
      </c>
    </row>
    <row r="6882" spans="1:2" ht="14.25" customHeight="1">
      <c r="A6882" t="s">
        <v>2030</v>
      </c>
      <c r="B6882">
        <v>970</v>
      </c>
    </row>
    <row r="6883" spans="1:2" ht="14.25" customHeight="1">
      <c r="A6883" t="s">
        <v>586</v>
      </c>
      <c r="B6883">
        <v>2820</v>
      </c>
    </row>
    <row r="6884" spans="1:2" ht="14.25" customHeight="1">
      <c r="A6884" t="s">
        <v>770</v>
      </c>
      <c r="B6884">
        <v>5715</v>
      </c>
    </row>
    <row r="6885" spans="1:2" ht="14.25" customHeight="1">
      <c r="A6885" t="s">
        <v>770</v>
      </c>
      <c r="B6885">
        <v>0.66959578207381376</v>
      </c>
    </row>
    <row r="6887" spans="1:2" ht="14.25" customHeight="1">
      <c r="A6887" t="s">
        <v>1943</v>
      </c>
      <c r="B6887">
        <v>1018.5</v>
      </c>
    </row>
    <row r="6889" spans="1:2" s="344" customFormat="1" ht="14.25" customHeight="1">
      <c r="A6889" s="345" t="s">
        <v>2000</v>
      </c>
    </row>
    <row r="6891" spans="1:2" ht="14.25" customHeight="1">
      <c r="A6891" t="s">
        <v>753</v>
      </c>
      <c r="B6891" s="346">
        <v>880</v>
      </c>
    </row>
    <row r="6893" spans="1:2" ht="14.25" customHeight="1">
      <c r="A6893" t="s">
        <v>581</v>
      </c>
    </row>
    <row r="6894" spans="1:2" ht="14.25" customHeight="1">
      <c r="A6894" t="s">
        <v>214</v>
      </c>
      <c r="B6894">
        <v>880</v>
      </c>
    </row>
    <row r="6895" spans="1:2" ht="14.25" customHeight="1">
      <c r="A6895" t="s">
        <v>215</v>
      </c>
      <c r="B6895">
        <v>970</v>
      </c>
    </row>
    <row r="6896" spans="1:2" ht="14.25" customHeight="1">
      <c r="A6896" t="s">
        <v>2009</v>
      </c>
      <c r="B6896">
        <v>1165</v>
      </c>
    </row>
    <row r="6897" spans="1:2" ht="14.25" customHeight="1">
      <c r="A6897" t="s">
        <v>586</v>
      </c>
      <c r="B6897">
        <v>3015</v>
      </c>
    </row>
    <row r="6899" spans="1:2" ht="14.25" customHeight="1">
      <c r="A6899" t="s">
        <v>268</v>
      </c>
    </row>
    <row r="6900" spans="1:2" ht="14.25" customHeight="1">
      <c r="A6900" t="s">
        <v>699</v>
      </c>
      <c r="B6900">
        <v>5920</v>
      </c>
    </row>
    <row r="6901" spans="1:2" ht="14.25" customHeight="1">
      <c r="A6901" t="s">
        <v>588</v>
      </c>
      <c r="B6901">
        <v>17760</v>
      </c>
    </row>
    <row r="6904" spans="1:2" ht="14.25" customHeight="1">
      <c r="A6904" t="s">
        <v>769</v>
      </c>
    </row>
    <row r="6906" spans="1:2" ht="14.25" customHeight="1">
      <c r="A6906" t="s">
        <v>1180</v>
      </c>
    </row>
    <row r="6907" spans="1:2" ht="14.25" customHeight="1">
      <c r="A6907" t="s">
        <v>1178</v>
      </c>
      <c r="B6907">
        <v>1480</v>
      </c>
    </row>
    <row r="6908" spans="1:2" ht="14.25" customHeight="1">
      <c r="A6908" t="s">
        <v>1179</v>
      </c>
      <c r="B6908">
        <v>1480</v>
      </c>
    </row>
    <row r="6909" spans="1:2" ht="14.25" customHeight="1">
      <c r="A6909" t="s">
        <v>2030</v>
      </c>
      <c r="B6909">
        <v>1480</v>
      </c>
    </row>
    <row r="6910" spans="1:2" ht="14.25" customHeight="1">
      <c r="A6910" t="s">
        <v>586</v>
      </c>
      <c r="B6910">
        <v>4440</v>
      </c>
    </row>
    <row r="6911" spans="1:2" ht="14.25" customHeight="1">
      <c r="A6911" t="s">
        <v>770</v>
      </c>
      <c r="B6911">
        <v>13320</v>
      </c>
    </row>
    <row r="6912" spans="1:2" ht="14.25" customHeight="1">
      <c r="A6912" t="s">
        <v>770</v>
      </c>
      <c r="B6912">
        <v>0.75</v>
      </c>
    </row>
    <row r="6914" spans="1:2" ht="14.25" customHeight="1">
      <c r="A6914" t="s">
        <v>1181</v>
      </c>
    </row>
    <row r="6915" spans="1:2" ht="14.25" customHeight="1">
      <c r="A6915" t="s">
        <v>1182</v>
      </c>
      <c r="B6915">
        <v>880</v>
      </c>
    </row>
    <row r="6916" spans="1:2" ht="14.25" customHeight="1">
      <c r="A6916" t="s">
        <v>1179</v>
      </c>
      <c r="B6916">
        <v>1555</v>
      </c>
    </row>
    <row r="6917" spans="1:2" ht="14.25" customHeight="1">
      <c r="A6917" t="s">
        <v>2030</v>
      </c>
      <c r="B6917">
        <v>1555</v>
      </c>
    </row>
    <row r="6918" spans="1:2" ht="14.25" customHeight="1">
      <c r="A6918" t="s">
        <v>586</v>
      </c>
      <c r="B6918">
        <v>3990</v>
      </c>
    </row>
    <row r="6919" spans="1:2" ht="14.25" customHeight="1">
      <c r="A6919" t="s">
        <v>770</v>
      </c>
      <c r="B6919">
        <v>13770</v>
      </c>
    </row>
    <row r="6920" spans="1:2" ht="14.25" customHeight="1">
      <c r="A6920" t="s">
        <v>770</v>
      </c>
      <c r="B6920">
        <v>0.77533783783783783</v>
      </c>
    </row>
    <row r="6922" spans="1:2" ht="14.25" customHeight="1">
      <c r="A6922" t="s">
        <v>2031</v>
      </c>
    </row>
    <row r="6923" spans="1:2" ht="14.25" customHeight="1">
      <c r="A6923" t="s">
        <v>1182</v>
      </c>
      <c r="B6923">
        <v>880</v>
      </c>
    </row>
    <row r="6924" spans="1:2" ht="14.25" customHeight="1">
      <c r="A6924" t="s">
        <v>2032</v>
      </c>
      <c r="B6924">
        <v>970</v>
      </c>
    </row>
    <row r="6925" spans="1:2" ht="14.25" customHeight="1">
      <c r="A6925" t="s">
        <v>2030</v>
      </c>
      <c r="B6925">
        <v>1635</v>
      </c>
    </row>
    <row r="6926" spans="1:2" ht="14.25" customHeight="1">
      <c r="A6926" t="s">
        <v>586</v>
      </c>
      <c r="B6926">
        <v>3485</v>
      </c>
    </row>
    <row r="6927" spans="1:2" ht="14.25" customHeight="1">
      <c r="A6927" t="s">
        <v>770</v>
      </c>
      <c r="B6927">
        <v>14275</v>
      </c>
    </row>
    <row r="6928" spans="1:2" ht="14.25" customHeight="1">
      <c r="A6928" t="s">
        <v>770</v>
      </c>
      <c r="B6928">
        <v>0.80377252252252251</v>
      </c>
    </row>
    <row r="6930" spans="1:2" ht="14.25" customHeight="1">
      <c r="A6930" t="s">
        <v>1943</v>
      </c>
      <c r="B6930">
        <v>1716.75</v>
      </c>
    </row>
    <row r="6932" spans="1:2" s="344" customFormat="1" ht="14.25" customHeight="1">
      <c r="A6932" s="345" t="s">
        <v>2001</v>
      </c>
    </row>
    <row r="6934" spans="1:2" ht="14.25" customHeight="1">
      <c r="A6934" t="s">
        <v>753</v>
      </c>
      <c r="B6934" s="346">
        <v>1480</v>
      </c>
    </row>
    <row r="6936" spans="1:2" ht="14.25" customHeight="1">
      <c r="A6936" t="s">
        <v>581</v>
      </c>
    </row>
    <row r="6937" spans="1:2" ht="14.25" customHeight="1">
      <c r="A6937" t="s">
        <v>214</v>
      </c>
      <c r="B6937">
        <v>1480</v>
      </c>
    </row>
    <row r="6938" spans="1:2" ht="14.25" customHeight="1">
      <c r="A6938" t="s">
        <v>215</v>
      </c>
      <c r="B6938">
        <v>1630</v>
      </c>
    </row>
    <row r="6939" spans="1:2" ht="14.25" customHeight="1">
      <c r="A6939" t="s">
        <v>2009</v>
      </c>
      <c r="B6939">
        <v>1955</v>
      </c>
    </row>
    <row r="6940" spans="1:2" ht="14.25" customHeight="1">
      <c r="A6940" t="s">
        <v>586</v>
      </c>
      <c r="B6940">
        <v>5065</v>
      </c>
    </row>
    <row r="6942" spans="1:2" ht="14.25" customHeight="1">
      <c r="A6942" t="s">
        <v>268</v>
      </c>
    </row>
    <row r="6943" spans="1:2" ht="14.25" customHeight="1">
      <c r="A6943" t="s">
        <v>699</v>
      </c>
      <c r="B6943">
        <v>5920</v>
      </c>
    </row>
    <row r="6944" spans="1:2" ht="14.25" customHeight="1">
      <c r="A6944" t="s">
        <v>588</v>
      </c>
      <c r="B6944">
        <v>17760</v>
      </c>
    </row>
    <row r="6947" spans="1:2" ht="14.25" customHeight="1">
      <c r="A6947" t="s">
        <v>769</v>
      </c>
    </row>
    <row r="6949" spans="1:2" ht="14.25" customHeight="1">
      <c r="A6949" t="s">
        <v>1180</v>
      </c>
    </row>
    <row r="6950" spans="1:2" ht="14.25" customHeight="1">
      <c r="A6950" t="s">
        <v>1178</v>
      </c>
      <c r="B6950">
        <v>1480</v>
      </c>
    </row>
    <row r="6951" spans="1:2" ht="14.25" customHeight="1">
      <c r="A6951" t="s">
        <v>1179</v>
      </c>
      <c r="B6951">
        <v>1480</v>
      </c>
    </row>
    <row r="6952" spans="1:2" ht="14.25" customHeight="1">
      <c r="A6952" t="s">
        <v>2030</v>
      </c>
      <c r="B6952">
        <v>1480</v>
      </c>
    </row>
    <row r="6953" spans="1:2" ht="14.25" customHeight="1">
      <c r="A6953" t="s">
        <v>586</v>
      </c>
      <c r="B6953">
        <v>4440</v>
      </c>
    </row>
    <row r="6954" spans="1:2" ht="14.25" customHeight="1">
      <c r="A6954" t="s">
        <v>770</v>
      </c>
      <c r="B6954">
        <v>13320</v>
      </c>
    </row>
    <row r="6955" spans="1:2" ht="14.25" customHeight="1">
      <c r="A6955" t="s">
        <v>770</v>
      </c>
      <c r="B6955">
        <v>0.75</v>
      </c>
    </row>
    <row r="6957" spans="1:2" ht="14.25" customHeight="1">
      <c r="A6957" t="s">
        <v>1181</v>
      </c>
    </row>
    <row r="6958" spans="1:2" ht="14.25" customHeight="1">
      <c r="A6958" t="s">
        <v>1182</v>
      </c>
      <c r="B6958">
        <v>1480</v>
      </c>
    </row>
    <row r="6959" spans="1:2" ht="14.25" customHeight="1">
      <c r="A6959" t="s">
        <v>1179</v>
      </c>
      <c r="B6959">
        <v>1555</v>
      </c>
    </row>
    <row r="6960" spans="1:2" ht="14.25" customHeight="1">
      <c r="A6960" t="s">
        <v>2030</v>
      </c>
      <c r="B6960">
        <v>1555</v>
      </c>
    </row>
    <row r="6961" spans="1:2" ht="14.25" customHeight="1">
      <c r="A6961" t="s">
        <v>586</v>
      </c>
      <c r="B6961">
        <v>4590</v>
      </c>
    </row>
    <row r="6962" spans="1:2" ht="14.25" customHeight="1">
      <c r="A6962" t="s">
        <v>770</v>
      </c>
      <c r="B6962">
        <v>13170</v>
      </c>
    </row>
    <row r="6963" spans="1:2" ht="14.25" customHeight="1">
      <c r="A6963" t="s">
        <v>770</v>
      </c>
      <c r="B6963">
        <v>0.74155405405405406</v>
      </c>
    </row>
    <row r="6965" spans="1:2" ht="14.25" customHeight="1">
      <c r="A6965" t="s">
        <v>2031</v>
      </c>
    </row>
    <row r="6966" spans="1:2" ht="14.25" customHeight="1">
      <c r="A6966" t="s">
        <v>1182</v>
      </c>
      <c r="B6966">
        <v>1480</v>
      </c>
    </row>
    <row r="6967" spans="1:2" ht="14.25" customHeight="1">
      <c r="A6967" t="s">
        <v>2032</v>
      </c>
      <c r="B6967">
        <v>1630</v>
      </c>
    </row>
    <row r="6968" spans="1:2" ht="14.25" customHeight="1">
      <c r="A6968" t="s">
        <v>2030</v>
      </c>
      <c r="B6968">
        <v>1635</v>
      </c>
    </row>
    <row r="6969" spans="1:2" ht="14.25" customHeight="1">
      <c r="A6969" t="s">
        <v>586</v>
      </c>
      <c r="B6969">
        <v>4745</v>
      </c>
    </row>
    <row r="6970" spans="1:2" ht="14.25" customHeight="1">
      <c r="A6970" t="s">
        <v>770</v>
      </c>
      <c r="B6970">
        <v>13015</v>
      </c>
    </row>
    <row r="6971" spans="1:2" ht="14.25" customHeight="1">
      <c r="A6971" t="s">
        <v>770</v>
      </c>
      <c r="B6971">
        <v>0.73282657657657657</v>
      </c>
    </row>
    <row r="6973" spans="1:2" ht="14.25" customHeight="1">
      <c r="A6973" t="s">
        <v>1943</v>
      </c>
      <c r="B6973">
        <v>1716.75</v>
      </c>
    </row>
    <row r="6975" spans="1:2" s="344" customFormat="1" ht="14.25" customHeight="1">
      <c r="A6975" s="345" t="s">
        <v>1427</v>
      </c>
    </row>
    <row r="6977" spans="1:2" ht="14.25" customHeight="1">
      <c r="A6977" t="s">
        <v>753</v>
      </c>
      <c r="B6977" s="346">
        <v>1265</v>
      </c>
    </row>
    <row r="6979" spans="1:2" ht="14.25" customHeight="1">
      <c r="A6979" t="s">
        <v>581</v>
      </c>
    </row>
    <row r="6980" spans="1:2" ht="14.25" customHeight="1">
      <c r="A6980" t="s">
        <v>214</v>
      </c>
      <c r="B6980">
        <v>1265</v>
      </c>
    </row>
    <row r="6981" spans="1:2" ht="14.25" customHeight="1">
      <c r="A6981" t="s">
        <v>215</v>
      </c>
      <c r="B6981">
        <v>1520</v>
      </c>
    </row>
    <row r="6982" spans="1:2" ht="14.25" customHeight="1">
      <c r="A6982" t="s">
        <v>2009</v>
      </c>
      <c r="B6982">
        <v>1520</v>
      </c>
    </row>
    <row r="6983" spans="1:2" ht="14.25" customHeight="1">
      <c r="A6983" t="s">
        <v>586</v>
      </c>
      <c r="B6983">
        <v>4305</v>
      </c>
    </row>
    <row r="6985" spans="1:2" ht="14.25" customHeight="1">
      <c r="A6985" t="s">
        <v>268</v>
      </c>
    </row>
    <row r="6986" spans="1:2" ht="14.25" customHeight="1">
      <c r="A6986" t="s">
        <v>699</v>
      </c>
      <c r="B6986">
        <v>3715</v>
      </c>
    </row>
    <row r="6987" spans="1:2" ht="14.25" customHeight="1">
      <c r="A6987" t="s">
        <v>588</v>
      </c>
      <c r="B6987">
        <v>11145</v>
      </c>
    </row>
    <row r="6990" spans="1:2" ht="14.25" customHeight="1">
      <c r="A6990" t="s">
        <v>769</v>
      </c>
    </row>
    <row r="6992" spans="1:2" ht="14.25" customHeight="1">
      <c r="A6992" t="s">
        <v>1180</v>
      </c>
    </row>
    <row r="6993" spans="1:2" ht="14.25" customHeight="1">
      <c r="A6993" t="s">
        <v>1178</v>
      </c>
      <c r="B6993">
        <v>1125</v>
      </c>
    </row>
    <row r="6994" spans="1:2" ht="14.25" customHeight="1">
      <c r="A6994" t="s">
        <v>1179</v>
      </c>
      <c r="B6994">
        <v>1125</v>
      </c>
    </row>
    <row r="6995" spans="1:2" ht="14.25" customHeight="1">
      <c r="A6995" t="s">
        <v>2030</v>
      </c>
      <c r="B6995">
        <v>1125</v>
      </c>
    </row>
    <row r="6996" spans="1:2" ht="14.25" customHeight="1">
      <c r="A6996" t="s">
        <v>586</v>
      </c>
      <c r="B6996">
        <v>3375</v>
      </c>
    </row>
    <row r="6997" spans="1:2" ht="14.25" customHeight="1">
      <c r="A6997" t="s">
        <v>770</v>
      </c>
      <c r="B6997">
        <v>7770</v>
      </c>
    </row>
    <row r="6998" spans="1:2" ht="14.25" customHeight="1">
      <c r="A6998" t="s">
        <v>770</v>
      </c>
      <c r="B6998">
        <v>0.69717362045760434</v>
      </c>
    </row>
    <row r="7000" spans="1:2" ht="14.25" customHeight="1">
      <c r="A7000" t="s">
        <v>1181</v>
      </c>
    </row>
    <row r="7001" spans="1:2" ht="14.25" customHeight="1">
      <c r="A7001" t="s">
        <v>1182</v>
      </c>
      <c r="B7001">
        <v>1265</v>
      </c>
    </row>
    <row r="7002" spans="1:2" ht="14.25" customHeight="1">
      <c r="A7002" t="s">
        <v>1179</v>
      </c>
      <c r="B7002">
        <v>1180</v>
      </c>
    </row>
    <row r="7003" spans="1:2" ht="14.25" customHeight="1">
      <c r="A7003" t="s">
        <v>2030</v>
      </c>
      <c r="B7003">
        <v>1180</v>
      </c>
    </row>
    <row r="7004" spans="1:2" ht="14.25" customHeight="1">
      <c r="A7004" t="s">
        <v>586</v>
      </c>
      <c r="B7004">
        <v>3625</v>
      </c>
    </row>
    <row r="7005" spans="1:2" ht="14.25" customHeight="1">
      <c r="A7005" t="s">
        <v>770</v>
      </c>
      <c r="B7005">
        <v>7520</v>
      </c>
    </row>
    <row r="7006" spans="1:2" ht="14.25" customHeight="1">
      <c r="A7006" t="s">
        <v>770</v>
      </c>
      <c r="B7006">
        <v>0.67474203678779721</v>
      </c>
    </row>
    <row r="7008" spans="1:2" ht="14.25" customHeight="1">
      <c r="A7008" t="s">
        <v>2031</v>
      </c>
    </row>
    <row r="7009" spans="1:2" ht="14.25" customHeight="1">
      <c r="A7009" t="s">
        <v>1182</v>
      </c>
      <c r="B7009">
        <v>1265</v>
      </c>
    </row>
    <row r="7010" spans="1:2" ht="14.25" customHeight="1">
      <c r="A7010" t="s">
        <v>2032</v>
      </c>
      <c r="B7010">
        <v>1520</v>
      </c>
    </row>
    <row r="7011" spans="1:2" ht="14.25" customHeight="1">
      <c r="A7011" t="s">
        <v>2030</v>
      </c>
      <c r="B7011">
        <v>1180</v>
      </c>
    </row>
    <row r="7012" spans="1:2" ht="14.25" customHeight="1">
      <c r="A7012" t="s">
        <v>586</v>
      </c>
      <c r="B7012">
        <v>3965</v>
      </c>
    </row>
    <row r="7013" spans="1:2" ht="14.25" customHeight="1">
      <c r="A7013" t="s">
        <v>770</v>
      </c>
      <c r="B7013">
        <v>7180</v>
      </c>
    </row>
    <row r="7014" spans="1:2" ht="14.25" customHeight="1">
      <c r="A7014" t="s">
        <v>770</v>
      </c>
      <c r="B7014">
        <v>0.64423508299685961</v>
      </c>
    </row>
    <row r="7016" spans="1:2" ht="14.25" customHeight="1">
      <c r="A7016" t="s">
        <v>1943</v>
      </c>
      <c r="B7016">
        <v>1239</v>
      </c>
    </row>
    <row r="7018" spans="1:2" s="344" customFormat="1" ht="14.25" customHeight="1">
      <c r="A7018" s="345" t="s">
        <v>1898</v>
      </c>
    </row>
    <row r="7020" spans="1:2" ht="14.25" customHeight="1">
      <c r="A7020" t="s">
        <v>753</v>
      </c>
      <c r="B7020" s="346">
        <v>1265</v>
      </c>
    </row>
    <row r="7022" spans="1:2" ht="14.25" customHeight="1">
      <c r="A7022" t="s">
        <v>581</v>
      </c>
    </row>
    <row r="7023" spans="1:2" ht="14.25" customHeight="1">
      <c r="A7023" t="s">
        <v>214</v>
      </c>
      <c r="B7023">
        <v>1265</v>
      </c>
    </row>
    <row r="7024" spans="1:2" ht="14.25" customHeight="1">
      <c r="A7024" t="s">
        <v>215</v>
      </c>
      <c r="B7024">
        <v>1520</v>
      </c>
    </row>
    <row r="7025" spans="1:2" ht="14.25" customHeight="1">
      <c r="A7025" t="s">
        <v>2009</v>
      </c>
      <c r="B7025">
        <v>1520</v>
      </c>
    </row>
    <row r="7026" spans="1:2" ht="14.25" customHeight="1">
      <c r="A7026" t="s">
        <v>586</v>
      </c>
      <c r="B7026">
        <v>4305</v>
      </c>
    </row>
    <row r="7028" spans="1:2" ht="14.25" customHeight="1">
      <c r="A7028" t="s">
        <v>268</v>
      </c>
    </row>
    <row r="7029" spans="1:2" ht="14.25" customHeight="1">
      <c r="A7029" t="s">
        <v>699</v>
      </c>
      <c r="B7029">
        <v>3290</v>
      </c>
    </row>
    <row r="7030" spans="1:2" ht="14.25" customHeight="1">
      <c r="A7030" t="s">
        <v>588</v>
      </c>
      <c r="B7030">
        <v>9870</v>
      </c>
    </row>
    <row r="7033" spans="1:2" ht="14.25" customHeight="1">
      <c r="A7033" t="s">
        <v>769</v>
      </c>
    </row>
    <row r="7035" spans="1:2" ht="14.25" customHeight="1">
      <c r="A7035" t="s">
        <v>1180</v>
      </c>
    </row>
    <row r="7036" spans="1:2" ht="14.25" customHeight="1">
      <c r="A7036" t="s">
        <v>1178</v>
      </c>
      <c r="B7036">
        <v>1210</v>
      </c>
    </row>
    <row r="7037" spans="1:2" ht="14.25" customHeight="1">
      <c r="A7037" t="s">
        <v>1179</v>
      </c>
      <c r="B7037">
        <v>1210</v>
      </c>
    </row>
    <row r="7038" spans="1:2" ht="14.25" customHeight="1">
      <c r="A7038" t="s">
        <v>2030</v>
      </c>
      <c r="B7038">
        <v>1210</v>
      </c>
    </row>
    <row r="7039" spans="1:2" ht="14.25" customHeight="1">
      <c r="A7039" t="s">
        <v>586</v>
      </c>
      <c r="B7039">
        <v>3630</v>
      </c>
    </row>
    <row r="7040" spans="1:2" ht="14.25" customHeight="1">
      <c r="A7040" t="s">
        <v>770</v>
      </c>
      <c r="B7040">
        <v>6240</v>
      </c>
    </row>
    <row r="7041" spans="1:2" ht="14.25" customHeight="1">
      <c r="A7041" t="s">
        <v>770</v>
      </c>
      <c r="B7041">
        <v>0.63221884498480241</v>
      </c>
    </row>
    <row r="7043" spans="1:2" ht="14.25" customHeight="1">
      <c r="A7043" t="s">
        <v>1181</v>
      </c>
    </row>
    <row r="7044" spans="1:2" ht="14.25" customHeight="1">
      <c r="A7044" t="s">
        <v>1182</v>
      </c>
      <c r="B7044">
        <v>1265</v>
      </c>
    </row>
    <row r="7045" spans="1:2" ht="14.25" customHeight="1">
      <c r="A7045" t="s">
        <v>1179</v>
      </c>
      <c r="B7045">
        <v>1270</v>
      </c>
    </row>
    <row r="7046" spans="1:2" ht="14.25" customHeight="1">
      <c r="A7046" t="s">
        <v>2030</v>
      </c>
      <c r="B7046">
        <v>1270</v>
      </c>
    </row>
    <row r="7047" spans="1:2" ht="14.25" customHeight="1">
      <c r="A7047" t="s">
        <v>586</v>
      </c>
      <c r="B7047">
        <v>3805</v>
      </c>
    </row>
    <row r="7048" spans="1:2" ht="14.25" customHeight="1">
      <c r="A7048" t="s">
        <v>770</v>
      </c>
      <c r="B7048">
        <v>6065</v>
      </c>
    </row>
    <row r="7049" spans="1:2" ht="14.25" customHeight="1">
      <c r="A7049" t="s">
        <v>770</v>
      </c>
      <c r="B7049">
        <v>0.61448834853090173</v>
      </c>
    </row>
    <row r="7051" spans="1:2" ht="14.25" customHeight="1">
      <c r="A7051" t="s">
        <v>2031</v>
      </c>
    </row>
    <row r="7052" spans="1:2" ht="14.25" customHeight="1">
      <c r="A7052" t="s">
        <v>1182</v>
      </c>
      <c r="B7052">
        <v>1265</v>
      </c>
    </row>
    <row r="7053" spans="1:2" ht="14.25" customHeight="1">
      <c r="A7053" t="s">
        <v>2032</v>
      </c>
      <c r="B7053">
        <v>1520</v>
      </c>
    </row>
    <row r="7054" spans="1:2" ht="14.25" customHeight="1">
      <c r="A7054" t="s">
        <v>2030</v>
      </c>
      <c r="B7054">
        <v>1270</v>
      </c>
    </row>
    <row r="7055" spans="1:2" ht="14.25" customHeight="1">
      <c r="A7055" t="s">
        <v>586</v>
      </c>
      <c r="B7055">
        <v>4055</v>
      </c>
    </row>
    <row r="7056" spans="1:2" ht="14.25" customHeight="1">
      <c r="A7056" t="s">
        <v>770</v>
      </c>
      <c r="B7056">
        <v>5815</v>
      </c>
    </row>
    <row r="7057" spans="1:2" ht="14.25" customHeight="1">
      <c r="A7057" t="s">
        <v>770</v>
      </c>
      <c r="B7057">
        <v>0.58915906788247219</v>
      </c>
    </row>
    <row r="7059" spans="1:2" ht="14.25" customHeight="1">
      <c r="A7059" t="s">
        <v>1943</v>
      </c>
      <c r="B7059">
        <v>1333.5</v>
      </c>
    </row>
    <row r="7061" spans="1:2" s="344" customFormat="1" ht="14.25" customHeight="1">
      <c r="A7061" s="345" t="s">
        <v>1428</v>
      </c>
    </row>
    <row r="7063" spans="1:2" ht="14.25" customHeight="1">
      <c r="A7063" t="s">
        <v>753</v>
      </c>
      <c r="B7063" s="346">
        <v>1435</v>
      </c>
    </row>
    <row r="7065" spans="1:2" ht="14.25" customHeight="1">
      <c r="A7065" t="s">
        <v>581</v>
      </c>
    </row>
    <row r="7066" spans="1:2" ht="14.25" customHeight="1">
      <c r="A7066" t="s">
        <v>214</v>
      </c>
      <c r="B7066">
        <v>1435</v>
      </c>
    </row>
    <row r="7067" spans="1:2" ht="14.25" customHeight="1">
      <c r="A7067" t="s">
        <v>215</v>
      </c>
      <c r="B7067">
        <v>1720</v>
      </c>
    </row>
    <row r="7068" spans="1:2" ht="14.25" customHeight="1">
      <c r="A7068" t="s">
        <v>2009</v>
      </c>
      <c r="B7068">
        <v>1720</v>
      </c>
    </row>
    <row r="7069" spans="1:2" ht="14.25" customHeight="1">
      <c r="A7069" t="s">
        <v>586</v>
      </c>
      <c r="B7069">
        <v>4875</v>
      </c>
    </row>
    <row r="7071" spans="1:2" ht="14.25" customHeight="1">
      <c r="A7071" t="s">
        <v>268</v>
      </c>
    </row>
    <row r="7072" spans="1:2" ht="14.25" customHeight="1">
      <c r="A7072" t="s">
        <v>699</v>
      </c>
      <c r="B7072">
        <v>3715</v>
      </c>
    </row>
    <row r="7073" spans="1:2" ht="14.25" customHeight="1">
      <c r="A7073" t="s">
        <v>588</v>
      </c>
      <c r="B7073">
        <v>11145</v>
      </c>
    </row>
    <row r="7076" spans="1:2" ht="14.25" customHeight="1">
      <c r="A7076" t="s">
        <v>769</v>
      </c>
    </row>
    <row r="7078" spans="1:2" ht="14.25" customHeight="1">
      <c r="A7078" t="s">
        <v>1180</v>
      </c>
    </row>
    <row r="7079" spans="1:2" ht="14.25" customHeight="1">
      <c r="A7079" t="s">
        <v>1178</v>
      </c>
      <c r="B7079">
        <v>1125</v>
      </c>
    </row>
    <row r="7080" spans="1:2" ht="14.25" customHeight="1">
      <c r="A7080" t="s">
        <v>1179</v>
      </c>
      <c r="B7080">
        <v>1125</v>
      </c>
    </row>
    <row r="7081" spans="1:2" ht="14.25" customHeight="1">
      <c r="A7081" t="s">
        <v>2030</v>
      </c>
      <c r="B7081">
        <v>1125</v>
      </c>
    </row>
    <row r="7082" spans="1:2" ht="14.25" customHeight="1">
      <c r="A7082" t="s">
        <v>586</v>
      </c>
      <c r="B7082">
        <v>3375</v>
      </c>
    </row>
    <row r="7083" spans="1:2" ht="14.25" customHeight="1">
      <c r="A7083" t="s">
        <v>770</v>
      </c>
      <c r="B7083">
        <v>7770</v>
      </c>
    </row>
    <row r="7084" spans="1:2" ht="14.25" customHeight="1">
      <c r="A7084" t="s">
        <v>770</v>
      </c>
      <c r="B7084">
        <v>0.69717362045760434</v>
      </c>
    </row>
    <row r="7086" spans="1:2" ht="14.25" customHeight="1">
      <c r="A7086" t="s">
        <v>1181</v>
      </c>
    </row>
    <row r="7087" spans="1:2" ht="14.25" customHeight="1">
      <c r="A7087" t="s">
        <v>1182</v>
      </c>
      <c r="B7087">
        <v>1435</v>
      </c>
    </row>
    <row r="7088" spans="1:2" ht="14.25" customHeight="1">
      <c r="A7088" t="s">
        <v>1179</v>
      </c>
      <c r="B7088">
        <v>1180</v>
      </c>
    </row>
    <row r="7089" spans="1:2" ht="14.25" customHeight="1">
      <c r="A7089" t="s">
        <v>2030</v>
      </c>
      <c r="B7089">
        <v>1180</v>
      </c>
    </row>
    <row r="7090" spans="1:2" ht="14.25" customHeight="1">
      <c r="A7090" t="s">
        <v>586</v>
      </c>
      <c r="B7090">
        <v>3795</v>
      </c>
    </row>
    <row r="7091" spans="1:2" ht="14.25" customHeight="1">
      <c r="A7091" t="s">
        <v>770</v>
      </c>
      <c r="B7091">
        <v>7350</v>
      </c>
    </row>
    <row r="7092" spans="1:2" ht="14.25" customHeight="1">
      <c r="A7092" t="s">
        <v>770</v>
      </c>
      <c r="B7092">
        <v>0.65948855989232835</v>
      </c>
    </row>
    <row r="7094" spans="1:2" ht="14.25" customHeight="1">
      <c r="A7094" t="s">
        <v>2031</v>
      </c>
    </row>
    <row r="7095" spans="1:2" ht="14.25" customHeight="1">
      <c r="A7095" t="s">
        <v>1182</v>
      </c>
      <c r="B7095">
        <v>1435</v>
      </c>
    </row>
    <row r="7096" spans="1:2" ht="14.25" customHeight="1">
      <c r="A7096" t="s">
        <v>2032</v>
      </c>
      <c r="B7096">
        <v>1720</v>
      </c>
    </row>
    <row r="7097" spans="1:2" ht="14.25" customHeight="1">
      <c r="A7097" t="s">
        <v>2030</v>
      </c>
      <c r="B7097">
        <v>1180</v>
      </c>
    </row>
    <row r="7098" spans="1:2" ht="14.25" customHeight="1">
      <c r="A7098" t="s">
        <v>586</v>
      </c>
      <c r="B7098">
        <v>4335</v>
      </c>
    </row>
    <row r="7099" spans="1:2" ht="14.25" customHeight="1">
      <c r="A7099" t="s">
        <v>770</v>
      </c>
      <c r="B7099">
        <v>6810</v>
      </c>
    </row>
    <row r="7100" spans="1:2" ht="14.25" customHeight="1">
      <c r="A7100" t="s">
        <v>770</v>
      </c>
      <c r="B7100">
        <v>0.61103633916554512</v>
      </c>
    </row>
    <row r="7102" spans="1:2" ht="14.25" customHeight="1">
      <c r="A7102" t="s">
        <v>1943</v>
      </c>
      <c r="B7102">
        <v>1239</v>
      </c>
    </row>
    <row r="7104" spans="1:2" s="344" customFormat="1" ht="14.25" customHeight="1">
      <c r="A7104" s="345" t="s">
        <v>1899</v>
      </c>
    </row>
    <row r="7106" spans="1:2" ht="14.25" customHeight="1">
      <c r="A7106" t="s">
        <v>753</v>
      </c>
      <c r="B7106" s="346">
        <v>1435</v>
      </c>
    </row>
    <row r="7108" spans="1:2" ht="14.25" customHeight="1">
      <c r="A7108" t="s">
        <v>581</v>
      </c>
    </row>
    <row r="7109" spans="1:2" ht="14.25" customHeight="1">
      <c r="A7109" t="s">
        <v>214</v>
      </c>
      <c r="B7109">
        <v>1435</v>
      </c>
    </row>
    <row r="7110" spans="1:2" ht="14.25" customHeight="1">
      <c r="A7110" t="s">
        <v>215</v>
      </c>
      <c r="B7110">
        <v>1720</v>
      </c>
    </row>
    <row r="7111" spans="1:2" ht="14.25" customHeight="1">
      <c r="A7111" t="s">
        <v>2009</v>
      </c>
      <c r="B7111">
        <v>1720</v>
      </c>
    </row>
    <row r="7112" spans="1:2" ht="14.25" customHeight="1">
      <c r="A7112" t="s">
        <v>586</v>
      </c>
      <c r="B7112">
        <v>4875</v>
      </c>
    </row>
    <row r="7114" spans="1:2" ht="14.25" customHeight="1">
      <c r="A7114" t="s">
        <v>268</v>
      </c>
    </row>
    <row r="7115" spans="1:2" ht="14.25" customHeight="1">
      <c r="A7115" t="s">
        <v>699</v>
      </c>
      <c r="B7115">
        <v>3290</v>
      </c>
    </row>
    <row r="7116" spans="1:2" ht="14.25" customHeight="1">
      <c r="A7116" t="s">
        <v>588</v>
      </c>
      <c r="B7116">
        <v>9870</v>
      </c>
    </row>
    <row r="7119" spans="1:2" ht="14.25" customHeight="1">
      <c r="A7119" t="s">
        <v>769</v>
      </c>
    </row>
    <row r="7121" spans="1:2" ht="14.25" customHeight="1">
      <c r="A7121" t="s">
        <v>1180</v>
      </c>
    </row>
    <row r="7122" spans="1:2" ht="14.25" customHeight="1">
      <c r="A7122" t="s">
        <v>1178</v>
      </c>
      <c r="B7122">
        <v>1210</v>
      </c>
    </row>
    <row r="7123" spans="1:2" ht="14.25" customHeight="1">
      <c r="A7123" t="s">
        <v>1179</v>
      </c>
      <c r="B7123">
        <v>1210</v>
      </c>
    </row>
    <row r="7124" spans="1:2" ht="14.25" customHeight="1">
      <c r="A7124" t="s">
        <v>2030</v>
      </c>
      <c r="B7124">
        <v>1210</v>
      </c>
    </row>
    <row r="7125" spans="1:2" ht="14.25" customHeight="1">
      <c r="A7125" t="s">
        <v>586</v>
      </c>
      <c r="B7125">
        <v>3630</v>
      </c>
    </row>
    <row r="7126" spans="1:2" ht="14.25" customHeight="1">
      <c r="A7126" t="s">
        <v>770</v>
      </c>
      <c r="B7126">
        <v>6240</v>
      </c>
    </row>
    <row r="7127" spans="1:2" ht="14.25" customHeight="1">
      <c r="A7127" t="s">
        <v>770</v>
      </c>
      <c r="B7127">
        <v>0.63221884498480241</v>
      </c>
    </row>
    <row r="7129" spans="1:2" ht="14.25" customHeight="1">
      <c r="A7129" t="s">
        <v>1181</v>
      </c>
    </row>
    <row r="7130" spans="1:2" ht="14.25" customHeight="1">
      <c r="A7130" t="s">
        <v>1182</v>
      </c>
      <c r="B7130">
        <v>1435</v>
      </c>
    </row>
    <row r="7131" spans="1:2" ht="14.25" customHeight="1">
      <c r="A7131" t="s">
        <v>1179</v>
      </c>
      <c r="B7131">
        <v>1270</v>
      </c>
    </row>
    <row r="7132" spans="1:2" ht="14.25" customHeight="1">
      <c r="A7132" t="s">
        <v>2030</v>
      </c>
      <c r="B7132">
        <v>1270</v>
      </c>
    </row>
    <row r="7133" spans="1:2" ht="14.25" customHeight="1">
      <c r="A7133" t="s">
        <v>586</v>
      </c>
      <c r="B7133">
        <v>3975</v>
      </c>
    </row>
    <row r="7134" spans="1:2" ht="14.25" customHeight="1">
      <c r="A7134" t="s">
        <v>770</v>
      </c>
      <c r="B7134">
        <v>5895</v>
      </c>
    </row>
    <row r="7135" spans="1:2" ht="14.25" customHeight="1">
      <c r="A7135" t="s">
        <v>770</v>
      </c>
      <c r="B7135">
        <v>0.59726443768996962</v>
      </c>
    </row>
    <row r="7137" spans="1:2" ht="14.25" customHeight="1">
      <c r="A7137" t="s">
        <v>2031</v>
      </c>
    </row>
    <row r="7138" spans="1:2" ht="14.25" customHeight="1">
      <c r="A7138" t="s">
        <v>1182</v>
      </c>
      <c r="B7138">
        <v>1435</v>
      </c>
    </row>
    <row r="7139" spans="1:2" ht="14.25" customHeight="1">
      <c r="A7139" t="s">
        <v>2032</v>
      </c>
      <c r="B7139">
        <v>1720</v>
      </c>
    </row>
    <row r="7140" spans="1:2" ht="14.25" customHeight="1">
      <c r="A7140" t="s">
        <v>2030</v>
      </c>
      <c r="B7140">
        <v>1270</v>
      </c>
    </row>
    <row r="7141" spans="1:2" ht="14.25" customHeight="1">
      <c r="A7141" t="s">
        <v>586</v>
      </c>
      <c r="B7141">
        <v>4425</v>
      </c>
    </row>
    <row r="7142" spans="1:2" ht="14.25" customHeight="1">
      <c r="A7142" t="s">
        <v>770</v>
      </c>
      <c r="B7142">
        <v>5445</v>
      </c>
    </row>
    <row r="7143" spans="1:2" ht="14.25" customHeight="1">
      <c r="A7143" t="s">
        <v>770</v>
      </c>
      <c r="B7143">
        <v>0.55167173252279633</v>
      </c>
    </row>
    <row r="7145" spans="1:2" ht="14.25" customHeight="1">
      <c r="A7145" t="s">
        <v>1943</v>
      </c>
      <c r="B7145">
        <v>1333.5</v>
      </c>
    </row>
    <row r="7147" spans="1:2" s="344" customFormat="1" ht="14.25" customHeight="1">
      <c r="A7147" s="345" t="s">
        <v>2040</v>
      </c>
    </row>
    <row r="7149" spans="1:2" ht="14.25" customHeight="1">
      <c r="A7149" t="s">
        <v>753</v>
      </c>
      <c r="B7149" s="346">
        <v>265</v>
      </c>
    </row>
    <row r="7151" spans="1:2" ht="14.25" customHeight="1">
      <c r="A7151" t="s">
        <v>581</v>
      </c>
    </row>
    <row r="7152" spans="1:2" ht="14.25" customHeight="1">
      <c r="A7152" t="s">
        <v>214</v>
      </c>
      <c r="B7152">
        <v>265</v>
      </c>
    </row>
    <row r="7153" spans="1:2" ht="14.25" customHeight="1">
      <c r="A7153" t="s">
        <v>215</v>
      </c>
      <c r="B7153">
        <v>320</v>
      </c>
    </row>
    <row r="7154" spans="1:2" ht="14.25" customHeight="1">
      <c r="A7154" t="s">
        <v>2009</v>
      </c>
      <c r="B7154">
        <v>320</v>
      </c>
    </row>
    <row r="7155" spans="1:2" ht="14.25" customHeight="1">
      <c r="A7155" t="s">
        <v>586</v>
      </c>
      <c r="B7155">
        <v>905</v>
      </c>
    </row>
    <row r="7157" spans="1:2" ht="14.25" customHeight="1">
      <c r="A7157" t="s">
        <v>268</v>
      </c>
    </row>
    <row r="7158" spans="1:2" ht="14.25" customHeight="1">
      <c r="A7158" t="s">
        <v>699</v>
      </c>
      <c r="B7158">
        <v>3715</v>
      </c>
    </row>
    <row r="7159" spans="1:2" ht="14.25" customHeight="1">
      <c r="A7159" t="s">
        <v>588</v>
      </c>
      <c r="B7159">
        <v>11145</v>
      </c>
    </row>
    <row r="7162" spans="1:2" ht="14.25" customHeight="1">
      <c r="A7162" t="s">
        <v>769</v>
      </c>
    </row>
    <row r="7164" spans="1:2" ht="14.25" customHeight="1">
      <c r="A7164" t="s">
        <v>1180</v>
      </c>
    </row>
    <row r="7165" spans="1:2" ht="14.25" customHeight="1">
      <c r="A7165" t="s">
        <v>1178</v>
      </c>
      <c r="B7165">
        <v>1125</v>
      </c>
    </row>
    <row r="7166" spans="1:2" ht="14.25" customHeight="1">
      <c r="A7166" t="s">
        <v>1179</v>
      </c>
      <c r="B7166">
        <v>1125</v>
      </c>
    </row>
    <row r="7167" spans="1:2" ht="14.25" customHeight="1">
      <c r="A7167" t="s">
        <v>2030</v>
      </c>
      <c r="B7167">
        <v>1125</v>
      </c>
    </row>
    <row r="7168" spans="1:2" ht="14.25" customHeight="1">
      <c r="A7168" t="s">
        <v>586</v>
      </c>
      <c r="B7168">
        <v>3375</v>
      </c>
    </row>
    <row r="7169" spans="1:2" ht="14.25" customHeight="1">
      <c r="A7169" t="s">
        <v>770</v>
      </c>
      <c r="B7169">
        <v>7770</v>
      </c>
    </row>
    <row r="7170" spans="1:2" ht="14.25" customHeight="1">
      <c r="A7170" t="s">
        <v>770</v>
      </c>
      <c r="B7170">
        <v>0.69717362045760434</v>
      </c>
    </row>
    <row r="7172" spans="1:2" ht="14.25" customHeight="1">
      <c r="A7172" t="s">
        <v>1181</v>
      </c>
    </row>
    <row r="7173" spans="1:2" ht="14.25" customHeight="1">
      <c r="A7173" t="s">
        <v>1182</v>
      </c>
      <c r="B7173">
        <v>265</v>
      </c>
    </row>
    <row r="7174" spans="1:2" ht="14.25" customHeight="1">
      <c r="A7174" t="s">
        <v>1179</v>
      </c>
      <c r="B7174">
        <v>1180</v>
      </c>
    </row>
    <row r="7175" spans="1:2" ht="14.25" customHeight="1">
      <c r="A7175" t="s">
        <v>2030</v>
      </c>
      <c r="B7175">
        <v>1180</v>
      </c>
    </row>
    <row r="7176" spans="1:2" ht="14.25" customHeight="1">
      <c r="A7176" t="s">
        <v>586</v>
      </c>
      <c r="B7176">
        <v>2625</v>
      </c>
    </row>
    <row r="7177" spans="1:2" ht="14.25" customHeight="1">
      <c r="A7177" t="s">
        <v>770</v>
      </c>
      <c r="B7177">
        <v>8520</v>
      </c>
    </row>
    <row r="7178" spans="1:2" ht="14.25" customHeight="1">
      <c r="A7178" t="s">
        <v>770</v>
      </c>
      <c r="B7178">
        <v>0.76446837146702562</v>
      </c>
    </row>
    <row r="7180" spans="1:2" ht="14.25" customHeight="1">
      <c r="A7180" t="s">
        <v>2031</v>
      </c>
    </row>
    <row r="7181" spans="1:2" ht="14.25" customHeight="1">
      <c r="A7181" t="s">
        <v>1182</v>
      </c>
      <c r="B7181">
        <v>265</v>
      </c>
    </row>
    <row r="7182" spans="1:2" ht="14.25" customHeight="1">
      <c r="A7182" t="s">
        <v>2032</v>
      </c>
      <c r="B7182">
        <v>320</v>
      </c>
    </row>
    <row r="7183" spans="1:2" ht="14.25" customHeight="1">
      <c r="A7183" t="s">
        <v>2030</v>
      </c>
      <c r="B7183">
        <v>1180</v>
      </c>
    </row>
    <row r="7184" spans="1:2" ht="14.25" customHeight="1">
      <c r="A7184" t="s">
        <v>586</v>
      </c>
      <c r="B7184">
        <v>1765</v>
      </c>
    </row>
    <row r="7185" spans="1:2" ht="14.25" customHeight="1">
      <c r="A7185" t="s">
        <v>770</v>
      </c>
      <c r="B7185">
        <v>9380</v>
      </c>
    </row>
    <row r="7186" spans="1:2" ht="14.25" customHeight="1">
      <c r="A7186" t="s">
        <v>770</v>
      </c>
      <c r="B7186">
        <v>0.84163301929116197</v>
      </c>
    </row>
    <row r="7188" spans="1:2" ht="14.25" customHeight="1">
      <c r="A7188" t="s">
        <v>1943</v>
      </c>
      <c r="B7188">
        <v>1239</v>
      </c>
    </row>
    <row r="7190" spans="1:2" s="344" customFormat="1" ht="14.25" customHeight="1">
      <c r="A7190" s="345" t="s">
        <v>2041</v>
      </c>
    </row>
    <row r="7192" spans="1:2" ht="14.25" customHeight="1">
      <c r="A7192" t="s">
        <v>753</v>
      </c>
      <c r="B7192" s="346">
        <v>265</v>
      </c>
    </row>
    <row r="7194" spans="1:2" ht="14.25" customHeight="1">
      <c r="A7194" t="s">
        <v>581</v>
      </c>
    </row>
    <row r="7195" spans="1:2" ht="14.25" customHeight="1">
      <c r="A7195" t="s">
        <v>214</v>
      </c>
      <c r="B7195">
        <v>265</v>
      </c>
    </row>
    <row r="7196" spans="1:2" ht="14.25" customHeight="1">
      <c r="A7196" t="s">
        <v>215</v>
      </c>
      <c r="B7196">
        <v>320</v>
      </c>
    </row>
    <row r="7197" spans="1:2" ht="14.25" customHeight="1">
      <c r="A7197" t="s">
        <v>2009</v>
      </c>
      <c r="B7197">
        <v>320</v>
      </c>
    </row>
    <row r="7198" spans="1:2" ht="14.25" customHeight="1">
      <c r="A7198" t="s">
        <v>586</v>
      </c>
      <c r="B7198">
        <v>905</v>
      </c>
    </row>
    <row r="7200" spans="1:2" ht="14.25" customHeight="1">
      <c r="A7200" t="s">
        <v>268</v>
      </c>
    </row>
    <row r="7201" spans="1:2" ht="14.25" customHeight="1">
      <c r="A7201" t="s">
        <v>699</v>
      </c>
      <c r="B7201">
        <v>3060</v>
      </c>
    </row>
    <row r="7202" spans="1:2" ht="14.25" customHeight="1">
      <c r="A7202" t="s">
        <v>588</v>
      </c>
      <c r="B7202">
        <v>9180</v>
      </c>
    </row>
    <row r="7205" spans="1:2" ht="14.25" customHeight="1">
      <c r="A7205" t="s">
        <v>769</v>
      </c>
    </row>
    <row r="7207" spans="1:2" ht="14.25" customHeight="1">
      <c r="A7207" t="s">
        <v>1180</v>
      </c>
    </row>
    <row r="7208" spans="1:2" ht="14.25" customHeight="1">
      <c r="A7208" t="s">
        <v>1178</v>
      </c>
      <c r="B7208">
        <v>815</v>
      </c>
    </row>
    <row r="7209" spans="1:2" ht="14.25" customHeight="1">
      <c r="A7209" t="s">
        <v>1179</v>
      </c>
      <c r="B7209">
        <v>815</v>
      </c>
    </row>
    <row r="7210" spans="1:2" ht="14.25" customHeight="1">
      <c r="A7210" t="s">
        <v>2030</v>
      </c>
      <c r="B7210">
        <v>815</v>
      </c>
    </row>
    <row r="7211" spans="1:2" ht="14.25" customHeight="1">
      <c r="A7211" t="s">
        <v>586</v>
      </c>
      <c r="B7211">
        <v>2445</v>
      </c>
    </row>
    <row r="7212" spans="1:2" ht="14.25" customHeight="1">
      <c r="A7212" t="s">
        <v>770</v>
      </c>
      <c r="B7212">
        <v>6735</v>
      </c>
    </row>
    <row r="7213" spans="1:2" ht="14.25" customHeight="1">
      <c r="A7213" t="s">
        <v>770</v>
      </c>
      <c r="B7213">
        <v>0.7336601307189542</v>
      </c>
    </row>
    <row r="7215" spans="1:2" ht="14.25" customHeight="1">
      <c r="A7215" t="s">
        <v>1181</v>
      </c>
    </row>
    <row r="7216" spans="1:2" ht="14.25" customHeight="1">
      <c r="A7216" t="s">
        <v>1182</v>
      </c>
      <c r="B7216">
        <v>265</v>
      </c>
    </row>
    <row r="7217" spans="1:2" ht="14.25" customHeight="1">
      <c r="A7217" t="s">
        <v>1179</v>
      </c>
      <c r="B7217">
        <v>855</v>
      </c>
    </row>
    <row r="7218" spans="1:2" ht="14.25" customHeight="1">
      <c r="A7218" t="s">
        <v>2030</v>
      </c>
      <c r="B7218">
        <v>855</v>
      </c>
    </row>
    <row r="7219" spans="1:2" ht="14.25" customHeight="1">
      <c r="A7219" t="s">
        <v>586</v>
      </c>
      <c r="B7219">
        <v>1975</v>
      </c>
    </row>
    <row r="7220" spans="1:2" ht="14.25" customHeight="1">
      <c r="A7220" t="s">
        <v>770</v>
      </c>
      <c r="B7220">
        <v>7205</v>
      </c>
    </row>
    <row r="7221" spans="1:2" ht="14.25" customHeight="1">
      <c r="A7221" t="s">
        <v>770</v>
      </c>
      <c r="B7221">
        <v>0.78485838779956429</v>
      </c>
    </row>
    <row r="7223" spans="1:2" ht="14.25" customHeight="1">
      <c r="A7223" t="s">
        <v>2031</v>
      </c>
    </row>
    <row r="7224" spans="1:2" ht="14.25" customHeight="1">
      <c r="A7224" t="s">
        <v>1182</v>
      </c>
      <c r="B7224">
        <v>265</v>
      </c>
    </row>
    <row r="7225" spans="1:2" ht="14.25" customHeight="1">
      <c r="A7225" t="s">
        <v>2032</v>
      </c>
      <c r="B7225">
        <v>320</v>
      </c>
    </row>
    <row r="7226" spans="1:2" ht="14.25" customHeight="1">
      <c r="A7226" t="s">
        <v>2030</v>
      </c>
      <c r="B7226">
        <v>855</v>
      </c>
    </row>
    <row r="7227" spans="1:2" ht="14.25" customHeight="1">
      <c r="A7227" t="s">
        <v>586</v>
      </c>
      <c r="B7227">
        <v>1440</v>
      </c>
    </row>
    <row r="7228" spans="1:2" ht="14.25" customHeight="1">
      <c r="A7228" t="s">
        <v>770</v>
      </c>
      <c r="B7228">
        <v>7740</v>
      </c>
    </row>
    <row r="7229" spans="1:2" ht="14.25" customHeight="1">
      <c r="A7229" t="s">
        <v>770</v>
      </c>
      <c r="B7229">
        <v>0.84313725490196079</v>
      </c>
    </row>
    <row r="7231" spans="1:2" ht="14.25" customHeight="1">
      <c r="A7231" t="s">
        <v>1943</v>
      </c>
      <c r="B7231">
        <v>897.75</v>
      </c>
    </row>
    <row r="7233" spans="1:2" s="344" customFormat="1" ht="14.25" customHeight="1">
      <c r="A7233" s="345" t="s">
        <v>2042</v>
      </c>
    </row>
    <row r="7235" spans="1:2" ht="14.25" customHeight="1">
      <c r="A7235" t="s">
        <v>753</v>
      </c>
      <c r="B7235" s="346">
        <v>265</v>
      </c>
    </row>
    <row r="7237" spans="1:2" ht="14.25" customHeight="1">
      <c r="A7237" t="s">
        <v>581</v>
      </c>
    </row>
    <row r="7238" spans="1:2" ht="14.25" customHeight="1">
      <c r="A7238" t="s">
        <v>214</v>
      </c>
      <c r="B7238">
        <v>265</v>
      </c>
    </row>
    <row r="7239" spans="1:2" ht="14.25" customHeight="1">
      <c r="A7239" t="s">
        <v>215</v>
      </c>
      <c r="B7239">
        <v>320</v>
      </c>
    </row>
    <row r="7240" spans="1:2" ht="14.25" customHeight="1">
      <c r="A7240" t="s">
        <v>2009</v>
      </c>
      <c r="B7240">
        <v>320</v>
      </c>
    </row>
    <row r="7241" spans="1:2" ht="14.25" customHeight="1">
      <c r="A7241" t="s">
        <v>586</v>
      </c>
      <c r="B7241">
        <v>905</v>
      </c>
    </row>
    <row r="7243" spans="1:2" ht="14.25" customHeight="1">
      <c r="A7243" t="s">
        <v>268</v>
      </c>
    </row>
    <row r="7244" spans="1:2" ht="14.25" customHeight="1">
      <c r="A7244" t="s">
        <v>699</v>
      </c>
      <c r="B7244">
        <v>1455</v>
      </c>
    </row>
    <row r="7245" spans="1:2" ht="14.25" customHeight="1">
      <c r="A7245" t="s">
        <v>588</v>
      </c>
      <c r="B7245">
        <v>4365</v>
      </c>
    </row>
    <row r="7248" spans="1:2" ht="14.25" customHeight="1">
      <c r="A7248" t="s">
        <v>769</v>
      </c>
    </row>
    <row r="7250" spans="1:2" ht="14.25" customHeight="1">
      <c r="A7250" t="s">
        <v>1180</v>
      </c>
    </row>
    <row r="7251" spans="1:2" ht="14.25" customHeight="1">
      <c r="A7251" t="s">
        <v>1178</v>
      </c>
      <c r="B7251">
        <v>345</v>
      </c>
    </row>
    <row r="7252" spans="1:2" ht="14.25" customHeight="1">
      <c r="A7252" t="s">
        <v>1179</v>
      </c>
      <c r="B7252">
        <v>345</v>
      </c>
    </row>
    <row r="7253" spans="1:2" ht="14.25" customHeight="1">
      <c r="A7253" t="s">
        <v>2030</v>
      </c>
      <c r="B7253">
        <v>345</v>
      </c>
    </row>
    <row r="7254" spans="1:2" ht="14.25" customHeight="1">
      <c r="A7254" t="s">
        <v>586</v>
      </c>
      <c r="B7254">
        <v>1035</v>
      </c>
    </row>
    <row r="7255" spans="1:2" ht="14.25" customHeight="1">
      <c r="A7255" t="s">
        <v>770</v>
      </c>
      <c r="B7255">
        <v>3330</v>
      </c>
    </row>
    <row r="7256" spans="1:2" ht="14.25" customHeight="1">
      <c r="A7256" t="s">
        <v>770</v>
      </c>
      <c r="B7256">
        <v>0.76288659793814428</v>
      </c>
    </row>
    <row r="7258" spans="1:2" ht="14.25" customHeight="1">
      <c r="A7258" t="s">
        <v>1181</v>
      </c>
    </row>
    <row r="7259" spans="1:2" ht="14.25" customHeight="1">
      <c r="A7259" t="s">
        <v>1182</v>
      </c>
      <c r="B7259">
        <v>265</v>
      </c>
    </row>
    <row r="7260" spans="1:2" ht="14.25" customHeight="1">
      <c r="A7260" t="s">
        <v>1179</v>
      </c>
      <c r="B7260">
        <v>360</v>
      </c>
    </row>
    <row r="7261" spans="1:2" ht="14.25" customHeight="1">
      <c r="A7261" t="s">
        <v>2030</v>
      </c>
      <c r="B7261">
        <v>360</v>
      </c>
    </row>
    <row r="7262" spans="1:2" ht="14.25" customHeight="1">
      <c r="A7262" t="s">
        <v>586</v>
      </c>
      <c r="B7262">
        <v>985</v>
      </c>
    </row>
    <row r="7263" spans="1:2" ht="14.25" customHeight="1">
      <c r="A7263" t="s">
        <v>770</v>
      </c>
      <c r="B7263">
        <v>3380</v>
      </c>
    </row>
    <row r="7264" spans="1:2" ht="14.25" customHeight="1">
      <c r="A7264" t="s">
        <v>770</v>
      </c>
      <c r="B7264">
        <v>0.77434135166093931</v>
      </c>
    </row>
    <row r="7266" spans="1:2" ht="14.25" customHeight="1">
      <c r="A7266" t="s">
        <v>2031</v>
      </c>
    </row>
    <row r="7267" spans="1:2" ht="14.25" customHeight="1">
      <c r="A7267" t="s">
        <v>1182</v>
      </c>
      <c r="B7267">
        <v>265</v>
      </c>
    </row>
    <row r="7268" spans="1:2" ht="14.25" customHeight="1">
      <c r="A7268" t="s">
        <v>2032</v>
      </c>
      <c r="B7268">
        <v>320</v>
      </c>
    </row>
    <row r="7269" spans="1:2" ht="14.25" customHeight="1">
      <c r="A7269" t="s">
        <v>2030</v>
      </c>
      <c r="B7269">
        <v>360</v>
      </c>
    </row>
    <row r="7270" spans="1:2" ht="14.25" customHeight="1">
      <c r="A7270" t="s">
        <v>586</v>
      </c>
      <c r="B7270">
        <v>945</v>
      </c>
    </row>
    <row r="7271" spans="1:2" ht="14.25" customHeight="1">
      <c r="A7271" t="s">
        <v>770</v>
      </c>
      <c r="B7271">
        <v>3420</v>
      </c>
    </row>
    <row r="7272" spans="1:2" ht="14.25" customHeight="1">
      <c r="A7272" t="s">
        <v>770</v>
      </c>
      <c r="B7272">
        <v>0.78350515463917525</v>
      </c>
    </row>
    <row r="7274" spans="1:2" ht="14.25" customHeight="1">
      <c r="A7274" t="s">
        <v>1943</v>
      </c>
      <c r="B7274">
        <v>378</v>
      </c>
    </row>
    <row r="7276" spans="1:2" s="344" customFormat="1" ht="14.25" customHeight="1">
      <c r="A7276" s="345" t="s">
        <v>750</v>
      </c>
    </row>
    <row r="7278" spans="1:2" ht="14.25" customHeight="1">
      <c r="A7278" t="s">
        <v>753</v>
      </c>
      <c r="B7278" s="346">
        <v>920</v>
      </c>
    </row>
    <row r="7280" spans="1:2" ht="14.25" customHeight="1">
      <c r="A7280" t="s">
        <v>581</v>
      </c>
    </row>
    <row r="7281" spans="1:2" ht="14.25" customHeight="1">
      <c r="A7281" t="s">
        <v>214</v>
      </c>
      <c r="B7281">
        <v>920</v>
      </c>
    </row>
    <row r="7282" spans="1:2" ht="14.25" customHeight="1">
      <c r="A7282" t="s">
        <v>215</v>
      </c>
      <c r="B7282">
        <v>1105</v>
      </c>
    </row>
    <row r="7283" spans="1:2" ht="14.25" customHeight="1">
      <c r="A7283" t="s">
        <v>2009</v>
      </c>
      <c r="B7283">
        <v>1105</v>
      </c>
    </row>
    <row r="7284" spans="1:2" ht="14.25" customHeight="1">
      <c r="A7284" t="s">
        <v>586</v>
      </c>
      <c r="B7284">
        <v>3130</v>
      </c>
    </row>
    <row r="7286" spans="1:2" ht="14.25" customHeight="1">
      <c r="A7286" t="s">
        <v>268</v>
      </c>
    </row>
    <row r="7287" spans="1:2" ht="14.25" customHeight="1">
      <c r="A7287" t="s">
        <v>699</v>
      </c>
      <c r="B7287">
        <v>3715</v>
      </c>
    </row>
    <row r="7288" spans="1:2" ht="14.25" customHeight="1">
      <c r="A7288" t="s">
        <v>588</v>
      </c>
      <c r="B7288">
        <v>11145</v>
      </c>
    </row>
    <row r="7291" spans="1:2" ht="14.25" customHeight="1">
      <c r="A7291" t="s">
        <v>769</v>
      </c>
    </row>
    <row r="7293" spans="1:2" ht="14.25" customHeight="1">
      <c r="A7293" t="s">
        <v>1180</v>
      </c>
    </row>
    <row r="7294" spans="1:2" ht="14.25" customHeight="1">
      <c r="A7294" t="s">
        <v>1178</v>
      </c>
      <c r="B7294">
        <v>1125</v>
      </c>
    </row>
    <row r="7295" spans="1:2" ht="14.25" customHeight="1">
      <c r="A7295" t="s">
        <v>1179</v>
      </c>
      <c r="B7295">
        <v>1125</v>
      </c>
    </row>
    <row r="7296" spans="1:2" ht="14.25" customHeight="1">
      <c r="A7296" t="s">
        <v>2030</v>
      </c>
      <c r="B7296">
        <v>1125</v>
      </c>
    </row>
    <row r="7297" spans="1:2" ht="14.25" customHeight="1">
      <c r="A7297" t="s">
        <v>586</v>
      </c>
      <c r="B7297">
        <v>3375</v>
      </c>
    </row>
    <row r="7298" spans="1:2" ht="14.25" customHeight="1">
      <c r="A7298" t="s">
        <v>770</v>
      </c>
      <c r="B7298">
        <v>7770</v>
      </c>
    </row>
    <row r="7299" spans="1:2" ht="14.25" customHeight="1">
      <c r="A7299" t="s">
        <v>770</v>
      </c>
      <c r="B7299">
        <v>0.69717362045760434</v>
      </c>
    </row>
    <row r="7301" spans="1:2" ht="14.25" customHeight="1">
      <c r="A7301" t="s">
        <v>1181</v>
      </c>
    </row>
    <row r="7302" spans="1:2" ht="14.25" customHeight="1">
      <c r="A7302" t="s">
        <v>1182</v>
      </c>
      <c r="B7302">
        <v>920</v>
      </c>
    </row>
    <row r="7303" spans="1:2" ht="14.25" customHeight="1">
      <c r="A7303" t="s">
        <v>1179</v>
      </c>
      <c r="B7303">
        <v>1180</v>
      </c>
    </row>
    <row r="7304" spans="1:2" ht="14.25" customHeight="1">
      <c r="A7304" t="s">
        <v>2030</v>
      </c>
      <c r="B7304">
        <v>1180</v>
      </c>
    </row>
    <row r="7305" spans="1:2" ht="14.25" customHeight="1">
      <c r="A7305" t="s">
        <v>586</v>
      </c>
      <c r="B7305">
        <v>3280</v>
      </c>
    </row>
    <row r="7306" spans="1:2" ht="14.25" customHeight="1">
      <c r="A7306" t="s">
        <v>770</v>
      </c>
      <c r="B7306">
        <v>7865</v>
      </c>
    </row>
    <row r="7307" spans="1:2" ht="14.25" customHeight="1">
      <c r="A7307" t="s">
        <v>770</v>
      </c>
      <c r="B7307">
        <v>0.70569762225213095</v>
      </c>
    </row>
    <row r="7309" spans="1:2" ht="14.25" customHeight="1">
      <c r="A7309" t="s">
        <v>2031</v>
      </c>
    </row>
    <row r="7310" spans="1:2" ht="14.25" customHeight="1">
      <c r="A7310" t="s">
        <v>1182</v>
      </c>
      <c r="B7310">
        <v>920</v>
      </c>
    </row>
    <row r="7311" spans="1:2" ht="14.25" customHeight="1">
      <c r="A7311" t="s">
        <v>2032</v>
      </c>
      <c r="B7311">
        <v>1105</v>
      </c>
    </row>
    <row r="7312" spans="1:2" ht="14.25" customHeight="1">
      <c r="A7312" t="s">
        <v>2030</v>
      </c>
      <c r="B7312">
        <v>1180</v>
      </c>
    </row>
    <row r="7313" spans="1:2" ht="14.25" customHeight="1">
      <c r="A7313" t="s">
        <v>586</v>
      </c>
      <c r="B7313">
        <v>3205</v>
      </c>
    </row>
    <row r="7314" spans="1:2" ht="14.25" customHeight="1">
      <c r="A7314" t="s">
        <v>770</v>
      </c>
      <c r="B7314">
        <v>7940</v>
      </c>
    </row>
    <row r="7315" spans="1:2" ht="14.25" customHeight="1">
      <c r="A7315" t="s">
        <v>770</v>
      </c>
      <c r="B7315">
        <v>0.71242709735307308</v>
      </c>
    </row>
    <row r="7317" spans="1:2" ht="14.25" customHeight="1">
      <c r="A7317" t="s">
        <v>1943</v>
      </c>
      <c r="B7317">
        <v>1239</v>
      </c>
    </row>
    <row r="7319" spans="1:2" s="344" customFormat="1" ht="14.25" customHeight="1">
      <c r="A7319" s="345" t="s">
        <v>1760</v>
      </c>
    </row>
    <row r="7321" spans="1:2" ht="14.25" customHeight="1">
      <c r="A7321" t="s">
        <v>753</v>
      </c>
      <c r="B7321" s="346">
        <v>920</v>
      </c>
    </row>
    <row r="7323" spans="1:2" ht="14.25" customHeight="1">
      <c r="A7323" t="s">
        <v>581</v>
      </c>
    </row>
    <row r="7324" spans="1:2" ht="14.25" customHeight="1">
      <c r="A7324" t="s">
        <v>214</v>
      </c>
      <c r="B7324">
        <v>920</v>
      </c>
    </row>
    <row r="7325" spans="1:2" ht="14.25" customHeight="1">
      <c r="A7325" t="s">
        <v>215</v>
      </c>
      <c r="B7325">
        <v>1105</v>
      </c>
    </row>
    <row r="7326" spans="1:2" ht="14.25" customHeight="1">
      <c r="A7326" t="s">
        <v>2009</v>
      </c>
      <c r="B7326">
        <v>1105</v>
      </c>
    </row>
    <row r="7327" spans="1:2" ht="14.25" customHeight="1">
      <c r="A7327" t="s">
        <v>586</v>
      </c>
      <c r="B7327">
        <v>3130</v>
      </c>
    </row>
    <row r="7329" spans="1:2" ht="14.25" customHeight="1">
      <c r="A7329" t="s">
        <v>268</v>
      </c>
    </row>
    <row r="7330" spans="1:2" ht="14.25" customHeight="1">
      <c r="A7330" t="s">
        <v>699</v>
      </c>
      <c r="B7330">
        <v>3715</v>
      </c>
    </row>
    <row r="7331" spans="1:2" ht="14.25" customHeight="1">
      <c r="A7331" t="s">
        <v>588</v>
      </c>
      <c r="B7331">
        <v>11145</v>
      </c>
    </row>
    <row r="7334" spans="1:2" ht="14.25" customHeight="1">
      <c r="A7334" t="s">
        <v>769</v>
      </c>
    </row>
    <row r="7336" spans="1:2" ht="14.25" customHeight="1">
      <c r="A7336" t="s">
        <v>1180</v>
      </c>
    </row>
    <row r="7337" spans="1:2" ht="14.25" customHeight="1">
      <c r="A7337" t="s">
        <v>1178</v>
      </c>
      <c r="B7337">
        <v>1125</v>
      </c>
    </row>
    <row r="7338" spans="1:2" ht="14.25" customHeight="1">
      <c r="A7338" t="s">
        <v>1179</v>
      </c>
      <c r="B7338">
        <v>1125</v>
      </c>
    </row>
    <row r="7339" spans="1:2" ht="14.25" customHeight="1">
      <c r="A7339" t="s">
        <v>2030</v>
      </c>
      <c r="B7339">
        <v>1125</v>
      </c>
    </row>
    <row r="7340" spans="1:2" ht="14.25" customHeight="1">
      <c r="A7340" t="s">
        <v>586</v>
      </c>
      <c r="B7340">
        <v>3375</v>
      </c>
    </row>
    <row r="7341" spans="1:2" ht="14.25" customHeight="1">
      <c r="A7341" t="s">
        <v>770</v>
      </c>
      <c r="B7341">
        <v>7770</v>
      </c>
    </row>
    <row r="7342" spans="1:2" ht="14.25" customHeight="1">
      <c r="A7342" t="s">
        <v>770</v>
      </c>
      <c r="B7342">
        <v>0.69717362045760434</v>
      </c>
    </row>
    <row r="7344" spans="1:2" ht="14.25" customHeight="1">
      <c r="A7344" t="s">
        <v>1181</v>
      </c>
    </row>
    <row r="7345" spans="1:2" ht="14.25" customHeight="1">
      <c r="A7345" t="s">
        <v>1182</v>
      </c>
      <c r="B7345">
        <v>920</v>
      </c>
    </row>
    <row r="7346" spans="1:2" ht="14.25" customHeight="1">
      <c r="A7346" t="s">
        <v>1179</v>
      </c>
      <c r="B7346">
        <v>1180</v>
      </c>
    </row>
    <row r="7347" spans="1:2" ht="14.25" customHeight="1">
      <c r="A7347" t="s">
        <v>2030</v>
      </c>
      <c r="B7347">
        <v>1180</v>
      </c>
    </row>
    <row r="7348" spans="1:2" ht="14.25" customHeight="1">
      <c r="A7348" t="s">
        <v>586</v>
      </c>
      <c r="B7348">
        <v>3280</v>
      </c>
    </row>
    <row r="7349" spans="1:2" ht="14.25" customHeight="1">
      <c r="A7349" t="s">
        <v>770</v>
      </c>
      <c r="B7349">
        <v>7865</v>
      </c>
    </row>
    <row r="7350" spans="1:2" ht="14.25" customHeight="1">
      <c r="A7350" t="s">
        <v>770</v>
      </c>
      <c r="B7350">
        <v>0.70569762225213095</v>
      </c>
    </row>
    <row r="7352" spans="1:2" ht="14.25" customHeight="1">
      <c r="A7352" t="s">
        <v>2031</v>
      </c>
    </row>
    <row r="7353" spans="1:2" ht="14.25" customHeight="1">
      <c r="A7353" t="s">
        <v>1182</v>
      </c>
      <c r="B7353">
        <v>920</v>
      </c>
    </row>
    <row r="7354" spans="1:2" ht="14.25" customHeight="1">
      <c r="A7354" t="s">
        <v>2032</v>
      </c>
      <c r="B7354">
        <v>1105</v>
      </c>
    </row>
    <row r="7355" spans="1:2" ht="14.25" customHeight="1">
      <c r="A7355" t="s">
        <v>2030</v>
      </c>
      <c r="B7355">
        <v>1180</v>
      </c>
    </row>
    <row r="7356" spans="1:2" ht="14.25" customHeight="1">
      <c r="A7356" t="s">
        <v>586</v>
      </c>
      <c r="B7356">
        <v>3205</v>
      </c>
    </row>
    <row r="7357" spans="1:2" ht="14.25" customHeight="1">
      <c r="A7357" t="s">
        <v>770</v>
      </c>
      <c r="B7357">
        <v>7940</v>
      </c>
    </row>
    <row r="7358" spans="1:2" ht="14.25" customHeight="1">
      <c r="A7358" t="s">
        <v>770</v>
      </c>
      <c r="B7358">
        <v>0.71242709735307308</v>
      </c>
    </row>
    <row r="7360" spans="1:2" ht="14.25" customHeight="1">
      <c r="A7360" t="s">
        <v>1943</v>
      </c>
      <c r="B7360">
        <v>1239</v>
      </c>
    </row>
    <row r="7362" spans="1:2" s="344" customFormat="1" ht="14.25" customHeight="1">
      <c r="A7362" s="345" t="s">
        <v>1761</v>
      </c>
    </row>
    <row r="7364" spans="1:2" ht="14.25" customHeight="1">
      <c r="A7364" t="s">
        <v>753</v>
      </c>
      <c r="B7364" s="346">
        <v>920</v>
      </c>
    </row>
    <row r="7366" spans="1:2" ht="14.25" customHeight="1">
      <c r="A7366" t="s">
        <v>581</v>
      </c>
    </row>
    <row r="7367" spans="1:2" ht="14.25" customHeight="1">
      <c r="A7367" t="s">
        <v>214</v>
      </c>
      <c r="B7367">
        <v>920</v>
      </c>
    </row>
    <row r="7368" spans="1:2" ht="14.25" customHeight="1">
      <c r="A7368" t="s">
        <v>215</v>
      </c>
      <c r="B7368">
        <v>1105</v>
      </c>
    </row>
    <row r="7369" spans="1:2" ht="14.25" customHeight="1">
      <c r="A7369" t="s">
        <v>2009</v>
      </c>
      <c r="B7369">
        <v>1105</v>
      </c>
    </row>
    <row r="7370" spans="1:2" ht="14.25" customHeight="1">
      <c r="A7370" t="s">
        <v>586</v>
      </c>
      <c r="B7370">
        <v>3130</v>
      </c>
    </row>
    <row r="7372" spans="1:2" ht="14.25" customHeight="1">
      <c r="A7372" t="s">
        <v>268</v>
      </c>
    </row>
    <row r="7373" spans="1:2" ht="14.25" customHeight="1">
      <c r="A7373" t="s">
        <v>699</v>
      </c>
      <c r="B7373">
        <v>2965</v>
      </c>
    </row>
    <row r="7374" spans="1:2" ht="14.25" customHeight="1">
      <c r="A7374" t="s">
        <v>588</v>
      </c>
      <c r="B7374">
        <v>8895</v>
      </c>
    </row>
    <row r="7377" spans="1:2" ht="14.25" customHeight="1">
      <c r="A7377" t="s">
        <v>769</v>
      </c>
    </row>
    <row r="7379" spans="1:2" ht="14.25" customHeight="1">
      <c r="A7379" t="s">
        <v>1180</v>
      </c>
    </row>
    <row r="7380" spans="1:2" ht="14.25" customHeight="1">
      <c r="A7380" t="s">
        <v>1178</v>
      </c>
      <c r="B7380">
        <v>875</v>
      </c>
    </row>
    <row r="7381" spans="1:2" ht="14.25" customHeight="1">
      <c r="A7381" t="s">
        <v>1179</v>
      </c>
      <c r="B7381">
        <v>875</v>
      </c>
    </row>
    <row r="7382" spans="1:2" ht="14.25" customHeight="1">
      <c r="A7382" t="s">
        <v>2030</v>
      </c>
      <c r="B7382">
        <v>875</v>
      </c>
    </row>
    <row r="7383" spans="1:2" ht="14.25" customHeight="1">
      <c r="A7383" t="s">
        <v>586</v>
      </c>
      <c r="B7383">
        <v>2625</v>
      </c>
    </row>
    <row r="7384" spans="1:2" ht="14.25" customHeight="1">
      <c r="A7384" t="s">
        <v>770</v>
      </c>
      <c r="B7384">
        <v>6270</v>
      </c>
    </row>
    <row r="7385" spans="1:2" ht="14.25" customHeight="1">
      <c r="A7385" t="s">
        <v>770</v>
      </c>
      <c r="B7385">
        <v>0.70489038785834734</v>
      </c>
    </row>
    <row r="7387" spans="1:2" ht="14.25" customHeight="1">
      <c r="A7387" t="s">
        <v>1181</v>
      </c>
    </row>
    <row r="7388" spans="1:2" ht="14.25" customHeight="1">
      <c r="A7388" t="s">
        <v>1182</v>
      </c>
      <c r="B7388">
        <v>920</v>
      </c>
    </row>
    <row r="7389" spans="1:2" ht="14.25" customHeight="1">
      <c r="A7389" t="s">
        <v>1179</v>
      </c>
      <c r="B7389">
        <v>920</v>
      </c>
    </row>
    <row r="7390" spans="1:2" ht="14.25" customHeight="1">
      <c r="A7390" t="s">
        <v>2030</v>
      </c>
      <c r="B7390">
        <v>920</v>
      </c>
    </row>
    <row r="7391" spans="1:2" ht="14.25" customHeight="1">
      <c r="A7391" t="s">
        <v>586</v>
      </c>
      <c r="B7391">
        <v>2760</v>
      </c>
    </row>
    <row r="7392" spans="1:2" ht="14.25" customHeight="1">
      <c r="A7392" t="s">
        <v>770</v>
      </c>
      <c r="B7392">
        <v>6135</v>
      </c>
    </row>
    <row r="7393" spans="1:2" ht="14.25" customHeight="1">
      <c r="A7393" t="s">
        <v>770</v>
      </c>
      <c r="B7393">
        <v>0.6897133220910624</v>
      </c>
    </row>
    <row r="7395" spans="1:2" ht="14.25" customHeight="1">
      <c r="A7395" t="s">
        <v>2031</v>
      </c>
    </row>
    <row r="7396" spans="1:2" ht="14.25" customHeight="1">
      <c r="A7396" t="s">
        <v>1182</v>
      </c>
      <c r="B7396">
        <v>920</v>
      </c>
    </row>
    <row r="7397" spans="1:2" ht="14.25" customHeight="1">
      <c r="A7397" t="s">
        <v>2032</v>
      </c>
      <c r="B7397">
        <v>1105</v>
      </c>
    </row>
    <row r="7398" spans="1:2" ht="14.25" customHeight="1">
      <c r="A7398" t="s">
        <v>2030</v>
      </c>
      <c r="B7398">
        <v>920</v>
      </c>
    </row>
    <row r="7399" spans="1:2" ht="14.25" customHeight="1">
      <c r="A7399" t="s">
        <v>586</v>
      </c>
      <c r="B7399">
        <v>2945</v>
      </c>
    </row>
    <row r="7400" spans="1:2" ht="14.25" customHeight="1">
      <c r="A7400" t="s">
        <v>770</v>
      </c>
      <c r="B7400">
        <v>5950</v>
      </c>
    </row>
    <row r="7401" spans="1:2" ht="14.25" customHeight="1">
      <c r="A7401" t="s">
        <v>770</v>
      </c>
      <c r="B7401">
        <v>0.66891512085441263</v>
      </c>
    </row>
    <row r="7403" spans="1:2" ht="14.25" customHeight="1">
      <c r="A7403" t="s">
        <v>1943</v>
      </c>
      <c r="B7403">
        <v>966</v>
      </c>
    </row>
    <row r="7405" spans="1:2" s="344" customFormat="1" ht="14.25" customHeight="1">
      <c r="A7405" s="345" t="s">
        <v>752</v>
      </c>
    </row>
    <row r="7407" spans="1:2" ht="14.25" customHeight="1">
      <c r="A7407" t="s">
        <v>753</v>
      </c>
      <c r="B7407" s="346">
        <v>200</v>
      </c>
    </row>
    <row r="7409" spans="1:2" ht="14.25" customHeight="1">
      <c r="A7409" t="s">
        <v>581</v>
      </c>
    </row>
    <row r="7410" spans="1:2" ht="14.25" customHeight="1">
      <c r="A7410" t="s">
        <v>214</v>
      </c>
      <c r="B7410">
        <v>200</v>
      </c>
    </row>
    <row r="7411" spans="1:2" ht="14.25" customHeight="1">
      <c r="A7411" t="s">
        <v>215</v>
      </c>
      <c r="B7411">
        <v>240</v>
      </c>
    </row>
    <row r="7412" spans="1:2" ht="14.25" customHeight="1">
      <c r="A7412" t="s">
        <v>2009</v>
      </c>
      <c r="B7412">
        <v>240</v>
      </c>
    </row>
    <row r="7413" spans="1:2" ht="14.25" customHeight="1">
      <c r="A7413" t="s">
        <v>586</v>
      </c>
      <c r="B7413">
        <v>680</v>
      </c>
    </row>
    <row r="7415" spans="1:2" ht="14.25" customHeight="1">
      <c r="A7415" t="s">
        <v>268</v>
      </c>
    </row>
    <row r="7416" spans="1:2" ht="14.25" customHeight="1">
      <c r="A7416" t="s">
        <v>699</v>
      </c>
      <c r="B7416">
        <v>0</v>
      </c>
    </row>
    <row r="7417" spans="1:2" ht="14.25" customHeight="1">
      <c r="A7417" t="s">
        <v>588</v>
      </c>
      <c r="B7417">
        <v>0</v>
      </c>
    </row>
    <row r="7420" spans="1:2" ht="14.25" customHeight="1">
      <c r="A7420" t="s">
        <v>769</v>
      </c>
    </row>
    <row r="7422" spans="1:2" ht="14.25" customHeight="1">
      <c r="A7422" t="s">
        <v>1180</v>
      </c>
    </row>
    <row r="7423" spans="1:2" ht="14.25" customHeight="1">
      <c r="A7423" t="s">
        <v>1178</v>
      </c>
      <c r="B7423">
        <v>190</v>
      </c>
    </row>
    <row r="7424" spans="1:2" ht="14.25" customHeight="1">
      <c r="A7424" t="s">
        <v>1179</v>
      </c>
      <c r="B7424">
        <v>190</v>
      </c>
    </row>
    <row r="7425" spans="1:2" ht="14.25" customHeight="1">
      <c r="A7425" t="s">
        <v>2030</v>
      </c>
      <c r="B7425">
        <v>190</v>
      </c>
    </row>
    <row r="7426" spans="1:2" ht="14.25" customHeight="1">
      <c r="A7426" t="s">
        <v>586</v>
      </c>
      <c r="B7426">
        <v>570</v>
      </c>
    </row>
    <row r="7427" spans="1:2" ht="14.25" customHeight="1">
      <c r="A7427" t="s">
        <v>770</v>
      </c>
      <c r="B7427">
        <v>-570</v>
      </c>
    </row>
    <row r="7428" spans="1:2" ht="14.25" customHeight="1">
      <c r="A7428" t="s">
        <v>770</v>
      </c>
      <c r="B7428">
        <v>0</v>
      </c>
    </row>
    <row r="7430" spans="1:2" ht="14.25" customHeight="1">
      <c r="A7430" t="s">
        <v>1181</v>
      </c>
    </row>
    <row r="7431" spans="1:2" ht="14.25" customHeight="1">
      <c r="A7431" t="s">
        <v>1182</v>
      </c>
      <c r="B7431">
        <v>200</v>
      </c>
    </row>
    <row r="7432" spans="1:2" ht="14.25" customHeight="1">
      <c r="A7432" t="s">
        <v>1179</v>
      </c>
      <c r="B7432">
        <v>200</v>
      </c>
    </row>
    <row r="7433" spans="1:2" ht="14.25" customHeight="1">
      <c r="A7433" t="s">
        <v>2030</v>
      </c>
      <c r="B7433">
        <v>200</v>
      </c>
    </row>
    <row r="7434" spans="1:2" ht="14.25" customHeight="1">
      <c r="A7434" t="s">
        <v>586</v>
      </c>
      <c r="B7434">
        <v>600</v>
      </c>
    </row>
    <row r="7435" spans="1:2" ht="14.25" customHeight="1">
      <c r="A7435" t="s">
        <v>770</v>
      </c>
      <c r="B7435">
        <v>-600</v>
      </c>
    </row>
    <row r="7436" spans="1:2" ht="14.25" customHeight="1">
      <c r="A7436" t="s">
        <v>770</v>
      </c>
      <c r="B7436">
        <v>0</v>
      </c>
    </row>
    <row r="7438" spans="1:2" ht="14.25" customHeight="1">
      <c r="A7438" t="s">
        <v>2031</v>
      </c>
    </row>
    <row r="7439" spans="1:2" ht="14.25" customHeight="1">
      <c r="A7439" t="s">
        <v>1182</v>
      </c>
      <c r="B7439">
        <v>200</v>
      </c>
    </row>
    <row r="7440" spans="1:2" ht="14.25" customHeight="1">
      <c r="A7440" t="s">
        <v>2032</v>
      </c>
      <c r="B7440">
        <v>240</v>
      </c>
    </row>
    <row r="7441" spans="1:2" ht="14.25" customHeight="1">
      <c r="A7441" t="s">
        <v>2030</v>
      </c>
      <c r="B7441">
        <v>200</v>
      </c>
    </row>
    <row r="7442" spans="1:2" ht="14.25" customHeight="1">
      <c r="A7442" t="s">
        <v>586</v>
      </c>
      <c r="B7442">
        <v>640</v>
      </c>
    </row>
    <row r="7443" spans="1:2" ht="14.25" customHeight="1">
      <c r="A7443" t="s">
        <v>770</v>
      </c>
      <c r="B7443">
        <v>-640</v>
      </c>
    </row>
    <row r="7444" spans="1:2" ht="14.25" customHeight="1">
      <c r="A7444" t="s">
        <v>770</v>
      </c>
      <c r="B7444">
        <v>0</v>
      </c>
    </row>
    <row r="7446" spans="1:2" ht="14.25" customHeight="1">
      <c r="A7446" t="s">
        <v>1943</v>
      </c>
      <c r="B7446">
        <v>210</v>
      </c>
    </row>
    <row r="7448" spans="1:2" s="344" customFormat="1" ht="14.25" customHeight="1">
      <c r="A7448" s="345" t="s">
        <v>1762</v>
      </c>
    </row>
    <row r="7450" spans="1:2" ht="14.25" customHeight="1">
      <c r="A7450" t="s">
        <v>753</v>
      </c>
      <c r="B7450" s="346">
        <v>200</v>
      </c>
    </row>
    <row r="7452" spans="1:2" ht="14.25" customHeight="1">
      <c r="A7452" t="s">
        <v>581</v>
      </c>
    </row>
    <row r="7453" spans="1:2" ht="14.25" customHeight="1">
      <c r="A7453" t="s">
        <v>214</v>
      </c>
      <c r="B7453">
        <v>200</v>
      </c>
    </row>
    <row r="7454" spans="1:2" ht="14.25" customHeight="1">
      <c r="A7454" t="s">
        <v>215</v>
      </c>
      <c r="B7454">
        <v>240</v>
      </c>
    </row>
    <row r="7455" spans="1:2" ht="14.25" customHeight="1">
      <c r="A7455" t="s">
        <v>2009</v>
      </c>
      <c r="B7455">
        <v>240</v>
      </c>
    </row>
    <row r="7456" spans="1:2" ht="14.25" customHeight="1">
      <c r="A7456" t="s">
        <v>586</v>
      </c>
      <c r="B7456">
        <v>680</v>
      </c>
    </row>
    <row r="7458" spans="1:2" ht="14.25" customHeight="1">
      <c r="A7458" t="s">
        <v>268</v>
      </c>
    </row>
    <row r="7459" spans="1:2" ht="14.25" customHeight="1">
      <c r="A7459" t="s">
        <v>699</v>
      </c>
      <c r="B7459">
        <v>0</v>
      </c>
    </row>
    <row r="7460" spans="1:2" ht="14.25" customHeight="1">
      <c r="A7460" t="s">
        <v>588</v>
      </c>
      <c r="B7460">
        <v>0</v>
      </c>
    </row>
    <row r="7463" spans="1:2" ht="14.25" customHeight="1">
      <c r="A7463" t="s">
        <v>769</v>
      </c>
    </row>
    <row r="7465" spans="1:2" ht="14.25" customHeight="1">
      <c r="A7465" t="s">
        <v>1180</v>
      </c>
    </row>
    <row r="7466" spans="1:2" ht="14.25" customHeight="1">
      <c r="A7466" t="s">
        <v>1178</v>
      </c>
      <c r="B7466">
        <v>265</v>
      </c>
    </row>
    <row r="7467" spans="1:2" ht="14.25" customHeight="1">
      <c r="A7467" t="s">
        <v>1179</v>
      </c>
      <c r="B7467">
        <v>265</v>
      </c>
    </row>
    <row r="7468" spans="1:2" ht="14.25" customHeight="1">
      <c r="A7468" t="s">
        <v>2030</v>
      </c>
      <c r="B7468">
        <v>265</v>
      </c>
    </row>
    <row r="7469" spans="1:2" ht="14.25" customHeight="1">
      <c r="A7469" t="s">
        <v>586</v>
      </c>
      <c r="B7469">
        <v>795</v>
      </c>
    </row>
    <row r="7470" spans="1:2" ht="14.25" customHeight="1">
      <c r="A7470" t="s">
        <v>770</v>
      </c>
      <c r="B7470">
        <v>-795</v>
      </c>
    </row>
    <row r="7471" spans="1:2" ht="14.25" customHeight="1">
      <c r="A7471" t="s">
        <v>770</v>
      </c>
      <c r="B7471">
        <v>0</v>
      </c>
    </row>
    <row r="7473" spans="1:2" ht="14.25" customHeight="1">
      <c r="A7473" t="s">
        <v>1181</v>
      </c>
    </row>
    <row r="7474" spans="1:2" ht="14.25" customHeight="1">
      <c r="A7474" t="s">
        <v>1182</v>
      </c>
      <c r="B7474">
        <v>200</v>
      </c>
    </row>
    <row r="7475" spans="1:2" ht="14.25" customHeight="1">
      <c r="A7475" t="s">
        <v>1179</v>
      </c>
      <c r="B7475">
        <v>280</v>
      </c>
    </row>
    <row r="7476" spans="1:2" ht="14.25" customHeight="1">
      <c r="A7476" t="s">
        <v>2030</v>
      </c>
      <c r="B7476">
        <v>280</v>
      </c>
    </row>
    <row r="7477" spans="1:2" ht="14.25" customHeight="1">
      <c r="A7477" t="s">
        <v>586</v>
      </c>
      <c r="B7477">
        <v>760</v>
      </c>
    </row>
    <row r="7478" spans="1:2" ht="14.25" customHeight="1">
      <c r="A7478" t="s">
        <v>770</v>
      </c>
      <c r="B7478">
        <v>-760</v>
      </c>
    </row>
    <row r="7479" spans="1:2" ht="14.25" customHeight="1">
      <c r="A7479" t="s">
        <v>770</v>
      </c>
      <c r="B7479">
        <v>0</v>
      </c>
    </row>
    <row r="7481" spans="1:2" ht="14.25" customHeight="1">
      <c r="A7481" t="s">
        <v>2031</v>
      </c>
    </row>
    <row r="7482" spans="1:2" ht="14.25" customHeight="1">
      <c r="A7482" t="s">
        <v>1182</v>
      </c>
      <c r="B7482">
        <v>200</v>
      </c>
    </row>
    <row r="7483" spans="1:2" ht="14.25" customHeight="1">
      <c r="A7483" t="s">
        <v>2032</v>
      </c>
      <c r="B7483">
        <v>240</v>
      </c>
    </row>
    <row r="7484" spans="1:2" ht="14.25" customHeight="1">
      <c r="A7484" t="s">
        <v>2030</v>
      </c>
      <c r="B7484">
        <v>280</v>
      </c>
    </row>
    <row r="7485" spans="1:2" ht="14.25" customHeight="1">
      <c r="A7485" t="s">
        <v>586</v>
      </c>
      <c r="B7485">
        <v>720</v>
      </c>
    </row>
    <row r="7486" spans="1:2" ht="14.25" customHeight="1">
      <c r="A7486" t="s">
        <v>770</v>
      </c>
      <c r="B7486">
        <v>-720</v>
      </c>
    </row>
    <row r="7487" spans="1:2" ht="14.25" customHeight="1">
      <c r="A7487" t="s">
        <v>770</v>
      </c>
      <c r="B7487">
        <v>0</v>
      </c>
    </row>
    <row r="7489" spans="1:2" ht="14.25" customHeight="1">
      <c r="A7489" t="s">
        <v>1943</v>
      </c>
      <c r="B7489">
        <v>294</v>
      </c>
    </row>
    <row r="7491" spans="1:2" s="344" customFormat="1" ht="14.25" customHeight="1">
      <c r="A7491" s="345" t="s">
        <v>1763</v>
      </c>
    </row>
    <row r="7493" spans="1:2" ht="14.25" customHeight="1">
      <c r="A7493" t="s">
        <v>753</v>
      </c>
      <c r="B7493" s="346">
        <v>275</v>
      </c>
    </row>
    <row r="7495" spans="1:2" ht="14.25" customHeight="1">
      <c r="A7495" t="s">
        <v>581</v>
      </c>
    </row>
    <row r="7496" spans="1:2" ht="14.25" customHeight="1">
      <c r="A7496" t="s">
        <v>214</v>
      </c>
      <c r="B7496">
        <v>275</v>
      </c>
    </row>
    <row r="7497" spans="1:2" ht="14.25" customHeight="1">
      <c r="A7497" t="s">
        <v>215</v>
      </c>
      <c r="B7497">
        <v>330</v>
      </c>
    </row>
    <row r="7498" spans="1:2" ht="14.25" customHeight="1">
      <c r="A7498" t="s">
        <v>2009</v>
      </c>
      <c r="B7498">
        <v>330</v>
      </c>
    </row>
    <row r="7499" spans="1:2" ht="14.25" customHeight="1">
      <c r="A7499" t="s">
        <v>586</v>
      </c>
      <c r="B7499">
        <v>935</v>
      </c>
    </row>
    <row r="7501" spans="1:2" ht="14.25" customHeight="1">
      <c r="A7501" t="s">
        <v>268</v>
      </c>
    </row>
    <row r="7502" spans="1:2" ht="14.25" customHeight="1">
      <c r="A7502" t="s">
        <v>699</v>
      </c>
      <c r="B7502">
        <v>0</v>
      </c>
    </row>
    <row r="7503" spans="1:2" ht="14.25" customHeight="1">
      <c r="A7503" t="s">
        <v>588</v>
      </c>
      <c r="B7503">
        <v>0</v>
      </c>
    </row>
    <row r="7506" spans="1:2" ht="14.25" customHeight="1">
      <c r="A7506" t="s">
        <v>769</v>
      </c>
    </row>
    <row r="7508" spans="1:2" ht="14.25" customHeight="1">
      <c r="A7508" t="s">
        <v>1180</v>
      </c>
    </row>
    <row r="7509" spans="1:2" ht="14.25" customHeight="1">
      <c r="A7509" t="s">
        <v>1178</v>
      </c>
      <c r="B7509">
        <v>265</v>
      </c>
    </row>
    <row r="7510" spans="1:2" ht="14.25" customHeight="1">
      <c r="A7510" t="s">
        <v>1179</v>
      </c>
      <c r="B7510">
        <v>265</v>
      </c>
    </row>
    <row r="7511" spans="1:2" ht="14.25" customHeight="1">
      <c r="A7511" t="s">
        <v>2030</v>
      </c>
      <c r="B7511">
        <v>265</v>
      </c>
    </row>
    <row r="7512" spans="1:2" ht="14.25" customHeight="1">
      <c r="A7512" t="s">
        <v>586</v>
      </c>
      <c r="B7512">
        <v>795</v>
      </c>
    </row>
    <row r="7513" spans="1:2" ht="14.25" customHeight="1">
      <c r="A7513" t="s">
        <v>770</v>
      </c>
      <c r="B7513">
        <v>-795</v>
      </c>
    </row>
    <row r="7514" spans="1:2" ht="14.25" customHeight="1">
      <c r="A7514" t="s">
        <v>770</v>
      </c>
      <c r="B7514">
        <v>0</v>
      </c>
    </row>
    <row r="7516" spans="1:2" ht="14.25" customHeight="1">
      <c r="A7516" t="s">
        <v>1181</v>
      </c>
    </row>
    <row r="7517" spans="1:2" ht="14.25" customHeight="1">
      <c r="A7517" t="s">
        <v>1182</v>
      </c>
      <c r="B7517">
        <v>275</v>
      </c>
    </row>
    <row r="7518" spans="1:2" ht="14.25" customHeight="1">
      <c r="A7518" t="s">
        <v>1179</v>
      </c>
      <c r="B7518">
        <v>280</v>
      </c>
    </row>
    <row r="7519" spans="1:2" ht="14.25" customHeight="1">
      <c r="A7519" t="s">
        <v>2030</v>
      </c>
      <c r="B7519">
        <v>280</v>
      </c>
    </row>
    <row r="7520" spans="1:2" ht="14.25" customHeight="1">
      <c r="A7520" t="s">
        <v>586</v>
      </c>
      <c r="B7520">
        <v>835</v>
      </c>
    </row>
    <row r="7521" spans="1:2" ht="14.25" customHeight="1">
      <c r="A7521" t="s">
        <v>770</v>
      </c>
      <c r="B7521">
        <v>-835</v>
      </c>
    </row>
    <row r="7522" spans="1:2" ht="14.25" customHeight="1">
      <c r="A7522" t="s">
        <v>770</v>
      </c>
      <c r="B7522">
        <v>0</v>
      </c>
    </row>
    <row r="7524" spans="1:2" ht="14.25" customHeight="1">
      <c r="A7524" t="s">
        <v>2031</v>
      </c>
    </row>
    <row r="7525" spans="1:2" ht="14.25" customHeight="1">
      <c r="A7525" t="s">
        <v>1182</v>
      </c>
      <c r="B7525">
        <v>275</v>
      </c>
    </row>
    <row r="7526" spans="1:2" ht="14.25" customHeight="1">
      <c r="A7526" t="s">
        <v>2032</v>
      </c>
      <c r="B7526">
        <v>330</v>
      </c>
    </row>
    <row r="7527" spans="1:2" ht="14.25" customHeight="1">
      <c r="A7527" t="s">
        <v>2030</v>
      </c>
      <c r="B7527">
        <v>280</v>
      </c>
    </row>
    <row r="7528" spans="1:2" ht="14.25" customHeight="1">
      <c r="A7528" t="s">
        <v>586</v>
      </c>
      <c r="B7528">
        <v>885</v>
      </c>
    </row>
    <row r="7529" spans="1:2" ht="14.25" customHeight="1">
      <c r="A7529" t="s">
        <v>770</v>
      </c>
      <c r="B7529">
        <v>-885</v>
      </c>
    </row>
    <row r="7530" spans="1:2" ht="14.25" customHeight="1">
      <c r="A7530" t="s">
        <v>770</v>
      </c>
      <c r="B7530">
        <v>0</v>
      </c>
    </row>
    <row r="7532" spans="1:2" ht="14.25" customHeight="1">
      <c r="A7532" t="s">
        <v>1943</v>
      </c>
      <c r="B7532">
        <v>294</v>
      </c>
    </row>
    <row r="7534" spans="1:2" s="344" customFormat="1" ht="14.25" customHeight="1">
      <c r="A7534" s="345" t="s">
        <v>1764</v>
      </c>
    </row>
    <row r="7536" spans="1:2" ht="14.25" customHeight="1">
      <c r="A7536" t="s">
        <v>753</v>
      </c>
      <c r="B7536" s="346">
        <v>920</v>
      </c>
    </row>
    <row r="7538" spans="1:2" ht="14.25" customHeight="1">
      <c r="A7538" t="s">
        <v>581</v>
      </c>
    </row>
    <row r="7539" spans="1:2" ht="14.25" customHeight="1">
      <c r="A7539" t="s">
        <v>214</v>
      </c>
      <c r="B7539">
        <v>920</v>
      </c>
    </row>
    <row r="7540" spans="1:2" ht="14.25" customHeight="1">
      <c r="A7540" t="s">
        <v>215</v>
      </c>
      <c r="B7540">
        <v>1105</v>
      </c>
    </row>
    <row r="7541" spans="1:2" ht="14.25" customHeight="1">
      <c r="A7541" t="s">
        <v>2009</v>
      </c>
      <c r="B7541">
        <v>1105</v>
      </c>
    </row>
    <row r="7542" spans="1:2" ht="14.25" customHeight="1">
      <c r="A7542" t="s">
        <v>586</v>
      </c>
      <c r="B7542">
        <v>3130</v>
      </c>
    </row>
    <row r="7544" spans="1:2" ht="14.25" customHeight="1">
      <c r="A7544" t="s">
        <v>268</v>
      </c>
    </row>
    <row r="7545" spans="1:2" ht="14.25" customHeight="1">
      <c r="A7545" t="s">
        <v>699</v>
      </c>
      <c r="B7545">
        <v>3715</v>
      </c>
    </row>
    <row r="7546" spans="1:2" ht="14.25" customHeight="1">
      <c r="A7546" t="s">
        <v>588</v>
      </c>
      <c r="B7546">
        <v>11145</v>
      </c>
    </row>
    <row r="7549" spans="1:2" ht="14.25" customHeight="1">
      <c r="A7549" t="s">
        <v>769</v>
      </c>
    </row>
    <row r="7551" spans="1:2" ht="14.25" customHeight="1">
      <c r="A7551" t="s">
        <v>1180</v>
      </c>
    </row>
    <row r="7552" spans="1:2" ht="14.25" customHeight="1">
      <c r="A7552" t="s">
        <v>1178</v>
      </c>
      <c r="B7552">
        <v>1125</v>
      </c>
    </row>
    <row r="7553" spans="1:2" ht="14.25" customHeight="1">
      <c r="A7553" t="s">
        <v>1179</v>
      </c>
      <c r="B7553">
        <v>1125</v>
      </c>
    </row>
    <row r="7554" spans="1:2" ht="14.25" customHeight="1">
      <c r="A7554" t="s">
        <v>2030</v>
      </c>
      <c r="B7554">
        <v>1125</v>
      </c>
    </row>
    <row r="7555" spans="1:2" ht="14.25" customHeight="1">
      <c r="A7555" t="s">
        <v>586</v>
      </c>
      <c r="B7555">
        <v>3375</v>
      </c>
    </row>
    <row r="7556" spans="1:2" ht="14.25" customHeight="1">
      <c r="A7556" t="s">
        <v>770</v>
      </c>
      <c r="B7556">
        <v>7770</v>
      </c>
    </row>
    <row r="7557" spans="1:2" ht="14.25" customHeight="1">
      <c r="A7557" t="s">
        <v>770</v>
      </c>
      <c r="B7557">
        <v>0.69717362045760434</v>
      </c>
    </row>
    <row r="7559" spans="1:2" ht="14.25" customHeight="1">
      <c r="A7559" t="s">
        <v>1181</v>
      </c>
    </row>
    <row r="7560" spans="1:2" ht="14.25" customHeight="1">
      <c r="A7560" t="s">
        <v>1182</v>
      </c>
      <c r="B7560">
        <v>920</v>
      </c>
    </row>
    <row r="7561" spans="1:2" ht="14.25" customHeight="1">
      <c r="A7561" t="s">
        <v>1179</v>
      </c>
      <c r="B7561">
        <v>1180</v>
      </c>
    </row>
    <row r="7562" spans="1:2" ht="14.25" customHeight="1">
      <c r="A7562" t="s">
        <v>2030</v>
      </c>
      <c r="B7562">
        <v>1180</v>
      </c>
    </row>
    <row r="7563" spans="1:2" ht="14.25" customHeight="1">
      <c r="A7563" t="s">
        <v>586</v>
      </c>
      <c r="B7563">
        <v>3280</v>
      </c>
    </row>
    <row r="7564" spans="1:2" ht="14.25" customHeight="1">
      <c r="A7564" t="s">
        <v>770</v>
      </c>
      <c r="B7564">
        <v>7865</v>
      </c>
    </row>
    <row r="7565" spans="1:2" ht="14.25" customHeight="1">
      <c r="A7565" t="s">
        <v>770</v>
      </c>
      <c r="B7565">
        <v>0.70569762225213095</v>
      </c>
    </row>
    <row r="7567" spans="1:2" ht="14.25" customHeight="1">
      <c r="A7567" t="s">
        <v>2031</v>
      </c>
    </row>
    <row r="7568" spans="1:2" ht="14.25" customHeight="1">
      <c r="A7568" t="s">
        <v>1182</v>
      </c>
      <c r="B7568">
        <v>920</v>
      </c>
    </row>
    <row r="7569" spans="1:2" ht="14.25" customHeight="1">
      <c r="A7569" t="s">
        <v>2032</v>
      </c>
      <c r="B7569">
        <v>1105</v>
      </c>
    </row>
    <row r="7570" spans="1:2" ht="14.25" customHeight="1">
      <c r="A7570" t="s">
        <v>2030</v>
      </c>
      <c r="B7570">
        <v>1180</v>
      </c>
    </row>
    <row r="7571" spans="1:2" ht="14.25" customHeight="1">
      <c r="A7571" t="s">
        <v>586</v>
      </c>
      <c r="B7571">
        <v>3205</v>
      </c>
    </row>
    <row r="7572" spans="1:2" ht="14.25" customHeight="1">
      <c r="A7572" t="s">
        <v>770</v>
      </c>
      <c r="B7572">
        <v>7940</v>
      </c>
    </row>
    <row r="7573" spans="1:2" ht="14.25" customHeight="1">
      <c r="A7573" t="s">
        <v>770</v>
      </c>
      <c r="B7573">
        <v>0.71242709735307308</v>
      </c>
    </row>
    <row r="7575" spans="1:2" ht="14.25" customHeight="1">
      <c r="A7575" t="s">
        <v>1943</v>
      </c>
      <c r="B7575">
        <v>1239</v>
      </c>
    </row>
    <row r="7577" spans="1:2" s="344" customFormat="1" ht="14.25" customHeight="1">
      <c r="A7577" s="345" t="s">
        <v>1765</v>
      </c>
    </row>
    <row r="7579" spans="1:2" ht="14.25" customHeight="1">
      <c r="A7579" t="s">
        <v>753</v>
      </c>
      <c r="B7579" s="346">
        <v>920</v>
      </c>
    </row>
    <row r="7581" spans="1:2" ht="14.25" customHeight="1">
      <c r="A7581" t="s">
        <v>581</v>
      </c>
    </row>
    <row r="7582" spans="1:2" ht="14.25" customHeight="1">
      <c r="A7582" t="s">
        <v>214</v>
      </c>
      <c r="B7582">
        <v>920</v>
      </c>
    </row>
    <row r="7583" spans="1:2" ht="14.25" customHeight="1">
      <c r="A7583" t="s">
        <v>215</v>
      </c>
      <c r="B7583">
        <v>1105</v>
      </c>
    </row>
    <row r="7584" spans="1:2" ht="14.25" customHeight="1">
      <c r="A7584" t="s">
        <v>2009</v>
      </c>
      <c r="B7584">
        <v>1105</v>
      </c>
    </row>
    <row r="7585" spans="1:2" ht="14.25" customHeight="1">
      <c r="A7585" t="s">
        <v>586</v>
      </c>
      <c r="B7585">
        <v>3130</v>
      </c>
    </row>
    <row r="7587" spans="1:2" ht="14.25" customHeight="1">
      <c r="A7587" t="s">
        <v>268</v>
      </c>
    </row>
    <row r="7588" spans="1:2" ht="14.25" customHeight="1">
      <c r="A7588" t="s">
        <v>699</v>
      </c>
      <c r="B7588">
        <v>2965</v>
      </c>
    </row>
    <row r="7589" spans="1:2" ht="14.25" customHeight="1">
      <c r="A7589" t="s">
        <v>588</v>
      </c>
      <c r="B7589">
        <v>8895</v>
      </c>
    </row>
    <row r="7592" spans="1:2" ht="14.25" customHeight="1">
      <c r="A7592" t="s">
        <v>769</v>
      </c>
    </row>
    <row r="7594" spans="1:2" ht="14.25" customHeight="1">
      <c r="A7594" t="s">
        <v>1180</v>
      </c>
    </row>
    <row r="7595" spans="1:2" ht="14.25" customHeight="1">
      <c r="A7595" t="s">
        <v>1178</v>
      </c>
      <c r="B7595">
        <v>875</v>
      </c>
    </row>
    <row r="7596" spans="1:2" ht="14.25" customHeight="1">
      <c r="A7596" t="s">
        <v>1179</v>
      </c>
      <c r="B7596">
        <v>875</v>
      </c>
    </row>
    <row r="7597" spans="1:2" ht="14.25" customHeight="1">
      <c r="A7597" t="s">
        <v>2030</v>
      </c>
      <c r="B7597">
        <v>875</v>
      </c>
    </row>
    <row r="7598" spans="1:2" ht="14.25" customHeight="1">
      <c r="A7598" t="s">
        <v>586</v>
      </c>
      <c r="B7598">
        <v>2625</v>
      </c>
    </row>
    <row r="7599" spans="1:2" ht="14.25" customHeight="1">
      <c r="A7599" t="s">
        <v>770</v>
      </c>
      <c r="B7599">
        <v>6270</v>
      </c>
    </row>
    <row r="7600" spans="1:2" ht="14.25" customHeight="1">
      <c r="A7600" t="s">
        <v>770</v>
      </c>
      <c r="B7600">
        <v>0.70489038785834734</v>
      </c>
    </row>
    <row r="7602" spans="1:2" ht="14.25" customHeight="1">
      <c r="A7602" t="s">
        <v>1181</v>
      </c>
    </row>
    <row r="7603" spans="1:2" ht="14.25" customHeight="1">
      <c r="A7603" t="s">
        <v>1182</v>
      </c>
      <c r="B7603">
        <v>920</v>
      </c>
    </row>
    <row r="7604" spans="1:2" ht="14.25" customHeight="1">
      <c r="A7604" t="s">
        <v>1179</v>
      </c>
      <c r="B7604">
        <v>920</v>
      </c>
    </row>
    <row r="7605" spans="1:2" ht="14.25" customHeight="1">
      <c r="A7605" t="s">
        <v>2030</v>
      </c>
      <c r="B7605">
        <v>920</v>
      </c>
    </row>
    <row r="7606" spans="1:2" ht="14.25" customHeight="1">
      <c r="A7606" t="s">
        <v>586</v>
      </c>
      <c r="B7606">
        <v>2760</v>
      </c>
    </row>
    <row r="7607" spans="1:2" ht="14.25" customHeight="1">
      <c r="A7607" t="s">
        <v>770</v>
      </c>
      <c r="B7607">
        <v>6135</v>
      </c>
    </row>
    <row r="7608" spans="1:2" ht="14.25" customHeight="1">
      <c r="A7608" t="s">
        <v>770</v>
      </c>
      <c r="B7608">
        <v>0.6897133220910624</v>
      </c>
    </row>
    <row r="7610" spans="1:2" ht="14.25" customHeight="1">
      <c r="A7610" t="s">
        <v>2031</v>
      </c>
    </row>
    <row r="7611" spans="1:2" ht="14.25" customHeight="1">
      <c r="A7611" t="s">
        <v>1182</v>
      </c>
      <c r="B7611">
        <v>920</v>
      </c>
    </row>
    <row r="7612" spans="1:2" ht="14.25" customHeight="1">
      <c r="A7612" t="s">
        <v>2032</v>
      </c>
      <c r="B7612">
        <v>1105</v>
      </c>
    </row>
    <row r="7613" spans="1:2" ht="14.25" customHeight="1">
      <c r="A7613" t="s">
        <v>2030</v>
      </c>
      <c r="B7613">
        <v>920</v>
      </c>
    </row>
    <row r="7614" spans="1:2" ht="14.25" customHeight="1">
      <c r="A7614" t="s">
        <v>586</v>
      </c>
      <c r="B7614">
        <v>2945</v>
      </c>
    </row>
    <row r="7615" spans="1:2" ht="14.25" customHeight="1">
      <c r="A7615" t="s">
        <v>770</v>
      </c>
      <c r="B7615">
        <v>5950</v>
      </c>
    </row>
    <row r="7616" spans="1:2" ht="14.25" customHeight="1">
      <c r="A7616" t="s">
        <v>770</v>
      </c>
      <c r="B7616">
        <v>0.66891512085441263</v>
      </c>
    </row>
    <row r="7618" spans="1:2" ht="14.25" customHeight="1">
      <c r="A7618" t="s">
        <v>1943</v>
      </c>
      <c r="B7618">
        <v>966</v>
      </c>
    </row>
    <row r="7620" spans="1:2" s="344" customFormat="1" ht="14.25" customHeight="1">
      <c r="A7620" s="345" t="s">
        <v>1766</v>
      </c>
    </row>
    <row r="7622" spans="1:2" ht="14.25" customHeight="1">
      <c r="A7622" t="s">
        <v>753</v>
      </c>
      <c r="B7622" s="346">
        <v>920</v>
      </c>
    </row>
    <row r="7624" spans="1:2" ht="14.25" customHeight="1">
      <c r="A7624" t="s">
        <v>581</v>
      </c>
    </row>
    <row r="7625" spans="1:2" ht="14.25" customHeight="1">
      <c r="A7625" t="s">
        <v>214</v>
      </c>
      <c r="B7625">
        <v>920</v>
      </c>
    </row>
    <row r="7626" spans="1:2" ht="14.25" customHeight="1">
      <c r="A7626" t="s">
        <v>215</v>
      </c>
      <c r="B7626">
        <v>1105</v>
      </c>
    </row>
    <row r="7627" spans="1:2" ht="14.25" customHeight="1">
      <c r="A7627" t="s">
        <v>2009</v>
      </c>
      <c r="B7627">
        <v>1105</v>
      </c>
    </row>
    <row r="7628" spans="1:2" ht="14.25" customHeight="1">
      <c r="A7628" t="s">
        <v>586</v>
      </c>
      <c r="B7628">
        <v>3130</v>
      </c>
    </row>
    <row r="7630" spans="1:2" ht="14.25" customHeight="1">
      <c r="A7630" t="s">
        <v>268</v>
      </c>
    </row>
    <row r="7631" spans="1:2" ht="14.25" customHeight="1">
      <c r="A7631" t="s">
        <v>699</v>
      </c>
      <c r="B7631">
        <v>3715</v>
      </c>
    </row>
    <row r="7632" spans="1:2" ht="14.25" customHeight="1">
      <c r="A7632" t="s">
        <v>588</v>
      </c>
      <c r="B7632">
        <v>11145</v>
      </c>
    </row>
    <row r="7635" spans="1:2" ht="14.25" customHeight="1">
      <c r="A7635" t="s">
        <v>769</v>
      </c>
    </row>
    <row r="7637" spans="1:2" ht="14.25" customHeight="1">
      <c r="A7637" t="s">
        <v>1180</v>
      </c>
    </row>
    <row r="7638" spans="1:2" ht="14.25" customHeight="1">
      <c r="A7638" t="s">
        <v>1178</v>
      </c>
      <c r="B7638">
        <v>1125</v>
      </c>
    </row>
    <row r="7639" spans="1:2" ht="14.25" customHeight="1">
      <c r="A7639" t="s">
        <v>1179</v>
      </c>
      <c r="B7639">
        <v>1125</v>
      </c>
    </row>
    <row r="7640" spans="1:2" ht="14.25" customHeight="1">
      <c r="A7640" t="s">
        <v>2030</v>
      </c>
      <c r="B7640">
        <v>1125</v>
      </c>
    </row>
    <row r="7641" spans="1:2" ht="14.25" customHeight="1">
      <c r="A7641" t="s">
        <v>586</v>
      </c>
      <c r="B7641">
        <v>3375</v>
      </c>
    </row>
    <row r="7642" spans="1:2" ht="14.25" customHeight="1">
      <c r="A7642" t="s">
        <v>770</v>
      </c>
      <c r="B7642">
        <v>7770</v>
      </c>
    </row>
    <row r="7643" spans="1:2" ht="14.25" customHeight="1">
      <c r="A7643" t="s">
        <v>770</v>
      </c>
      <c r="B7643">
        <v>0.69717362045760434</v>
      </c>
    </row>
    <row r="7645" spans="1:2" ht="14.25" customHeight="1">
      <c r="A7645" t="s">
        <v>1181</v>
      </c>
    </row>
    <row r="7646" spans="1:2" ht="14.25" customHeight="1">
      <c r="A7646" t="s">
        <v>1182</v>
      </c>
      <c r="B7646">
        <v>920</v>
      </c>
    </row>
    <row r="7647" spans="1:2" ht="14.25" customHeight="1">
      <c r="A7647" t="s">
        <v>1179</v>
      </c>
      <c r="B7647">
        <v>1180</v>
      </c>
    </row>
    <row r="7648" spans="1:2" ht="14.25" customHeight="1">
      <c r="A7648" t="s">
        <v>2030</v>
      </c>
      <c r="B7648">
        <v>1180</v>
      </c>
    </row>
    <row r="7649" spans="1:2" ht="14.25" customHeight="1">
      <c r="A7649" t="s">
        <v>586</v>
      </c>
      <c r="B7649">
        <v>3280</v>
      </c>
    </row>
    <row r="7650" spans="1:2" ht="14.25" customHeight="1">
      <c r="A7650" t="s">
        <v>770</v>
      </c>
      <c r="B7650">
        <v>7865</v>
      </c>
    </row>
    <row r="7651" spans="1:2" ht="14.25" customHeight="1">
      <c r="A7651" t="s">
        <v>770</v>
      </c>
      <c r="B7651">
        <v>0.70569762225213095</v>
      </c>
    </row>
    <row r="7653" spans="1:2" ht="14.25" customHeight="1">
      <c r="A7653" t="s">
        <v>2031</v>
      </c>
    </row>
    <row r="7654" spans="1:2" ht="14.25" customHeight="1">
      <c r="A7654" t="s">
        <v>1182</v>
      </c>
      <c r="B7654">
        <v>920</v>
      </c>
    </row>
    <row r="7655" spans="1:2" ht="14.25" customHeight="1">
      <c r="A7655" t="s">
        <v>2032</v>
      </c>
      <c r="B7655">
        <v>1105</v>
      </c>
    </row>
    <row r="7656" spans="1:2" ht="14.25" customHeight="1">
      <c r="A7656" t="s">
        <v>2030</v>
      </c>
      <c r="B7656">
        <v>1180</v>
      </c>
    </row>
    <row r="7657" spans="1:2" ht="14.25" customHeight="1">
      <c r="A7657" t="s">
        <v>586</v>
      </c>
      <c r="B7657">
        <v>3205</v>
      </c>
    </row>
    <row r="7658" spans="1:2" ht="14.25" customHeight="1">
      <c r="A7658" t="s">
        <v>770</v>
      </c>
      <c r="B7658">
        <v>7940</v>
      </c>
    </row>
    <row r="7659" spans="1:2" ht="14.25" customHeight="1">
      <c r="A7659" t="s">
        <v>770</v>
      </c>
      <c r="B7659">
        <v>0.71242709735307308</v>
      </c>
    </row>
    <row r="7661" spans="1:2" ht="14.25" customHeight="1">
      <c r="A7661" t="s">
        <v>1943</v>
      </c>
      <c r="B7661">
        <v>1239</v>
      </c>
    </row>
    <row r="7663" spans="1:2" s="344" customFormat="1" ht="14.25" customHeight="1">
      <c r="A7663" s="345" t="s">
        <v>1767</v>
      </c>
    </row>
    <row r="7665" spans="1:2" ht="14.25" customHeight="1">
      <c r="A7665" t="s">
        <v>753</v>
      </c>
      <c r="B7665" s="346">
        <v>920</v>
      </c>
    </row>
    <row r="7667" spans="1:2" ht="14.25" customHeight="1">
      <c r="A7667" t="s">
        <v>581</v>
      </c>
    </row>
    <row r="7668" spans="1:2" ht="14.25" customHeight="1">
      <c r="A7668" t="s">
        <v>214</v>
      </c>
      <c r="B7668">
        <v>920</v>
      </c>
    </row>
    <row r="7669" spans="1:2" ht="14.25" customHeight="1">
      <c r="A7669" t="s">
        <v>215</v>
      </c>
      <c r="B7669">
        <v>1105</v>
      </c>
    </row>
    <row r="7670" spans="1:2" ht="14.25" customHeight="1">
      <c r="A7670" t="s">
        <v>2009</v>
      </c>
      <c r="B7670">
        <v>1105</v>
      </c>
    </row>
    <row r="7671" spans="1:2" ht="14.25" customHeight="1">
      <c r="A7671" t="s">
        <v>586</v>
      </c>
      <c r="B7671">
        <v>3130</v>
      </c>
    </row>
    <row r="7673" spans="1:2" ht="14.25" customHeight="1">
      <c r="A7673" t="s">
        <v>268</v>
      </c>
    </row>
    <row r="7674" spans="1:2" ht="14.25" customHeight="1">
      <c r="A7674" t="s">
        <v>699</v>
      </c>
      <c r="B7674">
        <v>2965</v>
      </c>
    </row>
    <row r="7675" spans="1:2" ht="14.25" customHeight="1">
      <c r="A7675" t="s">
        <v>588</v>
      </c>
      <c r="B7675">
        <v>8895</v>
      </c>
    </row>
    <row r="7678" spans="1:2" ht="14.25" customHeight="1">
      <c r="A7678" t="s">
        <v>769</v>
      </c>
    </row>
    <row r="7680" spans="1:2" ht="14.25" customHeight="1">
      <c r="A7680" t="s">
        <v>1180</v>
      </c>
    </row>
    <row r="7681" spans="1:2" ht="14.25" customHeight="1">
      <c r="A7681" t="s">
        <v>1178</v>
      </c>
      <c r="B7681">
        <v>875</v>
      </c>
    </row>
    <row r="7682" spans="1:2" ht="14.25" customHeight="1">
      <c r="A7682" t="s">
        <v>1179</v>
      </c>
      <c r="B7682">
        <v>875</v>
      </c>
    </row>
    <row r="7683" spans="1:2" ht="14.25" customHeight="1">
      <c r="A7683" t="s">
        <v>2030</v>
      </c>
      <c r="B7683">
        <v>875</v>
      </c>
    </row>
    <row r="7684" spans="1:2" ht="14.25" customHeight="1">
      <c r="A7684" t="s">
        <v>586</v>
      </c>
      <c r="B7684">
        <v>2625</v>
      </c>
    </row>
    <row r="7685" spans="1:2" ht="14.25" customHeight="1">
      <c r="A7685" t="s">
        <v>770</v>
      </c>
      <c r="B7685">
        <v>6270</v>
      </c>
    </row>
    <row r="7686" spans="1:2" ht="14.25" customHeight="1">
      <c r="A7686" t="s">
        <v>770</v>
      </c>
      <c r="B7686">
        <v>0.70489038785834734</v>
      </c>
    </row>
    <row r="7688" spans="1:2" ht="14.25" customHeight="1">
      <c r="A7688" t="s">
        <v>1181</v>
      </c>
    </row>
    <row r="7689" spans="1:2" ht="14.25" customHeight="1">
      <c r="A7689" t="s">
        <v>1182</v>
      </c>
      <c r="B7689">
        <v>920</v>
      </c>
    </row>
    <row r="7690" spans="1:2" ht="14.25" customHeight="1">
      <c r="A7690" t="s">
        <v>1179</v>
      </c>
      <c r="B7690">
        <v>920</v>
      </c>
    </row>
    <row r="7691" spans="1:2" ht="14.25" customHeight="1">
      <c r="A7691" t="s">
        <v>2030</v>
      </c>
      <c r="B7691">
        <v>920</v>
      </c>
    </row>
    <row r="7692" spans="1:2" ht="14.25" customHeight="1">
      <c r="A7692" t="s">
        <v>586</v>
      </c>
      <c r="B7692">
        <v>2760</v>
      </c>
    </row>
    <row r="7693" spans="1:2" ht="14.25" customHeight="1">
      <c r="A7693" t="s">
        <v>770</v>
      </c>
      <c r="B7693">
        <v>6135</v>
      </c>
    </row>
    <row r="7694" spans="1:2" ht="14.25" customHeight="1">
      <c r="A7694" t="s">
        <v>770</v>
      </c>
      <c r="B7694">
        <v>0.6897133220910624</v>
      </c>
    </row>
    <row r="7696" spans="1:2" ht="14.25" customHeight="1">
      <c r="A7696" t="s">
        <v>2031</v>
      </c>
    </row>
    <row r="7697" spans="1:2" ht="14.25" customHeight="1">
      <c r="A7697" t="s">
        <v>1182</v>
      </c>
      <c r="B7697">
        <v>920</v>
      </c>
    </row>
    <row r="7698" spans="1:2" ht="14.25" customHeight="1">
      <c r="A7698" t="s">
        <v>2032</v>
      </c>
      <c r="B7698">
        <v>1105</v>
      </c>
    </row>
    <row r="7699" spans="1:2" ht="14.25" customHeight="1">
      <c r="A7699" t="s">
        <v>2030</v>
      </c>
      <c r="B7699">
        <v>920</v>
      </c>
    </row>
    <row r="7700" spans="1:2" ht="14.25" customHeight="1">
      <c r="A7700" t="s">
        <v>586</v>
      </c>
      <c r="B7700">
        <v>2945</v>
      </c>
    </row>
    <row r="7701" spans="1:2" ht="14.25" customHeight="1">
      <c r="A7701" t="s">
        <v>770</v>
      </c>
      <c r="B7701">
        <v>5950</v>
      </c>
    </row>
    <row r="7702" spans="1:2" ht="14.25" customHeight="1">
      <c r="A7702" t="s">
        <v>770</v>
      </c>
      <c r="B7702">
        <v>0.66891512085441263</v>
      </c>
    </row>
    <row r="7704" spans="1:2" ht="14.25" customHeight="1">
      <c r="A7704" t="s">
        <v>1943</v>
      </c>
      <c r="B7704">
        <v>966</v>
      </c>
    </row>
    <row r="7706" spans="1:2" s="344" customFormat="1" ht="14.25" customHeight="1">
      <c r="A7706" s="345" t="s">
        <v>1903</v>
      </c>
    </row>
    <row r="7708" spans="1:2" ht="14.25" customHeight="1">
      <c r="A7708" t="s">
        <v>753</v>
      </c>
      <c r="B7708" s="346">
        <v>1040</v>
      </c>
    </row>
    <row r="7710" spans="1:2" ht="14.25" customHeight="1">
      <c r="A7710" t="s">
        <v>581</v>
      </c>
    </row>
    <row r="7711" spans="1:2" ht="14.25" customHeight="1">
      <c r="A7711" t="s">
        <v>214</v>
      </c>
      <c r="B7711">
        <v>1040</v>
      </c>
    </row>
    <row r="7712" spans="1:2" ht="14.25" customHeight="1">
      <c r="A7712" t="s">
        <v>215</v>
      </c>
      <c r="B7712">
        <v>1250</v>
      </c>
    </row>
    <row r="7713" spans="1:2" ht="14.25" customHeight="1">
      <c r="A7713" t="s">
        <v>2009</v>
      </c>
      <c r="B7713">
        <v>1250</v>
      </c>
    </row>
    <row r="7714" spans="1:2" ht="14.25" customHeight="1">
      <c r="A7714" t="s">
        <v>586</v>
      </c>
      <c r="B7714">
        <v>3540</v>
      </c>
    </row>
    <row r="7716" spans="1:2" ht="14.25" customHeight="1">
      <c r="A7716" t="s">
        <v>268</v>
      </c>
    </row>
    <row r="7717" spans="1:2" ht="14.25" customHeight="1">
      <c r="A7717" t="s">
        <v>699</v>
      </c>
      <c r="B7717">
        <v>3715</v>
      </c>
    </row>
    <row r="7718" spans="1:2" ht="14.25" customHeight="1">
      <c r="A7718" t="s">
        <v>588</v>
      </c>
      <c r="B7718">
        <v>11145</v>
      </c>
    </row>
    <row r="7721" spans="1:2" ht="14.25" customHeight="1">
      <c r="A7721" t="s">
        <v>769</v>
      </c>
    </row>
    <row r="7723" spans="1:2" ht="14.25" customHeight="1">
      <c r="A7723" t="s">
        <v>1180</v>
      </c>
    </row>
    <row r="7724" spans="1:2" ht="14.25" customHeight="1">
      <c r="A7724" t="s">
        <v>1178</v>
      </c>
      <c r="B7724">
        <v>1125</v>
      </c>
    </row>
    <row r="7725" spans="1:2" ht="14.25" customHeight="1">
      <c r="A7725" t="s">
        <v>1179</v>
      </c>
      <c r="B7725">
        <v>1125</v>
      </c>
    </row>
    <row r="7726" spans="1:2" ht="14.25" customHeight="1">
      <c r="A7726" t="s">
        <v>2030</v>
      </c>
      <c r="B7726">
        <v>1125</v>
      </c>
    </row>
    <row r="7727" spans="1:2" ht="14.25" customHeight="1">
      <c r="A7727" t="s">
        <v>586</v>
      </c>
      <c r="B7727">
        <v>3375</v>
      </c>
    </row>
    <row r="7728" spans="1:2" ht="14.25" customHeight="1">
      <c r="A7728" t="s">
        <v>770</v>
      </c>
      <c r="B7728">
        <v>7770</v>
      </c>
    </row>
    <row r="7729" spans="1:2" ht="14.25" customHeight="1">
      <c r="A7729" t="s">
        <v>770</v>
      </c>
      <c r="B7729">
        <v>0.69717362045760434</v>
      </c>
    </row>
    <row r="7731" spans="1:2" ht="14.25" customHeight="1">
      <c r="A7731" t="s">
        <v>1181</v>
      </c>
    </row>
    <row r="7732" spans="1:2" ht="14.25" customHeight="1">
      <c r="A7732" t="s">
        <v>1182</v>
      </c>
      <c r="B7732">
        <v>1040</v>
      </c>
    </row>
    <row r="7733" spans="1:2" ht="14.25" customHeight="1">
      <c r="A7733" t="s">
        <v>1179</v>
      </c>
      <c r="B7733">
        <v>1180</v>
      </c>
    </row>
    <row r="7734" spans="1:2" ht="14.25" customHeight="1">
      <c r="A7734" t="s">
        <v>2030</v>
      </c>
      <c r="B7734">
        <v>1180</v>
      </c>
    </row>
    <row r="7735" spans="1:2" ht="14.25" customHeight="1">
      <c r="A7735" t="s">
        <v>586</v>
      </c>
      <c r="B7735">
        <v>3400</v>
      </c>
    </row>
    <row r="7736" spans="1:2" ht="14.25" customHeight="1">
      <c r="A7736" t="s">
        <v>770</v>
      </c>
      <c r="B7736">
        <v>7745</v>
      </c>
    </row>
    <row r="7737" spans="1:2" ht="14.25" customHeight="1">
      <c r="A7737" t="s">
        <v>770</v>
      </c>
      <c r="B7737">
        <v>0.69493046209062359</v>
      </c>
    </row>
    <row r="7739" spans="1:2" ht="14.25" customHeight="1">
      <c r="A7739" t="s">
        <v>2031</v>
      </c>
    </row>
    <row r="7740" spans="1:2" ht="14.25" customHeight="1">
      <c r="A7740" t="s">
        <v>1182</v>
      </c>
      <c r="B7740">
        <v>1040</v>
      </c>
    </row>
    <row r="7741" spans="1:2" ht="14.25" customHeight="1">
      <c r="A7741" t="s">
        <v>2032</v>
      </c>
      <c r="B7741">
        <v>1250</v>
      </c>
    </row>
    <row r="7742" spans="1:2" ht="14.25" customHeight="1">
      <c r="A7742" t="s">
        <v>2030</v>
      </c>
      <c r="B7742">
        <v>1180</v>
      </c>
    </row>
    <row r="7743" spans="1:2" ht="14.25" customHeight="1">
      <c r="A7743" t="s">
        <v>586</v>
      </c>
      <c r="B7743">
        <v>3470</v>
      </c>
    </row>
    <row r="7744" spans="1:2" ht="14.25" customHeight="1">
      <c r="A7744" t="s">
        <v>770</v>
      </c>
      <c r="B7744">
        <v>7675</v>
      </c>
    </row>
    <row r="7745" spans="1:2" ht="14.25" customHeight="1">
      <c r="A7745" t="s">
        <v>770</v>
      </c>
      <c r="B7745">
        <v>0.68864961866307761</v>
      </c>
    </row>
    <row r="7747" spans="1:2" ht="14.25" customHeight="1">
      <c r="A7747" t="s">
        <v>1943</v>
      </c>
      <c r="B7747">
        <v>1239</v>
      </c>
    </row>
    <row r="7749" spans="1:2" s="344" customFormat="1" ht="14.25" customHeight="1">
      <c r="A7749" s="345" t="s">
        <v>1900</v>
      </c>
    </row>
    <row r="7751" spans="1:2" ht="14.25" customHeight="1">
      <c r="A7751" t="s">
        <v>753</v>
      </c>
      <c r="B7751" s="346">
        <v>2670</v>
      </c>
    </row>
    <row r="7753" spans="1:2" ht="14.25" customHeight="1">
      <c r="A7753" t="s">
        <v>581</v>
      </c>
    </row>
    <row r="7754" spans="1:2" ht="14.25" customHeight="1">
      <c r="A7754" t="s">
        <v>214</v>
      </c>
      <c r="B7754">
        <v>2670</v>
      </c>
    </row>
    <row r="7755" spans="1:2" ht="14.25" customHeight="1">
      <c r="A7755" t="s">
        <v>215</v>
      </c>
      <c r="B7755">
        <v>3205</v>
      </c>
    </row>
    <row r="7756" spans="1:2" ht="14.25" customHeight="1">
      <c r="A7756" t="s">
        <v>2009</v>
      </c>
      <c r="B7756">
        <v>3205</v>
      </c>
    </row>
    <row r="7757" spans="1:2" ht="14.25" customHeight="1">
      <c r="A7757" t="s">
        <v>586</v>
      </c>
      <c r="B7757">
        <v>9080</v>
      </c>
    </row>
    <row r="7759" spans="1:2" ht="14.25" customHeight="1">
      <c r="A7759" t="s">
        <v>268</v>
      </c>
    </row>
    <row r="7760" spans="1:2" ht="14.25" customHeight="1">
      <c r="A7760" t="s">
        <v>699</v>
      </c>
      <c r="B7760">
        <v>3290</v>
      </c>
    </row>
    <row r="7761" spans="1:2" ht="14.25" customHeight="1">
      <c r="A7761" t="s">
        <v>588</v>
      </c>
      <c r="B7761">
        <v>9870</v>
      </c>
    </row>
    <row r="7764" spans="1:2" ht="14.25" customHeight="1">
      <c r="A7764" t="s">
        <v>769</v>
      </c>
    </row>
    <row r="7766" spans="1:2" ht="14.25" customHeight="1">
      <c r="A7766" t="s">
        <v>1180</v>
      </c>
    </row>
    <row r="7767" spans="1:2" ht="14.25" customHeight="1">
      <c r="A7767" t="s">
        <v>1178</v>
      </c>
      <c r="B7767">
        <v>1210</v>
      </c>
    </row>
    <row r="7768" spans="1:2" ht="14.25" customHeight="1">
      <c r="A7768" t="s">
        <v>1179</v>
      </c>
      <c r="B7768">
        <v>1210</v>
      </c>
    </row>
    <row r="7769" spans="1:2" ht="14.25" customHeight="1">
      <c r="A7769" t="s">
        <v>2030</v>
      </c>
      <c r="B7769">
        <v>1210</v>
      </c>
    </row>
    <row r="7770" spans="1:2" ht="14.25" customHeight="1">
      <c r="A7770" t="s">
        <v>586</v>
      </c>
      <c r="B7770">
        <v>3630</v>
      </c>
    </row>
    <row r="7771" spans="1:2" ht="14.25" customHeight="1">
      <c r="A7771" t="s">
        <v>770</v>
      </c>
      <c r="B7771">
        <v>6240</v>
      </c>
    </row>
    <row r="7772" spans="1:2" ht="14.25" customHeight="1">
      <c r="A7772" t="s">
        <v>770</v>
      </c>
      <c r="B7772">
        <v>0.63221884498480241</v>
      </c>
    </row>
    <row r="7774" spans="1:2" ht="14.25" customHeight="1">
      <c r="A7774" t="s">
        <v>1181</v>
      </c>
    </row>
    <row r="7775" spans="1:2" ht="14.25" customHeight="1">
      <c r="A7775" t="s">
        <v>1182</v>
      </c>
      <c r="B7775">
        <v>2670</v>
      </c>
    </row>
    <row r="7776" spans="1:2" ht="14.25" customHeight="1">
      <c r="A7776" t="s">
        <v>1179</v>
      </c>
      <c r="B7776">
        <v>1270</v>
      </c>
    </row>
    <row r="7777" spans="1:2" ht="14.25" customHeight="1">
      <c r="A7777" t="s">
        <v>2030</v>
      </c>
      <c r="B7777">
        <v>1270</v>
      </c>
    </row>
    <row r="7778" spans="1:2" ht="14.25" customHeight="1">
      <c r="A7778" t="s">
        <v>586</v>
      </c>
      <c r="B7778">
        <v>5210</v>
      </c>
    </row>
    <row r="7779" spans="1:2" ht="14.25" customHeight="1">
      <c r="A7779" t="s">
        <v>770</v>
      </c>
      <c r="B7779">
        <v>4660</v>
      </c>
    </row>
    <row r="7780" spans="1:2" ht="14.25" customHeight="1">
      <c r="A7780" t="s">
        <v>770</v>
      </c>
      <c r="B7780">
        <v>0.47213779128672745</v>
      </c>
    </row>
    <row r="7782" spans="1:2" ht="14.25" customHeight="1">
      <c r="A7782" t="s">
        <v>2031</v>
      </c>
    </row>
    <row r="7783" spans="1:2" ht="14.25" customHeight="1">
      <c r="A7783" t="s">
        <v>1182</v>
      </c>
      <c r="B7783">
        <v>2670</v>
      </c>
    </row>
    <row r="7784" spans="1:2" ht="14.25" customHeight="1">
      <c r="A7784" t="s">
        <v>2032</v>
      </c>
      <c r="B7784">
        <v>3205</v>
      </c>
    </row>
    <row r="7785" spans="1:2" ht="14.25" customHeight="1">
      <c r="A7785" t="s">
        <v>2030</v>
      </c>
      <c r="B7785">
        <v>1270</v>
      </c>
    </row>
    <row r="7786" spans="1:2" ht="14.25" customHeight="1">
      <c r="A7786" t="s">
        <v>586</v>
      </c>
      <c r="B7786">
        <v>7145</v>
      </c>
    </row>
    <row r="7787" spans="1:2" ht="14.25" customHeight="1">
      <c r="A7787" t="s">
        <v>770</v>
      </c>
      <c r="B7787">
        <v>2725</v>
      </c>
    </row>
    <row r="7788" spans="1:2" ht="14.25" customHeight="1">
      <c r="A7788" t="s">
        <v>770</v>
      </c>
      <c r="B7788">
        <v>0.27608915906788245</v>
      </c>
    </row>
    <row r="7790" spans="1:2" ht="14.25" customHeight="1">
      <c r="A7790" t="s">
        <v>1943</v>
      </c>
      <c r="B7790">
        <v>1333.5</v>
      </c>
    </row>
    <row r="7792" spans="1:2" s="344" customFormat="1" ht="14.25" customHeight="1">
      <c r="A7792" s="345" t="s">
        <v>1768</v>
      </c>
    </row>
    <row r="7794" spans="1:2" ht="14.25" customHeight="1">
      <c r="A7794" t="s">
        <v>753</v>
      </c>
      <c r="B7794" s="346">
        <v>35</v>
      </c>
    </row>
    <row r="7796" spans="1:2" ht="14.25" customHeight="1">
      <c r="A7796" t="s">
        <v>581</v>
      </c>
    </row>
    <row r="7797" spans="1:2" ht="14.25" customHeight="1">
      <c r="A7797" t="s">
        <v>214</v>
      </c>
      <c r="B7797">
        <v>35</v>
      </c>
    </row>
    <row r="7798" spans="1:2" ht="14.25" customHeight="1">
      <c r="A7798" t="s">
        <v>215</v>
      </c>
      <c r="B7798">
        <v>40</v>
      </c>
    </row>
    <row r="7799" spans="1:2" ht="14.25" customHeight="1">
      <c r="A7799" t="s">
        <v>2009</v>
      </c>
      <c r="B7799">
        <v>40</v>
      </c>
    </row>
    <row r="7800" spans="1:2" ht="14.25" customHeight="1">
      <c r="A7800" t="s">
        <v>586</v>
      </c>
      <c r="B7800">
        <v>115</v>
      </c>
    </row>
    <row r="7802" spans="1:2" ht="14.25" customHeight="1">
      <c r="A7802" t="s">
        <v>268</v>
      </c>
    </row>
    <row r="7803" spans="1:2" ht="14.25" customHeight="1">
      <c r="A7803" t="s">
        <v>699</v>
      </c>
      <c r="B7803">
        <v>140</v>
      </c>
    </row>
    <row r="7804" spans="1:2" ht="14.25" customHeight="1">
      <c r="A7804" t="s">
        <v>588</v>
      </c>
      <c r="B7804">
        <v>420</v>
      </c>
    </row>
    <row r="7807" spans="1:2" ht="14.25" customHeight="1">
      <c r="A7807" t="s">
        <v>769</v>
      </c>
    </row>
    <row r="7809" spans="1:2" ht="14.25" customHeight="1">
      <c r="A7809" t="s">
        <v>1180</v>
      </c>
    </row>
    <row r="7810" spans="1:2" ht="14.25" customHeight="1">
      <c r="A7810" t="s">
        <v>1178</v>
      </c>
      <c r="B7810">
        <v>30</v>
      </c>
    </row>
    <row r="7811" spans="1:2" ht="14.25" customHeight="1">
      <c r="A7811" t="s">
        <v>1179</v>
      </c>
      <c r="B7811">
        <v>30</v>
      </c>
    </row>
    <row r="7812" spans="1:2" ht="14.25" customHeight="1">
      <c r="A7812" t="s">
        <v>2030</v>
      </c>
      <c r="B7812">
        <v>30</v>
      </c>
    </row>
    <row r="7813" spans="1:2" ht="14.25" customHeight="1">
      <c r="A7813" t="s">
        <v>586</v>
      </c>
      <c r="B7813">
        <v>90</v>
      </c>
    </row>
    <row r="7814" spans="1:2" ht="14.25" customHeight="1">
      <c r="A7814" t="s">
        <v>770</v>
      </c>
      <c r="B7814">
        <v>330</v>
      </c>
    </row>
    <row r="7815" spans="1:2" ht="14.25" customHeight="1">
      <c r="A7815" t="s">
        <v>770</v>
      </c>
      <c r="B7815">
        <v>0.7857142857142857</v>
      </c>
    </row>
    <row r="7817" spans="1:2" ht="14.25" customHeight="1">
      <c r="A7817" t="s">
        <v>1181</v>
      </c>
    </row>
    <row r="7818" spans="1:2" ht="14.25" customHeight="1">
      <c r="A7818" t="s">
        <v>1182</v>
      </c>
      <c r="B7818">
        <v>35</v>
      </c>
    </row>
    <row r="7819" spans="1:2" ht="14.25" customHeight="1">
      <c r="A7819" t="s">
        <v>1179</v>
      </c>
      <c r="B7819">
        <v>30</v>
      </c>
    </row>
    <row r="7820" spans="1:2" ht="14.25" customHeight="1">
      <c r="A7820" t="s">
        <v>2030</v>
      </c>
      <c r="B7820">
        <v>30</v>
      </c>
    </row>
    <row r="7821" spans="1:2" ht="14.25" customHeight="1">
      <c r="A7821" t="s">
        <v>586</v>
      </c>
      <c r="B7821">
        <v>95</v>
      </c>
    </row>
    <row r="7822" spans="1:2" ht="14.25" customHeight="1">
      <c r="A7822" t="s">
        <v>770</v>
      </c>
      <c r="B7822">
        <v>325</v>
      </c>
    </row>
    <row r="7823" spans="1:2" ht="14.25" customHeight="1">
      <c r="A7823" t="s">
        <v>770</v>
      </c>
      <c r="B7823">
        <v>0.77380952380952384</v>
      </c>
    </row>
    <row r="7825" spans="1:2" ht="14.25" customHeight="1">
      <c r="A7825" t="s">
        <v>2031</v>
      </c>
    </row>
    <row r="7826" spans="1:2" ht="14.25" customHeight="1">
      <c r="A7826" t="s">
        <v>1182</v>
      </c>
      <c r="B7826">
        <v>35</v>
      </c>
    </row>
    <row r="7827" spans="1:2" ht="14.25" customHeight="1">
      <c r="A7827" t="s">
        <v>2032</v>
      </c>
      <c r="B7827">
        <v>40</v>
      </c>
    </row>
    <row r="7828" spans="1:2" ht="14.25" customHeight="1">
      <c r="A7828" t="s">
        <v>2030</v>
      </c>
      <c r="B7828">
        <v>30</v>
      </c>
    </row>
    <row r="7829" spans="1:2" ht="14.25" customHeight="1">
      <c r="A7829" t="s">
        <v>586</v>
      </c>
      <c r="B7829">
        <v>105</v>
      </c>
    </row>
    <row r="7830" spans="1:2" ht="14.25" customHeight="1">
      <c r="A7830" t="s">
        <v>770</v>
      </c>
      <c r="B7830">
        <v>315</v>
      </c>
    </row>
    <row r="7831" spans="1:2" ht="14.25" customHeight="1">
      <c r="A7831" t="s">
        <v>770</v>
      </c>
      <c r="B7831">
        <v>0.75</v>
      </c>
    </row>
    <row r="7833" spans="1:2" ht="14.25" customHeight="1">
      <c r="A7833" t="s">
        <v>1943</v>
      </c>
      <c r="B7833">
        <v>31.5</v>
      </c>
    </row>
    <row r="7835" spans="1:2" s="344" customFormat="1" ht="14.25" customHeight="1">
      <c r="A7835" s="345" t="s">
        <v>2043</v>
      </c>
    </row>
    <row r="7837" spans="1:2" ht="14.25" customHeight="1">
      <c r="A7837" t="s">
        <v>753</v>
      </c>
      <c r="B7837" s="346">
        <v>570</v>
      </c>
    </row>
    <row r="7839" spans="1:2" ht="14.25" customHeight="1">
      <c r="A7839" t="s">
        <v>581</v>
      </c>
    </row>
    <row r="7840" spans="1:2" ht="14.25" customHeight="1">
      <c r="A7840" t="s">
        <v>214</v>
      </c>
      <c r="B7840">
        <v>570</v>
      </c>
    </row>
    <row r="7841" spans="1:2" ht="14.25" customHeight="1">
      <c r="A7841" t="s">
        <v>215</v>
      </c>
      <c r="B7841">
        <v>685</v>
      </c>
    </row>
    <row r="7842" spans="1:2" ht="14.25" customHeight="1">
      <c r="A7842" t="s">
        <v>2009</v>
      </c>
      <c r="B7842">
        <v>685</v>
      </c>
    </row>
    <row r="7843" spans="1:2" ht="14.25" customHeight="1">
      <c r="A7843" t="s">
        <v>586</v>
      </c>
      <c r="B7843">
        <v>1940</v>
      </c>
    </row>
    <row r="7845" spans="1:2" ht="14.25" customHeight="1">
      <c r="A7845" t="s">
        <v>268</v>
      </c>
    </row>
    <row r="7846" spans="1:2" ht="14.25" customHeight="1">
      <c r="A7846" t="s">
        <v>699</v>
      </c>
      <c r="B7846">
        <v>3715</v>
      </c>
    </row>
    <row r="7847" spans="1:2" ht="14.25" customHeight="1">
      <c r="A7847" t="s">
        <v>588</v>
      </c>
      <c r="B7847">
        <v>11145</v>
      </c>
    </row>
    <row r="7850" spans="1:2" ht="14.25" customHeight="1">
      <c r="A7850" t="s">
        <v>769</v>
      </c>
    </row>
    <row r="7852" spans="1:2" ht="14.25" customHeight="1">
      <c r="A7852" t="s">
        <v>1180</v>
      </c>
    </row>
    <row r="7853" spans="1:2" ht="14.25" customHeight="1">
      <c r="A7853" t="s">
        <v>1178</v>
      </c>
      <c r="B7853">
        <v>1125</v>
      </c>
    </row>
    <row r="7854" spans="1:2" ht="14.25" customHeight="1">
      <c r="A7854" t="s">
        <v>1179</v>
      </c>
      <c r="B7854">
        <v>1125</v>
      </c>
    </row>
    <row r="7855" spans="1:2" ht="14.25" customHeight="1">
      <c r="A7855" t="s">
        <v>2030</v>
      </c>
      <c r="B7855">
        <v>1125</v>
      </c>
    </row>
    <row r="7856" spans="1:2" ht="14.25" customHeight="1">
      <c r="A7856" t="s">
        <v>586</v>
      </c>
      <c r="B7856">
        <v>3375</v>
      </c>
    </row>
    <row r="7857" spans="1:2" ht="14.25" customHeight="1">
      <c r="A7857" t="s">
        <v>770</v>
      </c>
      <c r="B7857">
        <v>7770</v>
      </c>
    </row>
    <row r="7858" spans="1:2" ht="14.25" customHeight="1">
      <c r="A7858" t="s">
        <v>770</v>
      </c>
      <c r="B7858">
        <v>0.69717362045760434</v>
      </c>
    </row>
    <row r="7860" spans="1:2" ht="14.25" customHeight="1">
      <c r="A7860" t="s">
        <v>1181</v>
      </c>
    </row>
    <row r="7861" spans="1:2" ht="14.25" customHeight="1">
      <c r="A7861" t="s">
        <v>1182</v>
      </c>
      <c r="B7861">
        <v>570</v>
      </c>
    </row>
    <row r="7862" spans="1:2" ht="14.25" customHeight="1">
      <c r="A7862" t="s">
        <v>1179</v>
      </c>
      <c r="B7862">
        <v>1180</v>
      </c>
    </row>
    <row r="7863" spans="1:2" ht="14.25" customHeight="1">
      <c r="A7863" t="s">
        <v>2030</v>
      </c>
      <c r="B7863">
        <v>1180</v>
      </c>
    </row>
    <row r="7864" spans="1:2" ht="14.25" customHeight="1">
      <c r="A7864" t="s">
        <v>586</v>
      </c>
      <c r="B7864">
        <v>2930</v>
      </c>
    </row>
    <row r="7865" spans="1:2" ht="14.25" customHeight="1">
      <c r="A7865" t="s">
        <v>770</v>
      </c>
      <c r="B7865">
        <v>8215</v>
      </c>
    </row>
    <row r="7866" spans="1:2" ht="14.25" customHeight="1">
      <c r="A7866" t="s">
        <v>770</v>
      </c>
      <c r="B7866">
        <v>0.73710183938986096</v>
      </c>
    </row>
    <row r="7868" spans="1:2" ht="14.25" customHeight="1">
      <c r="A7868" t="s">
        <v>2031</v>
      </c>
    </row>
    <row r="7869" spans="1:2" ht="14.25" customHeight="1">
      <c r="A7869" t="s">
        <v>1182</v>
      </c>
      <c r="B7869">
        <v>570</v>
      </c>
    </row>
    <row r="7870" spans="1:2" ht="14.25" customHeight="1">
      <c r="A7870" t="s">
        <v>2032</v>
      </c>
      <c r="B7870">
        <v>685</v>
      </c>
    </row>
    <row r="7871" spans="1:2" ht="14.25" customHeight="1">
      <c r="A7871" t="s">
        <v>2030</v>
      </c>
      <c r="B7871">
        <v>1180</v>
      </c>
    </row>
    <row r="7872" spans="1:2" ht="14.25" customHeight="1">
      <c r="A7872" t="s">
        <v>586</v>
      </c>
      <c r="B7872">
        <v>2435</v>
      </c>
    </row>
    <row r="7873" spans="1:2" ht="14.25" customHeight="1">
      <c r="A7873" t="s">
        <v>770</v>
      </c>
      <c r="B7873">
        <v>8710</v>
      </c>
    </row>
    <row r="7874" spans="1:2" ht="14.25" customHeight="1">
      <c r="A7874" t="s">
        <v>770</v>
      </c>
      <c r="B7874">
        <v>0.78151637505607896</v>
      </c>
    </row>
    <row r="7876" spans="1:2" ht="14.25" customHeight="1">
      <c r="A7876" t="s">
        <v>1943</v>
      </c>
      <c r="B7876">
        <v>1239</v>
      </c>
    </row>
    <row r="7878" spans="1:2" s="344" customFormat="1" ht="14.25" customHeight="1">
      <c r="A7878" s="345" t="s">
        <v>1769</v>
      </c>
    </row>
    <row r="7880" spans="1:2" ht="14.25" customHeight="1">
      <c r="A7880" t="s">
        <v>753</v>
      </c>
      <c r="B7880" s="346">
        <v>14780</v>
      </c>
    </row>
    <row r="7882" spans="1:2" ht="14.25" customHeight="1">
      <c r="A7882" t="s">
        <v>581</v>
      </c>
    </row>
    <row r="7883" spans="1:2" ht="14.25" customHeight="1">
      <c r="A7883" t="s">
        <v>214</v>
      </c>
      <c r="B7883">
        <v>14780</v>
      </c>
    </row>
    <row r="7884" spans="1:2" ht="14.25" customHeight="1">
      <c r="A7884" t="s">
        <v>215</v>
      </c>
      <c r="B7884">
        <v>17735</v>
      </c>
    </row>
    <row r="7885" spans="1:2" ht="14.25" customHeight="1">
      <c r="A7885" t="s">
        <v>2009</v>
      </c>
      <c r="B7885">
        <v>17735</v>
      </c>
    </row>
    <row r="7886" spans="1:2" ht="14.25" customHeight="1">
      <c r="A7886" t="s">
        <v>586</v>
      </c>
      <c r="B7886">
        <v>50250</v>
      </c>
    </row>
    <row r="7888" spans="1:2" ht="14.25" customHeight="1">
      <c r="A7888" t="s">
        <v>268</v>
      </c>
    </row>
    <row r="7889" spans="1:2" ht="14.25" customHeight="1">
      <c r="A7889" t="s">
        <v>699</v>
      </c>
      <c r="B7889">
        <v>51745</v>
      </c>
    </row>
    <row r="7890" spans="1:2" ht="14.25" customHeight="1">
      <c r="A7890" t="s">
        <v>588</v>
      </c>
      <c r="B7890">
        <v>155235</v>
      </c>
    </row>
    <row r="7893" spans="1:2" ht="14.25" customHeight="1">
      <c r="A7893" t="s">
        <v>769</v>
      </c>
    </row>
    <row r="7895" spans="1:2" ht="14.25" customHeight="1">
      <c r="A7895" t="s">
        <v>1180</v>
      </c>
    </row>
    <row r="7896" spans="1:2" ht="14.25" customHeight="1">
      <c r="A7896" t="s">
        <v>1178</v>
      </c>
      <c r="B7896">
        <v>14105</v>
      </c>
    </row>
    <row r="7897" spans="1:2" ht="14.25" customHeight="1">
      <c r="A7897" t="s">
        <v>1179</v>
      </c>
      <c r="B7897">
        <v>14105</v>
      </c>
    </row>
    <row r="7898" spans="1:2" ht="14.25" customHeight="1">
      <c r="A7898" t="s">
        <v>2030</v>
      </c>
      <c r="B7898">
        <v>14105</v>
      </c>
    </row>
    <row r="7899" spans="1:2" ht="14.25" customHeight="1">
      <c r="A7899" t="s">
        <v>586</v>
      </c>
      <c r="B7899">
        <v>42315</v>
      </c>
    </row>
    <row r="7900" spans="1:2" ht="14.25" customHeight="1">
      <c r="A7900" t="s">
        <v>770</v>
      </c>
      <c r="B7900">
        <v>112920</v>
      </c>
    </row>
    <row r="7901" spans="1:2" ht="14.25" customHeight="1">
      <c r="A7901" t="s">
        <v>770</v>
      </c>
      <c r="B7901">
        <v>0.72741327664508648</v>
      </c>
    </row>
    <row r="7903" spans="1:2" ht="14.25" customHeight="1">
      <c r="A7903" t="s">
        <v>1181</v>
      </c>
    </row>
    <row r="7904" spans="1:2" ht="14.25" customHeight="1">
      <c r="A7904" t="s">
        <v>1182</v>
      </c>
      <c r="B7904">
        <v>14780</v>
      </c>
    </row>
    <row r="7905" spans="1:2" ht="14.25" customHeight="1">
      <c r="A7905" t="s">
        <v>1179</v>
      </c>
      <c r="B7905">
        <v>14810</v>
      </c>
    </row>
    <row r="7906" spans="1:2" ht="14.25" customHeight="1">
      <c r="A7906" t="s">
        <v>2030</v>
      </c>
      <c r="B7906">
        <v>14810</v>
      </c>
    </row>
    <row r="7907" spans="1:2" ht="14.25" customHeight="1">
      <c r="A7907" t="s">
        <v>586</v>
      </c>
      <c r="B7907">
        <v>44400</v>
      </c>
    </row>
    <row r="7908" spans="1:2" ht="14.25" customHeight="1">
      <c r="A7908" t="s">
        <v>770</v>
      </c>
      <c r="B7908">
        <v>110835</v>
      </c>
    </row>
    <row r="7909" spans="1:2" ht="14.25" customHeight="1">
      <c r="A7909" t="s">
        <v>770</v>
      </c>
      <c r="B7909">
        <v>0.71398202724900961</v>
      </c>
    </row>
    <row r="7911" spans="1:2" ht="14.25" customHeight="1">
      <c r="A7911" t="s">
        <v>2031</v>
      </c>
    </row>
    <row r="7912" spans="1:2" ht="14.25" customHeight="1">
      <c r="A7912" t="s">
        <v>1182</v>
      </c>
      <c r="B7912">
        <v>14780</v>
      </c>
    </row>
    <row r="7913" spans="1:2" ht="14.25" customHeight="1">
      <c r="A7913" t="s">
        <v>2032</v>
      </c>
      <c r="B7913">
        <v>17735</v>
      </c>
    </row>
    <row r="7914" spans="1:2" ht="14.25" customHeight="1">
      <c r="A7914" t="s">
        <v>2030</v>
      </c>
      <c r="B7914">
        <v>14810</v>
      </c>
    </row>
    <row r="7915" spans="1:2" ht="14.25" customHeight="1">
      <c r="A7915" t="s">
        <v>586</v>
      </c>
      <c r="B7915">
        <v>47325</v>
      </c>
    </row>
    <row r="7916" spans="1:2" ht="14.25" customHeight="1">
      <c r="A7916" t="s">
        <v>770</v>
      </c>
      <c r="B7916">
        <v>107910</v>
      </c>
    </row>
    <row r="7917" spans="1:2" ht="14.25" customHeight="1">
      <c r="A7917" t="s">
        <v>770</v>
      </c>
      <c r="B7917">
        <v>0.69513962701710308</v>
      </c>
    </row>
    <row r="7919" spans="1:2" ht="14.25" customHeight="1">
      <c r="A7919" t="s">
        <v>1943</v>
      </c>
      <c r="B7919">
        <v>15550.5</v>
      </c>
    </row>
    <row r="7921" spans="1:2" s="344" customFormat="1" ht="14.25" customHeight="1">
      <c r="A7921" s="345" t="s">
        <v>1770</v>
      </c>
    </row>
    <row r="7923" spans="1:2" ht="14.25" customHeight="1">
      <c r="A7923" t="s">
        <v>753</v>
      </c>
      <c r="B7923" s="346">
        <v>2515</v>
      </c>
    </row>
    <row r="7925" spans="1:2" ht="14.25" customHeight="1">
      <c r="A7925" t="s">
        <v>581</v>
      </c>
    </row>
    <row r="7926" spans="1:2" ht="14.25" customHeight="1">
      <c r="A7926" t="s">
        <v>214</v>
      </c>
      <c r="B7926">
        <v>2515</v>
      </c>
    </row>
    <row r="7927" spans="1:2" ht="14.25" customHeight="1">
      <c r="A7927" t="s">
        <v>215</v>
      </c>
      <c r="B7927">
        <v>3020</v>
      </c>
    </row>
    <row r="7928" spans="1:2" ht="14.25" customHeight="1">
      <c r="A7928" t="s">
        <v>2009</v>
      </c>
      <c r="B7928">
        <v>3020</v>
      </c>
    </row>
    <row r="7929" spans="1:2" ht="14.25" customHeight="1">
      <c r="A7929" t="s">
        <v>586</v>
      </c>
      <c r="B7929">
        <v>8555</v>
      </c>
    </row>
    <row r="7931" spans="1:2" ht="14.25" customHeight="1">
      <c r="A7931" t="s">
        <v>268</v>
      </c>
    </row>
    <row r="7932" spans="1:2" ht="14.25" customHeight="1">
      <c r="A7932" t="s">
        <v>699</v>
      </c>
      <c r="B7932">
        <v>10370</v>
      </c>
    </row>
    <row r="7933" spans="1:2" ht="14.25" customHeight="1">
      <c r="A7933" t="s">
        <v>588</v>
      </c>
      <c r="B7933">
        <v>31110</v>
      </c>
    </row>
    <row r="7936" spans="1:2" ht="14.25" customHeight="1">
      <c r="A7936" t="s">
        <v>769</v>
      </c>
    </row>
    <row r="7938" spans="1:2" ht="14.25" customHeight="1">
      <c r="A7938" t="s">
        <v>1180</v>
      </c>
    </row>
    <row r="7939" spans="1:2" ht="14.25" customHeight="1">
      <c r="A7939" t="s">
        <v>1178</v>
      </c>
      <c r="B7939">
        <v>2400</v>
      </c>
    </row>
    <row r="7940" spans="1:2" ht="14.25" customHeight="1">
      <c r="A7940" t="s">
        <v>1179</v>
      </c>
      <c r="B7940">
        <v>2400</v>
      </c>
    </row>
    <row r="7941" spans="1:2" ht="14.25" customHeight="1">
      <c r="A7941" t="s">
        <v>2030</v>
      </c>
      <c r="B7941">
        <v>2400</v>
      </c>
    </row>
    <row r="7942" spans="1:2" ht="14.25" customHeight="1">
      <c r="A7942" t="s">
        <v>586</v>
      </c>
      <c r="B7942">
        <v>7200</v>
      </c>
    </row>
    <row r="7943" spans="1:2" ht="14.25" customHeight="1">
      <c r="A7943" t="s">
        <v>770</v>
      </c>
      <c r="B7943">
        <v>23910</v>
      </c>
    </row>
    <row r="7944" spans="1:2" ht="14.25" customHeight="1">
      <c r="A7944" t="s">
        <v>770</v>
      </c>
      <c r="B7944">
        <v>0.76856316297010607</v>
      </c>
    </row>
    <row r="7946" spans="1:2" ht="14.25" customHeight="1">
      <c r="A7946" t="s">
        <v>1181</v>
      </c>
    </row>
    <row r="7947" spans="1:2" ht="14.25" customHeight="1">
      <c r="A7947" t="s">
        <v>1182</v>
      </c>
      <c r="B7947">
        <v>2515</v>
      </c>
    </row>
    <row r="7948" spans="1:2" ht="14.25" customHeight="1">
      <c r="A7948" t="s">
        <v>1179</v>
      </c>
      <c r="B7948">
        <v>2520</v>
      </c>
    </row>
    <row r="7949" spans="1:2" ht="14.25" customHeight="1">
      <c r="A7949" t="s">
        <v>2030</v>
      </c>
      <c r="B7949">
        <v>2520</v>
      </c>
    </row>
    <row r="7950" spans="1:2" ht="14.25" customHeight="1">
      <c r="A7950" t="s">
        <v>586</v>
      </c>
      <c r="B7950">
        <v>7555</v>
      </c>
    </row>
    <row r="7951" spans="1:2" ht="14.25" customHeight="1">
      <c r="A7951" t="s">
        <v>770</v>
      </c>
      <c r="B7951">
        <v>23555</v>
      </c>
    </row>
    <row r="7952" spans="1:2" ht="14.25" customHeight="1">
      <c r="A7952" t="s">
        <v>770</v>
      </c>
      <c r="B7952">
        <v>0.75715204114432655</v>
      </c>
    </row>
    <row r="7954" spans="1:2" ht="14.25" customHeight="1">
      <c r="A7954" t="s">
        <v>2031</v>
      </c>
    </row>
    <row r="7955" spans="1:2" ht="14.25" customHeight="1">
      <c r="A7955" t="s">
        <v>1182</v>
      </c>
      <c r="B7955">
        <v>2515</v>
      </c>
    </row>
    <row r="7956" spans="1:2" ht="14.25" customHeight="1">
      <c r="A7956" t="s">
        <v>2032</v>
      </c>
      <c r="B7956">
        <v>3020</v>
      </c>
    </row>
    <row r="7957" spans="1:2" ht="14.25" customHeight="1">
      <c r="A7957" t="s">
        <v>2030</v>
      </c>
      <c r="B7957">
        <v>2520</v>
      </c>
    </row>
    <row r="7958" spans="1:2" ht="14.25" customHeight="1">
      <c r="A7958" t="s">
        <v>586</v>
      </c>
      <c r="B7958">
        <v>8055</v>
      </c>
    </row>
    <row r="7959" spans="1:2" ht="14.25" customHeight="1">
      <c r="A7959" t="s">
        <v>770</v>
      </c>
      <c r="B7959">
        <v>23055</v>
      </c>
    </row>
    <row r="7960" spans="1:2" ht="14.25" customHeight="1">
      <c r="A7960" t="s">
        <v>770</v>
      </c>
      <c r="B7960">
        <v>0.74108003857280613</v>
      </c>
    </row>
    <row r="7962" spans="1:2" ht="14.25" customHeight="1">
      <c r="A7962" t="s">
        <v>1943</v>
      </c>
      <c r="B7962">
        <v>2646</v>
      </c>
    </row>
    <row r="7964" spans="1:2" s="344" customFormat="1" ht="14.25" customHeight="1">
      <c r="A7964" s="345" t="s">
        <v>1771</v>
      </c>
    </row>
    <row r="7966" spans="1:2" ht="14.25" customHeight="1">
      <c r="A7966" t="s">
        <v>753</v>
      </c>
      <c r="B7966" s="346">
        <v>4140</v>
      </c>
    </row>
    <row r="7968" spans="1:2" ht="14.25" customHeight="1">
      <c r="A7968" t="s">
        <v>581</v>
      </c>
    </row>
    <row r="7969" spans="1:2" ht="14.25" customHeight="1">
      <c r="A7969" t="s">
        <v>214</v>
      </c>
      <c r="B7969">
        <v>4140</v>
      </c>
    </row>
    <row r="7970" spans="1:2" ht="14.25" customHeight="1">
      <c r="A7970" t="s">
        <v>215</v>
      </c>
      <c r="B7970">
        <v>4970</v>
      </c>
    </row>
    <row r="7971" spans="1:2" ht="14.25" customHeight="1">
      <c r="A7971" t="s">
        <v>2009</v>
      </c>
      <c r="B7971">
        <v>4970</v>
      </c>
    </row>
    <row r="7972" spans="1:2" ht="14.25" customHeight="1">
      <c r="A7972" t="s">
        <v>586</v>
      </c>
      <c r="B7972">
        <v>14080</v>
      </c>
    </row>
    <row r="7974" spans="1:2" ht="14.25" customHeight="1">
      <c r="A7974" t="s">
        <v>268</v>
      </c>
    </row>
    <row r="7975" spans="1:2" ht="14.25" customHeight="1">
      <c r="A7975" t="s">
        <v>699</v>
      </c>
      <c r="B7975">
        <v>17255</v>
      </c>
    </row>
    <row r="7976" spans="1:2" ht="14.25" customHeight="1">
      <c r="A7976" t="s">
        <v>588</v>
      </c>
      <c r="B7976">
        <v>51765</v>
      </c>
    </row>
    <row r="7979" spans="1:2" ht="14.25" customHeight="1">
      <c r="A7979" t="s">
        <v>769</v>
      </c>
    </row>
    <row r="7981" spans="1:2" ht="14.25" customHeight="1">
      <c r="A7981" t="s">
        <v>1180</v>
      </c>
    </row>
    <row r="7982" spans="1:2" ht="14.25" customHeight="1">
      <c r="A7982" t="s">
        <v>1178</v>
      </c>
      <c r="B7982">
        <v>3955</v>
      </c>
    </row>
    <row r="7983" spans="1:2" ht="14.25" customHeight="1">
      <c r="A7983" t="s">
        <v>1179</v>
      </c>
      <c r="B7983">
        <v>3955</v>
      </c>
    </row>
    <row r="7984" spans="1:2" ht="14.25" customHeight="1">
      <c r="A7984" t="s">
        <v>2030</v>
      </c>
      <c r="B7984">
        <v>3955</v>
      </c>
    </row>
    <row r="7985" spans="1:2" ht="14.25" customHeight="1">
      <c r="A7985" t="s">
        <v>586</v>
      </c>
      <c r="B7985">
        <v>11865</v>
      </c>
    </row>
    <row r="7986" spans="1:2" ht="14.25" customHeight="1">
      <c r="A7986" t="s">
        <v>770</v>
      </c>
      <c r="B7986">
        <v>39900</v>
      </c>
    </row>
    <row r="7987" spans="1:2" ht="14.25" customHeight="1">
      <c r="A7987" t="s">
        <v>770</v>
      </c>
      <c r="B7987">
        <v>0.77079107505070998</v>
      </c>
    </row>
    <row r="7989" spans="1:2" ht="14.25" customHeight="1">
      <c r="A7989" t="s">
        <v>1181</v>
      </c>
    </row>
    <row r="7990" spans="1:2" ht="14.25" customHeight="1">
      <c r="A7990" t="s">
        <v>1182</v>
      </c>
      <c r="B7990">
        <v>4140</v>
      </c>
    </row>
    <row r="7991" spans="1:2" ht="14.25" customHeight="1">
      <c r="A7991" t="s">
        <v>1179</v>
      </c>
      <c r="B7991">
        <v>4155</v>
      </c>
    </row>
    <row r="7992" spans="1:2" ht="14.25" customHeight="1">
      <c r="A7992" t="s">
        <v>2030</v>
      </c>
      <c r="B7992">
        <v>4155</v>
      </c>
    </row>
    <row r="7993" spans="1:2" ht="14.25" customHeight="1">
      <c r="A7993" t="s">
        <v>586</v>
      </c>
      <c r="B7993">
        <v>12450</v>
      </c>
    </row>
    <row r="7994" spans="1:2" ht="14.25" customHeight="1">
      <c r="A7994" t="s">
        <v>770</v>
      </c>
      <c r="B7994">
        <v>39315</v>
      </c>
    </row>
    <row r="7995" spans="1:2" ht="14.25" customHeight="1">
      <c r="A7995" t="s">
        <v>770</v>
      </c>
      <c r="B7995">
        <v>0.75949000289771085</v>
      </c>
    </row>
    <row r="7997" spans="1:2" ht="14.25" customHeight="1">
      <c r="A7997" t="s">
        <v>2031</v>
      </c>
    </row>
    <row r="7998" spans="1:2" ht="14.25" customHeight="1">
      <c r="A7998" t="s">
        <v>1182</v>
      </c>
      <c r="B7998">
        <v>4140</v>
      </c>
    </row>
    <row r="7999" spans="1:2" ht="14.25" customHeight="1">
      <c r="A7999" t="s">
        <v>2032</v>
      </c>
      <c r="B7999">
        <v>4970</v>
      </c>
    </row>
    <row r="8000" spans="1:2" ht="14.25" customHeight="1">
      <c r="A8000" t="s">
        <v>2030</v>
      </c>
      <c r="B8000">
        <v>4155</v>
      </c>
    </row>
    <row r="8001" spans="1:2" ht="14.25" customHeight="1">
      <c r="A8001" t="s">
        <v>586</v>
      </c>
      <c r="B8001">
        <v>13265</v>
      </c>
    </row>
    <row r="8002" spans="1:2" ht="14.25" customHeight="1">
      <c r="A8002" t="s">
        <v>770</v>
      </c>
      <c r="B8002">
        <v>38500</v>
      </c>
    </row>
    <row r="8003" spans="1:2" ht="14.25" customHeight="1">
      <c r="A8003" t="s">
        <v>770</v>
      </c>
      <c r="B8003">
        <v>0.74374577417173771</v>
      </c>
    </row>
    <row r="8005" spans="1:2" ht="14.25" customHeight="1">
      <c r="A8005" t="s">
        <v>1943</v>
      </c>
      <c r="B8005">
        <v>4362.75</v>
      </c>
    </row>
    <row r="8007" spans="1:2" s="344" customFormat="1" ht="14.25" customHeight="1">
      <c r="A8007" s="345" t="s">
        <v>1772</v>
      </c>
    </row>
    <row r="8009" spans="1:2" ht="14.25" customHeight="1">
      <c r="A8009" t="s">
        <v>753</v>
      </c>
      <c r="B8009" s="346">
        <v>3415</v>
      </c>
    </row>
    <row r="8011" spans="1:2" ht="14.25" customHeight="1">
      <c r="A8011" t="s">
        <v>581</v>
      </c>
    </row>
    <row r="8012" spans="1:2" ht="14.25" customHeight="1">
      <c r="A8012" t="s">
        <v>214</v>
      </c>
      <c r="B8012">
        <v>3415</v>
      </c>
    </row>
    <row r="8013" spans="1:2" ht="14.25" customHeight="1">
      <c r="A8013" t="s">
        <v>215</v>
      </c>
      <c r="B8013">
        <v>4100</v>
      </c>
    </row>
    <row r="8014" spans="1:2" ht="14.25" customHeight="1">
      <c r="A8014" t="s">
        <v>2009</v>
      </c>
      <c r="B8014">
        <v>4100</v>
      </c>
    </row>
    <row r="8015" spans="1:2" ht="14.25" customHeight="1">
      <c r="A8015" t="s">
        <v>586</v>
      </c>
      <c r="B8015">
        <v>11615</v>
      </c>
    </row>
    <row r="8017" spans="1:2" ht="14.25" customHeight="1">
      <c r="A8017" t="s">
        <v>268</v>
      </c>
    </row>
    <row r="8018" spans="1:2" ht="14.25" customHeight="1">
      <c r="A8018" t="s">
        <v>699</v>
      </c>
      <c r="B8018">
        <v>13775</v>
      </c>
    </row>
    <row r="8019" spans="1:2" ht="14.25" customHeight="1">
      <c r="A8019" t="s">
        <v>588</v>
      </c>
      <c r="B8019">
        <v>41325</v>
      </c>
    </row>
    <row r="8022" spans="1:2" ht="14.25" customHeight="1">
      <c r="A8022" t="s">
        <v>769</v>
      </c>
    </row>
    <row r="8024" spans="1:2" ht="14.25" customHeight="1">
      <c r="A8024" t="s">
        <v>1180</v>
      </c>
    </row>
    <row r="8025" spans="1:2" ht="14.25" customHeight="1">
      <c r="A8025" t="s">
        <v>1178</v>
      </c>
      <c r="B8025">
        <v>3260</v>
      </c>
    </row>
    <row r="8026" spans="1:2" ht="14.25" customHeight="1">
      <c r="A8026" t="s">
        <v>1179</v>
      </c>
      <c r="B8026">
        <v>3260</v>
      </c>
    </row>
    <row r="8027" spans="1:2" ht="14.25" customHeight="1">
      <c r="A8027" t="s">
        <v>2030</v>
      </c>
      <c r="B8027">
        <v>3260</v>
      </c>
    </row>
    <row r="8028" spans="1:2" ht="14.25" customHeight="1">
      <c r="A8028" t="s">
        <v>586</v>
      </c>
      <c r="B8028">
        <v>9780</v>
      </c>
    </row>
    <row r="8029" spans="1:2" ht="14.25" customHeight="1">
      <c r="A8029" t="s">
        <v>770</v>
      </c>
      <c r="B8029">
        <v>31545</v>
      </c>
    </row>
    <row r="8030" spans="1:2" ht="14.25" customHeight="1">
      <c r="A8030" t="s">
        <v>770</v>
      </c>
      <c r="B8030">
        <v>0.76333938294010895</v>
      </c>
    </row>
    <row r="8032" spans="1:2" ht="14.25" customHeight="1">
      <c r="A8032" t="s">
        <v>1181</v>
      </c>
    </row>
    <row r="8033" spans="1:2" ht="14.25" customHeight="1">
      <c r="A8033" t="s">
        <v>1182</v>
      </c>
      <c r="B8033">
        <v>3415</v>
      </c>
    </row>
    <row r="8034" spans="1:2" ht="14.25" customHeight="1">
      <c r="A8034" t="s">
        <v>1179</v>
      </c>
      <c r="B8034">
        <v>3425</v>
      </c>
    </row>
    <row r="8035" spans="1:2" ht="14.25" customHeight="1">
      <c r="A8035" t="s">
        <v>2030</v>
      </c>
      <c r="B8035">
        <v>3425</v>
      </c>
    </row>
    <row r="8036" spans="1:2" ht="14.25" customHeight="1">
      <c r="A8036" t="s">
        <v>586</v>
      </c>
      <c r="B8036">
        <v>10265</v>
      </c>
    </row>
    <row r="8037" spans="1:2" ht="14.25" customHeight="1">
      <c r="A8037" t="s">
        <v>770</v>
      </c>
      <c r="B8037">
        <v>31060</v>
      </c>
    </row>
    <row r="8038" spans="1:2" ht="14.25" customHeight="1">
      <c r="A8038" t="s">
        <v>770</v>
      </c>
      <c r="B8038">
        <v>0.75160314579552334</v>
      </c>
    </row>
    <row r="8040" spans="1:2" ht="14.25" customHeight="1">
      <c r="A8040" t="s">
        <v>2031</v>
      </c>
    </row>
    <row r="8041" spans="1:2" ht="14.25" customHeight="1">
      <c r="A8041" t="s">
        <v>1182</v>
      </c>
      <c r="B8041">
        <v>3415</v>
      </c>
    </row>
    <row r="8042" spans="1:2" ht="14.25" customHeight="1">
      <c r="A8042" t="s">
        <v>2032</v>
      </c>
      <c r="B8042">
        <v>4100</v>
      </c>
    </row>
    <row r="8043" spans="1:2" ht="14.25" customHeight="1">
      <c r="A8043" t="s">
        <v>2030</v>
      </c>
      <c r="B8043">
        <v>3425</v>
      </c>
    </row>
    <row r="8044" spans="1:2" ht="14.25" customHeight="1">
      <c r="A8044" t="s">
        <v>586</v>
      </c>
      <c r="B8044">
        <v>10940</v>
      </c>
    </row>
    <row r="8045" spans="1:2" ht="14.25" customHeight="1">
      <c r="A8045" t="s">
        <v>770</v>
      </c>
      <c r="B8045">
        <v>30385</v>
      </c>
    </row>
    <row r="8046" spans="1:2" ht="14.25" customHeight="1">
      <c r="A8046" t="s">
        <v>770</v>
      </c>
      <c r="B8046">
        <v>0.73526920750151237</v>
      </c>
    </row>
    <row r="8048" spans="1:2" ht="14.25" customHeight="1">
      <c r="A8048" t="s">
        <v>1943</v>
      </c>
      <c r="B8048">
        <v>3596.25</v>
      </c>
    </row>
    <row r="8050" spans="1:2" s="344" customFormat="1" ht="14.25" customHeight="1">
      <c r="A8050" s="345" t="s">
        <v>1773</v>
      </c>
    </row>
    <row r="8052" spans="1:2" ht="14.25" customHeight="1">
      <c r="A8052" t="s">
        <v>753</v>
      </c>
      <c r="B8052" s="346">
        <v>4140</v>
      </c>
    </row>
    <row r="8054" spans="1:2" ht="14.25" customHeight="1">
      <c r="A8054" t="s">
        <v>581</v>
      </c>
    </row>
    <row r="8055" spans="1:2" ht="14.25" customHeight="1">
      <c r="A8055" t="s">
        <v>214</v>
      </c>
      <c r="B8055">
        <v>4140</v>
      </c>
    </row>
    <row r="8056" spans="1:2" ht="14.25" customHeight="1">
      <c r="A8056" t="s">
        <v>215</v>
      </c>
      <c r="B8056">
        <v>4970</v>
      </c>
    </row>
    <row r="8057" spans="1:2" ht="14.25" customHeight="1">
      <c r="A8057" t="s">
        <v>2009</v>
      </c>
      <c r="B8057">
        <v>4970</v>
      </c>
    </row>
    <row r="8058" spans="1:2" ht="14.25" customHeight="1">
      <c r="A8058" t="s">
        <v>586</v>
      </c>
      <c r="B8058">
        <v>14080</v>
      </c>
    </row>
    <row r="8060" spans="1:2" ht="14.25" customHeight="1">
      <c r="A8060" t="s">
        <v>268</v>
      </c>
    </row>
    <row r="8061" spans="1:2" ht="14.25" customHeight="1">
      <c r="A8061" t="s">
        <v>699</v>
      </c>
      <c r="B8061">
        <v>17255</v>
      </c>
    </row>
    <row r="8062" spans="1:2" ht="14.25" customHeight="1">
      <c r="A8062" t="s">
        <v>588</v>
      </c>
      <c r="B8062">
        <v>51765</v>
      </c>
    </row>
    <row r="8065" spans="1:2" ht="14.25" customHeight="1">
      <c r="A8065" t="s">
        <v>769</v>
      </c>
    </row>
    <row r="8067" spans="1:2" ht="14.25" customHeight="1">
      <c r="A8067" t="s">
        <v>1180</v>
      </c>
    </row>
    <row r="8068" spans="1:2" ht="14.25" customHeight="1">
      <c r="A8068" t="s">
        <v>1178</v>
      </c>
      <c r="B8068">
        <v>3955</v>
      </c>
    </row>
    <row r="8069" spans="1:2" ht="14.25" customHeight="1">
      <c r="A8069" t="s">
        <v>1179</v>
      </c>
      <c r="B8069">
        <v>3955</v>
      </c>
    </row>
    <row r="8070" spans="1:2" ht="14.25" customHeight="1">
      <c r="A8070" t="s">
        <v>2030</v>
      </c>
      <c r="B8070">
        <v>3955</v>
      </c>
    </row>
    <row r="8071" spans="1:2" ht="14.25" customHeight="1">
      <c r="A8071" t="s">
        <v>586</v>
      </c>
      <c r="B8071">
        <v>11865</v>
      </c>
    </row>
    <row r="8072" spans="1:2" ht="14.25" customHeight="1">
      <c r="A8072" t="s">
        <v>770</v>
      </c>
      <c r="B8072">
        <v>39900</v>
      </c>
    </row>
    <row r="8073" spans="1:2" ht="14.25" customHeight="1">
      <c r="A8073" t="s">
        <v>770</v>
      </c>
      <c r="B8073">
        <v>0.77079107505070998</v>
      </c>
    </row>
    <row r="8075" spans="1:2" ht="14.25" customHeight="1">
      <c r="A8075" t="s">
        <v>1181</v>
      </c>
    </row>
    <row r="8076" spans="1:2" ht="14.25" customHeight="1">
      <c r="A8076" t="s">
        <v>1182</v>
      </c>
      <c r="B8076">
        <v>4140</v>
      </c>
    </row>
    <row r="8077" spans="1:2" ht="14.25" customHeight="1">
      <c r="A8077" t="s">
        <v>1179</v>
      </c>
      <c r="B8077">
        <v>4155</v>
      </c>
    </row>
    <row r="8078" spans="1:2" ht="14.25" customHeight="1">
      <c r="A8078" t="s">
        <v>2030</v>
      </c>
      <c r="B8078">
        <v>4155</v>
      </c>
    </row>
    <row r="8079" spans="1:2" ht="14.25" customHeight="1">
      <c r="A8079" t="s">
        <v>586</v>
      </c>
      <c r="B8079">
        <v>12450</v>
      </c>
    </row>
    <row r="8080" spans="1:2" ht="14.25" customHeight="1">
      <c r="A8080" t="s">
        <v>770</v>
      </c>
      <c r="B8080">
        <v>39315</v>
      </c>
    </row>
    <row r="8081" spans="1:2" ht="14.25" customHeight="1">
      <c r="A8081" t="s">
        <v>770</v>
      </c>
      <c r="B8081">
        <v>0.75949000289771085</v>
      </c>
    </row>
    <row r="8083" spans="1:2" ht="14.25" customHeight="1">
      <c r="A8083" t="s">
        <v>2031</v>
      </c>
    </row>
    <row r="8084" spans="1:2" ht="14.25" customHeight="1">
      <c r="A8084" t="s">
        <v>1182</v>
      </c>
      <c r="B8084">
        <v>4140</v>
      </c>
    </row>
    <row r="8085" spans="1:2" ht="14.25" customHeight="1">
      <c r="A8085" t="s">
        <v>2032</v>
      </c>
      <c r="B8085">
        <v>4970</v>
      </c>
    </row>
    <row r="8086" spans="1:2" ht="14.25" customHeight="1">
      <c r="A8086" t="s">
        <v>2030</v>
      </c>
      <c r="B8086">
        <v>4155</v>
      </c>
    </row>
    <row r="8087" spans="1:2" ht="14.25" customHeight="1">
      <c r="A8087" t="s">
        <v>586</v>
      </c>
      <c r="B8087">
        <v>13265</v>
      </c>
    </row>
    <row r="8088" spans="1:2" ht="14.25" customHeight="1">
      <c r="A8088" t="s">
        <v>770</v>
      </c>
      <c r="B8088">
        <v>38500</v>
      </c>
    </row>
    <row r="8089" spans="1:2" ht="14.25" customHeight="1">
      <c r="A8089" t="s">
        <v>770</v>
      </c>
      <c r="B8089">
        <v>0.74374577417173771</v>
      </c>
    </row>
    <row r="8091" spans="1:2" ht="14.25" customHeight="1">
      <c r="A8091" t="s">
        <v>1943</v>
      </c>
      <c r="B8091">
        <v>4362.75</v>
      </c>
    </row>
    <row r="8093" spans="1:2" s="344" customFormat="1" ht="14.25" customHeight="1">
      <c r="A8093" s="345" t="s">
        <v>1774</v>
      </c>
    </row>
    <row r="8095" spans="1:2" ht="14.25" customHeight="1">
      <c r="A8095" t="s">
        <v>753</v>
      </c>
      <c r="B8095" s="346">
        <v>95</v>
      </c>
    </row>
    <row r="8097" spans="1:2" ht="14.25" customHeight="1">
      <c r="A8097" t="s">
        <v>581</v>
      </c>
    </row>
    <row r="8098" spans="1:2" ht="14.25" customHeight="1">
      <c r="A8098" t="s">
        <v>214</v>
      </c>
      <c r="B8098">
        <v>95</v>
      </c>
    </row>
    <row r="8099" spans="1:2" ht="14.25" customHeight="1">
      <c r="A8099" t="s">
        <v>215</v>
      </c>
      <c r="B8099">
        <v>115</v>
      </c>
    </row>
    <row r="8100" spans="1:2" ht="14.25" customHeight="1">
      <c r="A8100" t="s">
        <v>2009</v>
      </c>
      <c r="B8100">
        <v>115</v>
      </c>
    </row>
    <row r="8101" spans="1:2" ht="14.25" customHeight="1">
      <c r="A8101" t="s">
        <v>586</v>
      </c>
      <c r="B8101">
        <v>325</v>
      </c>
    </row>
    <row r="8103" spans="1:2" ht="14.25" customHeight="1">
      <c r="A8103" t="s">
        <v>268</v>
      </c>
    </row>
    <row r="8104" spans="1:2" ht="14.25" customHeight="1">
      <c r="A8104" t="s">
        <v>699</v>
      </c>
      <c r="B8104">
        <v>245</v>
      </c>
    </row>
    <row r="8105" spans="1:2" ht="14.25" customHeight="1">
      <c r="A8105" t="s">
        <v>588</v>
      </c>
      <c r="B8105">
        <v>735</v>
      </c>
    </row>
    <row r="8108" spans="1:2" ht="14.25" customHeight="1">
      <c r="A8108" t="s">
        <v>769</v>
      </c>
    </row>
    <row r="8110" spans="1:2" ht="14.25" customHeight="1">
      <c r="A8110" t="s">
        <v>1180</v>
      </c>
    </row>
    <row r="8111" spans="1:2" ht="14.25" customHeight="1">
      <c r="A8111" t="s">
        <v>1178</v>
      </c>
      <c r="B8111">
        <v>90</v>
      </c>
    </row>
    <row r="8112" spans="1:2" ht="14.25" customHeight="1">
      <c r="A8112" t="s">
        <v>1179</v>
      </c>
      <c r="B8112">
        <v>90</v>
      </c>
    </row>
    <row r="8113" spans="1:2" ht="14.25" customHeight="1">
      <c r="A8113" t="s">
        <v>2030</v>
      </c>
      <c r="B8113">
        <v>90</v>
      </c>
    </row>
    <row r="8114" spans="1:2" ht="14.25" customHeight="1">
      <c r="A8114" t="s">
        <v>586</v>
      </c>
      <c r="B8114">
        <v>270</v>
      </c>
    </row>
    <row r="8115" spans="1:2" ht="14.25" customHeight="1">
      <c r="A8115" t="s">
        <v>770</v>
      </c>
      <c r="B8115">
        <v>465</v>
      </c>
    </row>
    <row r="8116" spans="1:2" ht="14.25" customHeight="1">
      <c r="A8116" t="s">
        <v>770</v>
      </c>
      <c r="B8116">
        <v>0.63265306122448983</v>
      </c>
    </row>
    <row r="8118" spans="1:2" ht="14.25" customHeight="1">
      <c r="A8118" t="s">
        <v>1181</v>
      </c>
    </row>
    <row r="8119" spans="1:2" ht="14.25" customHeight="1">
      <c r="A8119" t="s">
        <v>1182</v>
      </c>
      <c r="B8119">
        <v>95</v>
      </c>
    </row>
    <row r="8120" spans="1:2" ht="14.25" customHeight="1">
      <c r="A8120" t="s">
        <v>1179</v>
      </c>
      <c r="B8120">
        <v>95</v>
      </c>
    </row>
    <row r="8121" spans="1:2" ht="14.25" customHeight="1">
      <c r="A8121" t="s">
        <v>2030</v>
      </c>
      <c r="B8121">
        <v>95</v>
      </c>
    </row>
    <row r="8122" spans="1:2" ht="14.25" customHeight="1">
      <c r="A8122" t="s">
        <v>586</v>
      </c>
      <c r="B8122">
        <v>285</v>
      </c>
    </row>
    <row r="8123" spans="1:2" ht="14.25" customHeight="1">
      <c r="A8123" t="s">
        <v>770</v>
      </c>
      <c r="B8123">
        <v>450</v>
      </c>
    </row>
    <row r="8124" spans="1:2" ht="14.25" customHeight="1">
      <c r="A8124" t="s">
        <v>770</v>
      </c>
      <c r="B8124">
        <v>0.61224489795918369</v>
      </c>
    </row>
    <row r="8126" spans="1:2" ht="14.25" customHeight="1">
      <c r="A8126" t="s">
        <v>2031</v>
      </c>
    </row>
    <row r="8127" spans="1:2" ht="14.25" customHeight="1">
      <c r="A8127" t="s">
        <v>1182</v>
      </c>
      <c r="B8127">
        <v>95</v>
      </c>
    </row>
    <row r="8128" spans="1:2" ht="14.25" customHeight="1">
      <c r="A8128" t="s">
        <v>2032</v>
      </c>
      <c r="B8128">
        <v>115</v>
      </c>
    </row>
    <row r="8129" spans="1:2" ht="14.25" customHeight="1">
      <c r="A8129" t="s">
        <v>2030</v>
      </c>
      <c r="B8129">
        <v>95</v>
      </c>
    </row>
    <row r="8130" spans="1:2" ht="14.25" customHeight="1">
      <c r="A8130" t="s">
        <v>586</v>
      </c>
      <c r="B8130">
        <v>305</v>
      </c>
    </row>
    <row r="8131" spans="1:2" ht="14.25" customHeight="1">
      <c r="A8131" t="s">
        <v>770</v>
      </c>
      <c r="B8131">
        <v>430</v>
      </c>
    </row>
    <row r="8132" spans="1:2" ht="14.25" customHeight="1">
      <c r="A8132" t="s">
        <v>770</v>
      </c>
      <c r="B8132">
        <v>0.58503401360544216</v>
      </c>
    </row>
    <row r="8134" spans="1:2" ht="14.25" customHeight="1">
      <c r="A8134" t="s">
        <v>1943</v>
      </c>
      <c r="B8134">
        <v>99.75</v>
      </c>
    </row>
    <row r="8136" spans="1:2" s="344" customFormat="1" ht="14.25" customHeight="1">
      <c r="A8136" s="345" t="s">
        <v>1775</v>
      </c>
    </row>
    <row r="8138" spans="1:2" ht="14.25" customHeight="1">
      <c r="A8138" t="s">
        <v>753</v>
      </c>
      <c r="B8138" s="346">
        <v>95</v>
      </c>
    </row>
    <row r="8140" spans="1:2" ht="14.25" customHeight="1">
      <c r="A8140" t="s">
        <v>581</v>
      </c>
    </row>
    <row r="8141" spans="1:2" ht="14.25" customHeight="1">
      <c r="A8141" t="s">
        <v>214</v>
      </c>
      <c r="B8141">
        <v>95</v>
      </c>
    </row>
    <row r="8142" spans="1:2" ht="14.25" customHeight="1">
      <c r="A8142" t="s">
        <v>215</v>
      </c>
      <c r="B8142">
        <v>115</v>
      </c>
    </row>
    <row r="8143" spans="1:2" ht="14.25" customHeight="1">
      <c r="A8143" t="s">
        <v>2009</v>
      </c>
      <c r="B8143">
        <v>115</v>
      </c>
    </row>
    <row r="8144" spans="1:2" ht="14.25" customHeight="1">
      <c r="A8144" t="s">
        <v>586</v>
      </c>
      <c r="B8144">
        <v>325</v>
      </c>
    </row>
    <row r="8146" spans="1:2" ht="14.25" customHeight="1">
      <c r="A8146" t="s">
        <v>268</v>
      </c>
    </row>
    <row r="8147" spans="1:2" ht="14.25" customHeight="1">
      <c r="A8147" t="s">
        <v>699</v>
      </c>
      <c r="B8147">
        <v>940</v>
      </c>
    </row>
    <row r="8148" spans="1:2" ht="14.25" customHeight="1">
      <c r="A8148" t="s">
        <v>588</v>
      </c>
      <c r="B8148">
        <v>2820</v>
      </c>
    </row>
    <row r="8151" spans="1:2" ht="14.25" customHeight="1">
      <c r="A8151" t="s">
        <v>769</v>
      </c>
    </row>
    <row r="8153" spans="1:2" ht="14.25" customHeight="1">
      <c r="A8153" t="s">
        <v>1180</v>
      </c>
    </row>
    <row r="8154" spans="1:2" ht="14.25" customHeight="1">
      <c r="A8154" t="s">
        <v>1178</v>
      </c>
      <c r="B8154">
        <v>330</v>
      </c>
    </row>
    <row r="8155" spans="1:2" ht="14.25" customHeight="1">
      <c r="A8155" t="s">
        <v>1179</v>
      </c>
      <c r="B8155">
        <v>330</v>
      </c>
    </row>
    <row r="8156" spans="1:2" ht="14.25" customHeight="1">
      <c r="A8156" t="s">
        <v>2030</v>
      </c>
      <c r="B8156">
        <v>330</v>
      </c>
    </row>
    <row r="8157" spans="1:2" ht="14.25" customHeight="1">
      <c r="A8157" t="s">
        <v>586</v>
      </c>
      <c r="B8157">
        <v>990</v>
      </c>
    </row>
    <row r="8158" spans="1:2" ht="14.25" customHeight="1">
      <c r="A8158" t="s">
        <v>770</v>
      </c>
      <c r="B8158">
        <v>1830</v>
      </c>
    </row>
    <row r="8159" spans="1:2" ht="14.25" customHeight="1">
      <c r="A8159" t="s">
        <v>770</v>
      </c>
      <c r="B8159">
        <v>0.64893617021276595</v>
      </c>
    </row>
    <row r="8161" spans="1:2" ht="14.25" customHeight="1">
      <c r="A8161" t="s">
        <v>1181</v>
      </c>
    </row>
    <row r="8162" spans="1:2" ht="14.25" customHeight="1">
      <c r="A8162" t="s">
        <v>1182</v>
      </c>
      <c r="B8162">
        <v>95</v>
      </c>
    </row>
    <row r="8163" spans="1:2" ht="14.25" customHeight="1">
      <c r="A8163" t="s">
        <v>1179</v>
      </c>
      <c r="B8163">
        <v>345</v>
      </c>
    </row>
    <row r="8164" spans="1:2" ht="14.25" customHeight="1">
      <c r="A8164" t="s">
        <v>2030</v>
      </c>
      <c r="B8164">
        <v>345</v>
      </c>
    </row>
    <row r="8165" spans="1:2" ht="14.25" customHeight="1">
      <c r="A8165" t="s">
        <v>586</v>
      </c>
      <c r="B8165">
        <v>785</v>
      </c>
    </row>
    <row r="8166" spans="1:2" ht="14.25" customHeight="1">
      <c r="A8166" t="s">
        <v>770</v>
      </c>
      <c r="B8166">
        <v>2035</v>
      </c>
    </row>
    <row r="8167" spans="1:2" ht="14.25" customHeight="1">
      <c r="A8167" t="s">
        <v>770</v>
      </c>
      <c r="B8167">
        <v>0.72163120567375882</v>
      </c>
    </row>
    <row r="8169" spans="1:2" ht="14.25" customHeight="1">
      <c r="A8169" t="s">
        <v>2031</v>
      </c>
    </row>
    <row r="8170" spans="1:2" ht="14.25" customHeight="1">
      <c r="A8170" t="s">
        <v>1182</v>
      </c>
      <c r="B8170">
        <v>95</v>
      </c>
    </row>
    <row r="8171" spans="1:2" ht="14.25" customHeight="1">
      <c r="A8171" t="s">
        <v>2032</v>
      </c>
      <c r="B8171">
        <v>115</v>
      </c>
    </row>
    <row r="8172" spans="1:2" ht="14.25" customHeight="1">
      <c r="A8172" t="s">
        <v>2030</v>
      </c>
      <c r="B8172">
        <v>345</v>
      </c>
    </row>
    <row r="8173" spans="1:2" ht="14.25" customHeight="1">
      <c r="A8173" t="s">
        <v>586</v>
      </c>
      <c r="B8173">
        <v>555</v>
      </c>
    </row>
    <row r="8174" spans="1:2" ht="14.25" customHeight="1">
      <c r="A8174" t="s">
        <v>770</v>
      </c>
      <c r="B8174">
        <v>2265</v>
      </c>
    </row>
    <row r="8175" spans="1:2" ht="14.25" customHeight="1">
      <c r="A8175" t="s">
        <v>770</v>
      </c>
      <c r="B8175">
        <v>0.80319148936170215</v>
      </c>
    </row>
    <row r="8177" spans="1:2" ht="14.25" customHeight="1">
      <c r="A8177" t="s">
        <v>1943</v>
      </c>
      <c r="B8177">
        <v>362.25</v>
      </c>
    </row>
    <row r="8179" spans="1:2" s="344" customFormat="1" ht="14.25" customHeight="1">
      <c r="A8179" s="345" t="s">
        <v>1776</v>
      </c>
    </row>
    <row r="8181" spans="1:2" ht="14.25" customHeight="1">
      <c r="A8181" t="s">
        <v>753</v>
      </c>
      <c r="B8181" s="346">
        <v>345</v>
      </c>
    </row>
    <row r="8183" spans="1:2" ht="14.25" customHeight="1">
      <c r="A8183" t="s">
        <v>581</v>
      </c>
    </row>
    <row r="8184" spans="1:2" ht="14.25" customHeight="1">
      <c r="A8184" t="s">
        <v>214</v>
      </c>
      <c r="B8184">
        <v>345</v>
      </c>
    </row>
    <row r="8185" spans="1:2" ht="14.25" customHeight="1">
      <c r="A8185" t="s">
        <v>215</v>
      </c>
      <c r="B8185">
        <v>415</v>
      </c>
    </row>
    <row r="8186" spans="1:2" ht="14.25" customHeight="1">
      <c r="A8186" t="s">
        <v>2009</v>
      </c>
      <c r="B8186">
        <v>415</v>
      </c>
    </row>
    <row r="8187" spans="1:2" ht="14.25" customHeight="1">
      <c r="A8187" t="s">
        <v>586</v>
      </c>
      <c r="B8187">
        <v>1175</v>
      </c>
    </row>
    <row r="8189" spans="1:2" ht="14.25" customHeight="1">
      <c r="A8189" t="s">
        <v>268</v>
      </c>
    </row>
    <row r="8190" spans="1:2" ht="14.25" customHeight="1">
      <c r="A8190" t="s">
        <v>699</v>
      </c>
      <c r="B8190">
        <v>940</v>
      </c>
    </row>
    <row r="8191" spans="1:2" ht="14.25" customHeight="1">
      <c r="A8191" t="s">
        <v>588</v>
      </c>
      <c r="B8191">
        <v>2820</v>
      </c>
    </row>
    <row r="8194" spans="1:2" ht="14.25" customHeight="1">
      <c r="A8194" t="s">
        <v>769</v>
      </c>
    </row>
    <row r="8196" spans="1:2" ht="14.25" customHeight="1">
      <c r="A8196" t="s">
        <v>1180</v>
      </c>
    </row>
    <row r="8197" spans="1:2" ht="14.25" customHeight="1">
      <c r="A8197" t="s">
        <v>1178</v>
      </c>
      <c r="B8197">
        <v>330</v>
      </c>
    </row>
    <row r="8198" spans="1:2" ht="14.25" customHeight="1">
      <c r="A8198" t="s">
        <v>1179</v>
      </c>
      <c r="B8198">
        <v>330</v>
      </c>
    </row>
    <row r="8199" spans="1:2" ht="14.25" customHeight="1">
      <c r="A8199" t="s">
        <v>2030</v>
      </c>
      <c r="B8199">
        <v>330</v>
      </c>
    </row>
    <row r="8200" spans="1:2" ht="14.25" customHeight="1">
      <c r="A8200" t="s">
        <v>586</v>
      </c>
      <c r="B8200">
        <v>990</v>
      </c>
    </row>
    <row r="8201" spans="1:2" ht="14.25" customHeight="1">
      <c r="A8201" t="s">
        <v>770</v>
      </c>
      <c r="B8201">
        <v>1830</v>
      </c>
    </row>
    <row r="8202" spans="1:2" ht="14.25" customHeight="1">
      <c r="A8202" t="s">
        <v>770</v>
      </c>
      <c r="B8202">
        <v>0.64893617021276595</v>
      </c>
    </row>
    <row r="8204" spans="1:2" ht="14.25" customHeight="1">
      <c r="A8204" t="s">
        <v>1181</v>
      </c>
    </row>
    <row r="8205" spans="1:2" ht="14.25" customHeight="1">
      <c r="A8205" t="s">
        <v>1182</v>
      </c>
      <c r="B8205">
        <v>345</v>
      </c>
    </row>
    <row r="8206" spans="1:2" ht="14.25" customHeight="1">
      <c r="A8206" t="s">
        <v>1179</v>
      </c>
      <c r="B8206">
        <v>345</v>
      </c>
    </row>
    <row r="8207" spans="1:2" ht="14.25" customHeight="1">
      <c r="A8207" t="s">
        <v>2030</v>
      </c>
      <c r="B8207">
        <v>345</v>
      </c>
    </row>
    <row r="8208" spans="1:2" ht="14.25" customHeight="1">
      <c r="A8208" t="s">
        <v>586</v>
      </c>
      <c r="B8208">
        <v>1035</v>
      </c>
    </row>
    <row r="8209" spans="1:2" ht="14.25" customHeight="1">
      <c r="A8209" t="s">
        <v>770</v>
      </c>
      <c r="B8209">
        <v>1785</v>
      </c>
    </row>
    <row r="8210" spans="1:2" ht="14.25" customHeight="1">
      <c r="A8210" t="s">
        <v>770</v>
      </c>
      <c r="B8210">
        <v>0.63297872340425532</v>
      </c>
    </row>
    <row r="8212" spans="1:2" ht="14.25" customHeight="1">
      <c r="A8212" t="s">
        <v>2031</v>
      </c>
    </row>
    <row r="8213" spans="1:2" ht="14.25" customHeight="1">
      <c r="A8213" t="s">
        <v>1182</v>
      </c>
      <c r="B8213">
        <v>345</v>
      </c>
    </row>
    <row r="8214" spans="1:2" ht="14.25" customHeight="1">
      <c r="A8214" t="s">
        <v>2032</v>
      </c>
      <c r="B8214">
        <v>415</v>
      </c>
    </row>
    <row r="8215" spans="1:2" ht="14.25" customHeight="1">
      <c r="A8215" t="s">
        <v>2030</v>
      </c>
      <c r="B8215">
        <v>345</v>
      </c>
    </row>
    <row r="8216" spans="1:2" ht="14.25" customHeight="1">
      <c r="A8216" t="s">
        <v>586</v>
      </c>
      <c r="B8216">
        <v>1105</v>
      </c>
    </row>
    <row r="8217" spans="1:2" ht="14.25" customHeight="1">
      <c r="A8217" t="s">
        <v>770</v>
      </c>
      <c r="B8217">
        <v>1715</v>
      </c>
    </row>
    <row r="8218" spans="1:2" ht="14.25" customHeight="1">
      <c r="A8218" t="s">
        <v>770</v>
      </c>
      <c r="B8218">
        <v>0.60815602836879434</v>
      </c>
    </row>
    <row r="8220" spans="1:2" ht="14.25" customHeight="1">
      <c r="A8220" t="s">
        <v>1943</v>
      </c>
      <c r="B8220">
        <v>362.25</v>
      </c>
    </row>
    <row r="8222" spans="1:2" s="344" customFormat="1" ht="14.25" customHeight="1">
      <c r="A8222" s="345" t="s">
        <v>1777</v>
      </c>
    </row>
    <row r="8224" spans="1:2" ht="14.25" customHeight="1">
      <c r="A8224" t="s">
        <v>753</v>
      </c>
      <c r="B8224" s="346">
        <v>180</v>
      </c>
    </row>
    <row r="8226" spans="1:2" ht="14.25" customHeight="1">
      <c r="A8226" t="s">
        <v>581</v>
      </c>
    </row>
    <row r="8227" spans="1:2" ht="14.25" customHeight="1">
      <c r="A8227" t="s">
        <v>214</v>
      </c>
      <c r="B8227">
        <v>180</v>
      </c>
    </row>
    <row r="8228" spans="1:2" ht="14.25" customHeight="1">
      <c r="A8228" t="s">
        <v>215</v>
      </c>
      <c r="B8228">
        <v>215</v>
      </c>
    </row>
    <row r="8229" spans="1:2" ht="14.25" customHeight="1">
      <c r="A8229" t="s">
        <v>2009</v>
      </c>
      <c r="B8229">
        <v>215</v>
      </c>
    </row>
    <row r="8230" spans="1:2" ht="14.25" customHeight="1">
      <c r="A8230" t="s">
        <v>586</v>
      </c>
      <c r="B8230">
        <v>610</v>
      </c>
    </row>
    <row r="8232" spans="1:2" ht="14.25" customHeight="1">
      <c r="A8232" t="s">
        <v>268</v>
      </c>
    </row>
    <row r="8233" spans="1:2" ht="14.25" customHeight="1">
      <c r="A8233" t="s">
        <v>699</v>
      </c>
      <c r="B8233">
        <v>940</v>
      </c>
    </row>
    <row r="8234" spans="1:2" ht="14.25" customHeight="1">
      <c r="A8234" t="s">
        <v>588</v>
      </c>
      <c r="B8234">
        <v>2820</v>
      </c>
    </row>
    <row r="8237" spans="1:2" ht="14.25" customHeight="1">
      <c r="A8237" t="s">
        <v>769</v>
      </c>
    </row>
    <row r="8239" spans="1:2" ht="14.25" customHeight="1">
      <c r="A8239" t="s">
        <v>1180</v>
      </c>
    </row>
    <row r="8240" spans="1:2" ht="14.25" customHeight="1">
      <c r="A8240" t="s">
        <v>1178</v>
      </c>
      <c r="B8240">
        <v>330</v>
      </c>
    </row>
    <row r="8241" spans="1:2" ht="14.25" customHeight="1">
      <c r="A8241" t="s">
        <v>1179</v>
      </c>
      <c r="B8241">
        <v>330</v>
      </c>
    </row>
    <row r="8242" spans="1:2" ht="14.25" customHeight="1">
      <c r="A8242" t="s">
        <v>2030</v>
      </c>
      <c r="B8242">
        <v>330</v>
      </c>
    </row>
    <row r="8243" spans="1:2" ht="14.25" customHeight="1">
      <c r="A8243" t="s">
        <v>586</v>
      </c>
      <c r="B8243">
        <v>990</v>
      </c>
    </row>
    <row r="8244" spans="1:2" ht="14.25" customHeight="1">
      <c r="A8244" t="s">
        <v>770</v>
      </c>
      <c r="B8244">
        <v>1830</v>
      </c>
    </row>
    <row r="8245" spans="1:2" ht="14.25" customHeight="1">
      <c r="A8245" t="s">
        <v>770</v>
      </c>
      <c r="B8245">
        <v>0.64893617021276595</v>
      </c>
    </row>
    <row r="8247" spans="1:2" ht="14.25" customHeight="1">
      <c r="A8247" t="s">
        <v>1181</v>
      </c>
    </row>
    <row r="8248" spans="1:2" ht="14.25" customHeight="1">
      <c r="A8248" t="s">
        <v>1182</v>
      </c>
      <c r="B8248">
        <v>180</v>
      </c>
    </row>
    <row r="8249" spans="1:2" ht="14.25" customHeight="1">
      <c r="A8249" t="s">
        <v>1179</v>
      </c>
      <c r="B8249">
        <v>345</v>
      </c>
    </row>
    <row r="8250" spans="1:2" ht="14.25" customHeight="1">
      <c r="A8250" t="s">
        <v>2030</v>
      </c>
      <c r="B8250">
        <v>345</v>
      </c>
    </row>
    <row r="8251" spans="1:2" ht="14.25" customHeight="1">
      <c r="A8251" t="s">
        <v>586</v>
      </c>
      <c r="B8251">
        <v>870</v>
      </c>
    </row>
    <row r="8252" spans="1:2" ht="14.25" customHeight="1">
      <c r="A8252" t="s">
        <v>770</v>
      </c>
      <c r="B8252">
        <v>1950</v>
      </c>
    </row>
    <row r="8253" spans="1:2" ht="14.25" customHeight="1">
      <c r="A8253" t="s">
        <v>770</v>
      </c>
      <c r="B8253">
        <v>0.69148936170212771</v>
      </c>
    </row>
    <row r="8255" spans="1:2" ht="14.25" customHeight="1">
      <c r="A8255" t="s">
        <v>2031</v>
      </c>
    </row>
    <row r="8256" spans="1:2" ht="14.25" customHeight="1">
      <c r="A8256" t="s">
        <v>1182</v>
      </c>
      <c r="B8256">
        <v>180</v>
      </c>
    </row>
    <row r="8257" spans="1:2" ht="14.25" customHeight="1">
      <c r="A8257" t="s">
        <v>2032</v>
      </c>
      <c r="B8257">
        <v>215</v>
      </c>
    </row>
    <row r="8258" spans="1:2" ht="14.25" customHeight="1">
      <c r="A8258" t="s">
        <v>2030</v>
      </c>
      <c r="B8258">
        <v>345</v>
      </c>
    </row>
    <row r="8259" spans="1:2" ht="14.25" customHeight="1">
      <c r="A8259" t="s">
        <v>586</v>
      </c>
      <c r="B8259">
        <v>740</v>
      </c>
    </row>
    <row r="8260" spans="1:2" ht="14.25" customHeight="1">
      <c r="A8260" t="s">
        <v>770</v>
      </c>
      <c r="B8260">
        <v>2080</v>
      </c>
    </row>
    <row r="8261" spans="1:2" ht="14.25" customHeight="1">
      <c r="A8261" t="s">
        <v>770</v>
      </c>
      <c r="B8261">
        <v>0.73758865248226946</v>
      </c>
    </row>
    <row r="8263" spans="1:2" ht="14.25" customHeight="1">
      <c r="A8263" t="s">
        <v>1943</v>
      </c>
      <c r="B8263">
        <v>362.25</v>
      </c>
    </row>
    <row r="8265" spans="1:2" s="344" customFormat="1" ht="14.25" customHeight="1">
      <c r="A8265" s="345" t="s">
        <v>1778</v>
      </c>
    </row>
    <row r="8267" spans="1:2" ht="14.25" customHeight="1">
      <c r="A8267" t="s">
        <v>753</v>
      </c>
      <c r="B8267" s="346">
        <v>180</v>
      </c>
    </row>
    <row r="8269" spans="1:2" ht="14.25" customHeight="1">
      <c r="A8269" t="s">
        <v>581</v>
      </c>
    </row>
    <row r="8270" spans="1:2" ht="14.25" customHeight="1">
      <c r="A8270" t="s">
        <v>214</v>
      </c>
      <c r="B8270">
        <v>180</v>
      </c>
    </row>
    <row r="8271" spans="1:2" ht="14.25" customHeight="1">
      <c r="A8271" t="s">
        <v>215</v>
      </c>
      <c r="B8271">
        <v>215</v>
      </c>
    </row>
    <row r="8272" spans="1:2" ht="14.25" customHeight="1">
      <c r="A8272" t="s">
        <v>2009</v>
      </c>
      <c r="B8272">
        <v>215</v>
      </c>
    </row>
    <row r="8273" spans="1:2" ht="14.25" customHeight="1">
      <c r="A8273" t="s">
        <v>586</v>
      </c>
      <c r="B8273">
        <v>610</v>
      </c>
    </row>
    <row r="8275" spans="1:2" ht="14.25" customHeight="1">
      <c r="A8275" t="s">
        <v>268</v>
      </c>
    </row>
    <row r="8276" spans="1:2" ht="14.25" customHeight="1">
      <c r="A8276" t="s">
        <v>699</v>
      </c>
      <c r="B8276">
        <v>495</v>
      </c>
    </row>
    <row r="8277" spans="1:2" ht="14.25" customHeight="1">
      <c r="A8277" t="s">
        <v>588</v>
      </c>
      <c r="B8277">
        <v>1485</v>
      </c>
    </row>
    <row r="8280" spans="1:2" ht="14.25" customHeight="1">
      <c r="A8280" t="s">
        <v>769</v>
      </c>
    </row>
    <row r="8282" spans="1:2" ht="14.25" customHeight="1">
      <c r="A8282" t="s">
        <v>1180</v>
      </c>
    </row>
    <row r="8283" spans="1:2" ht="14.25" customHeight="1">
      <c r="A8283" t="s">
        <v>1178</v>
      </c>
      <c r="B8283">
        <v>175</v>
      </c>
    </row>
    <row r="8284" spans="1:2" ht="14.25" customHeight="1">
      <c r="A8284" t="s">
        <v>1179</v>
      </c>
      <c r="B8284">
        <v>175</v>
      </c>
    </row>
    <row r="8285" spans="1:2" ht="14.25" customHeight="1">
      <c r="A8285" t="s">
        <v>2030</v>
      </c>
      <c r="B8285">
        <v>175</v>
      </c>
    </row>
    <row r="8286" spans="1:2" ht="14.25" customHeight="1">
      <c r="A8286" t="s">
        <v>586</v>
      </c>
      <c r="B8286">
        <v>525</v>
      </c>
    </row>
    <row r="8287" spans="1:2" ht="14.25" customHeight="1">
      <c r="A8287" t="s">
        <v>770</v>
      </c>
      <c r="B8287">
        <v>960</v>
      </c>
    </row>
    <row r="8288" spans="1:2" ht="14.25" customHeight="1">
      <c r="A8288" t="s">
        <v>770</v>
      </c>
      <c r="B8288">
        <v>0.64646464646464652</v>
      </c>
    </row>
    <row r="8290" spans="1:2" ht="14.25" customHeight="1">
      <c r="A8290" t="s">
        <v>1181</v>
      </c>
    </row>
    <row r="8291" spans="1:2" ht="14.25" customHeight="1">
      <c r="A8291" t="s">
        <v>1182</v>
      </c>
      <c r="B8291">
        <v>180</v>
      </c>
    </row>
    <row r="8292" spans="1:2" ht="14.25" customHeight="1">
      <c r="A8292" t="s">
        <v>1179</v>
      </c>
      <c r="B8292">
        <v>185</v>
      </c>
    </row>
    <row r="8293" spans="1:2" ht="14.25" customHeight="1">
      <c r="A8293" t="s">
        <v>2030</v>
      </c>
      <c r="B8293">
        <v>185</v>
      </c>
    </row>
    <row r="8294" spans="1:2" ht="14.25" customHeight="1">
      <c r="A8294" t="s">
        <v>586</v>
      </c>
      <c r="B8294">
        <v>550</v>
      </c>
    </row>
    <row r="8295" spans="1:2" ht="14.25" customHeight="1">
      <c r="A8295" t="s">
        <v>770</v>
      </c>
      <c r="B8295">
        <v>935</v>
      </c>
    </row>
    <row r="8296" spans="1:2" ht="14.25" customHeight="1">
      <c r="A8296" t="s">
        <v>770</v>
      </c>
      <c r="B8296">
        <v>0.62962962962962965</v>
      </c>
    </row>
    <row r="8298" spans="1:2" ht="14.25" customHeight="1">
      <c r="A8298" t="s">
        <v>2031</v>
      </c>
    </row>
    <row r="8299" spans="1:2" ht="14.25" customHeight="1">
      <c r="A8299" t="s">
        <v>1182</v>
      </c>
      <c r="B8299">
        <v>180</v>
      </c>
    </row>
    <row r="8300" spans="1:2" ht="14.25" customHeight="1">
      <c r="A8300" t="s">
        <v>2032</v>
      </c>
      <c r="B8300">
        <v>215</v>
      </c>
    </row>
    <row r="8301" spans="1:2" ht="14.25" customHeight="1">
      <c r="A8301" t="s">
        <v>2030</v>
      </c>
      <c r="B8301">
        <v>185</v>
      </c>
    </row>
    <row r="8302" spans="1:2" ht="14.25" customHeight="1">
      <c r="A8302" t="s">
        <v>586</v>
      </c>
      <c r="B8302">
        <v>580</v>
      </c>
    </row>
    <row r="8303" spans="1:2" ht="14.25" customHeight="1">
      <c r="A8303" t="s">
        <v>770</v>
      </c>
      <c r="B8303">
        <v>905</v>
      </c>
    </row>
    <row r="8304" spans="1:2" ht="14.25" customHeight="1">
      <c r="A8304" t="s">
        <v>770</v>
      </c>
      <c r="B8304">
        <v>0.60942760942760943</v>
      </c>
    </row>
    <row r="8306" spans="1:2" ht="14.25" customHeight="1">
      <c r="A8306" t="s">
        <v>1943</v>
      </c>
      <c r="B8306">
        <v>194.25</v>
      </c>
    </row>
    <row r="8308" spans="1:2" s="344" customFormat="1" ht="14.25" customHeight="1">
      <c r="A8308" s="345" t="s">
        <v>1904</v>
      </c>
    </row>
    <row r="8310" spans="1:2" ht="14.25" customHeight="1">
      <c r="A8310" t="s">
        <v>753</v>
      </c>
      <c r="B8310" s="346">
        <v>345</v>
      </c>
    </row>
    <row r="8312" spans="1:2" ht="14.25" customHeight="1">
      <c r="A8312" t="s">
        <v>581</v>
      </c>
    </row>
    <row r="8313" spans="1:2" ht="14.25" customHeight="1">
      <c r="A8313" t="s">
        <v>214</v>
      </c>
      <c r="B8313">
        <v>345</v>
      </c>
    </row>
    <row r="8314" spans="1:2" ht="14.25" customHeight="1">
      <c r="A8314" t="s">
        <v>215</v>
      </c>
      <c r="B8314">
        <v>415</v>
      </c>
    </row>
    <row r="8315" spans="1:2" ht="14.25" customHeight="1">
      <c r="A8315" t="s">
        <v>2009</v>
      </c>
      <c r="B8315">
        <v>415</v>
      </c>
    </row>
    <row r="8316" spans="1:2" ht="14.25" customHeight="1">
      <c r="A8316" t="s">
        <v>586</v>
      </c>
      <c r="B8316">
        <v>1175</v>
      </c>
    </row>
    <row r="8318" spans="1:2" ht="14.25" customHeight="1">
      <c r="A8318" t="s">
        <v>268</v>
      </c>
    </row>
    <row r="8319" spans="1:2" ht="14.25" customHeight="1">
      <c r="A8319" t="s">
        <v>699</v>
      </c>
      <c r="B8319">
        <v>3715</v>
      </c>
    </row>
    <row r="8320" spans="1:2" ht="14.25" customHeight="1">
      <c r="A8320" t="s">
        <v>588</v>
      </c>
      <c r="B8320">
        <v>11145</v>
      </c>
    </row>
    <row r="8323" spans="1:2" ht="14.25" customHeight="1">
      <c r="A8323" t="s">
        <v>769</v>
      </c>
    </row>
    <row r="8325" spans="1:2" ht="14.25" customHeight="1">
      <c r="A8325" t="s">
        <v>1180</v>
      </c>
    </row>
    <row r="8326" spans="1:2" ht="14.25" customHeight="1">
      <c r="A8326" t="s">
        <v>1178</v>
      </c>
      <c r="B8326">
        <v>1125</v>
      </c>
    </row>
    <row r="8327" spans="1:2" ht="14.25" customHeight="1">
      <c r="A8327" t="s">
        <v>1179</v>
      </c>
      <c r="B8327">
        <v>1125</v>
      </c>
    </row>
    <row r="8328" spans="1:2" ht="14.25" customHeight="1">
      <c r="A8328" t="s">
        <v>2030</v>
      </c>
      <c r="B8328">
        <v>1125</v>
      </c>
    </row>
    <row r="8329" spans="1:2" ht="14.25" customHeight="1">
      <c r="A8329" t="s">
        <v>586</v>
      </c>
      <c r="B8329">
        <v>3375</v>
      </c>
    </row>
    <row r="8330" spans="1:2" ht="14.25" customHeight="1">
      <c r="A8330" t="s">
        <v>770</v>
      </c>
      <c r="B8330">
        <v>7770</v>
      </c>
    </row>
    <row r="8331" spans="1:2" ht="14.25" customHeight="1">
      <c r="A8331" t="s">
        <v>770</v>
      </c>
      <c r="B8331">
        <v>0.69717362045760434</v>
      </c>
    </row>
    <row r="8333" spans="1:2" ht="14.25" customHeight="1">
      <c r="A8333" t="s">
        <v>1181</v>
      </c>
    </row>
    <row r="8334" spans="1:2" ht="14.25" customHeight="1">
      <c r="A8334" t="s">
        <v>1182</v>
      </c>
      <c r="B8334">
        <v>345</v>
      </c>
    </row>
    <row r="8335" spans="1:2" ht="14.25" customHeight="1">
      <c r="A8335" t="s">
        <v>1179</v>
      </c>
      <c r="B8335">
        <v>1180</v>
      </c>
    </row>
    <row r="8336" spans="1:2" ht="14.25" customHeight="1">
      <c r="A8336" t="s">
        <v>2030</v>
      </c>
      <c r="B8336">
        <v>1180</v>
      </c>
    </row>
    <row r="8337" spans="1:2" ht="14.25" customHeight="1">
      <c r="A8337" t="s">
        <v>586</v>
      </c>
      <c r="B8337">
        <v>2705</v>
      </c>
    </row>
    <row r="8338" spans="1:2" ht="14.25" customHeight="1">
      <c r="A8338" t="s">
        <v>770</v>
      </c>
      <c r="B8338">
        <v>8440</v>
      </c>
    </row>
    <row r="8339" spans="1:2" ht="14.25" customHeight="1">
      <c r="A8339" t="s">
        <v>770</v>
      </c>
      <c r="B8339">
        <v>0.75729026469268734</v>
      </c>
    </row>
    <row r="8341" spans="1:2" ht="14.25" customHeight="1">
      <c r="A8341" t="s">
        <v>2031</v>
      </c>
    </row>
    <row r="8342" spans="1:2" ht="14.25" customHeight="1">
      <c r="A8342" t="s">
        <v>1182</v>
      </c>
      <c r="B8342">
        <v>345</v>
      </c>
    </row>
    <row r="8343" spans="1:2" ht="14.25" customHeight="1">
      <c r="A8343" t="s">
        <v>2032</v>
      </c>
      <c r="B8343">
        <v>415</v>
      </c>
    </row>
    <row r="8344" spans="1:2" ht="14.25" customHeight="1">
      <c r="A8344" t="s">
        <v>2030</v>
      </c>
      <c r="B8344">
        <v>1180</v>
      </c>
    </row>
    <row r="8345" spans="1:2" ht="14.25" customHeight="1">
      <c r="A8345" t="s">
        <v>586</v>
      </c>
      <c r="B8345">
        <v>1940</v>
      </c>
    </row>
    <row r="8346" spans="1:2" ht="14.25" customHeight="1">
      <c r="A8346" t="s">
        <v>770</v>
      </c>
      <c r="B8346">
        <v>9205</v>
      </c>
    </row>
    <row r="8347" spans="1:2" ht="14.25" customHeight="1">
      <c r="A8347" t="s">
        <v>770</v>
      </c>
      <c r="B8347">
        <v>0.82593091072229696</v>
      </c>
    </row>
    <row r="8349" spans="1:2" ht="14.25" customHeight="1">
      <c r="A8349" t="s">
        <v>1943</v>
      </c>
      <c r="B8349">
        <v>1239</v>
      </c>
    </row>
    <row r="8351" spans="1:2" s="344" customFormat="1" ht="14.25" customHeight="1">
      <c r="A8351" s="345" t="s">
        <v>1779</v>
      </c>
    </row>
    <row r="8353" spans="1:2" ht="14.25" customHeight="1">
      <c r="A8353" t="s">
        <v>753</v>
      </c>
      <c r="B8353" s="346">
        <v>270</v>
      </c>
    </row>
    <row r="8355" spans="1:2" ht="14.25" customHeight="1">
      <c r="A8355" t="s">
        <v>581</v>
      </c>
    </row>
    <row r="8356" spans="1:2" ht="14.25" customHeight="1">
      <c r="A8356" t="s">
        <v>214</v>
      </c>
      <c r="B8356">
        <v>270</v>
      </c>
    </row>
    <row r="8357" spans="1:2" ht="14.25" customHeight="1">
      <c r="A8357" t="s">
        <v>215</v>
      </c>
      <c r="B8357">
        <v>325</v>
      </c>
    </row>
    <row r="8358" spans="1:2" ht="14.25" customHeight="1">
      <c r="A8358" t="s">
        <v>2009</v>
      </c>
      <c r="B8358">
        <v>325</v>
      </c>
    </row>
    <row r="8359" spans="1:2" ht="14.25" customHeight="1">
      <c r="A8359" t="s">
        <v>586</v>
      </c>
      <c r="B8359">
        <v>920</v>
      </c>
    </row>
    <row r="8361" spans="1:2" ht="14.25" customHeight="1">
      <c r="A8361" t="s">
        <v>268</v>
      </c>
    </row>
    <row r="8362" spans="1:2" ht="14.25" customHeight="1">
      <c r="A8362" t="s">
        <v>699</v>
      </c>
      <c r="B8362">
        <v>1050</v>
      </c>
    </row>
    <row r="8363" spans="1:2" ht="14.25" customHeight="1">
      <c r="A8363" t="s">
        <v>588</v>
      </c>
      <c r="B8363">
        <v>3150</v>
      </c>
    </row>
    <row r="8366" spans="1:2" ht="14.25" customHeight="1">
      <c r="A8366" t="s">
        <v>769</v>
      </c>
    </row>
    <row r="8368" spans="1:2" ht="14.25" customHeight="1">
      <c r="A8368" t="s">
        <v>1180</v>
      </c>
    </row>
    <row r="8369" spans="1:2" ht="14.25" customHeight="1">
      <c r="A8369" t="s">
        <v>1178</v>
      </c>
      <c r="B8369">
        <v>255</v>
      </c>
    </row>
    <row r="8370" spans="1:2" ht="14.25" customHeight="1">
      <c r="A8370" t="s">
        <v>1179</v>
      </c>
      <c r="B8370">
        <v>255</v>
      </c>
    </row>
    <row r="8371" spans="1:2" ht="14.25" customHeight="1">
      <c r="A8371" t="s">
        <v>2030</v>
      </c>
      <c r="B8371">
        <v>255</v>
      </c>
    </row>
    <row r="8372" spans="1:2" ht="14.25" customHeight="1">
      <c r="A8372" t="s">
        <v>586</v>
      </c>
      <c r="B8372">
        <v>765</v>
      </c>
    </row>
    <row r="8373" spans="1:2" ht="14.25" customHeight="1">
      <c r="A8373" t="s">
        <v>770</v>
      </c>
      <c r="B8373">
        <v>2385</v>
      </c>
    </row>
    <row r="8374" spans="1:2" ht="14.25" customHeight="1">
      <c r="A8374" t="s">
        <v>770</v>
      </c>
      <c r="B8374">
        <v>0.75714285714285712</v>
      </c>
    </row>
    <row r="8376" spans="1:2" ht="14.25" customHeight="1">
      <c r="A8376" t="s">
        <v>1181</v>
      </c>
    </row>
    <row r="8377" spans="1:2" ht="14.25" customHeight="1">
      <c r="A8377" t="s">
        <v>1182</v>
      </c>
      <c r="B8377">
        <v>270</v>
      </c>
    </row>
    <row r="8378" spans="1:2" ht="14.25" customHeight="1">
      <c r="A8378" t="s">
        <v>1179</v>
      </c>
      <c r="B8378">
        <v>270</v>
      </c>
    </row>
    <row r="8379" spans="1:2" ht="14.25" customHeight="1">
      <c r="A8379" t="s">
        <v>2030</v>
      </c>
      <c r="B8379">
        <v>270</v>
      </c>
    </row>
    <row r="8380" spans="1:2" ht="14.25" customHeight="1">
      <c r="A8380" t="s">
        <v>586</v>
      </c>
      <c r="B8380">
        <v>810</v>
      </c>
    </row>
    <row r="8381" spans="1:2" ht="14.25" customHeight="1">
      <c r="A8381" t="s">
        <v>770</v>
      </c>
      <c r="B8381">
        <v>2340</v>
      </c>
    </row>
    <row r="8382" spans="1:2" ht="14.25" customHeight="1">
      <c r="A8382" t="s">
        <v>770</v>
      </c>
      <c r="B8382">
        <v>0.74285714285714288</v>
      </c>
    </row>
    <row r="8384" spans="1:2" ht="14.25" customHeight="1">
      <c r="A8384" t="s">
        <v>2031</v>
      </c>
    </row>
    <row r="8385" spans="1:2" ht="14.25" customHeight="1">
      <c r="A8385" t="s">
        <v>1182</v>
      </c>
      <c r="B8385">
        <v>270</v>
      </c>
    </row>
    <row r="8386" spans="1:2" ht="14.25" customHeight="1">
      <c r="A8386" t="s">
        <v>2032</v>
      </c>
      <c r="B8386">
        <v>325</v>
      </c>
    </row>
    <row r="8387" spans="1:2" ht="14.25" customHeight="1">
      <c r="A8387" t="s">
        <v>2030</v>
      </c>
      <c r="B8387">
        <v>270</v>
      </c>
    </row>
    <row r="8388" spans="1:2" ht="14.25" customHeight="1">
      <c r="A8388" t="s">
        <v>586</v>
      </c>
      <c r="B8388">
        <v>865</v>
      </c>
    </row>
    <row r="8389" spans="1:2" ht="14.25" customHeight="1">
      <c r="A8389" t="s">
        <v>770</v>
      </c>
      <c r="B8389">
        <v>2285</v>
      </c>
    </row>
    <row r="8390" spans="1:2" ht="14.25" customHeight="1">
      <c r="A8390" t="s">
        <v>770</v>
      </c>
      <c r="B8390">
        <v>0.72539682539682537</v>
      </c>
    </row>
    <row r="8392" spans="1:2" ht="14.25" customHeight="1">
      <c r="A8392" t="s">
        <v>1943</v>
      </c>
      <c r="B8392">
        <v>283.5</v>
      </c>
    </row>
    <row r="8394" spans="1:2" s="344" customFormat="1" ht="14.25" customHeight="1">
      <c r="A8394" s="345" t="s">
        <v>1780</v>
      </c>
    </row>
    <row r="8396" spans="1:2" ht="14.25" customHeight="1">
      <c r="A8396" t="s">
        <v>753</v>
      </c>
      <c r="B8396" s="346">
        <v>1175</v>
      </c>
    </row>
    <row r="8398" spans="1:2" ht="14.25" customHeight="1">
      <c r="A8398" t="s">
        <v>581</v>
      </c>
    </row>
    <row r="8399" spans="1:2" ht="14.25" customHeight="1">
      <c r="A8399" t="s">
        <v>214</v>
      </c>
      <c r="B8399">
        <v>1175</v>
      </c>
    </row>
    <row r="8400" spans="1:2" ht="14.25" customHeight="1">
      <c r="A8400" t="s">
        <v>215</v>
      </c>
      <c r="B8400">
        <v>1410</v>
      </c>
    </row>
    <row r="8401" spans="1:2" ht="14.25" customHeight="1">
      <c r="A8401" t="s">
        <v>2009</v>
      </c>
      <c r="B8401">
        <v>1410</v>
      </c>
    </row>
    <row r="8402" spans="1:2" ht="14.25" customHeight="1">
      <c r="A8402" t="s">
        <v>586</v>
      </c>
      <c r="B8402">
        <v>3995</v>
      </c>
    </row>
    <row r="8404" spans="1:2" ht="14.25" customHeight="1">
      <c r="A8404" t="s">
        <v>268</v>
      </c>
    </row>
    <row r="8405" spans="1:2" ht="14.25" customHeight="1">
      <c r="A8405" t="s">
        <v>699</v>
      </c>
      <c r="B8405">
        <v>4715</v>
      </c>
    </row>
    <row r="8406" spans="1:2" ht="14.25" customHeight="1">
      <c r="A8406" t="s">
        <v>588</v>
      </c>
      <c r="B8406">
        <v>14145</v>
      </c>
    </row>
    <row r="8409" spans="1:2" ht="14.25" customHeight="1">
      <c r="A8409" t="s">
        <v>769</v>
      </c>
    </row>
    <row r="8411" spans="1:2" ht="14.25" customHeight="1">
      <c r="A8411" t="s">
        <v>1180</v>
      </c>
    </row>
    <row r="8412" spans="1:2" ht="14.25" customHeight="1">
      <c r="A8412" t="s">
        <v>1178</v>
      </c>
      <c r="B8412">
        <v>1125</v>
      </c>
    </row>
    <row r="8413" spans="1:2" ht="14.25" customHeight="1">
      <c r="A8413" t="s">
        <v>1179</v>
      </c>
      <c r="B8413">
        <v>1125</v>
      </c>
    </row>
    <row r="8414" spans="1:2" ht="14.25" customHeight="1">
      <c r="A8414" t="s">
        <v>2030</v>
      </c>
      <c r="B8414">
        <v>1125</v>
      </c>
    </row>
    <row r="8415" spans="1:2" ht="14.25" customHeight="1">
      <c r="A8415" t="s">
        <v>586</v>
      </c>
      <c r="B8415">
        <v>3375</v>
      </c>
    </row>
    <row r="8416" spans="1:2" ht="14.25" customHeight="1">
      <c r="A8416" t="s">
        <v>770</v>
      </c>
      <c r="B8416">
        <v>10770</v>
      </c>
    </row>
    <row r="8417" spans="1:2" ht="14.25" customHeight="1">
      <c r="A8417" t="s">
        <v>770</v>
      </c>
      <c r="B8417">
        <v>0.76139978791092255</v>
      </c>
    </row>
    <row r="8419" spans="1:2" ht="14.25" customHeight="1">
      <c r="A8419" t="s">
        <v>1181</v>
      </c>
    </row>
    <row r="8420" spans="1:2" ht="14.25" customHeight="1">
      <c r="A8420" t="s">
        <v>1182</v>
      </c>
      <c r="B8420">
        <v>1175</v>
      </c>
    </row>
    <row r="8421" spans="1:2" ht="14.25" customHeight="1">
      <c r="A8421" t="s">
        <v>1179</v>
      </c>
      <c r="B8421">
        <v>1180</v>
      </c>
    </row>
    <row r="8422" spans="1:2" ht="14.25" customHeight="1">
      <c r="A8422" t="s">
        <v>2030</v>
      </c>
      <c r="B8422">
        <v>1180</v>
      </c>
    </row>
    <row r="8423" spans="1:2" ht="14.25" customHeight="1">
      <c r="A8423" t="s">
        <v>586</v>
      </c>
      <c r="B8423">
        <v>3535</v>
      </c>
    </row>
    <row r="8424" spans="1:2" ht="14.25" customHeight="1">
      <c r="A8424" t="s">
        <v>770</v>
      </c>
      <c r="B8424">
        <v>10610</v>
      </c>
    </row>
    <row r="8425" spans="1:2" ht="14.25" customHeight="1">
      <c r="A8425" t="s">
        <v>770</v>
      </c>
      <c r="B8425">
        <v>0.75008837044892185</v>
      </c>
    </row>
    <row r="8427" spans="1:2" ht="14.25" customHeight="1">
      <c r="A8427" t="s">
        <v>2031</v>
      </c>
    </row>
    <row r="8428" spans="1:2" ht="14.25" customHeight="1">
      <c r="A8428" t="s">
        <v>1182</v>
      </c>
      <c r="B8428">
        <v>1175</v>
      </c>
    </row>
    <row r="8429" spans="1:2" ht="14.25" customHeight="1">
      <c r="A8429" t="s">
        <v>2032</v>
      </c>
      <c r="B8429">
        <v>1410</v>
      </c>
    </row>
    <row r="8430" spans="1:2" ht="14.25" customHeight="1">
      <c r="A8430" t="s">
        <v>2030</v>
      </c>
      <c r="B8430">
        <v>1180</v>
      </c>
    </row>
    <row r="8431" spans="1:2" ht="14.25" customHeight="1">
      <c r="A8431" t="s">
        <v>586</v>
      </c>
      <c r="B8431">
        <v>3765</v>
      </c>
    </row>
    <row r="8432" spans="1:2" ht="14.25" customHeight="1">
      <c r="A8432" t="s">
        <v>770</v>
      </c>
      <c r="B8432">
        <v>10380</v>
      </c>
    </row>
    <row r="8433" spans="1:2" ht="14.25" customHeight="1">
      <c r="A8433" t="s">
        <v>770</v>
      </c>
      <c r="B8433">
        <v>0.73382820784729585</v>
      </c>
    </row>
    <row r="8435" spans="1:2" ht="14.25" customHeight="1">
      <c r="A8435" t="s">
        <v>1943</v>
      </c>
      <c r="B8435">
        <v>1239</v>
      </c>
    </row>
    <row r="8437" spans="1:2" s="344" customFormat="1" ht="14.25" customHeight="1">
      <c r="A8437" s="345" t="s">
        <v>1781</v>
      </c>
    </row>
    <row r="8439" spans="1:2" ht="14.25" customHeight="1">
      <c r="A8439" t="s">
        <v>753</v>
      </c>
      <c r="B8439" s="346">
        <v>270</v>
      </c>
    </row>
    <row r="8441" spans="1:2" ht="14.25" customHeight="1">
      <c r="A8441" t="s">
        <v>581</v>
      </c>
    </row>
    <row r="8442" spans="1:2" ht="14.25" customHeight="1">
      <c r="A8442" t="s">
        <v>214</v>
      </c>
      <c r="B8442">
        <v>270</v>
      </c>
    </row>
    <row r="8443" spans="1:2" ht="14.25" customHeight="1">
      <c r="A8443" t="s">
        <v>215</v>
      </c>
      <c r="B8443">
        <v>325</v>
      </c>
    </row>
    <row r="8444" spans="1:2" ht="14.25" customHeight="1">
      <c r="A8444" t="s">
        <v>2009</v>
      </c>
      <c r="B8444">
        <v>325</v>
      </c>
    </row>
    <row r="8445" spans="1:2" ht="14.25" customHeight="1">
      <c r="A8445" t="s">
        <v>586</v>
      </c>
      <c r="B8445">
        <v>920</v>
      </c>
    </row>
    <row r="8447" spans="1:2" ht="14.25" customHeight="1">
      <c r="A8447" t="s">
        <v>268</v>
      </c>
    </row>
    <row r="8448" spans="1:2" ht="14.25" customHeight="1">
      <c r="A8448" t="s">
        <v>699</v>
      </c>
      <c r="B8448">
        <v>1075</v>
      </c>
    </row>
    <row r="8449" spans="1:2" ht="14.25" customHeight="1">
      <c r="A8449" t="s">
        <v>588</v>
      </c>
      <c r="B8449">
        <v>3225</v>
      </c>
    </row>
    <row r="8452" spans="1:2" ht="14.25" customHeight="1">
      <c r="A8452" t="s">
        <v>769</v>
      </c>
    </row>
    <row r="8454" spans="1:2" ht="14.25" customHeight="1">
      <c r="A8454" t="s">
        <v>1180</v>
      </c>
    </row>
    <row r="8455" spans="1:2" ht="14.25" customHeight="1">
      <c r="A8455" t="s">
        <v>1178</v>
      </c>
      <c r="B8455">
        <v>255</v>
      </c>
    </row>
    <row r="8456" spans="1:2" ht="14.25" customHeight="1">
      <c r="A8456" t="s">
        <v>1179</v>
      </c>
      <c r="B8456">
        <v>255</v>
      </c>
    </row>
    <row r="8457" spans="1:2" ht="14.25" customHeight="1">
      <c r="A8457" t="s">
        <v>2030</v>
      </c>
      <c r="B8457">
        <v>255</v>
      </c>
    </row>
    <row r="8458" spans="1:2" ht="14.25" customHeight="1">
      <c r="A8458" t="s">
        <v>586</v>
      </c>
      <c r="B8458">
        <v>765</v>
      </c>
    </row>
    <row r="8459" spans="1:2" ht="14.25" customHeight="1">
      <c r="A8459" t="s">
        <v>770</v>
      </c>
      <c r="B8459">
        <v>2460</v>
      </c>
    </row>
    <row r="8460" spans="1:2" ht="14.25" customHeight="1">
      <c r="A8460" t="s">
        <v>770</v>
      </c>
      <c r="B8460">
        <v>0.76279069767441865</v>
      </c>
    </row>
    <row r="8462" spans="1:2" ht="14.25" customHeight="1">
      <c r="A8462" t="s">
        <v>1181</v>
      </c>
    </row>
    <row r="8463" spans="1:2" ht="14.25" customHeight="1">
      <c r="A8463" t="s">
        <v>1182</v>
      </c>
      <c r="B8463">
        <v>270</v>
      </c>
    </row>
    <row r="8464" spans="1:2" ht="14.25" customHeight="1">
      <c r="A8464" t="s">
        <v>1179</v>
      </c>
      <c r="B8464">
        <v>270</v>
      </c>
    </row>
    <row r="8465" spans="1:2" ht="14.25" customHeight="1">
      <c r="A8465" t="s">
        <v>2030</v>
      </c>
      <c r="B8465">
        <v>270</v>
      </c>
    </row>
    <row r="8466" spans="1:2" ht="14.25" customHeight="1">
      <c r="A8466" t="s">
        <v>586</v>
      </c>
      <c r="B8466">
        <v>810</v>
      </c>
    </row>
    <row r="8467" spans="1:2" ht="14.25" customHeight="1">
      <c r="A8467" t="s">
        <v>770</v>
      </c>
      <c r="B8467">
        <v>2415</v>
      </c>
    </row>
    <row r="8468" spans="1:2" ht="14.25" customHeight="1">
      <c r="A8468" t="s">
        <v>770</v>
      </c>
      <c r="B8468">
        <v>0.74883720930232556</v>
      </c>
    </row>
    <row r="8470" spans="1:2" ht="14.25" customHeight="1">
      <c r="A8470" t="s">
        <v>2031</v>
      </c>
    </row>
    <row r="8471" spans="1:2" ht="14.25" customHeight="1">
      <c r="A8471" t="s">
        <v>1182</v>
      </c>
      <c r="B8471">
        <v>270</v>
      </c>
    </row>
    <row r="8472" spans="1:2" ht="14.25" customHeight="1">
      <c r="A8472" t="s">
        <v>2032</v>
      </c>
      <c r="B8472">
        <v>325</v>
      </c>
    </row>
    <row r="8473" spans="1:2" ht="14.25" customHeight="1">
      <c r="A8473" t="s">
        <v>2030</v>
      </c>
      <c r="B8473">
        <v>270</v>
      </c>
    </row>
    <row r="8474" spans="1:2" ht="14.25" customHeight="1">
      <c r="A8474" t="s">
        <v>586</v>
      </c>
      <c r="B8474">
        <v>865</v>
      </c>
    </row>
    <row r="8475" spans="1:2" ht="14.25" customHeight="1">
      <c r="A8475" t="s">
        <v>770</v>
      </c>
      <c r="B8475">
        <v>2360</v>
      </c>
    </row>
    <row r="8476" spans="1:2" ht="14.25" customHeight="1">
      <c r="A8476" t="s">
        <v>770</v>
      </c>
      <c r="B8476">
        <v>0.7317829457364341</v>
      </c>
    </row>
    <row r="8478" spans="1:2" ht="14.25" customHeight="1">
      <c r="A8478" t="s">
        <v>1943</v>
      </c>
      <c r="B8478">
        <v>283.5</v>
      </c>
    </row>
    <row r="8480" spans="1:2" s="344" customFormat="1" ht="14.25" customHeight="1">
      <c r="A8480" s="345" t="s">
        <v>1782</v>
      </c>
    </row>
    <row r="8482" spans="1:2" ht="14.25" customHeight="1">
      <c r="A8482" t="s">
        <v>753</v>
      </c>
      <c r="B8482" s="346">
        <v>4745</v>
      </c>
    </row>
    <row r="8484" spans="1:2" ht="14.25" customHeight="1">
      <c r="A8484" t="s">
        <v>581</v>
      </c>
    </row>
    <row r="8485" spans="1:2" ht="14.25" customHeight="1">
      <c r="A8485" t="s">
        <v>214</v>
      </c>
      <c r="B8485">
        <v>4745</v>
      </c>
    </row>
    <row r="8486" spans="1:2" ht="14.25" customHeight="1">
      <c r="A8486" t="s">
        <v>215</v>
      </c>
      <c r="B8486">
        <v>5695</v>
      </c>
    </row>
    <row r="8487" spans="1:2" ht="14.25" customHeight="1">
      <c r="A8487" t="s">
        <v>2009</v>
      </c>
      <c r="B8487">
        <v>5695</v>
      </c>
    </row>
    <row r="8488" spans="1:2" ht="14.25" customHeight="1">
      <c r="A8488" t="s">
        <v>586</v>
      </c>
      <c r="B8488">
        <v>16135</v>
      </c>
    </row>
    <row r="8490" spans="1:2" ht="14.25" customHeight="1">
      <c r="A8490" t="s">
        <v>268</v>
      </c>
    </row>
    <row r="8491" spans="1:2" ht="14.25" customHeight="1">
      <c r="A8491" t="s">
        <v>699</v>
      </c>
      <c r="B8491">
        <v>19310</v>
      </c>
    </row>
    <row r="8492" spans="1:2" ht="14.25" customHeight="1">
      <c r="A8492" t="s">
        <v>588</v>
      </c>
      <c r="B8492">
        <v>57930</v>
      </c>
    </row>
    <row r="8495" spans="1:2" ht="14.25" customHeight="1">
      <c r="A8495" t="s">
        <v>769</v>
      </c>
    </row>
    <row r="8497" spans="1:2" ht="14.25" customHeight="1">
      <c r="A8497" t="s">
        <v>1180</v>
      </c>
    </row>
    <row r="8498" spans="1:2" ht="14.25" customHeight="1">
      <c r="A8498" t="s">
        <v>1178</v>
      </c>
      <c r="B8498">
        <v>4530</v>
      </c>
    </row>
    <row r="8499" spans="1:2" ht="14.25" customHeight="1">
      <c r="A8499" t="s">
        <v>1179</v>
      </c>
      <c r="B8499">
        <v>4530</v>
      </c>
    </row>
    <row r="8500" spans="1:2" ht="14.25" customHeight="1">
      <c r="A8500" t="s">
        <v>2030</v>
      </c>
      <c r="B8500">
        <v>4530</v>
      </c>
    </row>
    <row r="8501" spans="1:2" ht="14.25" customHeight="1">
      <c r="A8501" t="s">
        <v>586</v>
      </c>
      <c r="B8501">
        <v>13590</v>
      </c>
    </row>
    <row r="8502" spans="1:2" ht="14.25" customHeight="1">
      <c r="A8502" t="s">
        <v>770</v>
      </c>
      <c r="B8502">
        <v>44340</v>
      </c>
    </row>
    <row r="8503" spans="1:2" ht="14.25" customHeight="1">
      <c r="A8503" t="s">
        <v>770</v>
      </c>
      <c r="B8503">
        <v>0.76540652511651996</v>
      </c>
    </row>
    <row r="8505" spans="1:2" ht="14.25" customHeight="1">
      <c r="A8505" t="s">
        <v>1181</v>
      </c>
    </row>
    <row r="8506" spans="1:2" ht="14.25" customHeight="1">
      <c r="A8506" t="s">
        <v>1182</v>
      </c>
      <c r="B8506">
        <v>4745</v>
      </c>
    </row>
    <row r="8507" spans="1:2" ht="14.25" customHeight="1">
      <c r="A8507" t="s">
        <v>1179</v>
      </c>
      <c r="B8507">
        <v>4755</v>
      </c>
    </row>
    <row r="8508" spans="1:2" ht="14.25" customHeight="1">
      <c r="A8508" t="s">
        <v>2030</v>
      </c>
      <c r="B8508">
        <v>4755</v>
      </c>
    </row>
    <row r="8509" spans="1:2" ht="14.25" customHeight="1">
      <c r="A8509" t="s">
        <v>586</v>
      </c>
      <c r="B8509">
        <v>14255</v>
      </c>
    </row>
    <row r="8510" spans="1:2" ht="14.25" customHeight="1">
      <c r="A8510" t="s">
        <v>770</v>
      </c>
      <c r="B8510">
        <v>43675</v>
      </c>
    </row>
    <row r="8511" spans="1:2" ht="14.25" customHeight="1">
      <c r="A8511" t="s">
        <v>770</v>
      </c>
      <c r="B8511">
        <v>0.75392715346107375</v>
      </c>
    </row>
    <row r="8513" spans="1:2" ht="14.25" customHeight="1">
      <c r="A8513" t="s">
        <v>2031</v>
      </c>
    </row>
    <row r="8514" spans="1:2" ht="14.25" customHeight="1">
      <c r="A8514" t="s">
        <v>1182</v>
      </c>
      <c r="B8514">
        <v>4745</v>
      </c>
    </row>
    <row r="8515" spans="1:2" ht="14.25" customHeight="1">
      <c r="A8515" t="s">
        <v>2032</v>
      </c>
      <c r="B8515">
        <v>5695</v>
      </c>
    </row>
    <row r="8516" spans="1:2" ht="14.25" customHeight="1">
      <c r="A8516" t="s">
        <v>2030</v>
      </c>
      <c r="B8516">
        <v>4755</v>
      </c>
    </row>
    <row r="8517" spans="1:2" ht="14.25" customHeight="1">
      <c r="A8517" t="s">
        <v>586</v>
      </c>
      <c r="B8517">
        <v>15195</v>
      </c>
    </row>
    <row r="8518" spans="1:2" ht="14.25" customHeight="1">
      <c r="A8518" t="s">
        <v>770</v>
      </c>
      <c r="B8518">
        <v>42735</v>
      </c>
    </row>
    <row r="8519" spans="1:2" ht="14.25" customHeight="1">
      <c r="A8519" t="s">
        <v>770</v>
      </c>
      <c r="B8519">
        <v>0.73770067322630761</v>
      </c>
    </row>
    <row r="8521" spans="1:2" ht="14.25" customHeight="1">
      <c r="A8521" t="s">
        <v>1943</v>
      </c>
      <c r="B8521">
        <v>4992.75</v>
      </c>
    </row>
    <row r="8523" spans="1:2" s="344" customFormat="1" ht="14.25" customHeight="1">
      <c r="A8523" s="345" t="s">
        <v>1783</v>
      </c>
    </row>
    <row r="8525" spans="1:2" ht="14.25" customHeight="1">
      <c r="A8525" t="s">
        <v>753</v>
      </c>
      <c r="B8525" s="346">
        <v>790</v>
      </c>
    </row>
    <row r="8527" spans="1:2" ht="14.25" customHeight="1">
      <c r="A8527" t="s">
        <v>581</v>
      </c>
    </row>
    <row r="8528" spans="1:2" ht="14.25" customHeight="1">
      <c r="A8528" t="s">
        <v>214</v>
      </c>
      <c r="B8528">
        <v>790</v>
      </c>
    </row>
    <row r="8529" spans="1:2" ht="14.25" customHeight="1">
      <c r="A8529" t="s">
        <v>215</v>
      </c>
      <c r="B8529">
        <v>950</v>
      </c>
    </row>
    <row r="8530" spans="1:2" ht="14.25" customHeight="1">
      <c r="A8530" t="s">
        <v>2009</v>
      </c>
      <c r="B8530">
        <v>950</v>
      </c>
    </row>
    <row r="8531" spans="1:2" ht="14.25" customHeight="1">
      <c r="A8531" t="s">
        <v>586</v>
      </c>
      <c r="B8531">
        <v>2690</v>
      </c>
    </row>
    <row r="8533" spans="1:2" ht="14.25" customHeight="1">
      <c r="A8533" t="s">
        <v>268</v>
      </c>
    </row>
    <row r="8534" spans="1:2" ht="14.25" customHeight="1">
      <c r="A8534" t="s">
        <v>699</v>
      </c>
      <c r="B8534">
        <v>1870</v>
      </c>
    </row>
    <row r="8535" spans="1:2" ht="14.25" customHeight="1">
      <c r="A8535" t="s">
        <v>588</v>
      </c>
      <c r="B8535">
        <v>5610</v>
      </c>
    </row>
    <row r="8538" spans="1:2" ht="14.25" customHeight="1">
      <c r="A8538" t="s">
        <v>769</v>
      </c>
    </row>
    <row r="8540" spans="1:2" ht="14.25" customHeight="1">
      <c r="A8540" t="s">
        <v>1180</v>
      </c>
    </row>
    <row r="8541" spans="1:2" ht="14.25" customHeight="1">
      <c r="A8541" t="s">
        <v>1178</v>
      </c>
      <c r="B8541">
        <v>755</v>
      </c>
    </row>
    <row r="8542" spans="1:2" ht="14.25" customHeight="1">
      <c r="A8542" t="s">
        <v>1179</v>
      </c>
      <c r="B8542">
        <v>755</v>
      </c>
    </row>
    <row r="8543" spans="1:2" ht="14.25" customHeight="1">
      <c r="A8543" t="s">
        <v>2030</v>
      </c>
      <c r="B8543">
        <v>755</v>
      </c>
    </row>
    <row r="8544" spans="1:2" ht="14.25" customHeight="1">
      <c r="A8544" t="s">
        <v>586</v>
      </c>
      <c r="B8544">
        <v>2265</v>
      </c>
    </row>
    <row r="8545" spans="1:2" ht="14.25" customHeight="1">
      <c r="A8545" t="s">
        <v>770</v>
      </c>
      <c r="B8545">
        <v>3345</v>
      </c>
    </row>
    <row r="8546" spans="1:2" ht="14.25" customHeight="1">
      <c r="A8546" t="s">
        <v>770</v>
      </c>
      <c r="B8546">
        <v>0.59625668449197866</v>
      </c>
    </row>
    <row r="8548" spans="1:2" ht="14.25" customHeight="1">
      <c r="A8548" t="s">
        <v>1181</v>
      </c>
    </row>
    <row r="8549" spans="1:2" ht="14.25" customHeight="1">
      <c r="A8549" t="s">
        <v>1182</v>
      </c>
      <c r="B8549">
        <v>790</v>
      </c>
    </row>
    <row r="8550" spans="1:2" ht="14.25" customHeight="1">
      <c r="A8550" t="s">
        <v>1179</v>
      </c>
      <c r="B8550">
        <v>795</v>
      </c>
    </row>
    <row r="8551" spans="1:2" ht="14.25" customHeight="1">
      <c r="A8551" t="s">
        <v>2030</v>
      </c>
      <c r="B8551">
        <v>795</v>
      </c>
    </row>
    <row r="8552" spans="1:2" ht="14.25" customHeight="1">
      <c r="A8552" t="s">
        <v>586</v>
      </c>
      <c r="B8552">
        <v>2380</v>
      </c>
    </row>
    <row r="8553" spans="1:2" ht="14.25" customHeight="1">
      <c r="A8553" t="s">
        <v>770</v>
      </c>
      <c r="B8553">
        <v>3230</v>
      </c>
    </row>
    <row r="8554" spans="1:2" ht="14.25" customHeight="1">
      <c r="A8554" t="s">
        <v>770</v>
      </c>
      <c r="B8554">
        <v>0.5757575757575758</v>
      </c>
    </row>
    <row r="8556" spans="1:2" ht="14.25" customHeight="1">
      <c r="A8556" t="s">
        <v>2031</v>
      </c>
    </row>
    <row r="8557" spans="1:2" ht="14.25" customHeight="1">
      <c r="A8557" t="s">
        <v>1182</v>
      </c>
      <c r="B8557">
        <v>790</v>
      </c>
    </row>
    <row r="8558" spans="1:2" ht="14.25" customHeight="1">
      <c r="A8558" t="s">
        <v>2032</v>
      </c>
      <c r="B8558">
        <v>950</v>
      </c>
    </row>
    <row r="8559" spans="1:2" ht="14.25" customHeight="1">
      <c r="A8559" t="s">
        <v>2030</v>
      </c>
      <c r="B8559">
        <v>795</v>
      </c>
    </row>
    <row r="8560" spans="1:2" ht="14.25" customHeight="1">
      <c r="A8560" t="s">
        <v>586</v>
      </c>
      <c r="B8560">
        <v>2535</v>
      </c>
    </row>
    <row r="8561" spans="1:2" ht="14.25" customHeight="1">
      <c r="A8561" t="s">
        <v>770</v>
      </c>
      <c r="B8561">
        <v>3075</v>
      </c>
    </row>
    <row r="8562" spans="1:2" ht="14.25" customHeight="1">
      <c r="A8562" t="s">
        <v>770</v>
      </c>
      <c r="B8562">
        <v>0.54812834224598928</v>
      </c>
    </row>
    <row r="8564" spans="1:2" ht="14.25" customHeight="1">
      <c r="A8564" t="s">
        <v>1943</v>
      </c>
      <c r="B8564">
        <v>834.75</v>
      </c>
    </row>
    <row r="8566" spans="1:2" s="344" customFormat="1" ht="14.25" customHeight="1">
      <c r="A8566" s="345" t="s">
        <v>1784</v>
      </c>
    </row>
    <row r="8568" spans="1:2" ht="14.25" customHeight="1">
      <c r="A8568" t="s">
        <v>753</v>
      </c>
      <c r="B8568" s="346">
        <v>12595</v>
      </c>
    </row>
    <row r="8570" spans="1:2" ht="14.25" customHeight="1">
      <c r="A8570" t="s">
        <v>581</v>
      </c>
    </row>
    <row r="8571" spans="1:2" ht="14.25" customHeight="1">
      <c r="A8571" t="s">
        <v>214</v>
      </c>
      <c r="B8571">
        <v>12595</v>
      </c>
    </row>
    <row r="8572" spans="1:2" ht="14.25" customHeight="1">
      <c r="A8572" t="s">
        <v>215</v>
      </c>
      <c r="B8572">
        <v>15115</v>
      </c>
    </row>
    <row r="8573" spans="1:2" ht="14.25" customHeight="1">
      <c r="A8573" t="s">
        <v>2009</v>
      </c>
      <c r="B8573">
        <v>15115</v>
      </c>
    </row>
    <row r="8574" spans="1:2" ht="14.25" customHeight="1">
      <c r="A8574" t="s">
        <v>586</v>
      </c>
      <c r="B8574">
        <v>42825</v>
      </c>
    </row>
    <row r="8576" spans="1:2" ht="14.25" customHeight="1">
      <c r="A8576" t="s">
        <v>268</v>
      </c>
    </row>
    <row r="8577" spans="1:2" ht="14.25" customHeight="1">
      <c r="A8577" t="s">
        <v>699</v>
      </c>
      <c r="B8577">
        <v>35280</v>
      </c>
    </row>
    <row r="8578" spans="1:2" ht="14.25" customHeight="1">
      <c r="A8578" t="s">
        <v>588</v>
      </c>
      <c r="B8578">
        <v>105840</v>
      </c>
    </row>
    <row r="8581" spans="1:2" ht="14.25" customHeight="1">
      <c r="A8581" t="s">
        <v>769</v>
      </c>
    </row>
    <row r="8583" spans="1:2" ht="14.25" customHeight="1">
      <c r="A8583" t="s">
        <v>1180</v>
      </c>
    </row>
    <row r="8584" spans="1:2" ht="14.25" customHeight="1">
      <c r="A8584" t="s">
        <v>1178</v>
      </c>
      <c r="B8584">
        <v>12025</v>
      </c>
    </row>
    <row r="8585" spans="1:2" ht="14.25" customHeight="1">
      <c r="A8585" t="s">
        <v>1179</v>
      </c>
      <c r="B8585">
        <v>12025</v>
      </c>
    </row>
    <row r="8586" spans="1:2" ht="14.25" customHeight="1">
      <c r="A8586" t="s">
        <v>2030</v>
      </c>
      <c r="B8586">
        <v>12025</v>
      </c>
    </row>
    <row r="8587" spans="1:2" ht="14.25" customHeight="1">
      <c r="A8587" t="s">
        <v>586</v>
      </c>
      <c r="B8587">
        <v>36075</v>
      </c>
    </row>
    <row r="8588" spans="1:2" ht="14.25" customHeight="1">
      <c r="A8588" t="s">
        <v>770</v>
      </c>
      <c r="B8588">
        <v>69765</v>
      </c>
    </row>
    <row r="8589" spans="1:2" ht="14.25" customHeight="1">
      <c r="A8589" t="s">
        <v>770</v>
      </c>
      <c r="B8589">
        <v>0.65915532879818595</v>
      </c>
    </row>
    <row r="8591" spans="1:2" ht="14.25" customHeight="1">
      <c r="A8591" t="s">
        <v>1181</v>
      </c>
    </row>
    <row r="8592" spans="1:2" ht="14.25" customHeight="1">
      <c r="A8592" t="s">
        <v>1182</v>
      </c>
      <c r="B8592">
        <v>12595</v>
      </c>
    </row>
    <row r="8593" spans="1:2" ht="14.25" customHeight="1">
      <c r="A8593" t="s">
        <v>1179</v>
      </c>
      <c r="B8593">
        <v>12625</v>
      </c>
    </row>
    <row r="8594" spans="1:2" ht="14.25" customHeight="1">
      <c r="A8594" t="s">
        <v>2030</v>
      </c>
      <c r="B8594">
        <v>12625</v>
      </c>
    </row>
    <row r="8595" spans="1:2" ht="14.25" customHeight="1">
      <c r="A8595" t="s">
        <v>586</v>
      </c>
      <c r="B8595">
        <v>37845</v>
      </c>
    </row>
    <row r="8596" spans="1:2" ht="14.25" customHeight="1">
      <c r="A8596" t="s">
        <v>770</v>
      </c>
      <c r="B8596">
        <v>67995</v>
      </c>
    </row>
    <row r="8597" spans="1:2" ht="14.25" customHeight="1">
      <c r="A8597" t="s">
        <v>770</v>
      </c>
      <c r="B8597">
        <v>0.64243197278911568</v>
      </c>
    </row>
    <row r="8599" spans="1:2" ht="14.25" customHeight="1">
      <c r="A8599" t="s">
        <v>2031</v>
      </c>
    </row>
    <row r="8600" spans="1:2" ht="14.25" customHeight="1">
      <c r="A8600" t="s">
        <v>1182</v>
      </c>
      <c r="B8600">
        <v>12595</v>
      </c>
    </row>
    <row r="8601" spans="1:2" ht="14.25" customHeight="1">
      <c r="A8601" t="s">
        <v>2032</v>
      </c>
      <c r="B8601">
        <v>15115</v>
      </c>
    </row>
    <row r="8602" spans="1:2" ht="14.25" customHeight="1">
      <c r="A8602" t="s">
        <v>2030</v>
      </c>
      <c r="B8602">
        <v>12625</v>
      </c>
    </row>
    <row r="8603" spans="1:2" ht="14.25" customHeight="1">
      <c r="A8603" t="s">
        <v>586</v>
      </c>
      <c r="B8603">
        <v>40335</v>
      </c>
    </row>
    <row r="8604" spans="1:2" ht="14.25" customHeight="1">
      <c r="A8604" t="s">
        <v>770</v>
      </c>
      <c r="B8604">
        <v>65505</v>
      </c>
    </row>
    <row r="8605" spans="1:2" ht="14.25" customHeight="1">
      <c r="A8605" t="s">
        <v>770</v>
      </c>
      <c r="B8605">
        <v>0.61890589569161003</v>
      </c>
    </row>
    <row r="8607" spans="1:2" ht="14.25" customHeight="1">
      <c r="A8607" t="s">
        <v>1943</v>
      </c>
      <c r="B8607">
        <v>13256.25</v>
      </c>
    </row>
  </sheetData>
  <conditionalFormatting sqref="B1:B1048576">
    <cfRule type="expression" dxfId="32" priority="1" stopIfTrue="1">
      <formula>ISERROR(B1)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P127"/>
  <sheetViews>
    <sheetView topLeftCell="H61" workbookViewId="0">
      <selection activeCell="E74" sqref="E74:O74"/>
    </sheetView>
  </sheetViews>
  <sheetFormatPr defaultRowHeight="14.25" customHeight="1"/>
  <cols>
    <col min="1" max="2" width="2.69921875" customWidth="1"/>
    <col min="3" max="3" width="24.69921875" customWidth="1"/>
    <col min="4" max="16" width="14.69921875" customWidth="1"/>
  </cols>
  <sheetData>
    <row r="1" spans="1:16">
      <c r="A1" s="1" t="s">
        <v>160</v>
      </c>
      <c r="B1" s="1"/>
      <c r="C1" s="1"/>
      <c r="D1" s="1"/>
      <c r="E1" s="1"/>
      <c r="F1" s="1"/>
      <c r="G1" s="1"/>
      <c r="H1" s="1"/>
      <c r="I1" s="1"/>
      <c r="J1" s="1"/>
      <c r="K1" s="1"/>
      <c r="L1" s="1"/>
      <c r="M1" s="1"/>
      <c r="N1" s="1"/>
      <c r="O1" s="1"/>
      <c r="P1" s="1"/>
    </row>
    <row r="2" spans="1:16">
      <c r="A2" s="83"/>
      <c r="B2" s="83"/>
      <c r="C2" s="84"/>
      <c r="D2" s="84"/>
      <c r="E2" s="84"/>
      <c r="F2" s="84"/>
      <c r="G2" s="84"/>
      <c r="H2" s="84"/>
      <c r="I2" s="84"/>
      <c r="J2" s="84"/>
      <c r="K2" s="84"/>
      <c r="L2" s="84"/>
      <c r="M2" s="84"/>
      <c r="N2" s="84"/>
      <c r="O2" s="84"/>
      <c r="P2" s="83"/>
    </row>
    <row r="3" spans="1:16">
      <c r="A3" s="83"/>
      <c r="B3" s="83"/>
      <c r="C3" s="83" t="s">
        <v>109</v>
      </c>
      <c r="D3" s="83"/>
      <c r="E3" s="62" t="s">
        <v>101</v>
      </c>
      <c r="F3" s="62"/>
      <c r="G3" s="62"/>
      <c r="H3" s="62"/>
      <c r="I3" s="62"/>
      <c r="J3" s="62"/>
      <c r="K3" s="62"/>
      <c r="L3" s="62"/>
      <c r="M3" s="62"/>
      <c r="N3" s="62"/>
      <c r="O3" s="61"/>
      <c r="P3" s="83"/>
    </row>
    <row r="4" spans="1:16">
      <c r="A4" s="6"/>
      <c r="B4" s="6"/>
      <c r="C4" s="6"/>
      <c r="D4" s="6"/>
      <c r="E4" s="6"/>
      <c r="F4" s="6"/>
      <c r="G4" s="6"/>
      <c r="H4" s="6"/>
      <c r="I4" s="6"/>
      <c r="J4" s="6"/>
      <c r="K4" s="6"/>
      <c r="L4" s="6"/>
      <c r="M4" s="6"/>
      <c r="N4" s="6"/>
      <c r="O4" s="6"/>
      <c r="P4" s="6"/>
    </row>
    <row r="5" spans="1:16">
      <c r="A5" s="7"/>
      <c r="B5" s="2"/>
      <c r="C5" s="2" t="s">
        <v>108</v>
      </c>
      <c r="D5" s="2"/>
      <c r="E5" s="2"/>
      <c r="F5" s="2"/>
      <c r="G5" s="2"/>
      <c r="H5" s="2"/>
      <c r="I5" s="2"/>
      <c r="J5" s="2"/>
      <c r="K5" s="2"/>
      <c r="L5" s="2"/>
      <c r="M5" s="2"/>
      <c r="N5" s="2"/>
      <c r="O5" s="3"/>
      <c r="P5" s="3"/>
    </row>
    <row r="6" spans="1:16">
      <c r="A6" s="6"/>
      <c r="B6" s="6"/>
      <c r="C6" s="6"/>
      <c r="D6" s="6"/>
      <c r="E6" s="6"/>
      <c r="F6" s="6"/>
      <c r="G6" s="6"/>
      <c r="H6" s="6"/>
      <c r="I6" s="6"/>
      <c r="J6" s="6"/>
      <c r="K6" s="6"/>
      <c r="L6" s="6"/>
      <c r="M6" s="6"/>
      <c r="N6" s="6"/>
      <c r="O6" s="6"/>
      <c r="P6" s="6"/>
    </row>
    <row r="7" spans="1:16">
      <c r="A7" s="6"/>
      <c r="B7" s="6"/>
      <c r="C7" s="6"/>
      <c r="D7" s="4" t="s">
        <v>107</v>
      </c>
      <c r="E7" s="4"/>
      <c r="F7" s="4"/>
      <c r="G7" s="4"/>
      <c r="H7" s="82" t="s">
        <v>106</v>
      </c>
      <c r="I7" s="6"/>
      <c r="J7" s="4"/>
      <c r="K7" s="4"/>
      <c r="L7" s="4"/>
      <c r="M7" s="4"/>
      <c r="N7" s="4"/>
      <c r="O7" s="6"/>
      <c r="P7" s="6"/>
    </row>
    <row r="8" spans="1:16">
      <c r="A8" s="6"/>
      <c r="B8" s="6"/>
      <c r="C8" s="6"/>
      <c r="D8" s="8"/>
      <c r="E8" s="9" t="s">
        <v>98</v>
      </c>
      <c r="F8" s="9"/>
      <c r="G8" s="9"/>
      <c r="H8" s="10"/>
      <c r="I8" s="9" t="s">
        <v>99</v>
      </c>
      <c r="J8" s="9"/>
      <c r="K8" s="6"/>
      <c r="L8" s="6"/>
      <c r="M8" s="6"/>
      <c r="N8" s="6"/>
      <c r="O8" s="6"/>
      <c r="P8" s="6"/>
    </row>
    <row r="9" spans="1:16">
      <c r="A9" s="6"/>
      <c r="B9" s="6"/>
      <c r="C9" s="6"/>
      <c r="D9" s="11"/>
      <c r="E9" s="9" t="s">
        <v>97</v>
      </c>
      <c r="F9" s="9"/>
      <c r="G9" s="9"/>
      <c r="H9" s="9"/>
      <c r="I9" s="9"/>
      <c r="J9" s="9"/>
      <c r="K9" s="6"/>
      <c r="L9" s="6"/>
      <c r="M9" s="6"/>
      <c r="N9" s="6"/>
      <c r="O9" s="6"/>
      <c r="P9" s="6"/>
    </row>
    <row r="10" spans="1:16">
      <c r="A10" s="6"/>
      <c r="B10" s="6"/>
      <c r="C10" s="6"/>
      <c r="D10" s="12"/>
      <c r="E10" s="9" t="s">
        <v>100</v>
      </c>
      <c r="F10" s="9"/>
      <c r="G10" s="9"/>
      <c r="H10" s="9"/>
      <c r="I10" s="9"/>
      <c r="J10" s="9"/>
      <c r="K10" s="6"/>
      <c r="L10" s="6"/>
      <c r="M10" s="6"/>
      <c r="N10" s="6"/>
      <c r="O10" s="6"/>
      <c r="P10" s="6"/>
    </row>
    <row r="11" spans="1:16">
      <c r="A11" s="6"/>
      <c r="B11" s="6"/>
      <c r="C11" s="6"/>
      <c r="D11" s="6"/>
      <c r="E11" s="6"/>
      <c r="F11" s="6"/>
      <c r="G11" s="6"/>
      <c r="H11" s="6"/>
      <c r="I11" s="6"/>
      <c r="J11" s="6"/>
      <c r="K11" s="6"/>
      <c r="L11" s="6"/>
      <c r="M11" s="6"/>
      <c r="N11" s="6"/>
      <c r="O11" s="6"/>
      <c r="P11" s="6"/>
    </row>
    <row r="12" spans="1:16">
      <c r="A12" s="7"/>
      <c r="B12" s="2"/>
      <c r="C12" s="2" t="s">
        <v>104</v>
      </c>
      <c r="D12" s="2"/>
      <c r="E12" s="2"/>
      <c r="F12" s="2"/>
      <c r="G12" s="2"/>
      <c r="H12" s="2"/>
      <c r="I12" s="2"/>
      <c r="J12" s="2"/>
      <c r="K12" s="2"/>
      <c r="L12" s="2"/>
      <c r="M12" s="2"/>
      <c r="N12" s="2"/>
      <c r="O12" s="3"/>
      <c r="P12" s="3"/>
    </row>
    <row r="13" spans="1:16">
      <c r="A13" s="67"/>
      <c r="B13" s="68"/>
      <c r="C13" s="67"/>
      <c r="D13" s="67"/>
      <c r="E13" s="67"/>
      <c r="F13" s="67"/>
      <c r="G13" s="67"/>
      <c r="H13" s="67"/>
      <c r="I13" s="67"/>
      <c r="J13" s="67"/>
      <c r="K13" s="67"/>
      <c r="L13" s="67"/>
      <c r="M13" s="67"/>
      <c r="N13" s="67"/>
      <c r="O13" s="67"/>
      <c r="P13" s="67"/>
    </row>
    <row r="14" spans="1:16">
      <c r="A14" s="67"/>
      <c r="B14" s="68"/>
      <c r="C14" s="67"/>
      <c r="D14" s="67" t="s">
        <v>159</v>
      </c>
      <c r="E14" s="288">
        <f>HLOOKUP(decLanguage,$E$23:$O$24,2,FALSE)</f>
        <v>1</v>
      </c>
      <c r="F14" s="68" t="s">
        <v>158</v>
      </c>
      <c r="G14" s="67"/>
      <c r="H14" s="67"/>
      <c r="I14" s="67"/>
      <c r="J14" s="67"/>
      <c r="K14" s="67"/>
      <c r="L14" s="67"/>
      <c r="M14" s="67"/>
      <c r="N14" s="67"/>
      <c r="O14" s="67"/>
      <c r="P14" s="81"/>
    </row>
    <row r="15" spans="1:16">
      <c r="A15" s="6"/>
      <c r="B15" s="6"/>
      <c r="C15" s="6"/>
      <c r="D15" s="6"/>
      <c r="E15" s="6"/>
      <c r="F15" s="6"/>
      <c r="G15" s="6"/>
      <c r="H15" s="6"/>
      <c r="I15" s="6"/>
      <c r="J15" s="6"/>
      <c r="K15" s="6"/>
      <c r="L15" s="6"/>
      <c r="M15" s="6"/>
      <c r="N15" s="6"/>
      <c r="O15" s="6"/>
      <c r="P15" s="6"/>
    </row>
    <row r="16" spans="1:16">
      <c r="A16" s="7"/>
      <c r="B16" s="2"/>
      <c r="C16" s="2" t="s">
        <v>157</v>
      </c>
      <c r="D16" s="2"/>
      <c r="E16" s="2"/>
      <c r="F16" s="2"/>
      <c r="G16" s="2"/>
      <c r="H16" s="2"/>
      <c r="I16" s="2"/>
      <c r="J16" s="2"/>
      <c r="K16" s="2"/>
      <c r="L16" s="2"/>
      <c r="M16" s="2"/>
      <c r="N16" s="2"/>
      <c r="O16" s="3"/>
      <c r="P16" s="3"/>
    </row>
    <row r="18" spans="2:16">
      <c r="B18" s="4" t="s">
        <v>156</v>
      </c>
    </row>
    <row r="19" spans="2:16">
      <c r="D19" s="91">
        <v>1000000</v>
      </c>
      <c r="E19" s="87" t="s">
        <v>155</v>
      </c>
      <c r="F19" s="87"/>
      <c r="G19" s="87"/>
      <c r="H19" s="87"/>
      <c r="I19" s="87"/>
      <c r="J19" s="87"/>
    </row>
    <row r="20" spans="2:16" ht="15" customHeight="1">
      <c r="D20" s="91">
        <v>3</v>
      </c>
      <c r="E20" s="87" t="s">
        <v>429</v>
      </c>
      <c r="F20" s="87"/>
      <c r="G20" s="87"/>
      <c r="H20" s="87"/>
      <c r="I20" s="87"/>
      <c r="J20" s="87"/>
    </row>
    <row r="21" spans="2:16">
      <c r="E21" s="87"/>
      <c r="F21" s="87"/>
      <c r="G21" s="87"/>
      <c r="H21" s="87"/>
      <c r="I21" s="87"/>
      <c r="J21" s="87"/>
    </row>
    <row r="22" spans="2:16">
      <c r="B22" s="4" t="s">
        <v>154</v>
      </c>
    </row>
    <row r="23" spans="2:16" ht="28.5">
      <c r="B23" s="4"/>
      <c r="D23" s="157" t="s">
        <v>213</v>
      </c>
      <c r="E23" s="158" t="s">
        <v>153</v>
      </c>
      <c r="F23" s="158" t="s">
        <v>347</v>
      </c>
      <c r="G23" s="158" t="s">
        <v>349</v>
      </c>
      <c r="H23" s="158" t="s">
        <v>348</v>
      </c>
      <c r="I23" s="158" t="s">
        <v>353</v>
      </c>
      <c r="J23" s="158" t="s">
        <v>350</v>
      </c>
      <c r="K23" s="158" t="s">
        <v>352</v>
      </c>
      <c r="L23" s="158" t="s">
        <v>351</v>
      </c>
      <c r="M23" s="158" t="s">
        <v>591</v>
      </c>
      <c r="N23" s="158" t="s">
        <v>592</v>
      </c>
      <c r="O23" s="158" t="s">
        <v>593</v>
      </c>
      <c r="P23" t="s">
        <v>354</v>
      </c>
    </row>
    <row r="24" spans="2:16">
      <c r="B24" s="4"/>
      <c r="D24" s="156" t="s">
        <v>355</v>
      </c>
      <c r="E24" s="155">
        <v>1</v>
      </c>
      <c r="F24" s="155">
        <v>2</v>
      </c>
      <c r="G24" s="155">
        <v>3</v>
      </c>
      <c r="H24" s="155">
        <v>4</v>
      </c>
      <c r="I24" s="155">
        <v>5</v>
      </c>
      <c r="J24" s="155">
        <v>6</v>
      </c>
      <c r="K24" s="155">
        <v>7</v>
      </c>
      <c r="L24" s="155">
        <v>8</v>
      </c>
      <c r="M24" s="155">
        <v>9</v>
      </c>
      <c r="N24" s="155">
        <v>10</v>
      </c>
      <c r="O24" s="155">
        <v>11</v>
      </c>
    </row>
    <row r="25" spans="2:16" ht="57">
      <c r="B25" s="4"/>
      <c r="C25" t="s">
        <v>152</v>
      </c>
      <c r="D25" s="90" t="str">
        <f>INDEX(E25:O25,glossaryLanguage)</f>
        <v>Move to Subscription Calculator</v>
      </c>
      <c r="E25" s="353" t="s">
        <v>768</v>
      </c>
      <c r="F25" s="353" t="s">
        <v>774</v>
      </c>
      <c r="G25" s="353" t="s">
        <v>822</v>
      </c>
      <c r="H25" s="353" t="s">
        <v>866</v>
      </c>
      <c r="I25" s="353" t="s">
        <v>902</v>
      </c>
      <c r="J25" s="353" t="s">
        <v>1365</v>
      </c>
      <c r="K25" s="353" t="s">
        <v>955</v>
      </c>
      <c r="L25" s="353" t="s">
        <v>1136</v>
      </c>
      <c r="M25" s="353" t="s">
        <v>1002</v>
      </c>
      <c r="N25" s="353" t="s">
        <v>1065</v>
      </c>
      <c r="O25" s="353" t="s">
        <v>1093</v>
      </c>
    </row>
    <row r="26" spans="2:16" ht="28.5">
      <c r="B26" s="4"/>
      <c r="C26" t="s">
        <v>151</v>
      </c>
      <c r="D26" s="90" t="str">
        <f>INDEX(E26:O26,glossaryLanguage)</f>
        <v>Business Simulation</v>
      </c>
      <c r="E26" s="353" t="s">
        <v>150</v>
      </c>
      <c r="F26" s="353" t="s">
        <v>775</v>
      </c>
      <c r="G26" s="353" t="s">
        <v>816</v>
      </c>
      <c r="H26" s="353" t="s">
        <v>867</v>
      </c>
      <c r="I26" s="353" t="s">
        <v>903</v>
      </c>
      <c r="J26" s="353" t="s">
        <v>1364</v>
      </c>
      <c r="K26" s="353" t="s">
        <v>956</v>
      </c>
      <c r="L26" s="353" t="s">
        <v>1135</v>
      </c>
      <c r="M26" s="353" t="s">
        <v>1003</v>
      </c>
      <c r="N26" s="353" t="s">
        <v>1048</v>
      </c>
      <c r="O26" s="353" t="s">
        <v>1094</v>
      </c>
    </row>
    <row r="27" spans="2:16">
      <c r="E27" s="354"/>
      <c r="F27" s="354"/>
      <c r="G27" s="354"/>
      <c r="H27" s="354"/>
      <c r="I27" s="354"/>
      <c r="J27" s="354"/>
      <c r="K27" s="354"/>
      <c r="L27" s="354"/>
      <c r="M27" s="354"/>
      <c r="N27" s="354"/>
      <c r="O27" s="354"/>
    </row>
    <row r="28" spans="2:16">
      <c r="B28" s="4"/>
      <c r="C28" t="s">
        <v>238</v>
      </c>
      <c r="D28" s="90" t="str">
        <f>INDEX(E28:O28,glossaryLanguage)</f>
        <v>Currency</v>
      </c>
      <c r="E28" s="353" t="s">
        <v>212</v>
      </c>
      <c r="F28" s="353" t="s">
        <v>792</v>
      </c>
      <c r="G28" s="353" t="s">
        <v>817</v>
      </c>
      <c r="H28" s="353" t="s">
        <v>868</v>
      </c>
      <c r="I28" s="353" t="s">
        <v>904</v>
      </c>
      <c r="J28" s="353" t="s">
        <v>1366</v>
      </c>
      <c r="K28" s="353" t="s">
        <v>957</v>
      </c>
      <c r="L28" s="353" t="s">
        <v>1137</v>
      </c>
      <c r="M28" s="353" t="s">
        <v>1004</v>
      </c>
      <c r="N28" s="353" t="s">
        <v>1049</v>
      </c>
      <c r="O28" s="353" t="s">
        <v>1095</v>
      </c>
    </row>
    <row r="29" spans="2:16">
      <c r="B29" s="4"/>
      <c r="C29" t="s">
        <v>239</v>
      </c>
      <c r="D29" s="90" t="str">
        <f>INDEX(E29:O29,glossaryLanguage)</f>
        <v>Language</v>
      </c>
      <c r="E29" s="353" t="s">
        <v>213</v>
      </c>
      <c r="F29" s="353" t="s">
        <v>793</v>
      </c>
      <c r="G29" s="353" t="s">
        <v>818</v>
      </c>
      <c r="H29" s="353" t="s">
        <v>869</v>
      </c>
      <c r="I29" s="353" t="s">
        <v>905</v>
      </c>
      <c r="J29" s="353" t="s">
        <v>1367</v>
      </c>
      <c r="K29" s="353" t="s">
        <v>958</v>
      </c>
      <c r="L29" s="353" t="s">
        <v>1138</v>
      </c>
      <c r="M29" s="353" t="s">
        <v>1005</v>
      </c>
      <c r="N29" s="353" t="s">
        <v>1050</v>
      </c>
      <c r="O29" s="353" t="s">
        <v>1050</v>
      </c>
    </row>
    <row r="30" spans="2:16">
      <c r="E30" s="354"/>
      <c r="F30" s="354"/>
      <c r="G30" s="354"/>
      <c r="H30" s="354"/>
      <c r="I30" s="354"/>
      <c r="J30" s="354"/>
      <c r="K30" s="354"/>
      <c r="L30" s="354"/>
      <c r="M30" s="354"/>
      <c r="N30" s="354"/>
      <c r="O30" s="354"/>
    </row>
    <row r="31" spans="2:16">
      <c r="B31" s="4"/>
      <c r="C31" t="s">
        <v>253</v>
      </c>
      <c r="D31" s="90" t="str">
        <f>INDEX(E31:O31,glossaryLanguage)</f>
        <v>Inputs</v>
      </c>
      <c r="E31" s="353" t="s">
        <v>105</v>
      </c>
      <c r="F31" s="353" t="s">
        <v>810</v>
      </c>
      <c r="G31" s="353" t="s">
        <v>819</v>
      </c>
      <c r="H31" s="353" t="s">
        <v>870</v>
      </c>
      <c r="I31" s="353" t="s">
        <v>906</v>
      </c>
      <c r="J31" s="353" t="s">
        <v>1368</v>
      </c>
      <c r="K31" s="353" t="s">
        <v>959</v>
      </c>
      <c r="L31" s="353" t="s">
        <v>1139</v>
      </c>
      <c r="M31" s="353" t="s">
        <v>1006</v>
      </c>
      <c r="N31" s="353" t="s">
        <v>1051</v>
      </c>
      <c r="O31" s="353" t="s">
        <v>1051</v>
      </c>
    </row>
    <row r="32" spans="2:16" ht="28.5">
      <c r="B32" s="4"/>
      <c r="C32" t="s">
        <v>254</v>
      </c>
      <c r="D32" s="90" t="str">
        <f>INDEX(E32:O32,glossaryLanguage)</f>
        <v>Investment Options</v>
      </c>
      <c r="E32" s="353" t="s">
        <v>582</v>
      </c>
      <c r="F32" s="353" t="s">
        <v>811</v>
      </c>
      <c r="G32" s="353" t="s">
        <v>833</v>
      </c>
      <c r="H32" s="353" t="s">
        <v>871</v>
      </c>
      <c r="I32" s="353" t="s">
        <v>907</v>
      </c>
      <c r="J32" s="353" t="s">
        <v>1369</v>
      </c>
      <c r="K32" s="353" t="s">
        <v>966</v>
      </c>
      <c r="L32" s="353" t="s">
        <v>1140</v>
      </c>
      <c r="M32" s="353" t="s">
        <v>1007</v>
      </c>
      <c r="N32" s="353" t="s">
        <v>1058</v>
      </c>
      <c r="O32" s="353" t="s">
        <v>1096</v>
      </c>
    </row>
    <row r="33" spans="2:15" ht="42.75">
      <c r="B33" s="4"/>
      <c r="C33" t="s">
        <v>583</v>
      </c>
      <c r="D33" s="90" t="str">
        <f>INDEX(E33:O33,glossaryLanguage)</f>
        <v>Benchmark Values</v>
      </c>
      <c r="E33" s="353" t="s">
        <v>585</v>
      </c>
      <c r="F33" s="353" t="s">
        <v>812</v>
      </c>
      <c r="G33" s="353" t="s">
        <v>820</v>
      </c>
      <c r="H33" s="353" t="s">
        <v>872</v>
      </c>
      <c r="I33" s="353" t="s">
        <v>908</v>
      </c>
      <c r="J33" s="353" t="s">
        <v>1370</v>
      </c>
      <c r="K33" s="353" t="s">
        <v>967</v>
      </c>
      <c r="L33" s="353" t="s">
        <v>1141</v>
      </c>
      <c r="M33" s="353" t="s">
        <v>1008</v>
      </c>
      <c r="N33" s="353" t="s">
        <v>1059</v>
      </c>
      <c r="O33" s="353" t="s">
        <v>1097</v>
      </c>
    </row>
    <row r="34" spans="2:15" ht="57">
      <c r="B34" s="4"/>
      <c r="C34" t="s">
        <v>584</v>
      </c>
      <c r="D34" s="90" t="str">
        <f>INDEX(E34:O34,glossaryLanguage)</f>
        <v>Move to Subscription Analysis</v>
      </c>
      <c r="E34" s="353" t="s">
        <v>769</v>
      </c>
      <c r="F34" s="353" t="s">
        <v>805</v>
      </c>
      <c r="G34" s="353" t="s">
        <v>821</v>
      </c>
      <c r="H34" s="353" t="s">
        <v>873</v>
      </c>
      <c r="I34" s="353" t="s">
        <v>909</v>
      </c>
      <c r="J34" s="353" t="s">
        <v>1371</v>
      </c>
      <c r="K34" s="353" t="s">
        <v>968</v>
      </c>
      <c r="L34" s="353" t="s">
        <v>1142</v>
      </c>
      <c r="M34" s="353" t="s">
        <v>1009</v>
      </c>
      <c r="N34" s="353" t="s">
        <v>1066</v>
      </c>
      <c r="O34" s="353" t="s">
        <v>1098</v>
      </c>
    </row>
    <row r="35" spans="2:15">
      <c r="B35" s="4"/>
      <c r="C35" t="s">
        <v>625</v>
      </c>
      <c r="D35" s="90" t="str">
        <f>INDEX(E35:O35,glossaryLanguage)</f>
        <v>Charts</v>
      </c>
      <c r="E35" s="353" t="s">
        <v>626</v>
      </c>
      <c r="F35" s="353" t="s">
        <v>813</v>
      </c>
      <c r="G35" s="353" t="s">
        <v>823</v>
      </c>
      <c r="H35" s="353" t="s">
        <v>874</v>
      </c>
      <c r="I35" s="353" t="s">
        <v>910</v>
      </c>
      <c r="J35" s="353" t="s">
        <v>1372</v>
      </c>
      <c r="K35" s="353" t="s">
        <v>969</v>
      </c>
      <c r="L35" s="353" t="s">
        <v>1143</v>
      </c>
      <c r="M35" s="353" t="s">
        <v>1010</v>
      </c>
      <c r="N35" s="353" t="s">
        <v>1060</v>
      </c>
      <c r="O35" s="353" t="s">
        <v>1060</v>
      </c>
    </row>
    <row r="36" spans="2:15">
      <c r="E36" s="354"/>
      <c r="F36" s="354"/>
      <c r="G36" s="354"/>
      <c r="H36" s="354"/>
      <c r="I36" s="354"/>
      <c r="J36" s="354"/>
      <c r="K36" s="354"/>
      <c r="L36" s="354"/>
      <c r="M36" s="354"/>
      <c r="N36" s="354"/>
      <c r="O36" s="354"/>
    </row>
    <row r="37" spans="2:15">
      <c r="B37" s="4"/>
      <c r="C37" t="s">
        <v>242</v>
      </c>
      <c r="D37" s="90" t="str">
        <f t="shared" ref="D37:D42" si="0">INDEX(E37:O37,glossaryLanguage)</f>
        <v>Product 1</v>
      </c>
      <c r="E37" s="353" t="s">
        <v>718</v>
      </c>
      <c r="F37" s="353" t="s">
        <v>786</v>
      </c>
      <c r="G37" s="353" t="s">
        <v>824</v>
      </c>
      <c r="H37" s="353" t="s">
        <v>917</v>
      </c>
      <c r="I37" s="353" t="s">
        <v>911</v>
      </c>
      <c r="J37" s="353" t="s">
        <v>1373</v>
      </c>
      <c r="K37" s="353" t="s">
        <v>960</v>
      </c>
      <c r="L37" s="353" t="s">
        <v>1144</v>
      </c>
      <c r="M37" s="353" t="s">
        <v>1011</v>
      </c>
      <c r="N37" s="353" t="s">
        <v>1052</v>
      </c>
      <c r="O37" s="353" t="s">
        <v>1099</v>
      </c>
    </row>
    <row r="38" spans="2:15">
      <c r="C38" t="s">
        <v>243</v>
      </c>
      <c r="D38" s="90" t="str">
        <f t="shared" si="0"/>
        <v>Product 2</v>
      </c>
      <c r="E38" s="353" t="s">
        <v>719</v>
      </c>
      <c r="F38" s="353" t="s">
        <v>787</v>
      </c>
      <c r="G38" s="353" t="s">
        <v>825</v>
      </c>
      <c r="H38" s="353" t="s">
        <v>918</v>
      </c>
      <c r="I38" s="353" t="s">
        <v>912</v>
      </c>
      <c r="J38" s="353" t="s">
        <v>1374</v>
      </c>
      <c r="K38" s="353" t="s">
        <v>961</v>
      </c>
      <c r="L38" s="353" t="s">
        <v>1145</v>
      </c>
      <c r="M38" s="353" t="s">
        <v>1012</v>
      </c>
      <c r="N38" s="353" t="s">
        <v>1053</v>
      </c>
      <c r="O38" s="353" t="s">
        <v>1100</v>
      </c>
    </row>
    <row r="39" spans="2:15">
      <c r="C39" t="s">
        <v>244</v>
      </c>
      <c r="D39" s="90" t="str">
        <f t="shared" si="0"/>
        <v>Product 3</v>
      </c>
      <c r="E39" s="353" t="s">
        <v>720</v>
      </c>
      <c r="F39" s="353" t="s">
        <v>788</v>
      </c>
      <c r="G39" s="353" t="s">
        <v>826</v>
      </c>
      <c r="H39" s="353" t="s">
        <v>919</v>
      </c>
      <c r="I39" s="353" t="s">
        <v>913</v>
      </c>
      <c r="J39" s="353" t="s">
        <v>1375</v>
      </c>
      <c r="K39" s="353" t="s">
        <v>962</v>
      </c>
      <c r="L39" s="353" t="s">
        <v>1146</v>
      </c>
      <c r="M39" s="353" t="s">
        <v>1013</v>
      </c>
      <c r="N39" s="353" t="s">
        <v>1054</v>
      </c>
      <c r="O39" s="353" t="s">
        <v>1101</v>
      </c>
    </row>
    <row r="40" spans="2:15">
      <c r="C40" t="s">
        <v>245</v>
      </c>
      <c r="D40" s="90" t="str">
        <f t="shared" si="0"/>
        <v>Product 4</v>
      </c>
      <c r="E40" s="353" t="s">
        <v>721</v>
      </c>
      <c r="F40" s="353" t="s">
        <v>789</v>
      </c>
      <c r="G40" s="353" t="s">
        <v>827</v>
      </c>
      <c r="H40" s="353" t="s">
        <v>920</v>
      </c>
      <c r="I40" s="353" t="s">
        <v>914</v>
      </c>
      <c r="J40" s="353" t="s">
        <v>1376</v>
      </c>
      <c r="K40" s="353" t="s">
        <v>963</v>
      </c>
      <c r="L40" s="353" t="s">
        <v>1147</v>
      </c>
      <c r="M40" s="353" t="s">
        <v>1014</v>
      </c>
      <c r="N40" s="353" t="s">
        <v>1055</v>
      </c>
      <c r="O40" s="353" t="s">
        <v>1102</v>
      </c>
    </row>
    <row r="41" spans="2:15">
      <c r="C41" t="s">
        <v>246</v>
      </c>
      <c r="D41" s="90" t="str">
        <f t="shared" si="0"/>
        <v>Product 5</v>
      </c>
      <c r="E41" s="353" t="s">
        <v>722</v>
      </c>
      <c r="F41" s="353" t="s">
        <v>790</v>
      </c>
      <c r="G41" s="353" t="s">
        <v>828</v>
      </c>
      <c r="H41" s="353" t="s">
        <v>921</v>
      </c>
      <c r="I41" s="353" t="s">
        <v>915</v>
      </c>
      <c r="J41" s="353" t="s">
        <v>1377</v>
      </c>
      <c r="K41" s="353" t="s">
        <v>964</v>
      </c>
      <c r="L41" s="353" t="s">
        <v>1148</v>
      </c>
      <c r="M41" s="353" t="s">
        <v>1015</v>
      </c>
      <c r="N41" s="353" t="s">
        <v>1056</v>
      </c>
      <c r="O41" s="353" t="s">
        <v>1103</v>
      </c>
    </row>
    <row r="42" spans="2:15">
      <c r="C42" t="s">
        <v>247</v>
      </c>
      <c r="D42" s="90" t="str">
        <f t="shared" si="0"/>
        <v>Product 6</v>
      </c>
      <c r="E42" s="353" t="s">
        <v>723</v>
      </c>
      <c r="F42" s="353" t="s">
        <v>791</v>
      </c>
      <c r="G42" s="353" t="s">
        <v>829</v>
      </c>
      <c r="H42" s="353" t="s">
        <v>922</v>
      </c>
      <c r="I42" s="353" t="s">
        <v>916</v>
      </c>
      <c r="J42" s="353" t="s">
        <v>1378</v>
      </c>
      <c r="K42" s="353" t="s">
        <v>965</v>
      </c>
      <c r="L42" s="353" t="s">
        <v>1149</v>
      </c>
      <c r="M42" s="353" t="s">
        <v>1016</v>
      </c>
      <c r="N42" s="353" t="s">
        <v>1057</v>
      </c>
      <c r="O42" s="353" t="s">
        <v>1104</v>
      </c>
    </row>
    <row r="43" spans="2:15">
      <c r="C43" t="s">
        <v>1434</v>
      </c>
      <c r="D43" s="90" t="str">
        <f t="shared" ref="D43" si="1">INDEX(E43:O43,glossaryLanguage)</f>
        <v>Product 7</v>
      </c>
      <c r="E43" s="353" t="s">
        <v>1436</v>
      </c>
      <c r="F43" s="353" t="s">
        <v>1437</v>
      </c>
      <c r="G43" s="353" t="s">
        <v>1438</v>
      </c>
      <c r="H43" s="353" t="s">
        <v>1439</v>
      </c>
      <c r="I43" s="353" t="s">
        <v>1440</v>
      </c>
      <c r="J43" s="353" t="s">
        <v>1441</v>
      </c>
      <c r="K43" s="353" t="s">
        <v>1442</v>
      </c>
      <c r="L43" s="353" t="s">
        <v>1443</v>
      </c>
      <c r="M43" s="353" t="s">
        <v>1444</v>
      </c>
      <c r="N43" s="353" t="s">
        <v>1445</v>
      </c>
      <c r="O43" s="353" t="s">
        <v>1446</v>
      </c>
    </row>
    <row r="44" spans="2:15">
      <c r="C44" t="s">
        <v>1435</v>
      </c>
      <c r="D44" s="90" t="str">
        <f t="shared" ref="D44" si="2">INDEX(E44:O44,glossaryLanguage)</f>
        <v>Product 8</v>
      </c>
      <c r="E44" s="353" t="s">
        <v>1447</v>
      </c>
      <c r="F44" s="353" t="s">
        <v>1448</v>
      </c>
      <c r="G44" s="353" t="s">
        <v>1449</v>
      </c>
      <c r="H44" s="353" t="s">
        <v>1450</v>
      </c>
      <c r="I44" s="353" t="s">
        <v>1451</v>
      </c>
      <c r="J44" s="353" t="s">
        <v>1452</v>
      </c>
      <c r="K44" s="353" t="s">
        <v>1453</v>
      </c>
      <c r="L44" s="353" t="s">
        <v>1454</v>
      </c>
      <c r="M44" s="353" t="s">
        <v>1455</v>
      </c>
      <c r="N44" s="353" t="s">
        <v>1456</v>
      </c>
      <c r="O44" s="353" t="s">
        <v>1457</v>
      </c>
    </row>
    <row r="45" spans="2:15">
      <c r="E45" s="354"/>
      <c r="F45" s="354"/>
      <c r="G45" s="354"/>
      <c r="H45" s="354"/>
      <c r="I45" s="354"/>
      <c r="J45" s="354"/>
      <c r="K45" s="354"/>
      <c r="L45" s="354"/>
      <c r="M45" s="354"/>
      <c r="N45" s="354"/>
      <c r="O45" s="354"/>
    </row>
    <row r="46" spans="2:15" ht="28.5">
      <c r="B46" s="4"/>
      <c r="C46" t="s">
        <v>248</v>
      </c>
      <c r="D46" s="90" t="str">
        <f>INDEX(E46:O46,glossaryLanguage)</f>
        <v>Product on Maintenance</v>
      </c>
      <c r="E46" s="353" t="s">
        <v>207</v>
      </c>
      <c r="F46" s="353" t="s">
        <v>794</v>
      </c>
      <c r="G46" s="353" t="s">
        <v>830</v>
      </c>
      <c r="H46" s="353" t="s">
        <v>875</v>
      </c>
      <c r="I46" s="353" t="s">
        <v>923</v>
      </c>
      <c r="J46" s="353" t="s">
        <v>1379</v>
      </c>
      <c r="K46" s="353" t="s">
        <v>970</v>
      </c>
      <c r="L46" s="353" t="s">
        <v>1150</v>
      </c>
      <c r="M46" s="353" t="s">
        <v>1017</v>
      </c>
      <c r="N46" s="353" t="s">
        <v>1061</v>
      </c>
      <c r="O46" s="353" t="s">
        <v>1105</v>
      </c>
    </row>
    <row r="47" spans="2:15" ht="28.5">
      <c r="C47" t="s">
        <v>249</v>
      </c>
      <c r="D47" s="90" t="str">
        <f>INDEX(E47:O47,glossaryLanguage)</f>
        <v>Maintenance Price</v>
      </c>
      <c r="E47" s="353" t="s">
        <v>209</v>
      </c>
      <c r="F47" s="353" t="s">
        <v>799</v>
      </c>
      <c r="G47" s="353" t="s">
        <v>831</v>
      </c>
      <c r="H47" s="353" t="s">
        <v>876</v>
      </c>
      <c r="I47" s="353" t="s">
        <v>924</v>
      </c>
      <c r="J47" s="353" t="s">
        <v>1380</v>
      </c>
      <c r="K47" s="353" t="s">
        <v>971</v>
      </c>
      <c r="L47" s="353" t="s">
        <v>1151</v>
      </c>
      <c r="M47" s="353" t="s">
        <v>1018</v>
      </c>
      <c r="N47" s="353" t="s">
        <v>1062</v>
      </c>
      <c r="O47" s="353" t="s">
        <v>1106</v>
      </c>
    </row>
    <row r="48" spans="2:15" ht="28.5">
      <c r="C48" t="s">
        <v>250</v>
      </c>
      <c r="D48" s="90" t="str">
        <f>INDEX(E48:O48,glossaryLanguage)</f>
        <v>Maintenance Expiration</v>
      </c>
      <c r="E48" s="353" t="s">
        <v>210</v>
      </c>
      <c r="F48" s="353" t="s">
        <v>798</v>
      </c>
      <c r="G48" s="353" t="s">
        <v>832</v>
      </c>
      <c r="H48" s="353" t="s">
        <v>877</v>
      </c>
      <c r="I48" s="353" t="s">
        <v>925</v>
      </c>
      <c r="J48" s="353" t="s">
        <v>1381</v>
      </c>
      <c r="K48" s="353" t="s">
        <v>972</v>
      </c>
      <c r="L48" s="353" t="s">
        <v>1152</v>
      </c>
      <c r="M48" s="353" t="s">
        <v>1019</v>
      </c>
      <c r="N48" s="353" t="s">
        <v>1063</v>
      </c>
      <c r="O48" s="353" t="s">
        <v>1107</v>
      </c>
    </row>
    <row r="49" spans="2:15" ht="28.5">
      <c r="C49" t="s">
        <v>251</v>
      </c>
      <c r="D49" s="90" t="str">
        <f>INDEX(E49:O49,glossaryLanguage)</f>
        <v>Switching to Subscription</v>
      </c>
      <c r="E49" s="353" t="s">
        <v>716</v>
      </c>
      <c r="F49" s="353" t="s">
        <v>797</v>
      </c>
      <c r="G49" s="353" t="s">
        <v>834</v>
      </c>
      <c r="H49" s="353" t="s">
        <v>878</v>
      </c>
      <c r="I49" s="353" t="s">
        <v>926</v>
      </c>
      <c r="J49" s="353" t="s">
        <v>1382</v>
      </c>
      <c r="K49" s="353" t="s">
        <v>973</v>
      </c>
      <c r="L49" s="353" t="s">
        <v>1153</v>
      </c>
      <c r="M49" s="353" t="s">
        <v>1020</v>
      </c>
      <c r="N49" s="353" t="s">
        <v>1064</v>
      </c>
      <c r="O49" s="353" t="s">
        <v>1108</v>
      </c>
    </row>
    <row r="50" spans="2:15">
      <c r="C50" t="s">
        <v>252</v>
      </c>
      <c r="D50" s="90" t="str">
        <f>INDEX(E50:O50,glossaryLanguage)</f>
        <v>Quantity</v>
      </c>
      <c r="E50" s="353" t="s">
        <v>208</v>
      </c>
      <c r="F50" s="353" t="s">
        <v>796</v>
      </c>
      <c r="G50" s="353" t="s">
        <v>835</v>
      </c>
      <c r="H50" s="353" t="s">
        <v>879</v>
      </c>
      <c r="I50" s="353" t="s">
        <v>927</v>
      </c>
      <c r="J50" s="353" t="s">
        <v>1154</v>
      </c>
      <c r="K50" s="353" t="s">
        <v>974</v>
      </c>
      <c r="L50" s="353" t="s">
        <v>1154</v>
      </c>
      <c r="M50" s="353" t="s">
        <v>1021</v>
      </c>
      <c r="N50" s="353" t="s">
        <v>1067</v>
      </c>
      <c r="O50" s="353" t="s">
        <v>1109</v>
      </c>
    </row>
    <row r="51" spans="2:15">
      <c r="E51" s="354"/>
      <c r="F51" s="354"/>
      <c r="G51" s="354"/>
      <c r="H51" s="354"/>
      <c r="I51" s="354"/>
      <c r="J51" s="354"/>
      <c r="K51" s="354"/>
      <c r="L51" s="354"/>
      <c r="M51" s="354"/>
      <c r="N51" s="354"/>
      <c r="O51" s="354"/>
    </row>
    <row r="52" spans="2:15" ht="42.75">
      <c r="B52" s="4"/>
      <c r="C52" t="s">
        <v>255</v>
      </c>
      <c r="D52" s="90" t="str">
        <f t="shared" ref="D52:D65" si="3">INDEX(E52:O52,glossaryLanguage)</f>
        <v>Stay on Maintenance</v>
      </c>
      <c r="E52" s="353" t="s">
        <v>581</v>
      </c>
      <c r="F52" s="353" t="s">
        <v>776</v>
      </c>
      <c r="G52" s="353" t="s">
        <v>836</v>
      </c>
      <c r="H52" s="353" t="s">
        <v>880</v>
      </c>
      <c r="I52" s="353" t="s">
        <v>928</v>
      </c>
      <c r="J52" s="353" t="s">
        <v>1383</v>
      </c>
      <c r="K52" s="353" t="s">
        <v>975</v>
      </c>
      <c r="L52" s="353" t="s">
        <v>1155</v>
      </c>
      <c r="M52" s="353" t="s">
        <v>1022</v>
      </c>
      <c r="N52" s="353" t="s">
        <v>1068</v>
      </c>
      <c r="O52" s="353" t="s">
        <v>1110</v>
      </c>
    </row>
    <row r="53" spans="2:15" ht="42.75">
      <c r="C53" t="s">
        <v>256</v>
      </c>
      <c r="D53" s="90" t="str">
        <f t="shared" si="3"/>
        <v>New Subscription SRP</v>
      </c>
      <c r="E53" s="353" t="s">
        <v>268</v>
      </c>
      <c r="F53" s="353" t="s">
        <v>777</v>
      </c>
      <c r="G53" s="353" t="s">
        <v>837</v>
      </c>
      <c r="H53" s="353" t="s">
        <v>881</v>
      </c>
      <c r="I53" s="353" t="s">
        <v>929</v>
      </c>
      <c r="J53" s="353" t="s">
        <v>1384</v>
      </c>
      <c r="K53" s="353" t="s">
        <v>976</v>
      </c>
      <c r="L53" s="353" t="s">
        <v>1156</v>
      </c>
      <c r="M53" s="353" t="s">
        <v>1023</v>
      </c>
      <c r="N53" s="353" t="s">
        <v>1069</v>
      </c>
      <c r="O53" s="353" t="s">
        <v>1111</v>
      </c>
    </row>
    <row r="54" spans="2:15" ht="28.5">
      <c r="C54" t="s">
        <v>262</v>
      </c>
      <c r="D54" s="90" t="str">
        <f t="shared" si="3"/>
        <v>Switch in Year 2</v>
      </c>
      <c r="E54" s="353" t="str">
        <f>"Switch in "&amp;E67</f>
        <v>Switch in Year 2</v>
      </c>
      <c r="F54" s="353" t="s">
        <v>778</v>
      </c>
      <c r="G54" s="353" t="s">
        <v>838</v>
      </c>
      <c r="H54" s="353" t="s">
        <v>884</v>
      </c>
      <c r="I54" s="353" t="s">
        <v>930</v>
      </c>
      <c r="J54" s="353" t="s">
        <v>1385</v>
      </c>
      <c r="K54" s="353" t="s">
        <v>977</v>
      </c>
      <c r="L54" s="353" t="s">
        <v>1158</v>
      </c>
      <c r="M54" s="353" t="s">
        <v>1024</v>
      </c>
      <c r="N54" s="353" t="s">
        <v>1070</v>
      </c>
      <c r="O54" s="353" t="s">
        <v>1112</v>
      </c>
    </row>
    <row r="55" spans="2:15" ht="28.5">
      <c r="C55" t="s">
        <v>263</v>
      </c>
      <c r="D55" s="90" t="str">
        <f t="shared" si="3"/>
        <v>Switch in Year 3</v>
      </c>
      <c r="E55" s="353" t="str">
        <f>"Switch in "&amp;E68</f>
        <v>Switch in Year 3</v>
      </c>
      <c r="F55" s="353" t="s">
        <v>779</v>
      </c>
      <c r="G55" s="353" t="s">
        <v>839</v>
      </c>
      <c r="H55" s="353" t="s">
        <v>885</v>
      </c>
      <c r="I55" s="353" t="s">
        <v>931</v>
      </c>
      <c r="J55" s="353" t="s">
        <v>1386</v>
      </c>
      <c r="K55" s="353" t="s">
        <v>978</v>
      </c>
      <c r="L55" s="353" t="s">
        <v>1157</v>
      </c>
      <c r="M55" s="353" t="s">
        <v>2029</v>
      </c>
      <c r="N55" s="353" t="s">
        <v>1071</v>
      </c>
      <c r="O55" s="353" t="s">
        <v>1113</v>
      </c>
    </row>
    <row r="56" spans="2:15" ht="28.5">
      <c r="C56" t="s">
        <v>264</v>
      </c>
      <c r="D56" s="90" t="str">
        <f t="shared" si="3"/>
        <v>Switch in Year 4</v>
      </c>
      <c r="E56" s="353" t="str">
        <f>"Switch in "&amp;E69</f>
        <v>Switch in Year 4</v>
      </c>
      <c r="F56" s="353" t="s">
        <v>2019</v>
      </c>
      <c r="G56" s="353" t="s">
        <v>2020</v>
      </c>
      <c r="H56" s="353" t="s">
        <v>2021</v>
      </c>
      <c r="I56" s="353" t="s">
        <v>2022</v>
      </c>
      <c r="J56" s="353" t="s">
        <v>2023</v>
      </c>
      <c r="K56" s="353" t="s">
        <v>2024</v>
      </c>
      <c r="L56" s="353" t="s">
        <v>2025</v>
      </c>
      <c r="M56" s="353" t="s">
        <v>2026</v>
      </c>
      <c r="N56" s="353" t="s">
        <v>2027</v>
      </c>
      <c r="O56" s="353" t="s">
        <v>2028</v>
      </c>
    </row>
    <row r="57" spans="2:15">
      <c r="C57" t="s">
        <v>257</v>
      </c>
      <c r="D57" s="90" t="str">
        <f t="shared" si="3"/>
        <v>Year 2</v>
      </c>
      <c r="E57" s="353" t="s">
        <v>214</v>
      </c>
      <c r="F57" s="353" t="s">
        <v>780</v>
      </c>
      <c r="G57" s="353" t="s">
        <v>840</v>
      </c>
      <c r="H57" s="353" t="s">
        <v>882</v>
      </c>
      <c r="I57" s="353" t="s">
        <v>932</v>
      </c>
      <c r="J57" s="353" t="s">
        <v>1387</v>
      </c>
      <c r="K57" s="353" t="s">
        <v>979</v>
      </c>
      <c r="L57" s="353" t="s">
        <v>979</v>
      </c>
      <c r="M57" s="353" t="s">
        <v>1025</v>
      </c>
      <c r="N57" s="353" t="s">
        <v>1072</v>
      </c>
      <c r="O57" s="353" t="s">
        <v>1114</v>
      </c>
    </row>
    <row r="58" spans="2:15">
      <c r="C58" t="s">
        <v>258</v>
      </c>
      <c r="D58" s="90" t="str">
        <f t="shared" si="3"/>
        <v>Year 3</v>
      </c>
      <c r="E58" s="353" t="s">
        <v>215</v>
      </c>
      <c r="F58" s="353" t="s">
        <v>781</v>
      </c>
      <c r="G58" s="353" t="s">
        <v>841</v>
      </c>
      <c r="H58" s="353" t="s">
        <v>883</v>
      </c>
      <c r="I58" s="353" t="s">
        <v>933</v>
      </c>
      <c r="J58" s="353" t="s">
        <v>1388</v>
      </c>
      <c r="K58" s="353" t="s">
        <v>980</v>
      </c>
      <c r="L58" s="353" t="s">
        <v>980</v>
      </c>
      <c r="M58" s="353" t="s">
        <v>1026</v>
      </c>
      <c r="N58" s="353" t="s">
        <v>1073</v>
      </c>
      <c r="O58" s="353" t="s">
        <v>1115</v>
      </c>
    </row>
    <row r="59" spans="2:15">
      <c r="C59" t="s">
        <v>259</v>
      </c>
      <c r="D59" s="90" t="str">
        <f t="shared" si="3"/>
        <v>Year 4</v>
      </c>
      <c r="E59" s="353" t="s">
        <v>2009</v>
      </c>
      <c r="F59" s="353" t="s">
        <v>2010</v>
      </c>
      <c r="G59" s="353" t="s">
        <v>2011</v>
      </c>
      <c r="H59" s="353" t="s">
        <v>2012</v>
      </c>
      <c r="I59" s="353" t="s">
        <v>2013</v>
      </c>
      <c r="J59" s="353" t="s">
        <v>2014</v>
      </c>
      <c r="K59" s="353" t="s">
        <v>2015</v>
      </c>
      <c r="L59" s="353" t="s">
        <v>2015</v>
      </c>
      <c r="M59" s="353" t="s">
        <v>2016</v>
      </c>
      <c r="N59" s="353" t="s">
        <v>2017</v>
      </c>
      <c r="O59" s="353" t="s">
        <v>2018</v>
      </c>
    </row>
    <row r="60" spans="2:15" ht="42.75">
      <c r="C60" t="s">
        <v>574</v>
      </c>
      <c r="D60" s="90" t="str">
        <f t="shared" si="3"/>
        <v>Year 5 - Projected Subscription</v>
      </c>
      <c r="E60" s="353" t="s">
        <v>1943</v>
      </c>
      <c r="F60" s="353" t="s">
        <v>1944</v>
      </c>
      <c r="G60" s="353" t="s">
        <v>1945</v>
      </c>
      <c r="H60" s="353" t="s">
        <v>1946</v>
      </c>
      <c r="I60" s="353" t="s">
        <v>1947</v>
      </c>
      <c r="J60" s="353" t="s">
        <v>1948</v>
      </c>
      <c r="K60" s="353" t="s">
        <v>1949</v>
      </c>
      <c r="L60" s="353" t="s">
        <v>1950</v>
      </c>
      <c r="M60" s="353" t="s">
        <v>1951</v>
      </c>
      <c r="N60" s="353" t="s">
        <v>1952</v>
      </c>
      <c r="O60" s="353" t="s">
        <v>1953</v>
      </c>
    </row>
    <row r="61" spans="2:15">
      <c r="C61" t="s">
        <v>260</v>
      </c>
      <c r="D61" s="90" t="str">
        <f t="shared" si="3"/>
        <v>Total</v>
      </c>
      <c r="E61" s="353" t="s">
        <v>12</v>
      </c>
      <c r="F61" s="353" t="s">
        <v>800</v>
      </c>
      <c r="G61" s="353" t="s">
        <v>842</v>
      </c>
      <c r="H61" s="353" t="s">
        <v>12</v>
      </c>
      <c r="I61" s="353" t="s">
        <v>934</v>
      </c>
      <c r="J61" s="353" t="s">
        <v>1389</v>
      </c>
      <c r="K61" s="353" t="s">
        <v>981</v>
      </c>
      <c r="L61" s="353" t="s">
        <v>1159</v>
      </c>
      <c r="M61" s="353" t="s">
        <v>1027</v>
      </c>
      <c r="N61" s="353" t="s">
        <v>12</v>
      </c>
      <c r="O61" s="353" t="s">
        <v>12</v>
      </c>
    </row>
    <row r="62" spans="2:15" ht="28.5">
      <c r="C62" t="s">
        <v>590</v>
      </c>
      <c r="D62" s="90" t="str">
        <f t="shared" si="3"/>
        <v>Total Investment</v>
      </c>
      <c r="E62" s="353" t="s">
        <v>586</v>
      </c>
      <c r="F62" s="353" t="s">
        <v>782</v>
      </c>
      <c r="G62" s="353" t="s">
        <v>843</v>
      </c>
      <c r="H62" s="353" t="s">
        <v>886</v>
      </c>
      <c r="I62" s="353" t="s">
        <v>935</v>
      </c>
      <c r="J62" s="353" t="s">
        <v>1390</v>
      </c>
      <c r="K62" s="353" t="s">
        <v>982</v>
      </c>
      <c r="L62" s="353" t="s">
        <v>1160</v>
      </c>
      <c r="M62" s="353" t="s">
        <v>1028</v>
      </c>
      <c r="N62" s="353" t="s">
        <v>1074</v>
      </c>
      <c r="O62" s="353" t="s">
        <v>1118</v>
      </c>
    </row>
    <row r="63" spans="2:15" ht="28.5">
      <c r="C63" t="s">
        <v>698</v>
      </c>
      <c r="D63" s="90" t="str">
        <f t="shared" ref="D63" si="4">INDEX(E63:O63,glossaryLanguage)</f>
        <v>1 Year Investment</v>
      </c>
      <c r="E63" s="353" t="s">
        <v>699</v>
      </c>
      <c r="F63" s="353" t="s">
        <v>783</v>
      </c>
      <c r="G63" s="353" t="s">
        <v>844</v>
      </c>
      <c r="H63" s="353" t="s">
        <v>887</v>
      </c>
      <c r="I63" s="353" t="s">
        <v>936</v>
      </c>
      <c r="J63" s="353" t="s">
        <v>1391</v>
      </c>
      <c r="K63" s="353" t="s">
        <v>983</v>
      </c>
      <c r="L63" s="353" t="s">
        <v>1161</v>
      </c>
      <c r="M63" s="353" t="s">
        <v>1029</v>
      </c>
      <c r="N63" s="353" t="s">
        <v>1075</v>
      </c>
      <c r="O63" s="353" t="s">
        <v>1116</v>
      </c>
    </row>
    <row r="64" spans="2:15" ht="28.5">
      <c r="C64" t="s">
        <v>587</v>
      </c>
      <c r="D64" s="90" t="str">
        <f t="shared" si="3"/>
        <v>3 Year Investment</v>
      </c>
      <c r="E64" s="353" t="s">
        <v>588</v>
      </c>
      <c r="F64" s="353" t="s">
        <v>784</v>
      </c>
      <c r="G64" s="353" t="s">
        <v>845</v>
      </c>
      <c r="H64" s="353" t="s">
        <v>888</v>
      </c>
      <c r="I64" s="353" t="s">
        <v>937</v>
      </c>
      <c r="J64" s="353" t="s">
        <v>1392</v>
      </c>
      <c r="K64" s="353" t="s">
        <v>984</v>
      </c>
      <c r="L64" s="353" t="s">
        <v>1162</v>
      </c>
      <c r="M64" s="353" t="s">
        <v>1030</v>
      </c>
      <c r="N64" s="353" t="s">
        <v>1076</v>
      </c>
      <c r="O64" s="353" t="s">
        <v>1117</v>
      </c>
    </row>
    <row r="65" spans="3:15" ht="28.5">
      <c r="C65" t="s">
        <v>261</v>
      </c>
      <c r="D65" s="90" t="str">
        <f t="shared" si="3"/>
        <v>SRP Discount</v>
      </c>
      <c r="E65" s="353" t="s">
        <v>573</v>
      </c>
      <c r="F65" s="353" t="s">
        <v>785</v>
      </c>
      <c r="G65" s="353" t="s">
        <v>846</v>
      </c>
      <c r="H65" s="353" t="s">
        <v>889</v>
      </c>
      <c r="I65" s="353" t="s">
        <v>954</v>
      </c>
      <c r="J65" s="353" t="s">
        <v>1393</v>
      </c>
      <c r="K65" s="353" t="s">
        <v>985</v>
      </c>
      <c r="L65" s="353" t="s">
        <v>985</v>
      </c>
      <c r="M65" s="353" t="s">
        <v>1031</v>
      </c>
      <c r="N65" s="353" t="s">
        <v>1077</v>
      </c>
      <c r="O65" s="353" t="s">
        <v>1121</v>
      </c>
    </row>
    <row r="66" spans="3:15">
      <c r="E66" s="354"/>
      <c r="F66" s="354"/>
      <c r="G66" s="354"/>
      <c r="H66" s="354"/>
      <c r="I66" s="354"/>
      <c r="J66" s="354"/>
      <c r="K66" s="354"/>
      <c r="L66" s="354"/>
      <c r="M66" s="354"/>
      <c r="N66" s="354"/>
      <c r="O66" s="354"/>
    </row>
    <row r="67" spans="3:15">
      <c r="C67" t="s">
        <v>265</v>
      </c>
      <c r="D67" s="90" t="str">
        <f>INDEX(E67:O67,glossaryLanguage)</f>
        <v>Year 2</v>
      </c>
      <c r="E67" s="353" t="s">
        <v>214</v>
      </c>
      <c r="F67" s="353" t="s">
        <v>780</v>
      </c>
      <c r="G67" s="353" t="s">
        <v>840</v>
      </c>
      <c r="H67" s="353" t="s">
        <v>882</v>
      </c>
      <c r="I67" s="353" t="s">
        <v>932</v>
      </c>
      <c r="J67" s="353" t="s">
        <v>1387</v>
      </c>
      <c r="K67" s="353" t="s">
        <v>979</v>
      </c>
      <c r="L67" s="353" t="s">
        <v>979</v>
      </c>
      <c r="M67" s="353" t="s">
        <v>1025</v>
      </c>
      <c r="N67" s="353" t="s">
        <v>1072</v>
      </c>
      <c r="O67" s="353" t="s">
        <v>1114</v>
      </c>
    </row>
    <row r="68" spans="3:15">
      <c r="C68" t="s">
        <v>266</v>
      </c>
      <c r="D68" s="90" t="str">
        <f>INDEX(E68:O68,glossaryLanguage)</f>
        <v>Year 3</v>
      </c>
      <c r="E68" s="353" t="s">
        <v>215</v>
      </c>
      <c r="F68" s="353" t="s">
        <v>781</v>
      </c>
      <c r="G68" s="353" t="s">
        <v>841</v>
      </c>
      <c r="H68" s="353" t="s">
        <v>883</v>
      </c>
      <c r="I68" s="353" t="s">
        <v>933</v>
      </c>
      <c r="J68" s="353" t="s">
        <v>1388</v>
      </c>
      <c r="K68" s="353" t="s">
        <v>980</v>
      </c>
      <c r="L68" s="353" t="s">
        <v>980</v>
      </c>
      <c r="M68" s="353" t="s">
        <v>1026</v>
      </c>
      <c r="N68" s="353" t="s">
        <v>1073</v>
      </c>
      <c r="O68" s="353" t="s">
        <v>1115</v>
      </c>
    </row>
    <row r="69" spans="3:15">
      <c r="C69" t="s">
        <v>267</v>
      </c>
      <c r="D69" s="90" t="str">
        <f>INDEX(E69:O69,glossaryLanguage)</f>
        <v>Year 4</v>
      </c>
      <c r="E69" s="353" t="s">
        <v>2009</v>
      </c>
      <c r="F69" s="353" t="s">
        <v>2010</v>
      </c>
      <c r="G69" s="353" t="s">
        <v>2011</v>
      </c>
      <c r="H69" s="353" t="s">
        <v>2012</v>
      </c>
      <c r="I69" s="353" t="s">
        <v>2013</v>
      </c>
      <c r="J69" s="353" t="s">
        <v>2014</v>
      </c>
      <c r="K69" s="353" t="s">
        <v>2015</v>
      </c>
      <c r="L69" s="353" t="s">
        <v>2015</v>
      </c>
      <c r="M69" s="353" t="s">
        <v>2016</v>
      </c>
      <c r="N69" s="353" t="s">
        <v>2017</v>
      </c>
      <c r="O69" s="353" t="s">
        <v>2018</v>
      </c>
    </row>
    <row r="70" spans="3:15">
      <c r="D70" t="s">
        <v>269</v>
      </c>
      <c r="E70" s="354"/>
      <c r="F70" s="354"/>
      <c r="G70" s="354"/>
      <c r="H70" s="354"/>
      <c r="I70" s="354"/>
      <c r="J70" s="354"/>
      <c r="K70" s="354"/>
      <c r="L70" s="354"/>
      <c r="M70" s="354"/>
      <c r="N70" s="354"/>
      <c r="O70" s="354"/>
    </row>
    <row r="71" spans="3:15">
      <c r="D71" s="16" t="s">
        <v>691</v>
      </c>
      <c r="E71" s="354"/>
      <c r="F71" s="354"/>
      <c r="G71" s="354"/>
      <c r="H71" s="354"/>
      <c r="I71" s="354"/>
      <c r="J71" s="354"/>
      <c r="K71" s="354"/>
      <c r="L71" s="354"/>
      <c r="M71" s="354"/>
      <c r="N71" s="354"/>
      <c r="O71" s="354"/>
    </row>
    <row r="72" spans="3:15" ht="42.75">
      <c r="C72" t="s">
        <v>705</v>
      </c>
      <c r="D72" s="90" t="str">
        <f>INDEX(E72:O72,glossaryLanguage)</f>
        <v>7 May 2018 - 6 May 2019</v>
      </c>
      <c r="E72" s="353" t="s">
        <v>766</v>
      </c>
      <c r="F72" s="353" t="s">
        <v>814</v>
      </c>
      <c r="G72" s="353" t="s">
        <v>847</v>
      </c>
      <c r="H72" s="353" t="s">
        <v>890</v>
      </c>
      <c r="I72" s="353" t="s">
        <v>938</v>
      </c>
      <c r="J72" s="353" t="s">
        <v>1394</v>
      </c>
      <c r="K72" s="353" t="s">
        <v>986</v>
      </c>
      <c r="L72" s="353" t="s">
        <v>1163</v>
      </c>
      <c r="M72" s="353" t="s">
        <v>1032</v>
      </c>
      <c r="N72" s="353" t="s">
        <v>1078</v>
      </c>
      <c r="O72" s="353" t="s">
        <v>1119</v>
      </c>
    </row>
    <row r="73" spans="3:15" ht="42.75">
      <c r="C73" t="s">
        <v>706</v>
      </c>
      <c r="D73" s="90" t="str">
        <f>INDEX(E73:O73,glossaryLanguage)</f>
        <v>7 May 2019 - 6 May 2020</v>
      </c>
      <c r="E73" s="353" t="s">
        <v>767</v>
      </c>
      <c r="F73" s="353" t="s">
        <v>815</v>
      </c>
      <c r="G73" s="353" t="s">
        <v>848</v>
      </c>
      <c r="H73" s="353" t="s">
        <v>891</v>
      </c>
      <c r="I73" s="353" t="s">
        <v>939</v>
      </c>
      <c r="J73" s="353" t="s">
        <v>1395</v>
      </c>
      <c r="K73" s="353" t="s">
        <v>987</v>
      </c>
      <c r="L73" s="353" t="s">
        <v>987</v>
      </c>
      <c r="M73" s="353" t="s">
        <v>1033</v>
      </c>
      <c r="N73" s="353" t="s">
        <v>1079</v>
      </c>
      <c r="O73" s="353" t="s">
        <v>1120</v>
      </c>
    </row>
    <row r="74" spans="3:15" ht="42.75">
      <c r="C74" t="s">
        <v>707</v>
      </c>
      <c r="D74" s="90" t="str">
        <f>INDEX(E74:O74,glossaryLanguage)</f>
        <v>7 May 2020 - 6 May 2021</v>
      </c>
      <c r="E74" s="353" t="s">
        <v>2044</v>
      </c>
      <c r="F74" s="353" t="s">
        <v>2045</v>
      </c>
      <c r="G74" s="353" t="s">
        <v>2046</v>
      </c>
      <c r="H74" s="353" t="s">
        <v>2047</v>
      </c>
      <c r="I74" s="353" t="s">
        <v>2048</v>
      </c>
      <c r="J74" s="353" t="s">
        <v>2049</v>
      </c>
      <c r="K74" s="353" t="s">
        <v>2050</v>
      </c>
      <c r="L74" s="353" t="s">
        <v>2050</v>
      </c>
      <c r="M74" s="353" t="s">
        <v>2051</v>
      </c>
      <c r="N74" s="353" t="s">
        <v>2052</v>
      </c>
      <c r="O74" s="353" t="s">
        <v>2053</v>
      </c>
    </row>
    <row r="75" spans="3:15">
      <c r="E75" s="354"/>
      <c r="F75" s="354"/>
      <c r="G75" s="354"/>
      <c r="H75" s="354"/>
      <c r="I75" s="354"/>
      <c r="J75" s="354"/>
      <c r="K75" s="354"/>
      <c r="L75" s="354"/>
      <c r="M75" s="354"/>
      <c r="N75" s="354"/>
      <c r="O75" s="354"/>
    </row>
    <row r="76" spans="3:15">
      <c r="C76" t="s">
        <v>336</v>
      </c>
      <c r="D76" s="90" t="str">
        <f>INDEX(E76:O76,glossaryLanguage)</f>
        <v xml:space="preserve">Autodesk </v>
      </c>
      <c r="E76" s="353" t="s">
        <v>337</v>
      </c>
      <c r="F76" s="353" t="s">
        <v>337</v>
      </c>
      <c r="G76" s="353" t="s">
        <v>337</v>
      </c>
      <c r="H76" s="353" t="s">
        <v>337</v>
      </c>
      <c r="I76" s="353" t="s">
        <v>337</v>
      </c>
      <c r="J76" s="353" t="s">
        <v>337</v>
      </c>
      <c r="K76" s="353" t="s">
        <v>337</v>
      </c>
      <c r="L76" s="353" t="s">
        <v>337</v>
      </c>
      <c r="M76" s="353" t="s">
        <v>337</v>
      </c>
      <c r="N76" s="353" t="s">
        <v>337</v>
      </c>
      <c r="O76" s="353" t="s">
        <v>337</v>
      </c>
    </row>
    <row r="77" spans="3:15">
      <c r="C77" t="s">
        <v>1926</v>
      </c>
      <c r="D77" s="90" t="str">
        <f>INDEX(E77:O77,glossaryLanguage)</f>
        <v xml:space="preserve">AutoCAD </v>
      </c>
      <c r="E77" s="353" t="s">
        <v>1931</v>
      </c>
      <c r="F77" s="353" t="s">
        <v>1931</v>
      </c>
      <c r="G77" s="353" t="s">
        <v>1931</v>
      </c>
      <c r="H77" s="353" t="s">
        <v>1931</v>
      </c>
      <c r="I77" s="353" t="s">
        <v>1931</v>
      </c>
      <c r="J77" s="353" t="s">
        <v>1931</v>
      </c>
      <c r="K77" s="353" t="s">
        <v>1931</v>
      </c>
      <c r="L77" s="353" t="s">
        <v>1931</v>
      </c>
      <c r="M77" s="353" t="s">
        <v>1931</v>
      </c>
      <c r="N77" s="353" t="s">
        <v>1931</v>
      </c>
      <c r="O77" s="353" t="s">
        <v>1931</v>
      </c>
    </row>
    <row r="78" spans="3:15" ht="42.75">
      <c r="C78" t="s">
        <v>1929</v>
      </c>
      <c r="D78" s="90" t="str">
        <f>INDEX(E78:O78,glossaryLanguage)</f>
        <v xml:space="preserve"> Including Specialized Toolsets</v>
      </c>
      <c r="E78" s="353" t="s">
        <v>1930</v>
      </c>
      <c r="F78" s="353" t="s">
        <v>1930</v>
      </c>
      <c r="G78" s="353" t="s">
        <v>1930</v>
      </c>
      <c r="H78" s="353" t="s">
        <v>1930</v>
      </c>
      <c r="I78" s="353" t="s">
        <v>1930</v>
      </c>
      <c r="J78" s="353" t="s">
        <v>1930</v>
      </c>
      <c r="K78" s="353" t="s">
        <v>1930</v>
      </c>
      <c r="L78" s="353" t="s">
        <v>1930</v>
      </c>
      <c r="M78" s="353" t="s">
        <v>1930</v>
      </c>
      <c r="N78" s="353" t="s">
        <v>1930</v>
      </c>
      <c r="O78" s="353" t="s">
        <v>1930</v>
      </c>
    </row>
    <row r="79" spans="3:15">
      <c r="E79" s="354"/>
      <c r="F79" s="354"/>
      <c r="G79" s="354"/>
      <c r="H79" s="354"/>
      <c r="I79" s="354"/>
      <c r="J79" s="354"/>
      <c r="K79" s="354"/>
      <c r="L79" s="354"/>
      <c r="M79" s="354"/>
      <c r="N79" s="354"/>
      <c r="O79" s="354"/>
    </row>
    <row r="80" spans="3:15">
      <c r="C80" t="s">
        <v>340</v>
      </c>
      <c r="D80" s="90" t="str">
        <f t="shared" ref="D80:D85" si="5">INDEX(E80:O80,glossaryLanguage)</f>
        <v>USD</v>
      </c>
      <c r="E80" s="353" t="s">
        <v>338</v>
      </c>
      <c r="F80" s="353" t="s">
        <v>338</v>
      </c>
      <c r="G80" s="353" t="s">
        <v>338</v>
      </c>
      <c r="H80" s="353" t="s">
        <v>338</v>
      </c>
      <c r="I80" s="353" t="s">
        <v>338</v>
      </c>
      <c r="J80" s="353" t="s">
        <v>338</v>
      </c>
      <c r="K80" s="353" t="s">
        <v>338</v>
      </c>
      <c r="L80" s="353" t="s">
        <v>338</v>
      </c>
      <c r="M80" s="353" t="s">
        <v>338</v>
      </c>
      <c r="N80" s="353" t="s">
        <v>338</v>
      </c>
      <c r="O80" s="353" t="s">
        <v>338</v>
      </c>
    </row>
    <row r="81" spans="3:15">
      <c r="C81" t="s">
        <v>604</v>
      </c>
      <c r="D81" s="90" t="str">
        <f t="shared" si="5"/>
        <v>CAD</v>
      </c>
      <c r="E81" s="353" t="s">
        <v>605</v>
      </c>
      <c r="F81" s="353" t="s">
        <v>605</v>
      </c>
      <c r="G81" s="353" t="s">
        <v>605</v>
      </c>
      <c r="H81" s="353" t="s">
        <v>605</v>
      </c>
      <c r="I81" s="353" t="s">
        <v>605</v>
      </c>
      <c r="J81" s="353" t="s">
        <v>605</v>
      </c>
      <c r="K81" s="353" t="s">
        <v>605</v>
      </c>
      <c r="L81" s="353" t="s">
        <v>605</v>
      </c>
      <c r="M81" s="353" t="s">
        <v>605</v>
      </c>
      <c r="N81" s="353" t="s">
        <v>605</v>
      </c>
      <c r="O81" s="353" t="s">
        <v>605</v>
      </c>
    </row>
    <row r="82" spans="3:15">
      <c r="C82" t="s">
        <v>341</v>
      </c>
      <c r="D82" s="90" t="str">
        <f t="shared" si="5"/>
        <v>EUR</v>
      </c>
      <c r="E82" s="353" t="s">
        <v>344</v>
      </c>
      <c r="F82" s="353" t="s">
        <v>344</v>
      </c>
      <c r="G82" s="353" t="s">
        <v>344</v>
      </c>
      <c r="H82" s="353" t="s">
        <v>344</v>
      </c>
      <c r="I82" s="353" t="s">
        <v>344</v>
      </c>
      <c r="J82" s="353" t="s">
        <v>344</v>
      </c>
      <c r="K82" s="353" t="s">
        <v>344</v>
      </c>
      <c r="L82" s="353" t="s">
        <v>344</v>
      </c>
      <c r="M82" s="353" t="s">
        <v>344</v>
      </c>
      <c r="N82" s="353" t="s">
        <v>344</v>
      </c>
      <c r="O82" s="353" t="s">
        <v>344</v>
      </c>
    </row>
    <row r="83" spans="3:15">
      <c r="C83" t="s">
        <v>342</v>
      </c>
      <c r="D83" s="90" t="str">
        <f t="shared" si="5"/>
        <v>JPY</v>
      </c>
      <c r="E83" s="353" t="s">
        <v>345</v>
      </c>
      <c r="F83" s="353" t="s">
        <v>345</v>
      </c>
      <c r="G83" s="353" t="s">
        <v>345</v>
      </c>
      <c r="H83" s="353" t="s">
        <v>345</v>
      </c>
      <c r="I83" s="353" t="s">
        <v>345</v>
      </c>
      <c r="J83" s="353" t="s">
        <v>345</v>
      </c>
      <c r="K83" s="353" t="s">
        <v>345</v>
      </c>
      <c r="L83" s="353" t="s">
        <v>345</v>
      </c>
      <c r="M83" s="353" t="s">
        <v>345</v>
      </c>
      <c r="N83" s="353" t="s">
        <v>345</v>
      </c>
      <c r="O83" s="353" t="s">
        <v>345</v>
      </c>
    </row>
    <row r="84" spans="3:15">
      <c r="C84" t="s">
        <v>606</v>
      </c>
      <c r="D84" s="90" t="str">
        <f t="shared" si="5"/>
        <v>AUD</v>
      </c>
      <c r="E84" s="353" t="s">
        <v>607</v>
      </c>
      <c r="F84" s="353" t="s">
        <v>607</v>
      </c>
      <c r="G84" s="353" t="s">
        <v>607</v>
      </c>
      <c r="H84" s="353" t="s">
        <v>607</v>
      </c>
      <c r="I84" s="353" t="s">
        <v>607</v>
      </c>
      <c r="J84" s="353" t="s">
        <v>607</v>
      </c>
      <c r="K84" s="353" t="s">
        <v>607</v>
      </c>
      <c r="L84" s="353" t="s">
        <v>607</v>
      </c>
      <c r="M84" s="353" t="s">
        <v>607</v>
      </c>
      <c r="N84" s="353" t="s">
        <v>607</v>
      </c>
      <c r="O84" s="353" t="s">
        <v>607</v>
      </c>
    </row>
    <row r="85" spans="3:15">
      <c r="C85" t="s">
        <v>343</v>
      </c>
      <c r="D85" s="90" t="str">
        <f t="shared" si="5"/>
        <v>GBP</v>
      </c>
      <c r="E85" s="353" t="s">
        <v>346</v>
      </c>
      <c r="F85" s="353" t="s">
        <v>346</v>
      </c>
      <c r="G85" s="353" t="s">
        <v>346</v>
      </c>
      <c r="H85" s="353" t="s">
        <v>346</v>
      </c>
      <c r="I85" s="353" t="s">
        <v>346</v>
      </c>
      <c r="J85" s="353" t="s">
        <v>346</v>
      </c>
      <c r="K85" s="353" t="s">
        <v>346</v>
      </c>
      <c r="L85" s="353" t="s">
        <v>346</v>
      </c>
      <c r="M85" s="353" t="s">
        <v>346</v>
      </c>
      <c r="N85" s="353" t="s">
        <v>346</v>
      </c>
      <c r="O85" s="353" t="s">
        <v>346</v>
      </c>
    </row>
    <row r="86" spans="3:15">
      <c r="D86" t="s">
        <v>697</v>
      </c>
      <c r="E86" s="354"/>
      <c r="F86" s="354"/>
      <c r="G86" s="354"/>
      <c r="H86" s="354"/>
      <c r="I86" s="354"/>
      <c r="J86" s="354"/>
      <c r="K86" s="354"/>
      <c r="L86" s="354"/>
      <c r="M86" s="354"/>
      <c r="N86" s="354"/>
      <c r="O86" s="354"/>
    </row>
    <row r="87" spans="3:15">
      <c r="E87" s="354"/>
      <c r="F87" s="354"/>
      <c r="G87" s="354"/>
      <c r="H87" s="354"/>
      <c r="I87" s="354"/>
      <c r="J87" s="354"/>
      <c r="K87" s="354"/>
      <c r="L87" s="354"/>
      <c r="M87" s="354"/>
      <c r="N87" s="354"/>
      <c r="O87" s="354"/>
    </row>
    <row r="88" spans="3:15" ht="28.5">
      <c r="C88" t="s">
        <v>386</v>
      </c>
      <c r="D88" s="90" t="str">
        <f>INDEX(E88:O88,glossaryLanguage)</f>
        <v>Please Select</v>
      </c>
      <c r="E88" s="353" t="s">
        <v>339</v>
      </c>
      <c r="F88" s="353" t="s">
        <v>795</v>
      </c>
      <c r="G88" s="353" t="s">
        <v>851</v>
      </c>
      <c r="H88" s="353" t="s">
        <v>892</v>
      </c>
      <c r="I88" s="353" t="s">
        <v>940</v>
      </c>
      <c r="J88" s="353" t="s">
        <v>1396</v>
      </c>
      <c r="K88" s="353" t="s">
        <v>988</v>
      </c>
      <c r="L88" s="353" t="s">
        <v>1164</v>
      </c>
      <c r="M88" s="353" t="s">
        <v>1034</v>
      </c>
      <c r="N88" s="353" t="s">
        <v>1080</v>
      </c>
      <c r="O88" s="353" t="s">
        <v>1122</v>
      </c>
    </row>
    <row r="89" spans="3:15" ht="28.5">
      <c r="C89" t="s">
        <v>439</v>
      </c>
      <c r="D89" s="90" t="str">
        <f>INDEX(E89:O89,glossaryLanguage)</f>
        <v>Single</v>
      </c>
      <c r="E89" s="353" t="s">
        <v>441</v>
      </c>
      <c r="F89" s="353" t="s">
        <v>806</v>
      </c>
      <c r="G89" s="353" t="s">
        <v>849</v>
      </c>
      <c r="H89" s="353" t="s">
        <v>893</v>
      </c>
      <c r="I89" s="353" t="s">
        <v>941</v>
      </c>
      <c r="J89" s="353" t="s">
        <v>1397</v>
      </c>
      <c r="K89" s="353" t="s">
        <v>989</v>
      </c>
      <c r="L89" s="353" t="s">
        <v>1165</v>
      </c>
      <c r="M89" s="353" t="s">
        <v>1035</v>
      </c>
      <c r="N89" s="353" t="s">
        <v>1081</v>
      </c>
      <c r="O89" s="353" t="s">
        <v>1123</v>
      </c>
    </row>
    <row r="90" spans="3:15" ht="28.5">
      <c r="C90" t="s">
        <v>440</v>
      </c>
      <c r="D90" s="90" t="str">
        <f>INDEX(E90:O90,glossaryLanguage)</f>
        <v>Multi</v>
      </c>
      <c r="E90" s="353" t="s">
        <v>442</v>
      </c>
      <c r="F90" s="353" t="s">
        <v>807</v>
      </c>
      <c r="G90" s="353" t="s">
        <v>850</v>
      </c>
      <c r="H90" s="353" t="s">
        <v>442</v>
      </c>
      <c r="I90" s="353" t="s">
        <v>942</v>
      </c>
      <c r="J90" s="353" t="s">
        <v>1398</v>
      </c>
      <c r="K90" s="353" t="s">
        <v>990</v>
      </c>
      <c r="L90" s="353" t="s">
        <v>1166</v>
      </c>
      <c r="M90" s="353" t="s">
        <v>1036</v>
      </c>
      <c r="N90" s="353" t="s">
        <v>1082</v>
      </c>
      <c r="O90" s="353" t="s">
        <v>442</v>
      </c>
    </row>
    <row r="91" spans="3:15" ht="42.75">
      <c r="C91" t="s">
        <v>534</v>
      </c>
      <c r="D91" s="90" t="str">
        <f>INDEX(E91:O91,glossaryLanguage)</f>
        <v>Maintenance to Subscription</v>
      </c>
      <c r="E91" s="353" t="s">
        <v>619</v>
      </c>
      <c r="F91" s="353" t="s">
        <v>862</v>
      </c>
      <c r="G91" s="353" t="s">
        <v>852</v>
      </c>
      <c r="H91" s="353" t="s">
        <v>894</v>
      </c>
      <c r="I91" s="353" t="s">
        <v>943</v>
      </c>
      <c r="J91" s="353" t="s">
        <v>1399</v>
      </c>
      <c r="K91" s="353" t="s">
        <v>991</v>
      </c>
      <c r="L91" s="353" t="s">
        <v>1167</v>
      </c>
      <c r="M91" s="353" t="s">
        <v>1037</v>
      </c>
      <c r="N91" s="353" t="s">
        <v>1064</v>
      </c>
      <c r="O91" s="353" t="s">
        <v>1133</v>
      </c>
    </row>
    <row r="92" spans="3:15" ht="71.25">
      <c r="C92" t="s">
        <v>634</v>
      </c>
      <c r="D92" s="90" t="str">
        <f>INDEX(E92:O92,glossaryLanguage)</f>
        <v>Year Switched from Maintenance to Subscription</v>
      </c>
      <c r="E92" s="353" t="s">
        <v>635</v>
      </c>
      <c r="F92" s="353" t="s">
        <v>863</v>
      </c>
      <c r="G92" s="353" t="s">
        <v>853</v>
      </c>
      <c r="H92" s="353" t="s">
        <v>896</v>
      </c>
      <c r="I92" s="353" t="s">
        <v>944</v>
      </c>
      <c r="J92" s="353" t="s">
        <v>1400</v>
      </c>
      <c r="K92" s="353" t="s">
        <v>992</v>
      </c>
      <c r="L92" s="353" t="s">
        <v>1168</v>
      </c>
      <c r="M92" s="353" t="s">
        <v>1038</v>
      </c>
      <c r="N92" s="353" t="s">
        <v>1083</v>
      </c>
      <c r="O92" s="353" t="s">
        <v>1134</v>
      </c>
    </row>
    <row r="93" spans="3:15">
      <c r="E93" s="354"/>
      <c r="F93" s="354"/>
      <c r="G93" s="354"/>
      <c r="H93" s="354"/>
      <c r="I93" s="354"/>
      <c r="J93" s="354"/>
      <c r="K93" s="354"/>
      <c r="L93" s="354"/>
      <c r="M93" s="354"/>
      <c r="N93" s="354"/>
      <c r="O93" s="354"/>
    </row>
    <row r="94" spans="3:15" ht="28.5">
      <c r="C94" t="s">
        <v>563</v>
      </c>
      <c r="D94" s="90" t="str">
        <f t="shared" ref="D94:D95" si="6">INDEX(E94:O94,glossaryLanguage)</f>
        <v>Single</v>
      </c>
      <c r="E94" s="353" t="s">
        <v>441</v>
      </c>
      <c r="F94" s="353" t="s">
        <v>806</v>
      </c>
      <c r="G94" s="353" t="s">
        <v>849</v>
      </c>
      <c r="H94" s="353" t="s">
        <v>893</v>
      </c>
      <c r="I94" s="353" t="s">
        <v>941</v>
      </c>
      <c r="J94" s="353" t="s">
        <v>1397</v>
      </c>
      <c r="K94" s="353" t="s">
        <v>989</v>
      </c>
      <c r="L94" s="353" t="s">
        <v>1165</v>
      </c>
      <c r="M94" s="353" t="s">
        <v>1035</v>
      </c>
      <c r="N94" s="353" t="s">
        <v>1081</v>
      </c>
      <c r="O94" s="353" t="s">
        <v>1123</v>
      </c>
    </row>
    <row r="95" spans="3:15" ht="28.5">
      <c r="C95" t="s">
        <v>564</v>
      </c>
      <c r="D95" s="90" t="str">
        <f t="shared" si="6"/>
        <v>Multi</v>
      </c>
      <c r="E95" s="353" t="s">
        <v>442</v>
      </c>
      <c r="F95" s="353" t="s">
        <v>807</v>
      </c>
      <c r="G95" s="353" t="s">
        <v>850</v>
      </c>
      <c r="H95" s="353" t="s">
        <v>442</v>
      </c>
      <c r="I95" s="353" t="s">
        <v>942</v>
      </c>
      <c r="J95" s="353" t="s">
        <v>1398</v>
      </c>
      <c r="K95" s="353" t="s">
        <v>990</v>
      </c>
      <c r="L95" s="353" t="s">
        <v>1166</v>
      </c>
      <c r="M95" s="353" t="s">
        <v>1036</v>
      </c>
      <c r="N95" s="353" t="s">
        <v>1082</v>
      </c>
      <c r="O95" s="353" t="s">
        <v>442</v>
      </c>
    </row>
    <row r="96" spans="3:15">
      <c r="E96" s="354"/>
      <c r="F96" s="354"/>
      <c r="G96" s="354"/>
      <c r="H96" s="354"/>
      <c r="I96" s="354"/>
      <c r="J96" s="354"/>
      <c r="K96" s="354"/>
      <c r="L96" s="354"/>
      <c r="M96" s="354"/>
      <c r="N96" s="354"/>
      <c r="O96" s="354"/>
    </row>
    <row r="97" spans="3:15">
      <c r="C97" t="s">
        <v>620</v>
      </c>
      <c r="D97" s="90" t="str">
        <f t="shared" ref="D97" si="7">INDEX(E97:O97,glossaryLanguage)</f>
        <v>Reset</v>
      </c>
      <c r="E97" s="353" t="s">
        <v>204</v>
      </c>
      <c r="F97" s="353" t="s">
        <v>204</v>
      </c>
      <c r="G97" s="353" t="s">
        <v>854</v>
      </c>
      <c r="H97" s="353" t="s">
        <v>897</v>
      </c>
      <c r="I97" s="353" t="s">
        <v>945</v>
      </c>
      <c r="J97" s="353" t="s">
        <v>1401</v>
      </c>
      <c r="K97" s="353" t="s">
        <v>993</v>
      </c>
      <c r="L97" s="353" t="s">
        <v>1169</v>
      </c>
      <c r="M97" s="353" t="s">
        <v>1039</v>
      </c>
      <c r="N97" s="353" t="s">
        <v>1084</v>
      </c>
      <c r="O97" s="353" t="s">
        <v>1131</v>
      </c>
    </row>
    <row r="98" spans="3:15">
      <c r="E98" s="354"/>
      <c r="F98" s="354"/>
      <c r="G98" s="354"/>
      <c r="H98" s="354"/>
      <c r="I98" s="354"/>
      <c r="J98" s="354"/>
      <c r="K98" s="354"/>
      <c r="L98" s="354"/>
      <c r="M98" s="354"/>
      <c r="N98" s="354"/>
      <c r="O98" s="354"/>
    </row>
    <row r="99" spans="3:15">
      <c r="C99" t="s">
        <v>621</v>
      </c>
      <c r="D99" s="90" t="str">
        <f t="shared" ref="D99:D100" si="8">INDEX(E99:O99,glossaryLanguage)</f>
        <v>Maintenance</v>
      </c>
      <c r="E99" s="353" t="s">
        <v>623</v>
      </c>
      <c r="F99" s="353" t="s">
        <v>801</v>
      </c>
      <c r="G99" s="353" t="s">
        <v>855</v>
      </c>
      <c r="H99" s="353" t="s">
        <v>623</v>
      </c>
      <c r="I99" s="353" t="s">
        <v>946</v>
      </c>
      <c r="J99" s="353" t="s">
        <v>1402</v>
      </c>
      <c r="K99" s="353" t="s">
        <v>994</v>
      </c>
      <c r="L99" s="353" t="s">
        <v>1170</v>
      </c>
      <c r="M99" s="353" t="s">
        <v>1040</v>
      </c>
      <c r="N99" s="353" t="s">
        <v>1085</v>
      </c>
      <c r="O99" s="353" t="s">
        <v>1129</v>
      </c>
    </row>
    <row r="100" spans="3:15" ht="28.5">
      <c r="C100" t="s">
        <v>622</v>
      </c>
      <c r="D100" s="90" t="str">
        <f t="shared" si="8"/>
        <v>Subscription</v>
      </c>
      <c r="E100" s="353" t="s">
        <v>624</v>
      </c>
      <c r="F100" s="353" t="s">
        <v>802</v>
      </c>
      <c r="G100" s="353" t="s">
        <v>856</v>
      </c>
      <c r="H100" s="353" t="s">
        <v>856</v>
      </c>
      <c r="I100" s="353" t="s">
        <v>947</v>
      </c>
      <c r="J100" s="353" t="s">
        <v>1403</v>
      </c>
      <c r="K100" s="353" t="s">
        <v>995</v>
      </c>
      <c r="L100" s="353" t="s">
        <v>1171</v>
      </c>
      <c r="M100" s="353" t="s">
        <v>1041</v>
      </c>
      <c r="N100" s="353" t="s">
        <v>1086</v>
      </c>
      <c r="O100" s="353" t="s">
        <v>1130</v>
      </c>
    </row>
    <row r="101" spans="3:15">
      <c r="E101" s="354"/>
      <c r="F101" s="354"/>
      <c r="G101" s="354"/>
      <c r="H101" s="354"/>
      <c r="I101" s="354"/>
      <c r="J101" s="354"/>
      <c r="K101" s="354"/>
      <c r="L101" s="354"/>
      <c r="M101" s="354"/>
      <c r="N101" s="354"/>
      <c r="O101" s="354"/>
    </row>
    <row r="102" spans="3:15" ht="71.25">
      <c r="C102" t="s">
        <v>627</v>
      </c>
      <c r="D102" s="90" t="str">
        <f t="shared" ref="D102" si="9">INDEX(E102:O102,glossaryLanguage)</f>
        <v>Maintenance to Subscription Analysis</v>
      </c>
      <c r="E102" s="353" t="s">
        <v>589</v>
      </c>
      <c r="F102" s="353" t="s">
        <v>805</v>
      </c>
      <c r="G102" s="353" t="s">
        <v>857</v>
      </c>
      <c r="H102" s="353" t="s">
        <v>873</v>
      </c>
      <c r="I102" s="353" t="s">
        <v>909</v>
      </c>
      <c r="J102" s="353" t="s">
        <v>1371</v>
      </c>
      <c r="K102" s="353" t="s">
        <v>968</v>
      </c>
      <c r="L102" s="353" t="s">
        <v>1142</v>
      </c>
      <c r="M102" s="353" t="s">
        <v>1009</v>
      </c>
      <c r="N102" s="353" t="s">
        <v>1066</v>
      </c>
      <c r="O102" s="353" t="s">
        <v>1098</v>
      </c>
    </row>
    <row r="103" spans="3:15" ht="42.75">
      <c r="C103" t="s">
        <v>628</v>
      </c>
      <c r="D103" s="90" t="str">
        <f t="shared" ref="D103:D104" si="10">INDEX(E103:O103,glossaryLanguage)</f>
        <v>Cost to Stay on Maintenance</v>
      </c>
      <c r="E103" s="353" t="s">
        <v>629</v>
      </c>
      <c r="F103" s="353" t="s">
        <v>804</v>
      </c>
      <c r="G103" s="353" t="s">
        <v>858</v>
      </c>
      <c r="H103" s="353" t="s">
        <v>898</v>
      </c>
      <c r="I103" s="353" t="s">
        <v>949</v>
      </c>
      <c r="J103" s="353" t="s">
        <v>1404</v>
      </c>
      <c r="K103" s="353" t="s">
        <v>996</v>
      </c>
      <c r="L103" s="353" t="s">
        <v>1172</v>
      </c>
      <c r="M103" s="353" t="s">
        <v>1042</v>
      </c>
      <c r="N103" s="353" t="s">
        <v>1088</v>
      </c>
      <c r="O103" s="353" t="s">
        <v>1125</v>
      </c>
    </row>
    <row r="104" spans="3:15" ht="28.5">
      <c r="C104" t="s">
        <v>631</v>
      </c>
      <c r="D104" s="90" t="str">
        <f t="shared" si="10"/>
        <v>Investment to Switch</v>
      </c>
      <c r="E104" s="353" t="s">
        <v>772</v>
      </c>
      <c r="F104" s="353" t="s">
        <v>864</v>
      </c>
      <c r="G104" s="353" t="s">
        <v>865</v>
      </c>
      <c r="H104" s="353" t="s">
        <v>899</v>
      </c>
      <c r="I104" s="353" t="s">
        <v>950</v>
      </c>
      <c r="J104" s="353" t="s">
        <v>997</v>
      </c>
      <c r="K104" s="353" t="s">
        <v>997</v>
      </c>
      <c r="L104" s="353" t="s">
        <v>1173</v>
      </c>
      <c r="M104" s="353" t="s">
        <v>1043</v>
      </c>
      <c r="N104" s="353" t="s">
        <v>1089</v>
      </c>
      <c r="O104" s="353" t="s">
        <v>1126</v>
      </c>
    </row>
    <row r="105" spans="3:15" ht="28.5">
      <c r="C105" t="s">
        <v>630</v>
      </c>
      <c r="D105" s="90" t="str">
        <f t="shared" ref="D105" si="11">INDEX(E105:O105,glossaryLanguage)</f>
        <v>Discount off New SRP</v>
      </c>
      <c r="E105" s="353" t="s">
        <v>770</v>
      </c>
      <c r="F105" s="353" t="s">
        <v>785</v>
      </c>
      <c r="G105" s="353" t="s">
        <v>846</v>
      </c>
      <c r="H105" s="353" t="s">
        <v>889</v>
      </c>
      <c r="I105" s="353" t="s">
        <v>952</v>
      </c>
      <c r="J105" s="353" t="s">
        <v>1393</v>
      </c>
      <c r="K105" s="353" t="s">
        <v>999</v>
      </c>
      <c r="L105" s="353" t="s">
        <v>1175</v>
      </c>
      <c r="M105" s="353" t="s">
        <v>1045</v>
      </c>
      <c r="N105" s="353" t="s">
        <v>1091</v>
      </c>
      <c r="O105" s="353" t="s">
        <v>1127</v>
      </c>
    </row>
    <row r="106" spans="3:15" ht="42.75">
      <c r="C106" t="s">
        <v>636</v>
      </c>
      <c r="D106" s="90" t="str">
        <f t="shared" ref="D106:D107" si="12">INDEX(E106:O106,glossaryLanguage)</f>
        <v>Discount off Staying on Maintenance</v>
      </c>
      <c r="E106" s="353" t="s">
        <v>771</v>
      </c>
      <c r="F106" s="353" t="s">
        <v>808</v>
      </c>
      <c r="G106" s="353" t="s">
        <v>859</v>
      </c>
      <c r="H106" s="353" t="s">
        <v>900</v>
      </c>
      <c r="I106" s="353" t="s">
        <v>951</v>
      </c>
      <c r="J106" s="353" t="s">
        <v>1405</v>
      </c>
      <c r="K106" s="353" t="s">
        <v>998</v>
      </c>
      <c r="L106" s="353" t="s">
        <v>1174</v>
      </c>
      <c r="M106" s="353" t="s">
        <v>1044</v>
      </c>
      <c r="N106" s="353" t="s">
        <v>1090</v>
      </c>
      <c r="O106" s="353" t="s">
        <v>1124</v>
      </c>
    </row>
    <row r="107" spans="3:15" ht="42.75">
      <c r="C107" t="s">
        <v>709</v>
      </c>
      <c r="D107" s="90" t="str">
        <f t="shared" si="12"/>
        <v>Cost Breakdown Analysis</v>
      </c>
      <c r="E107" s="353" t="s">
        <v>710</v>
      </c>
      <c r="F107" s="353" t="s">
        <v>803</v>
      </c>
      <c r="G107" s="353" t="s">
        <v>860</v>
      </c>
      <c r="H107" s="353" t="s">
        <v>901</v>
      </c>
      <c r="I107" s="353" t="s">
        <v>948</v>
      </c>
      <c r="J107" s="353" t="s">
        <v>1406</v>
      </c>
      <c r="K107" s="353" t="s">
        <v>1000</v>
      </c>
      <c r="L107" s="353" t="s">
        <v>1176</v>
      </c>
      <c r="M107" s="353" t="s">
        <v>1046</v>
      </c>
      <c r="N107" s="353" t="s">
        <v>1087</v>
      </c>
      <c r="O107" s="353" t="s">
        <v>1128</v>
      </c>
    </row>
    <row r="108" spans="3:15">
      <c r="E108" s="354"/>
      <c r="F108" s="354"/>
      <c r="G108" s="354"/>
      <c r="H108" s="354"/>
      <c r="I108" s="354"/>
      <c r="J108" s="354"/>
      <c r="K108" s="354"/>
      <c r="L108" s="354"/>
      <c r="M108" s="354"/>
      <c r="N108" s="354"/>
      <c r="O108" s="354"/>
    </row>
    <row r="109" spans="3:15" ht="57">
      <c r="C109" t="s">
        <v>708</v>
      </c>
      <c r="D109" s="90" t="str">
        <f t="shared" ref="D109:D125" si="13">INDEX(E109:O109,glossaryLanguage)</f>
        <v>Important: Read before using</v>
      </c>
      <c r="E109" s="353" t="s">
        <v>717</v>
      </c>
      <c r="F109" s="353" t="s">
        <v>809</v>
      </c>
      <c r="G109" s="353" t="s">
        <v>861</v>
      </c>
      <c r="H109" s="353" t="s">
        <v>895</v>
      </c>
      <c r="I109" s="353" t="s">
        <v>953</v>
      </c>
      <c r="J109" s="353" t="s">
        <v>1407</v>
      </c>
      <c r="K109" s="353" t="s">
        <v>1001</v>
      </c>
      <c r="L109" s="353" t="s">
        <v>1177</v>
      </c>
      <c r="M109" s="353" t="s">
        <v>1047</v>
      </c>
      <c r="N109" s="353" t="s">
        <v>1092</v>
      </c>
      <c r="O109" s="353" t="s">
        <v>1132</v>
      </c>
    </row>
    <row r="110" spans="3:15" ht="28.5">
      <c r="C110" t="s">
        <v>1183</v>
      </c>
      <c r="D110" s="90" t="str">
        <f t="shared" si="13"/>
        <v>Maintenance Term</v>
      </c>
      <c r="E110" s="353" t="s">
        <v>1184</v>
      </c>
      <c r="F110" s="353" t="s">
        <v>1216</v>
      </c>
      <c r="G110" s="353" t="s">
        <v>1228</v>
      </c>
      <c r="H110" s="353" t="s">
        <v>1240</v>
      </c>
      <c r="I110" s="353" t="s">
        <v>1252</v>
      </c>
      <c r="J110" s="353" t="s">
        <v>1408</v>
      </c>
      <c r="K110" s="353" t="s">
        <v>972</v>
      </c>
      <c r="L110" s="353" t="s">
        <v>1277</v>
      </c>
      <c r="M110" s="353" t="s">
        <v>1288</v>
      </c>
      <c r="N110" s="353" t="s">
        <v>1301</v>
      </c>
      <c r="O110" s="353" t="s">
        <v>1314</v>
      </c>
    </row>
    <row r="111" spans="3:15">
      <c r="C111" t="s">
        <v>1200</v>
      </c>
      <c r="D111" s="90" t="str">
        <f t="shared" si="13"/>
        <v>Migration</v>
      </c>
      <c r="E111" s="353" t="s">
        <v>1185</v>
      </c>
      <c r="F111" s="353" t="s">
        <v>1217</v>
      </c>
      <c r="G111" s="353" t="s">
        <v>1185</v>
      </c>
      <c r="H111" s="353" t="s">
        <v>1185</v>
      </c>
      <c r="I111" s="353" t="s">
        <v>1253</v>
      </c>
      <c r="J111" s="353" t="s">
        <v>1409</v>
      </c>
      <c r="K111" s="353" t="s">
        <v>1265</v>
      </c>
      <c r="L111" s="353" t="s">
        <v>1278</v>
      </c>
      <c r="M111" s="353" t="s">
        <v>1289</v>
      </c>
      <c r="N111" s="353" t="s">
        <v>1302</v>
      </c>
      <c r="O111" s="353" t="s">
        <v>1315</v>
      </c>
    </row>
    <row r="112" spans="3:15" ht="28.5">
      <c r="C112" t="s">
        <v>1201</v>
      </c>
      <c r="D112" s="90" t="str">
        <f t="shared" si="13"/>
        <v>Add New Product</v>
      </c>
      <c r="E112" s="353" t="s">
        <v>1186</v>
      </c>
      <c r="F112" s="353" t="s">
        <v>1218</v>
      </c>
      <c r="G112" s="353" t="s">
        <v>1229</v>
      </c>
      <c r="H112" s="353" t="s">
        <v>1241</v>
      </c>
      <c r="I112" s="353" t="s">
        <v>1254</v>
      </c>
      <c r="J112" s="353" t="s">
        <v>1410</v>
      </c>
      <c r="K112" s="353" t="s">
        <v>1266</v>
      </c>
      <c r="L112" s="353" t="s">
        <v>1279</v>
      </c>
      <c r="M112" s="353" t="s">
        <v>1290</v>
      </c>
      <c r="N112" s="353" t="s">
        <v>1303</v>
      </c>
      <c r="O112" s="353" t="s">
        <v>1316</v>
      </c>
    </row>
    <row r="113" spans="3:15" ht="28.5">
      <c r="C113" t="s">
        <v>1202</v>
      </c>
      <c r="D113" s="90" t="str">
        <f t="shared" si="13"/>
        <v>Select your Language</v>
      </c>
      <c r="E113" s="353" t="s">
        <v>1187</v>
      </c>
      <c r="F113" s="353" t="s">
        <v>1219</v>
      </c>
      <c r="G113" s="353" t="s">
        <v>1230</v>
      </c>
      <c r="H113" s="353" t="s">
        <v>1242</v>
      </c>
      <c r="I113" s="353" t="s">
        <v>1255</v>
      </c>
      <c r="J113" s="353" t="s">
        <v>1411</v>
      </c>
      <c r="K113" s="353" t="s">
        <v>1267</v>
      </c>
      <c r="L113" s="353" t="s">
        <v>1280</v>
      </c>
      <c r="M113" s="353" t="s">
        <v>1291</v>
      </c>
      <c r="N113" s="353" t="s">
        <v>1304</v>
      </c>
      <c r="O113" s="353" t="s">
        <v>1317</v>
      </c>
    </row>
    <row r="114" spans="3:15" ht="28.5">
      <c r="C114" t="s">
        <v>1203</v>
      </c>
      <c r="D114" s="90" t="str">
        <f t="shared" si="13"/>
        <v>Select your Currency</v>
      </c>
      <c r="E114" s="353" t="s">
        <v>1188</v>
      </c>
      <c r="F114" s="353" t="s">
        <v>1220</v>
      </c>
      <c r="G114" s="353" t="s">
        <v>1231</v>
      </c>
      <c r="H114" s="353" t="s">
        <v>1243</v>
      </c>
      <c r="I114" s="353" t="s">
        <v>1256</v>
      </c>
      <c r="J114" s="353" t="s">
        <v>1412</v>
      </c>
      <c r="K114" s="353" t="s">
        <v>1268</v>
      </c>
      <c r="L114" s="353" t="s">
        <v>1281</v>
      </c>
      <c r="M114" s="353" t="s">
        <v>1292</v>
      </c>
      <c r="N114" s="353" t="s">
        <v>1305</v>
      </c>
      <c r="O114" s="353" t="s">
        <v>1318</v>
      </c>
    </row>
    <row r="115" spans="3:15">
      <c r="C115" t="s">
        <v>1204</v>
      </c>
      <c r="D115" s="90" t="str">
        <f t="shared" si="13"/>
        <v>Reports</v>
      </c>
      <c r="E115" s="353" t="s">
        <v>1189</v>
      </c>
      <c r="F115" s="353" t="s">
        <v>1221</v>
      </c>
      <c r="G115" s="353" t="s">
        <v>1232</v>
      </c>
      <c r="H115" s="353" t="s">
        <v>1244</v>
      </c>
      <c r="I115" s="353" t="s">
        <v>1257</v>
      </c>
      <c r="J115" s="353" t="s">
        <v>1413</v>
      </c>
      <c r="K115" s="353" t="s">
        <v>1269</v>
      </c>
      <c r="L115" s="353" t="s">
        <v>1282</v>
      </c>
      <c r="M115" s="353" t="s">
        <v>1293</v>
      </c>
      <c r="N115" s="353" t="s">
        <v>1306</v>
      </c>
      <c r="O115" s="353" t="s">
        <v>1319</v>
      </c>
    </row>
    <row r="116" spans="3:15" ht="28.5">
      <c r="C116" t="s">
        <v>1205</v>
      </c>
      <c r="D116" s="90" t="str">
        <f t="shared" si="13"/>
        <v>Consolidated Charts</v>
      </c>
      <c r="E116" s="353" t="s">
        <v>1190</v>
      </c>
      <c r="F116" s="353" t="s">
        <v>1222</v>
      </c>
      <c r="G116" s="353" t="s">
        <v>1234</v>
      </c>
      <c r="H116" s="353" t="s">
        <v>1245</v>
      </c>
      <c r="I116" s="353" t="s">
        <v>1258</v>
      </c>
      <c r="J116" s="353" t="s">
        <v>1414</v>
      </c>
      <c r="K116" s="353" t="s">
        <v>1270</v>
      </c>
      <c r="L116" s="353" t="s">
        <v>1283</v>
      </c>
      <c r="M116" s="353" t="s">
        <v>1295</v>
      </c>
      <c r="N116" s="353" t="s">
        <v>1308</v>
      </c>
      <c r="O116" s="353" t="s">
        <v>1320</v>
      </c>
    </row>
    <row r="117" spans="3:15" ht="42.75">
      <c r="C117" t="s">
        <v>1207</v>
      </c>
      <c r="D117" s="90" t="str">
        <f t="shared" si="13"/>
        <v>Copyright. All rights reserved.</v>
      </c>
      <c r="E117" s="353" t="s">
        <v>1191</v>
      </c>
      <c r="F117" s="353" t="s">
        <v>1223</v>
      </c>
      <c r="G117" s="353" t="s">
        <v>1233</v>
      </c>
      <c r="H117" s="353" t="s">
        <v>1246</v>
      </c>
      <c r="I117" s="353" t="s">
        <v>1259</v>
      </c>
      <c r="J117" s="353" t="s">
        <v>1415</v>
      </c>
      <c r="K117" s="353" t="s">
        <v>1271</v>
      </c>
      <c r="L117" s="353" t="s">
        <v>1284</v>
      </c>
      <c r="M117" s="353" t="s">
        <v>1294</v>
      </c>
      <c r="N117" s="353" t="s">
        <v>1307</v>
      </c>
      <c r="O117" s="353" t="s">
        <v>1321</v>
      </c>
    </row>
    <row r="118" spans="3:15" ht="28.5">
      <c r="C118" t="s">
        <v>1206</v>
      </c>
      <c r="D118" s="90" t="str">
        <f t="shared" si="13"/>
        <v>Dashboard Data</v>
      </c>
      <c r="E118" s="353" t="s">
        <v>1192</v>
      </c>
      <c r="F118" s="353" t="s">
        <v>1224</v>
      </c>
      <c r="G118" s="353" t="s">
        <v>1235</v>
      </c>
      <c r="H118" s="353" t="s">
        <v>1247</v>
      </c>
      <c r="I118" s="353" t="s">
        <v>1260</v>
      </c>
      <c r="J118" s="353"/>
      <c r="K118" s="353" t="s">
        <v>1272</v>
      </c>
      <c r="L118" s="353" t="s">
        <v>1285</v>
      </c>
      <c r="M118" s="353" t="s">
        <v>1296</v>
      </c>
      <c r="N118" s="353" t="s">
        <v>1309</v>
      </c>
      <c r="O118" s="353" t="s">
        <v>1322</v>
      </c>
    </row>
    <row r="119" spans="3:15" ht="28.5">
      <c r="C119" t="s">
        <v>1208</v>
      </c>
      <c r="D119" s="90" t="str">
        <f t="shared" si="13"/>
        <v>Reset All</v>
      </c>
      <c r="E119" s="353" t="s">
        <v>1193</v>
      </c>
      <c r="F119" s="353" t="s">
        <v>1327</v>
      </c>
      <c r="G119" s="353" t="s">
        <v>1330</v>
      </c>
      <c r="H119" s="353" t="s">
        <v>1334</v>
      </c>
      <c r="I119" s="353" t="s">
        <v>1338</v>
      </c>
      <c r="J119" s="353" t="s">
        <v>1342</v>
      </c>
      <c r="K119" s="353" t="s">
        <v>1346</v>
      </c>
      <c r="L119" s="353" t="s">
        <v>1350</v>
      </c>
      <c r="M119" s="353" t="s">
        <v>1354</v>
      </c>
      <c r="N119" s="353" t="s">
        <v>1358</v>
      </c>
      <c r="O119" s="353" t="s">
        <v>1361</v>
      </c>
    </row>
    <row r="120" spans="3:15" ht="57">
      <c r="C120" t="s">
        <v>1209</v>
      </c>
      <c r="D120" s="90" t="str">
        <f t="shared" si="13"/>
        <v>Are you sure you want to logout?</v>
      </c>
      <c r="E120" s="353" t="s">
        <v>1194</v>
      </c>
      <c r="F120" s="353" t="s">
        <v>1225</v>
      </c>
      <c r="G120" s="353" t="s">
        <v>1236</v>
      </c>
      <c r="H120" s="353" t="s">
        <v>1248</v>
      </c>
      <c r="I120" s="353" t="s">
        <v>1261</v>
      </c>
      <c r="J120" s="353" t="s">
        <v>1416</v>
      </c>
      <c r="K120" s="353" t="s">
        <v>1273</v>
      </c>
      <c r="L120" s="353" t="s">
        <v>1286</v>
      </c>
      <c r="M120" s="353" t="s">
        <v>1297</v>
      </c>
      <c r="N120" s="353" t="s">
        <v>1310</v>
      </c>
      <c r="O120" s="353" t="s">
        <v>1323</v>
      </c>
    </row>
    <row r="121" spans="3:15" ht="114">
      <c r="C121" t="s">
        <v>1210</v>
      </c>
      <c r="D121" s="90" t="str">
        <f t="shared" si="13"/>
        <v>You cannot undo this decision. Are you sure you want to reset?</v>
      </c>
      <c r="E121" s="353" t="s">
        <v>1313</v>
      </c>
      <c r="F121" s="353" t="s">
        <v>1226</v>
      </c>
      <c r="G121" s="353" t="s">
        <v>1237</v>
      </c>
      <c r="H121" s="353" t="s">
        <v>1249</v>
      </c>
      <c r="I121" s="353" t="s">
        <v>1262</v>
      </c>
      <c r="J121" s="353" t="s">
        <v>1417</v>
      </c>
      <c r="K121" s="353" t="s">
        <v>1274</v>
      </c>
      <c r="L121" s="353" t="s">
        <v>1287</v>
      </c>
      <c r="M121" s="353" t="s">
        <v>1298</v>
      </c>
      <c r="N121" s="353" t="s">
        <v>1311</v>
      </c>
      <c r="O121" s="353" t="s">
        <v>1324</v>
      </c>
    </row>
    <row r="122" spans="3:15">
      <c r="C122" t="s">
        <v>1211</v>
      </c>
      <c r="D122" s="90" t="str">
        <f t="shared" si="13"/>
        <v>Yes</v>
      </c>
      <c r="E122" s="353" t="s">
        <v>1195</v>
      </c>
      <c r="F122" s="353" t="s">
        <v>1227</v>
      </c>
      <c r="G122" s="353" t="s">
        <v>1238</v>
      </c>
      <c r="H122" s="353" t="s">
        <v>1250</v>
      </c>
      <c r="I122" s="353" t="s">
        <v>1263</v>
      </c>
      <c r="J122" s="353" t="s">
        <v>1418</v>
      </c>
      <c r="K122" s="353" t="s">
        <v>1275</v>
      </c>
      <c r="L122" s="353" t="s">
        <v>1275</v>
      </c>
      <c r="M122" s="353" t="s">
        <v>1299</v>
      </c>
      <c r="N122" s="353" t="s">
        <v>1312</v>
      </c>
      <c r="O122" s="353" t="s">
        <v>1325</v>
      </c>
    </row>
    <row r="123" spans="3:15">
      <c r="C123" t="s">
        <v>1212</v>
      </c>
      <c r="D123" s="90" t="str">
        <f t="shared" si="13"/>
        <v>No</v>
      </c>
      <c r="E123" s="353" t="s">
        <v>1196</v>
      </c>
      <c r="F123" s="353" t="s">
        <v>1196</v>
      </c>
      <c r="G123" s="353" t="s">
        <v>1239</v>
      </c>
      <c r="H123" s="353" t="s">
        <v>1251</v>
      </c>
      <c r="I123" s="353" t="s">
        <v>1264</v>
      </c>
      <c r="J123" s="353" t="s">
        <v>1419</v>
      </c>
      <c r="K123" s="353" t="s">
        <v>1276</v>
      </c>
      <c r="L123" s="353" t="s">
        <v>1276</v>
      </c>
      <c r="M123" s="353" t="s">
        <v>1300</v>
      </c>
      <c r="N123" s="353" t="s">
        <v>1196</v>
      </c>
      <c r="O123" s="353" t="s">
        <v>1326</v>
      </c>
    </row>
    <row r="124" spans="3:15" ht="28.5">
      <c r="C124" t="s">
        <v>1213</v>
      </c>
      <c r="D124" s="90" t="str">
        <f t="shared" si="13"/>
        <v>Logout</v>
      </c>
      <c r="E124" s="353" t="s">
        <v>1197</v>
      </c>
      <c r="F124" s="353" t="s">
        <v>1328</v>
      </c>
      <c r="G124" s="353" t="s">
        <v>1331</v>
      </c>
      <c r="H124" s="353" t="s">
        <v>1335</v>
      </c>
      <c r="I124" s="353" t="s">
        <v>1339</v>
      </c>
      <c r="J124" s="353" t="s">
        <v>1343</v>
      </c>
      <c r="K124" s="353" t="s">
        <v>1347</v>
      </c>
      <c r="L124" s="353" t="s">
        <v>1351</v>
      </c>
      <c r="M124" s="353" t="s">
        <v>1355</v>
      </c>
      <c r="N124" s="353" t="s">
        <v>1359</v>
      </c>
      <c r="O124" s="353" t="s">
        <v>1362</v>
      </c>
    </row>
    <row r="125" spans="3:15">
      <c r="C125" t="s">
        <v>1214</v>
      </c>
      <c r="D125" s="90" t="str">
        <f t="shared" si="13"/>
        <v>Tutorial</v>
      </c>
      <c r="E125" s="353" t="s">
        <v>1198</v>
      </c>
      <c r="F125" s="353" t="s">
        <v>1198</v>
      </c>
      <c r="G125" s="353" t="s">
        <v>1332</v>
      </c>
      <c r="H125" s="353" t="s">
        <v>1336</v>
      </c>
      <c r="I125" s="353" t="s">
        <v>1340</v>
      </c>
      <c r="J125" s="353" t="s">
        <v>1344</v>
      </c>
      <c r="K125" s="353" t="s">
        <v>1348</v>
      </c>
      <c r="L125" s="353" t="s">
        <v>1352</v>
      </c>
      <c r="M125" s="353" t="s">
        <v>1356</v>
      </c>
      <c r="N125" s="353" t="s">
        <v>1198</v>
      </c>
      <c r="O125" s="353" t="s">
        <v>1198</v>
      </c>
    </row>
    <row r="126" spans="3:15" ht="57">
      <c r="C126" t="s">
        <v>1215</v>
      </c>
      <c r="D126" s="90" t="str">
        <f>INDEX(E126:O126,glossaryLanguage)</f>
        <v>First Time? Click Here to Get Started</v>
      </c>
      <c r="E126" s="353" t="s">
        <v>1199</v>
      </c>
      <c r="F126" s="353" t="s">
        <v>1329</v>
      </c>
      <c r="G126" s="353" t="s">
        <v>1333</v>
      </c>
      <c r="H126" s="353" t="s">
        <v>1337</v>
      </c>
      <c r="I126" s="353" t="s">
        <v>1341</v>
      </c>
      <c r="J126" s="353" t="s">
        <v>1345</v>
      </c>
      <c r="K126" s="353" t="s">
        <v>1349</v>
      </c>
      <c r="L126" s="353" t="s">
        <v>1353</v>
      </c>
      <c r="M126" s="353" t="s">
        <v>1357</v>
      </c>
      <c r="N126" s="353" t="s">
        <v>1360</v>
      </c>
      <c r="O126" s="353" t="s">
        <v>1363</v>
      </c>
    </row>
    <row r="127" spans="3:15" ht="142.5">
      <c r="C127" t="s">
        <v>1910</v>
      </c>
      <c r="D127" s="90" t="str">
        <f>INDEX(E127:O127,glossaryLanguage)</f>
        <v>Anything beyond the three-year outlook we communicated is an estimate only. Pricing for Year 4 and subsequent renewal years is subject to change.</v>
      </c>
      <c r="E127" s="353" t="s">
        <v>1911</v>
      </c>
      <c r="F127" s="353"/>
      <c r="G127" s="353"/>
      <c r="H127" s="353"/>
      <c r="I127" s="353"/>
      <c r="J127" s="353"/>
      <c r="K127" s="353"/>
      <c r="L127" s="353"/>
      <c r="M127" s="353"/>
      <c r="N127" s="353"/>
      <c r="O127" s="353"/>
    </row>
  </sheetData>
  <hyperlinks>
    <hyperlink ref="E3" r:id="rId1"/>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BW381"/>
  <sheetViews>
    <sheetView topLeftCell="A22" zoomScale="70" zoomScaleNormal="70" workbookViewId="0">
      <selection activeCell="D31" sqref="D31"/>
    </sheetView>
  </sheetViews>
  <sheetFormatPr defaultRowHeight="14.25" customHeight="1"/>
  <cols>
    <col min="1" max="2" width="37" bestFit="1" customWidth="1"/>
    <col min="3" max="10" width="37.296875" bestFit="1" customWidth="1"/>
    <col min="11" max="11" width="22.296875" bestFit="1" customWidth="1"/>
    <col min="12" max="12" width="17.5" bestFit="1" customWidth="1"/>
    <col min="13" max="13" width="21.59765625" bestFit="1" customWidth="1"/>
    <col min="14" max="14" width="23.8984375" bestFit="1" customWidth="1"/>
    <col min="15" max="15" width="18.8984375" bestFit="1" customWidth="1"/>
    <col min="16" max="16" width="19.3984375" bestFit="1" customWidth="1"/>
    <col min="17" max="17" width="22.09765625" bestFit="1" customWidth="1"/>
    <col min="18" max="18" width="26.19921875" bestFit="1" customWidth="1"/>
    <col min="19" max="19" width="17.59765625" bestFit="1" customWidth="1"/>
    <col min="20" max="20" width="21.3984375" bestFit="1" customWidth="1"/>
    <col min="21" max="21" width="24.3984375" bestFit="1" customWidth="1"/>
    <col min="22" max="22" width="12.3984375" bestFit="1" customWidth="1"/>
    <col min="23" max="23" width="24.3984375" bestFit="1" customWidth="1"/>
    <col min="24" max="24" width="18.59765625" bestFit="1" customWidth="1"/>
    <col min="25" max="25" width="24.59765625" bestFit="1" customWidth="1"/>
    <col min="26" max="26" width="12.09765625" bestFit="1" customWidth="1"/>
    <col min="27" max="27" width="14.3984375" bestFit="1" customWidth="1"/>
    <col min="28" max="28" width="18.69921875" bestFit="1" customWidth="1"/>
  </cols>
  <sheetData>
    <row r="1" spans="1:75">
      <c r="A1" s="1"/>
      <c r="B1" s="1" t="s">
        <v>311</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row>
    <row r="2" spans="1:75" ht="20.100000000000001" customHeight="1">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row>
    <row r="3" spans="1:75" ht="20.100000000000001" customHeight="1">
      <c r="A3" s="148"/>
      <c r="B3" s="149" t="s">
        <v>314</v>
      </c>
      <c r="C3" s="149"/>
      <c r="D3" s="149"/>
      <c r="E3" s="149"/>
      <c r="F3" s="149"/>
      <c r="G3" s="70"/>
      <c r="H3" s="70"/>
      <c r="I3" s="70"/>
      <c r="J3" s="70"/>
      <c r="K3" s="70"/>
      <c r="L3" s="70"/>
      <c r="M3" s="70"/>
      <c r="N3" s="70"/>
      <c r="O3" s="70"/>
      <c r="P3" s="70"/>
      <c r="Q3" s="149"/>
      <c r="R3" s="149"/>
      <c r="S3" s="149"/>
      <c r="T3" s="149"/>
      <c r="U3" s="149"/>
      <c r="V3" s="149"/>
      <c r="W3" s="149"/>
      <c r="X3" s="149"/>
      <c r="Y3" s="149"/>
      <c r="Z3" s="149"/>
      <c r="AA3" s="149"/>
      <c r="AB3" s="149"/>
      <c r="AC3" s="149"/>
      <c r="AD3" s="149"/>
      <c r="AE3" s="149"/>
      <c r="AF3" s="149"/>
      <c r="AG3" s="149"/>
      <c r="AH3" s="149"/>
      <c r="AI3" s="149"/>
      <c r="AJ3" s="149"/>
      <c r="AK3" s="149"/>
      <c r="AL3" s="149"/>
      <c r="AM3" s="149"/>
      <c r="AN3" s="149"/>
      <c r="AO3" s="149"/>
      <c r="AP3" s="149"/>
      <c r="AQ3" s="149"/>
      <c r="AR3" s="149"/>
      <c r="AS3" s="149"/>
      <c r="AT3" s="149"/>
      <c r="AU3" s="149"/>
      <c r="AV3" s="149"/>
      <c r="AW3" s="149"/>
      <c r="AX3" s="149"/>
      <c r="AY3" s="149"/>
      <c r="AZ3" s="149"/>
      <c r="BA3" s="149"/>
      <c r="BB3" s="149"/>
      <c r="BC3" s="149"/>
      <c r="BD3" s="149"/>
      <c r="BE3" s="149"/>
      <c r="BF3" s="149"/>
      <c r="BG3" s="149"/>
      <c r="BH3" s="149"/>
      <c r="BI3" s="149"/>
      <c r="BJ3" s="149"/>
      <c r="BK3" s="149"/>
      <c r="BL3" s="149"/>
      <c r="BM3" s="149"/>
      <c r="BN3" s="149"/>
      <c r="BO3" s="149"/>
      <c r="BP3" s="149"/>
      <c r="BQ3" s="149"/>
      <c r="BR3" s="149"/>
      <c r="BS3" s="149"/>
      <c r="BT3" s="149"/>
      <c r="BU3" s="149"/>
      <c r="BV3" s="149"/>
      <c r="BW3" s="149"/>
    </row>
    <row r="4" spans="1:75" ht="20.100000000000001" customHeight="1">
      <c r="A4" s="145"/>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row>
    <row r="5" spans="1:75" ht="20.100000000000001" customHeight="1">
      <c r="A5" s="145"/>
      <c r="B5" s="151" t="str">
        <f>nmPath1</f>
        <v>Product 1</v>
      </c>
      <c r="C5" s="151" t="str">
        <f>nmPath2</f>
        <v>Product 2</v>
      </c>
      <c r="D5" s="151" t="str">
        <f>nmPath3</f>
        <v>Product 3</v>
      </c>
      <c r="E5" s="151" t="str">
        <f>nmPath4</f>
        <v>Product 4</v>
      </c>
      <c r="F5" s="151" t="str">
        <f>nmPath5</f>
        <v>Product 5</v>
      </c>
      <c r="G5" s="151" t="str">
        <f>nmPath6</f>
        <v>Product 6</v>
      </c>
      <c r="H5" s="151" t="str">
        <f>nmPath7</f>
        <v>Product 7</v>
      </c>
      <c r="I5" s="151" t="str">
        <f>nmPath8</f>
        <v>Product 8</v>
      </c>
      <c r="J5" s="145"/>
      <c r="K5" s="145"/>
      <c r="L5" s="145"/>
      <c r="M5" s="145"/>
      <c r="N5" s="145"/>
      <c r="O5" s="145"/>
      <c r="P5" s="145"/>
      <c r="Q5" s="145"/>
      <c r="R5" s="145"/>
      <c r="S5" s="145"/>
      <c r="T5" s="145"/>
      <c r="U5" s="145"/>
      <c r="V5" s="145"/>
      <c r="W5" s="145"/>
      <c r="X5" s="145"/>
      <c r="Y5" s="145"/>
      <c r="Z5" s="145"/>
      <c r="AA5" s="145"/>
      <c r="AB5" s="145"/>
      <c r="AC5" s="145"/>
      <c r="AD5" s="145"/>
      <c r="AE5" s="145"/>
      <c r="AF5" s="145"/>
      <c r="AG5" s="145"/>
      <c r="AH5" s="145"/>
      <c r="AI5" s="145"/>
      <c r="AJ5" s="145"/>
      <c r="AK5" s="145"/>
      <c r="AL5" s="145"/>
      <c r="AM5" s="145"/>
      <c r="AN5" s="145"/>
      <c r="AO5" s="145"/>
      <c r="AP5" s="145"/>
      <c r="AQ5" s="145"/>
      <c r="AR5" s="145"/>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row>
    <row r="6" spans="1:75" ht="20.100000000000001" customHeight="1">
      <c r="A6" s="146" t="s">
        <v>1907</v>
      </c>
      <c r="B6" s="151">
        <f>decPath1_Access</f>
        <v>1</v>
      </c>
      <c r="C6" s="151">
        <f>decPath2_Access</f>
        <v>1</v>
      </c>
      <c r="D6" s="151">
        <f>decPath3_Access</f>
        <v>1</v>
      </c>
      <c r="E6" s="151">
        <f>decPath4_Access</f>
        <v>1</v>
      </c>
      <c r="F6" s="151">
        <f>decPath5_Access</f>
        <v>1</v>
      </c>
      <c r="G6" s="151">
        <f>decPath6_Access</f>
        <v>1</v>
      </c>
      <c r="H6" s="151">
        <f>decPath7_Access</f>
        <v>1</v>
      </c>
      <c r="I6" s="151">
        <f>decPath8_Access</f>
        <v>1</v>
      </c>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row>
    <row r="7" spans="1:75" ht="20.100000000000001" customHeight="1" thickBot="1">
      <c r="A7" s="146" t="s">
        <v>321</v>
      </c>
      <c r="B7" s="172" t="str">
        <f>decPath1_ProdMT</f>
        <v>Please Select</v>
      </c>
      <c r="C7" s="172" t="str">
        <f>decPath2_ProdMT</f>
        <v>Please Select</v>
      </c>
      <c r="D7" s="172" t="str">
        <f>decPath3_ProdMT</f>
        <v>Please Select</v>
      </c>
      <c r="E7" s="172" t="str">
        <f>decPath4_ProdMT</f>
        <v>Please Select</v>
      </c>
      <c r="F7" s="172" t="str">
        <f>decPath5_ProdMT</f>
        <v>Please Select</v>
      </c>
      <c r="G7" s="172" t="str">
        <f>decPath6_ProdMT</f>
        <v>Please Select</v>
      </c>
      <c r="H7" s="172" t="str">
        <f>decPath7_ProdMT</f>
        <v>Please Select</v>
      </c>
      <c r="I7" s="172" t="str">
        <f>decPath8_ProdMT</f>
        <v>Please Select</v>
      </c>
      <c r="J7" s="145"/>
      <c r="K7" s="145"/>
      <c r="L7" s="145"/>
      <c r="M7" s="145"/>
      <c r="N7" s="145"/>
      <c r="O7" s="145"/>
      <c r="P7" s="145"/>
      <c r="Q7" s="145"/>
      <c r="R7" s="145"/>
      <c r="S7" s="145"/>
      <c r="T7" s="145"/>
      <c r="U7" s="145"/>
      <c r="V7" s="145"/>
      <c r="W7" s="145"/>
      <c r="X7" s="145"/>
      <c r="Y7" s="145"/>
      <c r="Z7" s="145"/>
      <c r="AA7" s="145"/>
      <c r="AB7" s="145"/>
      <c r="AC7" s="145"/>
      <c r="AD7" s="145"/>
      <c r="AE7" s="145"/>
      <c r="AF7" s="145"/>
      <c r="AG7" s="145"/>
      <c r="AH7" s="145"/>
      <c r="AI7" s="145"/>
      <c r="AJ7" s="145"/>
      <c r="AK7" s="145"/>
      <c r="AL7" s="145"/>
      <c r="AM7" s="145"/>
      <c r="AN7" s="145"/>
      <c r="AO7" s="145"/>
      <c r="AP7" s="145"/>
      <c r="AQ7" s="145"/>
      <c r="AR7" s="145"/>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row>
    <row r="8" spans="1:75" ht="20.100000000000001" customHeight="1">
      <c r="A8" s="145"/>
      <c r="B8" s="171" t="str">
        <f t="shared" ref="B8:I8" si="0">nmSelect</f>
        <v>Please Select</v>
      </c>
      <c r="C8" s="171" t="str">
        <f t="shared" si="0"/>
        <v>Please Select</v>
      </c>
      <c r="D8" s="171" t="str">
        <f t="shared" si="0"/>
        <v>Please Select</v>
      </c>
      <c r="E8" s="171" t="str">
        <f t="shared" si="0"/>
        <v>Please Select</v>
      </c>
      <c r="F8" s="171" t="str">
        <f t="shared" si="0"/>
        <v>Please Select</v>
      </c>
      <c r="G8" s="171" t="str">
        <f t="shared" si="0"/>
        <v>Please Select</v>
      </c>
      <c r="H8" s="171" t="str">
        <f t="shared" si="0"/>
        <v>Please Select</v>
      </c>
      <c r="I8" s="171" t="str">
        <f t="shared" si="0"/>
        <v>Please Select</v>
      </c>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row>
    <row r="9" spans="1:75" ht="20.100000000000001" customHeight="1">
      <c r="A9" s="74">
        <v>2</v>
      </c>
      <c r="B9" s="147" t="str">
        <f t="shared" ref="B9:I20" si="1">_xlfn.IFNA(IF(B$6=1,VLOOKUP(B$7,DataPaths_Tbl_AllPaths,$A9,FALSE),VLOOKUP(B$7,DataPaths_Tbl_AllPathsMultiUser,$A9,FALSE)),"")</f>
        <v/>
      </c>
      <c r="C9" s="147" t="str">
        <f t="shared" si="1"/>
        <v/>
      </c>
      <c r="D9" s="147" t="str">
        <f t="shared" si="1"/>
        <v/>
      </c>
      <c r="E9" s="147" t="str">
        <f t="shared" si="1"/>
        <v/>
      </c>
      <c r="F9" s="147" t="str">
        <f t="shared" si="1"/>
        <v/>
      </c>
      <c r="G9" s="147" t="str">
        <f t="shared" si="1"/>
        <v/>
      </c>
      <c r="H9" s="147" t="str">
        <f t="shared" si="1"/>
        <v/>
      </c>
      <c r="I9" s="147" t="str">
        <f t="shared" si="1"/>
        <v/>
      </c>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145"/>
      <c r="AO9" s="145"/>
      <c r="AP9" s="145"/>
      <c r="AQ9" s="145"/>
      <c r="AR9" s="145"/>
      <c r="AS9" s="145"/>
      <c r="AT9" s="145"/>
      <c r="AU9" s="145"/>
      <c r="AV9" s="145"/>
      <c r="AW9" s="145"/>
      <c r="AX9" s="145"/>
      <c r="AY9" s="145"/>
      <c r="AZ9" s="145"/>
      <c r="BA9" s="145"/>
      <c r="BB9" s="145"/>
      <c r="BC9" s="145"/>
      <c r="BD9" s="145"/>
      <c r="BE9" s="145"/>
      <c r="BF9" s="145"/>
      <c r="BG9" s="145"/>
      <c r="BH9" s="145"/>
      <c r="BI9" s="145"/>
      <c r="BJ9" s="145"/>
      <c r="BK9" s="145"/>
      <c r="BL9" s="145"/>
      <c r="BM9" s="145"/>
      <c r="BN9" s="145"/>
      <c r="BO9" s="145"/>
      <c r="BP9" s="145"/>
      <c r="BQ9" s="145"/>
      <c r="BR9" s="145"/>
      <c r="BS9" s="145"/>
      <c r="BT9" s="145"/>
      <c r="BU9" s="145"/>
      <c r="BV9" s="145"/>
      <c r="BW9" s="145"/>
    </row>
    <row r="10" spans="1:75" ht="20.100000000000001" customHeight="1">
      <c r="A10" s="74">
        <v>3</v>
      </c>
      <c r="B10" s="147" t="str">
        <f t="shared" si="1"/>
        <v/>
      </c>
      <c r="C10" s="147" t="str">
        <f t="shared" si="1"/>
        <v/>
      </c>
      <c r="D10" s="147" t="str">
        <f t="shared" si="1"/>
        <v/>
      </c>
      <c r="E10" s="147" t="str">
        <f t="shared" si="1"/>
        <v/>
      </c>
      <c r="F10" s="147" t="str">
        <f t="shared" si="1"/>
        <v/>
      </c>
      <c r="G10" s="147" t="str">
        <f t="shared" si="1"/>
        <v/>
      </c>
      <c r="H10" s="147" t="str">
        <f t="shared" si="1"/>
        <v/>
      </c>
      <c r="I10" s="147" t="str">
        <f t="shared" si="1"/>
        <v/>
      </c>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row>
    <row r="11" spans="1:75" ht="20.100000000000001" customHeight="1">
      <c r="A11" s="74">
        <v>4</v>
      </c>
      <c r="B11" s="147" t="str">
        <f t="shared" si="1"/>
        <v/>
      </c>
      <c r="C11" s="147" t="str">
        <f t="shared" si="1"/>
        <v/>
      </c>
      <c r="D11" s="147" t="str">
        <f t="shared" si="1"/>
        <v/>
      </c>
      <c r="E11" s="147" t="str">
        <f t="shared" si="1"/>
        <v/>
      </c>
      <c r="F11" s="147" t="str">
        <f t="shared" si="1"/>
        <v/>
      </c>
      <c r="G11" s="147" t="str">
        <f t="shared" si="1"/>
        <v/>
      </c>
      <c r="H11" s="147" t="str">
        <f t="shared" si="1"/>
        <v/>
      </c>
      <c r="I11" s="147" t="str">
        <f t="shared" si="1"/>
        <v/>
      </c>
      <c r="J11" s="145"/>
      <c r="K11" s="145"/>
      <c r="L11" s="145"/>
      <c r="M11" s="145"/>
      <c r="N11" s="145"/>
      <c r="O11" s="145"/>
      <c r="P11" s="145"/>
      <c r="Q11" s="145"/>
      <c r="R11" s="145"/>
      <c r="S11" s="145"/>
      <c r="T11" s="145"/>
      <c r="U11" s="145"/>
      <c r="V11" s="145"/>
      <c r="W11" s="145"/>
      <c r="X11" s="145"/>
      <c r="Y11" s="145"/>
      <c r="Z11" s="145"/>
      <c r="AA11" s="145"/>
      <c r="AB11" s="145"/>
      <c r="AC11" s="145"/>
      <c r="AD11" s="145"/>
      <c r="AE11" s="145"/>
      <c r="AF11" s="145"/>
      <c r="AG11" s="145"/>
      <c r="AH11" s="145"/>
      <c r="AI11" s="145"/>
      <c r="AJ11" s="145"/>
      <c r="AK11" s="145"/>
      <c r="AL11" s="145"/>
      <c r="AM11" s="145"/>
      <c r="AN11" s="145"/>
      <c r="AO11" s="145"/>
      <c r="AP11" s="145"/>
      <c r="AQ11" s="145"/>
      <c r="AR11" s="145"/>
      <c r="AS11" s="145"/>
      <c r="AT11" s="145"/>
      <c r="AU11" s="145"/>
      <c r="AV11" s="145"/>
      <c r="AW11" s="145"/>
      <c r="AX11" s="145"/>
      <c r="AY11" s="145"/>
      <c r="AZ11" s="145"/>
      <c r="BA11" s="145"/>
      <c r="BB11" s="145"/>
      <c r="BC11" s="145"/>
      <c r="BD11" s="145"/>
      <c r="BE11" s="145"/>
      <c r="BF11" s="145"/>
      <c r="BG11" s="145"/>
      <c r="BH11" s="145"/>
      <c r="BI11" s="145"/>
      <c r="BJ11" s="145"/>
      <c r="BK11" s="145"/>
      <c r="BL11" s="145"/>
      <c r="BM11" s="145"/>
      <c r="BN11" s="145"/>
      <c r="BO11" s="145"/>
      <c r="BP11" s="145"/>
      <c r="BQ11" s="145"/>
      <c r="BR11" s="145"/>
      <c r="BS11" s="145"/>
      <c r="BT11" s="145"/>
      <c r="BU11" s="145"/>
      <c r="BV11" s="145"/>
      <c r="BW11" s="145"/>
    </row>
    <row r="12" spans="1:75" ht="20.100000000000001" customHeight="1">
      <c r="A12" s="74">
        <v>5</v>
      </c>
      <c r="B12" s="147" t="str">
        <f t="shared" si="1"/>
        <v/>
      </c>
      <c r="C12" s="147" t="str">
        <f t="shared" si="1"/>
        <v/>
      </c>
      <c r="D12" s="147" t="str">
        <f t="shared" si="1"/>
        <v/>
      </c>
      <c r="E12" s="147" t="str">
        <f t="shared" si="1"/>
        <v/>
      </c>
      <c r="F12" s="147" t="str">
        <f t="shared" si="1"/>
        <v/>
      </c>
      <c r="G12" s="147" t="str">
        <f t="shared" si="1"/>
        <v/>
      </c>
      <c r="H12" s="147" t="str">
        <f t="shared" si="1"/>
        <v/>
      </c>
      <c r="I12" s="147" t="str">
        <f t="shared" si="1"/>
        <v/>
      </c>
      <c r="J12" s="145"/>
      <c r="K12" s="145"/>
      <c r="L12" s="145"/>
      <c r="M12" s="145"/>
      <c r="N12" s="145"/>
      <c r="O12" s="145"/>
      <c r="P12" s="145"/>
      <c r="Q12" s="145"/>
      <c r="R12" s="145"/>
      <c r="S12" s="145"/>
      <c r="T12" s="145"/>
      <c r="U12" s="145"/>
      <c r="V12" s="145"/>
      <c r="W12" s="145"/>
      <c r="X12" s="145"/>
      <c r="Y12" s="145"/>
      <c r="Z12" s="145"/>
      <c r="AA12" s="145"/>
      <c r="AB12" s="145"/>
      <c r="AC12" s="145"/>
      <c r="AD12" s="145"/>
      <c r="AE12" s="145"/>
      <c r="AF12" s="145"/>
      <c r="AG12" s="145"/>
      <c r="AH12" s="145"/>
      <c r="AI12" s="145"/>
      <c r="AJ12" s="145"/>
      <c r="AK12" s="145"/>
      <c r="AL12" s="145"/>
      <c r="AM12" s="145"/>
      <c r="AN12" s="145"/>
      <c r="AO12" s="145"/>
      <c r="AP12" s="145"/>
      <c r="AQ12" s="145"/>
      <c r="AR12" s="145"/>
      <c r="AS12" s="145"/>
      <c r="AT12" s="145"/>
      <c r="AU12" s="145"/>
      <c r="AV12" s="145"/>
      <c r="AW12" s="145"/>
      <c r="AX12" s="145"/>
      <c r="AY12" s="145"/>
      <c r="AZ12" s="145"/>
      <c r="BA12" s="145"/>
      <c r="BB12" s="145"/>
      <c r="BC12" s="145"/>
      <c r="BD12" s="145"/>
      <c r="BE12" s="145"/>
      <c r="BF12" s="145"/>
      <c r="BG12" s="145"/>
      <c r="BH12" s="145"/>
      <c r="BI12" s="145"/>
      <c r="BJ12" s="145"/>
      <c r="BK12" s="145"/>
      <c r="BL12" s="145"/>
      <c r="BM12" s="145"/>
      <c r="BN12" s="145"/>
      <c r="BO12" s="145"/>
      <c r="BP12" s="145"/>
      <c r="BQ12" s="145"/>
      <c r="BR12" s="145"/>
      <c r="BS12" s="145"/>
      <c r="BT12" s="145"/>
      <c r="BU12" s="145"/>
      <c r="BV12" s="145"/>
      <c r="BW12" s="145"/>
    </row>
    <row r="13" spans="1:75" ht="20.100000000000001" customHeight="1">
      <c r="A13" s="74">
        <v>6</v>
      </c>
      <c r="B13" s="147" t="str">
        <f t="shared" si="1"/>
        <v/>
      </c>
      <c r="C13" s="147" t="str">
        <f t="shared" si="1"/>
        <v/>
      </c>
      <c r="D13" s="147" t="str">
        <f t="shared" si="1"/>
        <v/>
      </c>
      <c r="E13" s="147" t="str">
        <f t="shared" si="1"/>
        <v/>
      </c>
      <c r="F13" s="147" t="str">
        <f t="shared" si="1"/>
        <v/>
      </c>
      <c r="G13" s="147" t="str">
        <f t="shared" si="1"/>
        <v/>
      </c>
      <c r="H13" s="147" t="str">
        <f t="shared" si="1"/>
        <v/>
      </c>
      <c r="I13" s="147" t="str">
        <f t="shared" si="1"/>
        <v/>
      </c>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5"/>
      <c r="AH13" s="145"/>
      <c r="AI13" s="145"/>
      <c r="AJ13" s="145"/>
      <c r="AK13" s="145"/>
      <c r="AL13" s="145"/>
      <c r="AM13" s="145"/>
      <c r="AN13" s="145"/>
      <c r="AO13" s="145"/>
      <c r="AP13" s="145"/>
      <c r="AQ13" s="145"/>
      <c r="AR13" s="145"/>
      <c r="AS13" s="145"/>
      <c r="AT13" s="145"/>
      <c r="AU13" s="145"/>
      <c r="AV13" s="145"/>
      <c r="AW13" s="145"/>
      <c r="AX13" s="145"/>
      <c r="AY13" s="145"/>
      <c r="AZ13" s="145"/>
      <c r="BA13" s="145"/>
      <c r="BB13" s="145"/>
      <c r="BC13" s="145"/>
      <c r="BD13" s="145"/>
      <c r="BE13" s="145"/>
      <c r="BF13" s="145"/>
      <c r="BG13" s="145"/>
      <c r="BH13" s="145"/>
      <c r="BI13" s="145"/>
      <c r="BJ13" s="145"/>
      <c r="BK13" s="145"/>
      <c r="BL13" s="145"/>
      <c r="BM13" s="145"/>
      <c r="BN13" s="145"/>
      <c r="BO13" s="145"/>
      <c r="BP13" s="145"/>
      <c r="BQ13" s="145"/>
      <c r="BR13" s="145"/>
      <c r="BS13" s="145"/>
      <c r="BT13" s="145"/>
      <c r="BU13" s="145"/>
      <c r="BV13" s="145"/>
      <c r="BW13" s="145"/>
    </row>
    <row r="14" spans="1:75" ht="20.100000000000001" customHeight="1">
      <c r="A14" s="74">
        <v>7</v>
      </c>
      <c r="B14" s="147" t="str">
        <f t="shared" si="1"/>
        <v/>
      </c>
      <c r="C14" s="147" t="str">
        <f t="shared" si="1"/>
        <v/>
      </c>
      <c r="D14" s="147" t="str">
        <f t="shared" si="1"/>
        <v/>
      </c>
      <c r="E14" s="147" t="str">
        <f t="shared" si="1"/>
        <v/>
      </c>
      <c r="F14" s="147" t="str">
        <f t="shared" si="1"/>
        <v/>
      </c>
      <c r="G14" s="147" t="str">
        <f t="shared" si="1"/>
        <v/>
      </c>
      <c r="H14" s="147" t="str">
        <f t="shared" si="1"/>
        <v/>
      </c>
      <c r="I14" s="147" t="str">
        <f t="shared" si="1"/>
        <v/>
      </c>
      <c r="J14" s="145"/>
      <c r="K14" s="145"/>
      <c r="L14" s="145"/>
      <c r="M14" s="145"/>
      <c r="N14" s="145"/>
      <c r="O14" s="145"/>
      <c r="P14" s="145"/>
      <c r="Q14" s="145"/>
      <c r="R14" s="145"/>
      <c r="S14" s="145"/>
      <c r="T14" s="145"/>
      <c r="U14" s="145"/>
      <c r="V14" s="145"/>
      <c r="W14" s="145"/>
      <c r="X14" s="145"/>
      <c r="Y14" s="145"/>
      <c r="Z14" s="145"/>
      <c r="AA14" s="145"/>
      <c r="AB14" s="145"/>
      <c r="AC14" s="145"/>
      <c r="AD14" s="145"/>
      <c r="AE14" s="145"/>
      <c r="AF14" s="145"/>
      <c r="AG14" s="145"/>
      <c r="AH14" s="145"/>
      <c r="AI14" s="145"/>
      <c r="AJ14" s="145"/>
      <c r="AK14" s="145"/>
      <c r="AL14" s="145"/>
      <c r="AM14" s="145"/>
      <c r="AN14" s="145"/>
      <c r="AO14" s="145"/>
      <c r="AP14" s="145"/>
      <c r="AQ14" s="145"/>
      <c r="AR14" s="145"/>
      <c r="AS14" s="145"/>
      <c r="AT14" s="145"/>
      <c r="AU14" s="145"/>
      <c r="AV14" s="145"/>
      <c r="AW14" s="145"/>
      <c r="AX14" s="145"/>
      <c r="AY14" s="145"/>
      <c r="AZ14" s="145"/>
      <c r="BA14" s="145"/>
      <c r="BB14" s="145"/>
      <c r="BC14" s="145"/>
      <c r="BD14" s="145"/>
      <c r="BE14" s="145"/>
      <c r="BF14" s="145"/>
      <c r="BG14" s="145"/>
      <c r="BH14" s="145"/>
      <c r="BI14" s="145"/>
      <c r="BJ14" s="145"/>
      <c r="BK14" s="145"/>
      <c r="BL14" s="145"/>
      <c r="BM14" s="145"/>
      <c r="BN14" s="145"/>
      <c r="BO14" s="145"/>
      <c r="BP14" s="145"/>
      <c r="BQ14" s="145"/>
      <c r="BR14" s="145"/>
      <c r="BS14" s="145"/>
      <c r="BT14" s="145"/>
      <c r="BU14" s="145"/>
      <c r="BV14" s="145"/>
      <c r="BW14" s="145"/>
    </row>
    <row r="15" spans="1:75" ht="20.100000000000001" customHeight="1">
      <c r="A15" s="74">
        <v>8</v>
      </c>
      <c r="B15" s="147" t="str">
        <f t="shared" si="1"/>
        <v/>
      </c>
      <c r="C15" s="147" t="str">
        <f t="shared" si="1"/>
        <v/>
      </c>
      <c r="D15" s="147" t="str">
        <f t="shared" si="1"/>
        <v/>
      </c>
      <c r="E15" s="147" t="str">
        <f t="shared" si="1"/>
        <v/>
      </c>
      <c r="F15" s="147" t="str">
        <f t="shared" si="1"/>
        <v/>
      </c>
      <c r="G15" s="147" t="str">
        <f t="shared" si="1"/>
        <v/>
      </c>
      <c r="H15" s="147" t="str">
        <f t="shared" si="1"/>
        <v/>
      </c>
      <c r="I15" s="147" t="str">
        <f t="shared" si="1"/>
        <v/>
      </c>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5"/>
      <c r="AH15" s="145"/>
      <c r="AI15" s="145"/>
      <c r="AJ15" s="145"/>
      <c r="AK15" s="145"/>
      <c r="AL15" s="145"/>
      <c r="AM15" s="145"/>
      <c r="AN15" s="145"/>
      <c r="AO15" s="145"/>
      <c r="AP15" s="145"/>
      <c r="AQ15" s="145"/>
      <c r="AR15" s="145"/>
      <c r="AS15" s="145"/>
      <c r="AT15" s="145"/>
      <c r="AU15" s="145"/>
      <c r="AV15" s="145"/>
      <c r="AW15" s="145"/>
      <c r="AX15" s="145"/>
      <c r="AY15" s="145"/>
      <c r="AZ15" s="145"/>
      <c r="BA15" s="145"/>
      <c r="BB15" s="145"/>
      <c r="BC15" s="145"/>
      <c r="BD15" s="145"/>
      <c r="BE15" s="145"/>
      <c r="BF15" s="145"/>
      <c r="BG15" s="145"/>
      <c r="BH15" s="145"/>
      <c r="BI15" s="145"/>
      <c r="BJ15" s="145"/>
      <c r="BK15" s="145"/>
      <c r="BL15" s="145"/>
      <c r="BM15" s="145"/>
      <c r="BN15" s="145"/>
      <c r="BO15" s="145"/>
      <c r="BP15" s="145"/>
      <c r="BQ15" s="145"/>
      <c r="BR15" s="145"/>
      <c r="BS15" s="145"/>
      <c r="BT15" s="145"/>
      <c r="BU15" s="145"/>
      <c r="BV15" s="145"/>
      <c r="BW15" s="145"/>
    </row>
    <row r="16" spans="1:75" ht="20.100000000000001" customHeight="1">
      <c r="A16" s="74">
        <v>9</v>
      </c>
      <c r="B16" s="147" t="str">
        <f t="shared" si="1"/>
        <v/>
      </c>
      <c r="C16" s="147" t="str">
        <f t="shared" si="1"/>
        <v/>
      </c>
      <c r="D16" s="147" t="str">
        <f t="shared" si="1"/>
        <v/>
      </c>
      <c r="E16" s="147" t="str">
        <f t="shared" si="1"/>
        <v/>
      </c>
      <c r="F16" s="147" t="str">
        <f t="shared" si="1"/>
        <v/>
      </c>
      <c r="G16" s="147" t="str">
        <f t="shared" si="1"/>
        <v/>
      </c>
      <c r="H16" s="147" t="str">
        <f t="shared" si="1"/>
        <v/>
      </c>
      <c r="I16" s="147" t="str">
        <f t="shared" si="1"/>
        <v/>
      </c>
      <c r="J16" s="145"/>
      <c r="K16" s="145"/>
      <c r="L16" s="145"/>
      <c r="M16" s="145"/>
      <c r="N16" s="145"/>
      <c r="O16" s="145"/>
      <c r="P16" s="145"/>
      <c r="Q16" s="145"/>
      <c r="R16" s="145"/>
      <c r="S16" s="145"/>
      <c r="T16" s="145"/>
      <c r="U16" s="145"/>
      <c r="V16" s="145"/>
      <c r="W16" s="145"/>
      <c r="X16" s="145"/>
      <c r="Y16" s="145"/>
      <c r="Z16" s="145"/>
      <c r="AA16" s="145"/>
      <c r="AB16" s="145"/>
      <c r="AC16" s="145"/>
      <c r="AD16" s="145"/>
      <c r="AE16" s="145"/>
      <c r="AF16" s="145"/>
      <c r="AG16" s="145"/>
      <c r="AH16" s="145"/>
      <c r="AI16" s="145"/>
      <c r="AJ16" s="145"/>
      <c r="AK16" s="145"/>
      <c r="AL16" s="145"/>
      <c r="AM16" s="145"/>
      <c r="AN16" s="145"/>
      <c r="AO16" s="145"/>
      <c r="AP16" s="145"/>
      <c r="AQ16" s="145"/>
      <c r="AR16" s="145"/>
      <c r="AS16" s="145"/>
      <c r="AT16" s="145"/>
      <c r="AU16" s="145"/>
      <c r="AV16" s="145"/>
      <c r="AW16" s="145"/>
      <c r="AX16" s="145"/>
      <c r="AY16" s="145"/>
      <c r="AZ16" s="145"/>
      <c r="BA16" s="145"/>
      <c r="BB16" s="145"/>
      <c r="BC16" s="145"/>
      <c r="BD16" s="145"/>
      <c r="BE16" s="145"/>
      <c r="BF16" s="145"/>
      <c r="BG16" s="145"/>
      <c r="BH16" s="145"/>
      <c r="BI16" s="145"/>
      <c r="BJ16" s="145"/>
      <c r="BK16" s="145"/>
      <c r="BL16" s="145"/>
      <c r="BM16" s="145"/>
      <c r="BN16" s="145"/>
      <c r="BO16" s="145"/>
      <c r="BP16" s="145"/>
      <c r="BQ16" s="145"/>
      <c r="BR16" s="145"/>
      <c r="BS16" s="145"/>
      <c r="BT16" s="145"/>
      <c r="BU16" s="145"/>
      <c r="BV16" s="145"/>
      <c r="BW16" s="145"/>
    </row>
    <row r="17" spans="1:75" ht="20.100000000000001" customHeight="1">
      <c r="A17" s="74">
        <v>10</v>
      </c>
      <c r="B17" s="147" t="str">
        <f t="shared" si="1"/>
        <v/>
      </c>
      <c r="C17" s="147" t="str">
        <f t="shared" si="1"/>
        <v/>
      </c>
      <c r="D17" s="147" t="str">
        <f t="shared" si="1"/>
        <v/>
      </c>
      <c r="E17" s="147" t="str">
        <f t="shared" si="1"/>
        <v/>
      </c>
      <c r="F17" s="147" t="str">
        <f t="shared" si="1"/>
        <v/>
      </c>
      <c r="G17" s="147" t="str">
        <f t="shared" si="1"/>
        <v/>
      </c>
      <c r="H17" s="147" t="str">
        <f t="shared" si="1"/>
        <v/>
      </c>
      <c r="I17" s="147" t="str">
        <f t="shared" si="1"/>
        <v/>
      </c>
      <c r="J17" s="145"/>
      <c r="K17" s="145"/>
      <c r="L17" s="145"/>
      <c r="M17" s="145"/>
      <c r="N17" s="145"/>
      <c r="O17" s="145"/>
      <c r="P17" s="145"/>
      <c r="Q17" s="145"/>
      <c r="R17" s="145"/>
      <c r="S17" s="145"/>
      <c r="T17" s="145"/>
      <c r="U17" s="145"/>
      <c r="V17" s="145"/>
      <c r="W17" s="145"/>
      <c r="X17" s="145"/>
      <c r="Y17" s="145"/>
      <c r="Z17" s="145"/>
      <c r="AA17" s="145"/>
      <c r="AB17" s="145"/>
      <c r="AC17" s="145"/>
      <c r="AD17" s="145"/>
      <c r="AE17" s="145"/>
      <c r="AF17" s="145"/>
      <c r="AG17" s="145"/>
      <c r="AH17" s="145"/>
      <c r="AI17" s="145"/>
      <c r="AJ17" s="145"/>
      <c r="AK17" s="145"/>
      <c r="AL17" s="145"/>
      <c r="AM17" s="145"/>
      <c r="AN17" s="145"/>
      <c r="AO17" s="145"/>
      <c r="AP17" s="145"/>
      <c r="AQ17" s="145"/>
      <c r="AR17" s="145"/>
      <c r="AS17" s="145"/>
      <c r="AT17" s="145"/>
      <c r="AU17" s="145"/>
      <c r="AV17" s="145"/>
      <c r="AW17" s="145"/>
      <c r="AX17" s="145"/>
      <c r="AY17" s="145"/>
      <c r="AZ17" s="145"/>
      <c r="BA17" s="145"/>
      <c r="BB17" s="145"/>
      <c r="BC17" s="145"/>
      <c r="BD17" s="145"/>
      <c r="BE17" s="145"/>
      <c r="BF17" s="145"/>
      <c r="BG17" s="145"/>
      <c r="BH17" s="145"/>
      <c r="BI17" s="145"/>
      <c r="BJ17" s="145"/>
      <c r="BK17" s="145"/>
      <c r="BL17" s="145"/>
      <c r="BM17" s="145"/>
      <c r="BN17" s="145"/>
      <c r="BO17" s="145"/>
      <c r="BP17" s="145"/>
      <c r="BQ17" s="145"/>
      <c r="BR17" s="145"/>
      <c r="BS17" s="145"/>
      <c r="BT17" s="145"/>
      <c r="BU17" s="145"/>
      <c r="BV17" s="145"/>
      <c r="BW17" s="145"/>
    </row>
    <row r="18" spans="1:75" ht="20.100000000000001" customHeight="1">
      <c r="A18" s="74">
        <v>11</v>
      </c>
      <c r="B18" s="147" t="str">
        <f t="shared" si="1"/>
        <v/>
      </c>
      <c r="C18" s="147" t="str">
        <f t="shared" si="1"/>
        <v/>
      </c>
      <c r="D18" s="147" t="str">
        <f t="shared" si="1"/>
        <v/>
      </c>
      <c r="E18" s="147" t="str">
        <f t="shared" si="1"/>
        <v/>
      </c>
      <c r="F18" s="147" t="str">
        <f t="shared" si="1"/>
        <v/>
      </c>
      <c r="G18" s="147" t="str">
        <f t="shared" si="1"/>
        <v/>
      </c>
      <c r="H18" s="147" t="str">
        <f t="shared" si="1"/>
        <v/>
      </c>
      <c r="I18" s="147" t="str">
        <f t="shared" si="1"/>
        <v/>
      </c>
      <c r="J18" s="145"/>
      <c r="K18" s="145"/>
      <c r="L18" s="145"/>
      <c r="M18" s="145"/>
      <c r="N18" s="145"/>
      <c r="O18" s="145"/>
      <c r="P18" s="145"/>
      <c r="Q18" s="145"/>
      <c r="R18" s="145"/>
      <c r="S18" s="145"/>
      <c r="T18" s="145"/>
      <c r="U18" s="145"/>
      <c r="V18" s="145"/>
      <c r="W18" s="145"/>
      <c r="X18" s="145"/>
      <c r="Y18" s="145"/>
      <c r="Z18" s="145"/>
      <c r="AA18" s="145"/>
      <c r="AB18" s="145"/>
      <c r="AC18" s="145"/>
      <c r="AD18" s="145"/>
      <c r="AE18" s="145"/>
      <c r="AF18" s="145"/>
      <c r="AG18" s="145"/>
      <c r="AH18" s="145"/>
      <c r="AI18" s="145"/>
      <c r="AJ18" s="145"/>
      <c r="AK18" s="145"/>
      <c r="AL18" s="145"/>
      <c r="AM18" s="145"/>
      <c r="AN18" s="145"/>
      <c r="AO18" s="145"/>
      <c r="AP18" s="145"/>
      <c r="AQ18" s="145"/>
      <c r="AR18" s="145"/>
      <c r="AS18" s="145"/>
      <c r="AT18" s="145"/>
      <c r="AU18" s="145"/>
      <c r="AV18" s="145"/>
      <c r="AW18" s="145"/>
      <c r="AX18" s="145"/>
      <c r="AY18" s="145"/>
      <c r="AZ18" s="145"/>
      <c r="BA18" s="145"/>
      <c r="BB18" s="145"/>
      <c r="BC18" s="145"/>
      <c r="BD18" s="145"/>
      <c r="BE18" s="145"/>
      <c r="BF18" s="145"/>
      <c r="BG18" s="145"/>
      <c r="BH18" s="145"/>
      <c r="BI18" s="145"/>
      <c r="BJ18" s="145"/>
      <c r="BK18" s="145"/>
      <c r="BL18" s="145"/>
      <c r="BM18" s="145"/>
      <c r="BN18" s="145"/>
      <c r="BO18" s="145"/>
      <c r="BP18" s="145"/>
      <c r="BQ18" s="145"/>
      <c r="BR18" s="145"/>
      <c r="BS18" s="145"/>
      <c r="BT18" s="145"/>
      <c r="BU18" s="145"/>
      <c r="BV18" s="145"/>
      <c r="BW18" s="145"/>
    </row>
    <row r="19" spans="1:75" ht="20.100000000000001" customHeight="1">
      <c r="A19" s="74">
        <v>12</v>
      </c>
      <c r="B19" s="147" t="str">
        <f t="shared" si="1"/>
        <v/>
      </c>
      <c r="C19" s="147" t="str">
        <f t="shared" si="1"/>
        <v/>
      </c>
      <c r="D19" s="147" t="str">
        <f t="shared" si="1"/>
        <v/>
      </c>
      <c r="E19" s="147" t="str">
        <f t="shared" si="1"/>
        <v/>
      </c>
      <c r="F19" s="147" t="str">
        <f t="shared" si="1"/>
        <v/>
      </c>
      <c r="G19" s="147" t="str">
        <f t="shared" si="1"/>
        <v/>
      </c>
      <c r="H19" s="147" t="str">
        <f t="shared" si="1"/>
        <v/>
      </c>
      <c r="I19" s="147" t="str">
        <f t="shared" si="1"/>
        <v/>
      </c>
      <c r="J19" s="145"/>
      <c r="K19" s="145"/>
      <c r="L19" s="145"/>
      <c r="M19" s="145"/>
      <c r="N19" s="145"/>
      <c r="O19" s="145"/>
      <c r="P19" s="145"/>
      <c r="Q19" s="145"/>
      <c r="R19" s="145"/>
      <c r="S19" s="145"/>
      <c r="T19" s="145"/>
      <c r="U19" s="145"/>
      <c r="V19" s="145"/>
      <c r="W19" s="145"/>
      <c r="X19" s="145"/>
      <c r="Y19" s="145"/>
      <c r="Z19" s="145"/>
      <c r="AA19" s="145"/>
      <c r="AB19" s="145"/>
      <c r="AC19" s="145"/>
      <c r="AD19" s="145"/>
      <c r="AE19" s="145"/>
      <c r="AF19" s="145"/>
      <c r="AG19" s="145"/>
      <c r="AH19" s="145"/>
      <c r="AI19" s="145"/>
      <c r="AJ19" s="145"/>
      <c r="AK19" s="145"/>
      <c r="AL19" s="145"/>
      <c r="AM19" s="145"/>
      <c r="AN19" s="145"/>
      <c r="AO19" s="145"/>
      <c r="AP19" s="145"/>
      <c r="AQ19" s="145"/>
      <c r="AR19" s="145"/>
      <c r="AS19" s="145"/>
      <c r="AT19" s="145"/>
      <c r="AU19" s="145"/>
      <c r="AV19" s="145"/>
      <c r="AW19" s="145"/>
      <c r="AX19" s="145"/>
      <c r="AY19" s="145"/>
      <c r="AZ19" s="145"/>
      <c r="BA19" s="145"/>
      <c r="BB19" s="145"/>
      <c r="BC19" s="145"/>
      <c r="BD19" s="145"/>
      <c r="BE19" s="145"/>
      <c r="BF19" s="145"/>
      <c r="BG19" s="145"/>
      <c r="BH19" s="145"/>
      <c r="BI19" s="145"/>
      <c r="BJ19" s="145"/>
      <c r="BK19" s="145"/>
      <c r="BL19" s="145"/>
      <c r="BM19" s="145"/>
      <c r="BN19" s="145"/>
      <c r="BO19" s="145"/>
      <c r="BP19" s="145"/>
      <c r="BQ19" s="145"/>
      <c r="BR19" s="145"/>
      <c r="BS19" s="145"/>
      <c r="BT19" s="145"/>
      <c r="BU19" s="145"/>
      <c r="BV19" s="145"/>
      <c r="BW19" s="145"/>
    </row>
    <row r="20" spans="1:75" ht="20.100000000000001" customHeight="1">
      <c r="A20" s="74">
        <v>13</v>
      </c>
      <c r="B20" s="147" t="str">
        <f t="shared" si="1"/>
        <v/>
      </c>
      <c r="C20" s="147" t="str">
        <f t="shared" si="1"/>
        <v/>
      </c>
      <c r="D20" s="147" t="str">
        <f t="shared" si="1"/>
        <v/>
      </c>
      <c r="E20" s="147" t="str">
        <f t="shared" si="1"/>
        <v/>
      </c>
      <c r="F20" s="147" t="str">
        <f t="shared" si="1"/>
        <v/>
      </c>
      <c r="G20" s="147" t="str">
        <f t="shared" si="1"/>
        <v/>
      </c>
      <c r="H20" s="147" t="str">
        <f t="shared" si="1"/>
        <v/>
      </c>
      <c r="I20" s="147" t="str">
        <f t="shared" si="1"/>
        <v/>
      </c>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c r="BS20" s="145"/>
      <c r="BT20" s="145"/>
      <c r="BU20" s="145"/>
      <c r="BV20" s="145"/>
      <c r="BW20" s="145"/>
    </row>
    <row r="21" spans="1:75" ht="20.100000000000001" customHeight="1">
      <c r="A21" s="145"/>
      <c r="B21" s="145" t="s">
        <v>322</v>
      </c>
      <c r="C21" s="145" t="s">
        <v>323</v>
      </c>
      <c r="D21" s="145" t="s">
        <v>324</v>
      </c>
      <c r="E21" s="145" t="s">
        <v>325</v>
      </c>
      <c r="F21" s="145" t="s">
        <v>1642</v>
      </c>
      <c r="G21" s="145" t="s">
        <v>1646</v>
      </c>
      <c r="H21" s="145" t="s">
        <v>1650</v>
      </c>
      <c r="I21" s="145" t="s">
        <v>1654</v>
      </c>
      <c r="J21" s="145"/>
      <c r="K21" s="145"/>
      <c r="L21" s="145"/>
      <c r="M21" s="145"/>
      <c r="N21" s="145"/>
      <c r="O21" s="145"/>
      <c r="P21" s="145"/>
      <c r="Q21" s="145"/>
      <c r="R21" s="145"/>
      <c r="S21" s="145"/>
      <c r="T21" s="145"/>
      <c r="U21" s="145"/>
      <c r="V21" s="145"/>
      <c r="W21" s="145"/>
      <c r="X21" s="145"/>
      <c r="Y21" s="145"/>
      <c r="Z21" s="145"/>
      <c r="AA21" s="145"/>
      <c r="AB21" s="145"/>
      <c r="AC21" s="145"/>
      <c r="AD21" s="145"/>
      <c r="AE21" s="145"/>
      <c r="AF21" s="145"/>
      <c r="AG21" s="145"/>
      <c r="AH21" s="145"/>
      <c r="AI21" s="145"/>
      <c r="AJ21" s="145"/>
      <c r="AK21" s="145"/>
      <c r="AL21" s="145"/>
      <c r="AM21" s="145"/>
      <c r="AN21" s="145"/>
      <c r="AO21" s="145"/>
      <c r="AP21" s="145"/>
      <c r="AQ21" s="145"/>
      <c r="AR21" s="145"/>
      <c r="AS21" s="145"/>
      <c r="AT21" s="145"/>
      <c r="AU21" s="145"/>
      <c r="AV21" s="145"/>
      <c r="AW21" s="145"/>
      <c r="AX21" s="145"/>
      <c r="AY21" s="145"/>
      <c r="AZ21" s="145"/>
      <c r="BA21" s="145"/>
      <c r="BB21" s="145"/>
      <c r="BC21" s="145"/>
      <c r="BD21" s="145"/>
      <c r="BE21" s="145"/>
      <c r="BF21" s="145"/>
      <c r="BG21" s="145"/>
      <c r="BH21" s="145"/>
      <c r="BI21" s="145"/>
      <c r="BJ21" s="145"/>
      <c r="BK21" s="145"/>
      <c r="BL21" s="145"/>
      <c r="BM21" s="145"/>
      <c r="BN21" s="145"/>
      <c r="BO21" s="145"/>
      <c r="BP21" s="145"/>
      <c r="BQ21" s="145"/>
      <c r="BR21" s="145"/>
      <c r="BS21" s="145"/>
      <c r="BT21" s="145"/>
      <c r="BU21" s="145"/>
      <c r="BV21" s="145"/>
      <c r="BW21" s="145"/>
    </row>
    <row r="22" spans="1:75" ht="20.100000000000001" customHeight="1">
      <c r="A22" s="145"/>
      <c r="B22" s="145" t="s">
        <v>687</v>
      </c>
      <c r="C22" s="145" t="s">
        <v>688</v>
      </c>
      <c r="D22" s="145" t="s">
        <v>689</v>
      </c>
      <c r="E22" s="145" t="s">
        <v>690</v>
      </c>
      <c r="F22" s="145" t="s">
        <v>1643</v>
      </c>
      <c r="G22" s="145" t="s">
        <v>1647</v>
      </c>
      <c r="H22" s="145" t="s">
        <v>1651</v>
      </c>
      <c r="I22" s="145" t="s">
        <v>1655</v>
      </c>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K22" s="145"/>
      <c r="AL22" s="145"/>
      <c r="AM22" s="145"/>
      <c r="AN22" s="145"/>
      <c r="AO22" s="145"/>
      <c r="AP22" s="145"/>
      <c r="AQ22" s="145"/>
      <c r="AR22" s="145"/>
      <c r="AS22" s="145"/>
      <c r="AT22" s="145"/>
      <c r="AU22" s="145"/>
      <c r="AV22" s="145"/>
      <c r="AW22" s="145"/>
      <c r="AX22" s="145"/>
      <c r="AY22" s="145"/>
      <c r="AZ22" s="145"/>
      <c r="BA22" s="145"/>
      <c r="BB22" s="145"/>
      <c r="BC22" s="145"/>
      <c r="BD22" s="145"/>
      <c r="BE22" s="145"/>
      <c r="BF22" s="145"/>
      <c r="BG22" s="145"/>
      <c r="BH22" s="145"/>
      <c r="BI22" s="145"/>
      <c r="BJ22" s="145"/>
      <c r="BK22" s="145"/>
      <c r="BL22" s="145"/>
      <c r="BM22" s="145"/>
      <c r="BN22" s="145"/>
      <c r="BO22" s="145"/>
      <c r="BP22" s="145"/>
      <c r="BQ22" s="145"/>
      <c r="BR22" s="145"/>
      <c r="BS22" s="145"/>
      <c r="BT22" s="145"/>
      <c r="BU22" s="145"/>
      <c r="BV22" s="145"/>
      <c r="BW22" s="145"/>
    </row>
    <row r="23" spans="1:75" ht="20.100000000000001" customHeight="1">
      <c r="A23" s="145"/>
      <c r="B23" s="145"/>
      <c r="C23" s="14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145"/>
      <c r="AB23" s="145"/>
      <c r="AC23" s="145"/>
      <c r="AD23" s="145"/>
      <c r="AE23" s="145"/>
      <c r="AF23" s="145"/>
      <c r="AG23" s="145"/>
      <c r="AH23" s="145"/>
      <c r="AI23" s="145"/>
      <c r="AJ23" s="145"/>
      <c r="AK23" s="145"/>
      <c r="AL23" s="145"/>
      <c r="AM23" s="145"/>
      <c r="AN23" s="145"/>
      <c r="AO23" s="145"/>
      <c r="AP23" s="145"/>
      <c r="AQ23" s="145"/>
      <c r="AR23" s="145"/>
      <c r="AS23" s="145"/>
      <c r="AT23" s="145"/>
      <c r="AU23" s="145"/>
      <c r="AV23" s="145"/>
      <c r="AW23" s="145"/>
      <c r="AX23" s="145"/>
      <c r="AY23" s="145"/>
      <c r="AZ23" s="145"/>
      <c r="BA23" s="145"/>
      <c r="BB23" s="145"/>
      <c r="BC23" s="145"/>
      <c r="BD23" s="145"/>
      <c r="BE23" s="145"/>
      <c r="BF23" s="145"/>
      <c r="BG23" s="145"/>
      <c r="BH23" s="145"/>
      <c r="BI23" s="145"/>
      <c r="BJ23" s="145"/>
      <c r="BK23" s="145"/>
      <c r="BL23" s="145"/>
      <c r="BM23" s="145"/>
      <c r="BN23" s="145"/>
      <c r="BO23" s="145"/>
      <c r="BP23" s="145"/>
      <c r="BQ23" s="145"/>
      <c r="BR23" s="145"/>
      <c r="BS23" s="145"/>
      <c r="BT23" s="145"/>
      <c r="BU23" s="145"/>
      <c r="BV23" s="145"/>
      <c r="BW23" s="145"/>
    </row>
    <row r="24" spans="1:75" ht="20.100000000000001" customHeight="1">
      <c r="A24" s="145"/>
      <c r="B24" s="147" t="str">
        <f>"DataPaths!"&amp;ADDRESS(ROW(B8),COLUMN(B8))&amp;":"&amp;ADDRESS(ROW(B8)+DataPaths_List_Path1_Count-1,COLUMN(B268))</f>
        <v>DataPaths!$B$8:$B$8</v>
      </c>
      <c r="C24" s="147" t="str">
        <f>"DataPaths!"&amp;ADDRESS(ROW(C8),COLUMN(C8))&amp;":"&amp;ADDRESS(ROW(C8)+DataPaths_List_Path2_Count-1,COLUMN(C268))</f>
        <v>DataPaths!$C$8:$C$8</v>
      </c>
      <c r="D24" s="147" t="str">
        <f>"DataPaths!"&amp;ADDRESS(ROW(D8),COLUMN(D8))&amp;":"&amp;ADDRESS(ROW(D8)+DataPaths_List_Path3_Count-1,COLUMN(D268))</f>
        <v>DataPaths!$D$8:$D$8</v>
      </c>
      <c r="E24" s="147" t="str">
        <f>"DataPaths!"&amp;ADDRESS(ROW(E8),COLUMN(E8))&amp;":"&amp;ADDRESS(ROW(E8)+DataPaths_List_Path4_Count-1,COLUMN(E268))</f>
        <v>DataPaths!$E$8:$E$8</v>
      </c>
      <c r="F24" s="147" t="str">
        <f>"DataPaths!"&amp;ADDRESS(ROW(F8),COLUMN(F8))&amp;":"&amp;ADDRESS(ROW(F8)+DataPaths_List_Path5_Count-1,COLUMN(F268))</f>
        <v>DataPaths!$F$8:$F$8</v>
      </c>
      <c r="G24" s="147" t="str">
        <f>"DataPaths!"&amp;ADDRESS(ROW(G8),COLUMN(G8))&amp;":"&amp;ADDRESS(ROW(G8)+DataPaths_List_Path6_Count-1,COLUMN(G268))</f>
        <v>DataPaths!$G$8:$G$8</v>
      </c>
      <c r="H24" s="147" t="str">
        <f>"DataPaths!"&amp;ADDRESS(ROW(H8),COLUMN(H8))&amp;":"&amp;ADDRESS(ROW(H8)+DataPaths_List_Path7_Count-1,COLUMN(H268))</f>
        <v>DataPaths!$H$8:$H$8</v>
      </c>
      <c r="I24" s="147" t="str">
        <f>"DataPaths!"&amp;ADDRESS(ROW(I8),COLUMN(I8))&amp;":"&amp;ADDRESS(ROW(I8)+DataPaths_List_Path8_Count-1,COLUMN(I268))</f>
        <v>DataPaths!$I$8:$I$8</v>
      </c>
      <c r="J24" s="145"/>
      <c r="K24" s="145"/>
      <c r="L24" s="145"/>
      <c r="M24" s="145"/>
      <c r="N24" s="145"/>
      <c r="O24" s="145"/>
      <c r="P24" s="145"/>
      <c r="Q24" s="145"/>
      <c r="R24" s="145"/>
      <c r="S24" s="145"/>
      <c r="T24" s="145"/>
      <c r="U24" s="145"/>
      <c r="V24" s="145"/>
      <c r="W24" s="145"/>
      <c r="X24" s="145"/>
      <c r="Y24" s="145"/>
      <c r="Z24" s="145"/>
      <c r="AA24" s="145"/>
      <c r="AB24" s="145"/>
      <c r="AC24" s="145"/>
      <c r="AD24" s="145"/>
      <c r="AE24" s="145"/>
      <c r="AF24" s="145"/>
      <c r="AG24" s="145"/>
      <c r="AH24" s="145"/>
      <c r="AI24" s="145"/>
      <c r="AJ24" s="145"/>
      <c r="AK24" s="145"/>
      <c r="AL24" s="145"/>
      <c r="AM24" s="145"/>
      <c r="AN24" s="145"/>
      <c r="AO24" s="145"/>
      <c r="AP24" s="145"/>
      <c r="AQ24" s="145"/>
      <c r="AR24" s="145"/>
      <c r="AS24" s="145"/>
      <c r="AT24" s="145"/>
      <c r="AU24" s="145"/>
      <c r="AV24" s="145"/>
      <c r="AW24" s="145"/>
      <c r="AX24" s="145"/>
      <c r="AY24" s="145"/>
      <c r="AZ24" s="145"/>
      <c r="BA24" s="145"/>
      <c r="BB24" s="145"/>
      <c r="BC24" s="145"/>
      <c r="BD24" s="145"/>
      <c r="BE24" s="145"/>
      <c r="BF24" s="145"/>
      <c r="BG24" s="145"/>
      <c r="BH24" s="145"/>
      <c r="BI24" s="145"/>
      <c r="BJ24" s="145"/>
      <c r="BK24" s="145"/>
      <c r="BL24" s="145"/>
      <c r="BM24" s="145"/>
      <c r="BN24" s="145"/>
      <c r="BO24" s="145"/>
      <c r="BP24" s="145"/>
      <c r="BQ24" s="145"/>
      <c r="BR24" s="145"/>
      <c r="BS24" s="145"/>
      <c r="BT24" s="145"/>
      <c r="BU24" s="145"/>
      <c r="BV24" s="145"/>
      <c r="BW24" s="145"/>
    </row>
    <row r="25" spans="1:75" ht="20.100000000000001" customHeight="1">
      <c r="A25" s="145"/>
      <c r="B25" s="145" t="s">
        <v>326</v>
      </c>
      <c r="C25" s="145" t="s">
        <v>327</v>
      </c>
      <c r="D25" s="145" t="s">
        <v>328</v>
      </c>
      <c r="E25" s="145" t="s">
        <v>329</v>
      </c>
      <c r="F25" s="145" t="s">
        <v>1644</v>
      </c>
      <c r="G25" s="145" t="s">
        <v>1648</v>
      </c>
      <c r="H25" s="145" t="s">
        <v>1652</v>
      </c>
      <c r="I25" s="145" t="s">
        <v>1656</v>
      </c>
      <c r="J25" s="145"/>
      <c r="K25" s="145"/>
      <c r="L25" s="145"/>
      <c r="M25" s="145"/>
      <c r="N25" s="145"/>
      <c r="O25" s="145"/>
      <c r="P25" s="145"/>
      <c r="Q25" s="145"/>
      <c r="R25" s="145"/>
      <c r="S25" s="145"/>
      <c r="T25" s="145"/>
      <c r="U25" s="145"/>
      <c r="V25" s="145"/>
      <c r="W25" s="145"/>
      <c r="X25" s="145"/>
      <c r="Y25" s="145"/>
      <c r="Z25" s="145"/>
      <c r="AA25" s="145"/>
      <c r="AB25" s="145"/>
      <c r="AC25" s="145"/>
      <c r="AD25" s="145"/>
      <c r="AE25" s="145"/>
      <c r="AF25" s="145"/>
      <c r="AG25" s="145"/>
      <c r="AH25" s="145"/>
      <c r="AI25" s="145"/>
      <c r="AJ25" s="145"/>
      <c r="AK25" s="145"/>
      <c r="AL25" s="145"/>
      <c r="AM25" s="145"/>
      <c r="AN25" s="145"/>
      <c r="AO25" s="145"/>
      <c r="AP25" s="145"/>
      <c r="AQ25" s="145"/>
      <c r="AR25" s="145"/>
      <c r="AS25" s="145"/>
      <c r="AT25" s="145"/>
      <c r="AU25" s="145"/>
      <c r="AV25" s="145"/>
      <c r="AW25" s="145"/>
      <c r="AX25" s="145"/>
      <c r="AY25" s="145"/>
      <c r="AZ25" s="145"/>
      <c r="BA25" s="145"/>
      <c r="BB25" s="145"/>
      <c r="BC25" s="145"/>
      <c r="BD25" s="145"/>
      <c r="BE25" s="145"/>
      <c r="BF25" s="145"/>
      <c r="BG25" s="145"/>
      <c r="BH25" s="145"/>
      <c r="BI25" s="145"/>
      <c r="BJ25" s="145"/>
      <c r="BK25" s="145"/>
      <c r="BL25" s="145"/>
      <c r="BM25" s="145"/>
      <c r="BN25" s="145"/>
      <c r="BO25" s="145"/>
      <c r="BP25" s="145"/>
      <c r="BQ25" s="145"/>
      <c r="BR25" s="145"/>
      <c r="BS25" s="145"/>
      <c r="BT25" s="145"/>
      <c r="BU25" s="145"/>
      <c r="BV25" s="145"/>
      <c r="BW25" s="145"/>
    </row>
    <row r="26" spans="1:75" ht="20.100000000000001" customHeight="1">
      <c r="A26" s="145"/>
      <c r="B26" s="145" t="s">
        <v>693</v>
      </c>
      <c r="C26" s="145" t="s">
        <v>694</v>
      </c>
      <c r="D26" s="145" t="s">
        <v>695</v>
      </c>
      <c r="E26" s="145" t="s">
        <v>696</v>
      </c>
      <c r="F26" s="145" t="s">
        <v>1645</v>
      </c>
      <c r="G26" s="145" t="s">
        <v>1649</v>
      </c>
      <c r="H26" s="145" t="s">
        <v>1653</v>
      </c>
      <c r="I26" s="145" t="s">
        <v>1657</v>
      </c>
      <c r="J26" s="145"/>
      <c r="K26" s="145"/>
      <c r="L26" s="145"/>
      <c r="M26" s="145"/>
      <c r="N26" s="145"/>
      <c r="O26" s="145"/>
      <c r="P26" s="145"/>
      <c r="Q26" s="145"/>
      <c r="R26" s="145"/>
      <c r="S26" s="145"/>
      <c r="T26" s="145"/>
      <c r="U26" s="145"/>
      <c r="V26" s="145"/>
      <c r="W26" s="145"/>
      <c r="X26" s="145"/>
      <c r="Y26" s="145"/>
      <c r="Z26" s="145"/>
      <c r="AA26" s="145"/>
      <c r="AB26" s="145"/>
      <c r="AC26" s="145"/>
      <c r="AD26" s="145"/>
      <c r="AE26" s="145"/>
      <c r="AF26" s="145"/>
      <c r="AG26" s="145"/>
      <c r="AH26" s="145"/>
      <c r="AI26" s="145"/>
      <c r="AJ26" s="145"/>
      <c r="AK26" s="145"/>
      <c r="AL26" s="145"/>
      <c r="AM26" s="145"/>
      <c r="AN26" s="145"/>
      <c r="AO26" s="145"/>
      <c r="AP26" s="145"/>
      <c r="AQ26" s="145"/>
      <c r="AR26" s="145"/>
      <c r="AS26" s="145"/>
      <c r="AT26" s="145"/>
      <c r="AU26" s="145"/>
      <c r="AV26" s="145"/>
      <c r="AW26" s="145"/>
      <c r="AX26" s="145"/>
      <c r="AY26" s="145"/>
      <c r="AZ26" s="145"/>
      <c r="BA26" s="145"/>
      <c r="BB26" s="145"/>
      <c r="BC26" s="145"/>
      <c r="BD26" s="145"/>
      <c r="BE26" s="145"/>
      <c r="BF26" s="145"/>
      <c r="BG26" s="145"/>
      <c r="BH26" s="145"/>
      <c r="BI26" s="145"/>
      <c r="BJ26" s="145"/>
      <c r="BK26" s="145"/>
      <c r="BL26" s="145"/>
      <c r="BM26" s="145"/>
      <c r="BN26" s="145"/>
      <c r="BO26" s="145"/>
      <c r="BP26" s="145"/>
      <c r="BQ26" s="145"/>
      <c r="BR26" s="145"/>
      <c r="BS26" s="145"/>
      <c r="BT26" s="145"/>
      <c r="BU26" s="145"/>
      <c r="BV26" s="145"/>
      <c r="BW26" s="145"/>
    </row>
    <row r="27" spans="1:75" ht="20.100000000000001" customHeight="1">
      <c r="A27" s="145"/>
      <c r="B27" s="145"/>
      <c r="C27" s="145"/>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5"/>
      <c r="AB27" s="145"/>
      <c r="AC27" s="145"/>
      <c r="AD27" s="145"/>
      <c r="AE27" s="145"/>
      <c r="AF27" s="145"/>
      <c r="AG27" s="145"/>
      <c r="AH27" s="145"/>
      <c r="AI27" s="145"/>
      <c r="AJ27" s="145"/>
      <c r="AK27" s="145"/>
      <c r="AL27" s="145"/>
      <c r="AM27" s="145"/>
      <c r="AN27" s="145"/>
      <c r="AO27" s="145"/>
      <c r="AP27" s="145"/>
      <c r="AQ27" s="145"/>
      <c r="AR27" s="145"/>
      <c r="AS27" s="145"/>
      <c r="AT27" s="145"/>
      <c r="AU27" s="145"/>
      <c r="AV27" s="145"/>
      <c r="AW27" s="145"/>
      <c r="AX27" s="145"/>
      <c r="AY27" s="145"/>
      <c r="AZ27" s="145"/>
      <c r="BA27" s="145"/>
      <c r="BB27" s="145"/>
      <c r="BC27" s="145"/>
      <c r="BD27" s="145"/>
      <c r="BE27" s="145"/>
      <c r="BF27" s="145"/>
      <c r="BG27" s="145"/>
      <c r="BH27" s="145"/>
      <c r="BI27" s="145"/>
      <c r="BJ27" s="145"/>
      <c r="BK27" s="145"/>
      <c r="BL27" s="145"/>
      <c r="BM27" s="145"/>
      <c r="BN27" s="145"/>
      <c r="BO27" s="145"/>
      <c r="BP27" s="145"/>
      <c r="BQ27" s="145"/>
      <c r="BR27" s="145"/>
      <c r="BS27" s="145"/>
      <c r="BT27" s="145"/>
      <c r="BU27" s="145"/>
      <c r="BV27" s="145"/>
      <c r="BW27" s="145"/>
    </row>
    <row r="28" spans="1:75" ht="20.100000000000001" customHeight="1">
      <c r="A28" s="413" t="s">
        <v>1908</v>
      </c>
      <c r="B28" s="149" t="s">
        <v>313</v>
      </c>
      <c r="C28" s="149"/>
      <c r="D28" s="149"/>
      <c r="E28" s="149"/>
      <c r="F28" s="149"/>
      <c r="G28" s="70"/>
      <c r="H28" s="70"/>
      <c r="I28" s="70"/>
      <c r="J28" s="70"/>
      <c r="K28" s="70"/>
      <c r="L28" s="70"/>
      <c r="M28" s="70"/>
      <c r="N28" s="70"/>
      <c r="O28" s="70"/>
      <c r="P28" s="70"/>
      <c r="Q28" s="149"/>
      <c r="R28" s="149"/>
      <c r="S28" s="149"/>
      <c r="T28" s="149"/>
      <c r="U28" s="149"/>
      <c r="V28" s="149"/>
      <c r="W28" s="149"/>
      <c r="X28" s="149"/>
      <c r="Y28" s="149"/>
      <c r="Z28" s="149"/>
      <c r="AA28" s="149"/>
      <c r="AB28" s="149"/>
      <c r="AC28" s="149"/>
      <c r="AD28" s="149"/>
      <c r="AE28" s="149"/>
      <c r="AF28" s="149"/>
      <c r="AG28" s="149"/>
      <c r="AH28" s="149"/>
      <c r="AI28" s="149"/>
      <c r="AJ28" s="149"/>
      <c r="AK28" s="149"/>
      <c r="AL28" s="149"/>
      <c r="AM28" s="149"/>
      <c r="AN28" s="149"/>
      <c r="AO28" s="149"/>
      <c r="AP28" s="149"/>
      <c r="AQ28" s="149"/>
      <c r="AR28" s="149"/>
      <c r="AS28" s="149"/>
      <c r="AT28" s="149"/>
      <c r="AU28" s="149"/>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49"/>
      <c r="BR28" s="149"/>
      <c r="BS28" s="149"/>
      <c r="BT28" s="149"/>
      <c r="BU28" s="149"/>
      <c r="BV28" s="149"/>
      <c r="BW28" s="149"/>
    </row>
    <row r="29" spans="1:75" ht="20.100000000000001" customHeight="1">
      <c r="A29" s="145"/>
      <c r="B29" s="145"/>
      <c r="C29" s="145"/>
      <c r="D29" s="145"/>
      <c r="E29" s="145"/>
      <c r="F29" s="145"/>
      <c r="G29" s="145"/>
      <c r="H29" s="145"/>
      <c r="I29" s="145"/>
      <c r="J29" s="145"/>
      <c r="K29" s="145"/>
      <c r="L29" s="145"/>
      <c r="M29" s="145"/>
      <c r="N29" s="145"/>
      <c r="O29" s="145"/>
      <c r="P29" s="145"/>
      <c r="Q29" s="145"/>
      <c r="R29" s="145"/>
      <c r="S29" s="145"/>
      <c r="T29" s="145"/>
      <c r="U29" s="145"/>
      <c r="V29" s="145"/>
      <c r="W29" s="145"/>
      <c r="X29" s="145"/>
      <c r="Y29" s="145"/>
      <c r="Z29" s="145"/>
      <c r="AA29" s="145"/>
      <c r="AB29" s="145"/>
      <c r="AC29" s="145"/>
      <c r="AD29" s="145"/>
      <c r="AE29" s="145"/>
      <c r="AF29" s="145"/>
      <c r="AG29" s="145"/>
      <c r="AH29" s="145"/>
      <c r="AI29" s="145"/>
      <c r="AJ29" s="145"/>
      <c r="AK29" s="145"/>
      <c r="AL29" s="145"/>
      <c r="AM29" s="145"/>
      <c r="AN29" s="145"/>
      <c r="AO29" s="145"/>
      <c r="AP29" s="145"/>
      <c r="AQ29" s="145"/>
      <c r="AR29" s="145"/>
      <c r="AS29" s="145"/>
      <c r="AT29" s="145"/>
      <c r="AU29" s="145"/>
      <c r="AV29" s="145"/>
      <c r="AW29" s="145"/>
      <c r="AX29" s="145"/>
      <c r="AY29" s="145"/>
      <c r="AZ29" s="145"/>
      <c r="BA29" s="145"/>
      <c r="BB29" s="145"/>
      <c r="BC29" s="145"/>
      <c r="BD29" s="145"/>
      <c r="BE29" s="145"/>
      <c r="BF29" s="145"/>
      <c r="BG29" s="145"/>
      <c r="BH29" s="145"/>
      <c r="BI29" s="145"/>
      <c r="BJ29" s="145"/>
      <c r="BK29" s="145"/>
      <c r="BL29" s="145"/>
      <c r="BM29" s="145"/>
      <c r="BN29" s="145"/>
      <c r="BO29" s="145"/>
      <c r="BP29" s="145"/>
      <c r="BQ29" s="145"/>
      <c r="BR29" s="145"/>
      <c r="BS29" s="145"/>
      <c r="BT29" s="145"/>
      <c r="BU29" s="145"/>
      <c r="BV29" s="145"/>
      <c r="BW29" s="145"/>
    </row>
    <row r="30" spans="1:75" ht="20.100000000000001" customHeight="1">
      <c r="A30" s="145"/>
      <c r="B30" s="146" t="s">
        <v>309</v>
      </c>
      <c r="C30" s="74" t="s">
        <v>302</v>
      </c>
      <c r="D30" s="145" t="s">
        <v>310</v>
      </c>
      <c r="E30" s="145"/>
      <c r="F30" s="145"/>
      <c r="G30" s="145"/>
      <c r="H30" s="145"/>
      <c r="I30" s="145"/>
      <c r="J30" s="145"/>
      <c r="K30" s="145"/>
      <c r="L30" s="145"/>
      <c r="M30" s="145"/>
      <c r="N30" s="145"/>
      <c r="O30" s="145"/>
      <c r="P30" s="145"/>
      <c r="Q30" s="145"/>
      <c r="R30" s="145"/>
      <c r="S30" s="145"/>
      <c r="T30" s="145"/>
      <c r="U30" s="145"/>
      <c r="V30" s="145"/>
      <c r="W30" s="145"/>
      <c r="X30" s="145"/>
      <c r="Y30" s="145"/>
      <c r="Z30" s="145"/>
      <c r="AA30" s="145"/>
      <c r="AB30" s="145"/>
      <c r="AC30" s="145"/>
      <c r="AD30" s="145"/>
      <c r="AE30" s="145"/>
      <c r="AF30" s="145"/>
      <c r="AG30" s="145"/>
      <c r="AH30" s="145"/>
      <c r="AI30" s="145"/>
      <c r="AJ30" s="145"/>
      <c r="AK30" s="145"/>
      <c r="AL30" s="145"/>
      <c r="AM30" s="145"/>
      <c r="AN30" s="145"/>
      <c r="AO30" s="145"/>
      <c r="AP30" s="145"/>
      <c r="AQ30" s="145"/>
      <c r="AR30" s="145"/>
      <c r="AS30" s="145"/>
      <c r="AT30" s="145"/>
      <c r="AU30" s="145"/>
      <c r="AV30" s="145"/>
      <c r="AW30" s="145"/>
      <c r="AX30" s="145"/>
      <c r="AY30" s="145"/>
      <c r="AZ30" s="145"/>
      <c r="BA30" s="145"/>
      <c r="BB30" s="145"/>
      <c r="BC30" s="145"/>
      <c r="BD30" s="145"/>
      <c r="BE30" s="145"/>
      <c r="BF30" s="145"/>
      <c r="BG30" s="145"/>
      <c r="BH30" s="145"/>
      <c r="BI30" s="145"/>
      <c r="BJ30" s="145"/>
      <c r="BK30" s="145"/>
      <c r="BL30" s="145"/>
      <c r="BM30" s="145"/>
      <c r="BN30" s="145"/>
      <c r="BO30" s="145"/>
      <c r="BP30" s="145"/>
      <c r="BQ30" s="145"/>
      <c r="BR30" s="145"/>
      <c r="BS30" s="145"/>
      <c r="BT30" s="145"/>
      <c r="BU30" s="145"/>
      <c r="BV30" s="145"/>
      <c r="BW30" s="145"/>
    </row>
    <row r="31" spans="1:75" ht="20.100000000000001" customHeight="1">
      <c r="A31" s="145"/>
      <c r="B31" s="146" t="s">
        <v>1938</v>
      </c>
      <c r="C31" s="459">
        <f>COUNTIF(M2S_Eligibility_List!C22:BV131,DataPaths_Code)</f>
        <v>206</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c r="AB31" s="145"/>
      <c r="AC31" s="145"/>
      <c r="AD31" s="145"/>
      <c r="AE31" s="145"/>
      <c r="AF31" s="145"/>
      <c r="AG31" s="145"/>
      <c r="AH31" s="145"/>
      <c r="AI31" s="145"/>
      <c r="AJ31" s="145"/>
      <c r="AK31" s="145"/>
      <c r="AL31" s="145"/>
      <c r="AM31" s="145"/>
      <c r="AN31" s="145"/>
      <c r="AO31" s="145"/>
      <c r="AP31" s="145"/>
      <c r="AQ31" s="145"/>
      <c r="AR31" s="145"/>
      <c r="AS31" s="145"/>
      <c r="AT31" s="145"/>
      <c r="AU31" s="145"/>
      <c r="AV31" s="145"/>
      <c r="AW31" s="145"/>
      <c r="AX31" s="145"/>
      <c r="AY31" s="145"/>
      <c r="AZ31" s="145"/>
      <c r="BA31" s="145"/>
      <c r="BB31" s="145"/>
      <c r="BC31" s="145"/>
      <c r="BD31" s="145"/>
      <c r="BE31" s="145"/>
      <c r="BF31" s="145"/>
      <c r="BG31" s="145"/>
      <c r="BH31" s="145"/>
      <c r="BI31" s="145"/>
      <c r="BJ31" s="145"/>
      <c r="BK31" s="145"/>
      <c r="BL31" s="145"/>
      <c r="BM31" s="145"/>
      <c r="BN31" s="145"/>
      <c r="BO31" s="145"/>
      <c r="BP31" s="145"/>
      <c r="BQ31" s="145"/>
      <c r="BR31" s="145"/>
      <c r="BS31" s="145"/>
      <c r="BT31" s="145"/>
      <c r="BU31" s="145"/>
      <c r="BV31" s="145"/>
      <c r="BW31" s="145"/>
    </row>
    <row r="32" spans="1:75" ht="20.100000000000001" customHeight="1">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145"/>
      <c r="AT32" s="145"/>
      <c r="AU32" s="145"/>
      <c r="AV32" s="145"/>
      <c r="AW32" s="145"/>
      <c r="AX32" s="145"/>
      <c r="AY32" s="145"/>
      <c r="AZ32" s="145"/>
      <c r="BA32" s="145"/>
      <c r="BB32" s="145"/>
      <c r="BC32" s="145"/>
      <c r="BD32" s="145"/>
      <c r="BE32" s="145"/>
      <c r="BF32" s="145"/>
      <c r="BG32" s="145"/>
      <c r="BH32" s="145"/>
      <c r="BI32" s="145"/>
      <c r="BJ32" s="145"/>
      <c r="BK32" s="145"/>
      <c r="BL32" s="145"/>
      <c r="BM32" s="145"/>
      <c r="BN32" s="145"/>
      <c r="BO32" s="145"/>
      <c r="BP32" s="145"/>
      <c r="BQ32" s="145"/>
      <c r="BR32" s="145"/>
      <c r="BS32" s="145"/>
      <c r="BT32" s="145"/>
      <c r="BU32" s="145"/>
      <c r="BV32" s="145"/>
      <c r="BW32" s="145"/>
    </row>
    <row r="33" spans="1:75" ht="20.100000000000001" customHeight="1">
      <c r="A33" s="146" t="str">
        <f>nmProdMT</f>
        <v>Product on Maintenance</v>
      </c>
      <c r="B33" s="146" t="str">
        <f>nmProdMT&amp;" (Currency Adjusted)"</f>
        <v>Product on Maintenance (Currency Adjusted)</v>
      </c>
      <c r="C33" s="146" t="s">
        <v>316</v>
      </c>
      <c r="D33" s="146" t="s">
        <v>317</v>
      </c>
      <c r="E33" s="146" t="s">
        <v>318</v>
      </c>
      <c r="F33" s="146" t="s">
        <v>319</v>
      </c>
      <c r="G33" s="146" t="s">
        <v>320</v>
      </c>
      <c r="H33" s="146" t="s">
        <v>1429</v>
      </c>
      <c r="I33" s="146" t="s">
        <v>1430</v>
      </c>
      <c r="J33" s="146" t="s">
        <v>1431</v>
      </c>
      <c r="K33" s="146" t="s">
        <v>1432</v>
      </c>
      <c r="L33" s="146" t="s">
        <v>1433</v>
      </c>
      <c r="M33" s="146" t="s">
        <v>1719</v>
      </c>
      <c r="N33" s="146" t="s">
        <v>1720</v>
      </c>
      <c r="O33" s="145"/>
      <c r="P33" s="145"/>
      <c r="Q33" s="145"/>
      <c r="R33" s="145"/>
      <c r="S33" s="145"/>
      <c r="T33" s="145"/>
      <c r="U33" s="145"/>
      <c r="V33" s="145"/>
      <c r="W33" s="145"/>
      <c r="X33" s="145"/>
      <c r="Y33" s="145"/>
      <c r="Z33" s="145"/>
      <c r="AA33" s="145"/>
      <c r="AB33" s="145"/>
      <c r="AC33" s="145"/>
      <c r="AD33" s="145"/>
      <c r="AE33" s="145"/>
      <c r="AF33" s="145"/>
      <c r="AG33" s="145"/>
      <c r="AH33" s="145"/>
      <c r="AI33" s="145"/>
      <c r="AJ33" s="145"/>
      <c r="AK33" s="145"/>
      <c r="AL33" s="145"/>
      <c r="AM33" s="145"/>
      <c r="AN33" s="145"/>
      <c r="AO33" s="145"/>
      <c r="AP33" s="145"/>
      <c r="AQ33" s="145"/>
      <c r="AR33" s="145"/>
      <c r="AS33" s="145"/>
      <c r="AT33" s="145"/>
      <c r="AU33" s="145"/>
      <c r="AV33" s="145"/>
      <c r="AW33" s="145"/>
      <c r="AX33" s="145"/>
      <c r="AY33" s="145"/>
      <c r="AZ33" s="145"/>
      <c r="BA33" s="145"/>
      <c r="BB33" s="145"/>
      <c r="BC33" s="145"/>
      <c r="BD33" s="145"/>
      <c r="BE33" s="145"/>
      <c r="BF33" s="145"/>
      <c r="BG33" s="145"/>
      <c r="BH33" s="145"/>
      <c r="BI33" s="145"/>
      <c r="BJ33" s="145"/>
      <c r="BK33" s="145"/>
      <c r="BL33" s="145"/>
      <c r="BM33" s="145"/>
      <c r="BN33" s="145"/>
      <c r="BO33" s="145"/>
      <c r="BP33" s="145"/>
      <c r="BQ33" s="145"/>
      <c r="BR33" s="145"/>
      <c r="BS33" s="145"/>
      <c r="BT33" s="145"/>
      <c r="BU33" s="145"/>
      <c r="BV33" s="145"/>
      <c r="BW33" s="145"/>
    </row>
    <row r="34" spans="1:75" ht="20.100000000000001" customHeight="1">
      <c r="A34" s="145"/>
      <c r="B34" s="170" t="str">
        <f>nmSelect</f>
        <v>Please Select</v>
      </c>
      <c r="C34" s="146"/>
      <c r="D34" s="146"/>
      <c r="E34" s="146"/>
      <c r="F34" s="146"/>
      <c r="G34" s="146"/>
      <c r="H34" s="146"/>
      <c r="I34" s="146"/>
      <c r="J34" s="146"/>
      <c r="K34" s="146"/>
      <c r="L34" s="146"/>
      <c r="M34" s="146"/>
      <c r="N34" s="146"/>
      <c r="O34" s="145"/>
      <c r="P34" s="145"/>
      <c r="Q34" s="145"/>
      <c r="R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c r="BW34" s="145"/>
    </row>
    <row r="35" spans="1:75" ht="20.100000000000001" customHeight="1">
      <c r="A35" s="170" t="str">
        <f>IF(M2S_Eligibility_List!$B22&lt;&gt;"",RIGHT(M2S_Eligibility_List!$B22,LEN(M2S_Eligibility_List!$B22)-LEN(nmADwSP)),0)</f>
        <v>3ds Max</v>
      </c>
      <c r="B35" s="170" t="str">
        <f>IF(M2S_Eligibility_List!$B22&lt;&gt;"",RIGHT(M2S_Eligibility_List!$B22,LEN(M2S_Eligibility_List!$B22)-LEN(nmADwSP)),0)</f>
        <v>3ds Max</v>
      </c>
      <c r="C35" s="147" t="str">
        <f>SUBSTITUTE(_xlfn.IFNA(INDEX(M2S_Eligibility_List!$C$21:$BV$21,1,MATCH(C$271,$C272:$BW272,0)),""),nmADwSP,"")</f>
        <v>Architecture Engineering Construction Collection</v>
      </c>
      <c r="D35" s="147" t="str">
        <f>SUBSTITUTE(_xlfn.IFNA(INDEX(M2S_Eligibility_List!$C$21:$BV$21,1,MATCH(D$271,$C272:$BW272,0)),""),nmADwSP,"")</f>
        <v>Product Design &amp; Manufacturing Collection</v>
      </c>
      <c r="E35" s="147" t="str">
        <f>SUBSTITUTE(_xlfn.IFNA(INDEX(M2S_Eligibility_List!$C$21:$BV$21,1,MATCH(E$271,$C272:$BW272,0)),""),nmADwSP,"")</f>
        <v>Media and Entertainment Collection</v>
      </c>
      <c r="F35" s="147" t="str">
        <f>SUBSTITUTE(_xlfn.IFNA(INDEX(M2S_Eligibility_List!$C$21:$BV$21,1,MATCH(F$271,$C272:$BW272,0)),""),nmADwSP,"")</f>
        <v>3ds Max</v>
      </c>
      <c r="G35" s="147" t="str">
        <f>SUBSTITUTE(_xlfn.IFNA(INDEX(M2S_Eligibility_List!$C$21:$BV$21,1,MATCH(G$271,$C272:$BW272,0)),""),nmADwSP,"")</f>
        <v/>
      </c>
      <c r="H35" s="147" t="str">
        <f>SUBSTITUTE(_xlfn.IFNA(INDEX(M2S_Eligibility_List!$C$21:$BV$21,1,MATCH(H$271,$C272:$BW272,0)),""),nmADwSP,"")</f>
        <v/>
      </c>
      <c r="I35" s="147" t="str">
        <f>SUBSTITUTE(_xlfn.IFNA(INDEX(M2S_Eligibility_List!$C$21:$BV$21,1,MATCH(I$271,$C272:$BW272,0)),""),nmADwSP,"")</f>
        <v/>
      </c>
      <c r="J35" s="147" t="str">
        <f>SUBSTITUTE(_xlfn.IFNA(INDEX(M2S_Eligibility_List!$C$21:$BV$21,1,MATCH(J$271,$C272:$BW272,0)),""),nmADwSP,"")</f>
        <v/>
      </c>
      <c r="K35" s="147" t="str">
        <f>SUBSTITUTE(_xlfn.IFNA(INDEX(M2S_Eligibility_List!$C$21:$BV$21,1,MATCH(K$271,$C272:$BW272,0)),""),nmADwSP,"")</f>
        <v/>
      </c>
      <c r="L35" s="147" t="str">
        <f>SUBSTITUTE(_xlfn.IFNA(INDEX(M2S_Eligibility_List!$C$21:$BV$21,1,MATCH(L$271,$C272:$BW272,0)),""),nmADwSP,"")</f>
        <v/>
      </c>
      <c r="M35" s="147" t="str">
        <f>SUBSTITUTE(_xlfn.IFNA(INDEX(M2S_Eligibility_List!$C$21:$BV$21,1,MATCH(M$271,$C272:$BW272,0)),""),nmADwSP,"")</f>
        <v/>
      </c>
      <c r="N35" s="147" t="str">
        <f>SUBSTITUTE(_xlfn.IFNA(INDEX(M2S_Eligibility_List!$C$21:$BV$21,1,MATCH(N$271,$C272:$BW272,0)),""),nmADwSP,"")</f>
        <v/>
      </c>
      <c r="O35" s="145"/>
      <c r="P35" s="145"/>
      <c r="Q35" s="145"/>
      <c r="R35" s="145"/>
      <c r="S35" s="145"/>
      <c r="T35" s="145"/>
      <c r="U35" s="145"/>
      <c r="V35" s="145"/>
      <c r="W35" s="145"/>
      <c r="X35" s="145"/>
      <c r="Y35" s="145"/>
      <c r="Z35" s="145"/>
      <c r="AA35" s="145"/>
      <c r="AB35" s="145"/>
      <c r="AC35" s="145"/>
      <c r="AD35" s="145"/>
      <c r="AE35" s="145"/>
      <c r="AF35" s="145"/>
      <c r="AG35" s="145"/>
      <c r="AH35" s="145"/>
      <c r="AI35" s="145"/>
      <c r="AJ35" s="145"/>
      <c r="AK35" s="145"/>
      <c r="AL35" s="145"/>
      <c r="AM35" s="145"/>
      <c r="AN35" s="145"/>
      <c r="AO35" s="145"/>
      <c r="AP35" s="145"/>
      <c r="AQ35" s="145"/>
      <c r="AR35" s="145"/>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c r="BW35" s="145"/>
    </row>
    <row r="36" spans="1:75" ht="20.100000000000001" customHeight="1">
      <c r="A36" s="170" t="str">
        <f>IF(M2S_Eligibility_List!$B23&lt;&gt;"",RIGHT(M2S_Eligibility_List!$B23,LEN(M2S_Eligibility_List!$B23)-LEN(nmADwSP)),0)</f>
        <v>3ds Max with Softimage</v>
      </c>
      <c r="B36" s="170" t="str">
        <f>IF(M2S_Eligibility_List!$B23&lt;&gt;"",RIGHT(M2S_Eligibility_List!$B23,LEN(M2S_Eligibility_List!$B23)-LEN(nmADwSP)),0)</f>
        <v>3ds Max with Softimage</v>
      </c>
      <c r="C36" s="147" t="str">
        <f>SUBSTITUTE(_xlfn.IFNA(INDEX(M2S_Eligibility_List!$C$21:$BV$21,1,MATCH(C$271,$C273:$BW273,0)),""),nmADwSP,"")</f>
        <v>Media and Entertainment Collection</v>
      </c>
      <c r="D36" s="147" t="str">
        <f>SUBSTITUTE(_xlfn.IFNA(INDEX(M2S_Eligibility_List!$C$21:$BV$21,1,MATCH(D$271,$C273:$BW273,0)),""),nmADwSP,"")</f>
        <v>3ds Max</v>
      </c>
      <c r="E36" s="147" t="str">
        <f>SUBSTITUTE(_xlfn.IFNA(INDEX(M2S_Eligibility_List!$C$21:$BV$21,1,MATCH(E$271,$C273:$BW273,0)),""),nmADwSP,"")</f>
        <v/>
      </c>
      <c r="F36" s="147" t="str">
        <f>SUBSTITUTE(_xlfn.IFNA(INDEX(M2S_Eligibility_List!$C$21:$BV$21,1,MATCH(F$271,$C273:$BW273,0)),""),nmADwSP,"")</f>
        <v/>
      </c>
      <c r="G36" s="147" t="str">
        <f>SUBSTITUTE(_xlfn.IFNA(INDEX(M2S_Eligibility_List!$C$21:$BV$21,1,MATCH(G$271,$C273:$BW273,0)),""),nmADwSP,"")</f>
        <v/>
      </c>
      <c r="H36" s="147" t="str">
        <f>SUBSTITUTE(_xlfn.IFNA(INDEX(M2S_Eligibility_List!$C$21:$BV$21,1,MATCH(H$271,$C273:$BW273,0)),""),nmADwSP,"")</f>
        <v/>
      </c>
      <c r="I36" s="147" t="str">
        <f>SUBSTITUTE(_xlfn.IFNA(INDEX(M2S_Eligibility_List!$C$21:$BV$21,1,MATCH(I$271,$C273:$BW273,0)),""),nmADwSP,"")</f>
        <v/>
      </c>
      <c r="J36" s="147" t="str">
        <f>SUBSTITUTE(_xlfn.IFNA(INDEX(M2S_Eligibility_List!$C$21:$BV$21,1,MATCH(J$271,$C273:$BW273,0)),""),nmADwSP,"")</f>
        <v/>
      </c>
      <c r="K36" s="147" t="str">
        <f>SUBSTITUTE(_xlfn.IFNA(INDEX(M2S_Eligibility_List!$C$21:$BV$21,1,MATCH(K$271,$C273:$BW273,0)),""),nmADwSP,"")</f>
        <v/>
      </c>
      <c r="L36" s="147" t="str">
        <f>SUBSTITUTE(_xlfn.IFNA(INDEX(M2S_Eligibility_List!$C$21:$BV$21,1,MATCH(L$271,$C273:$BW273,0)),""),nmADwSP,"")</f>
        <v/>
      </c>
      <c r="M36" s="147" t="str">
        <f>SUBSTITUTE(_xlfn.IFNA(INDEX(M2S_Eligibility_List!$C$21:$BV$21,1,MATCH(M$271,$C273:$BW273,0)),""),nmADwSP,"")</f>
        <v/>
      </c>
      <c r="N36" s="147" t="str">
        <f>SUBSTITUTE(_xlfn.IFNA(INDEX(M2S_Eligibility_List!$C$21:$BV$21,1,MATCH(N$271,$C273:$BW273,0)),""),nmADwSP,"")</f>
        <v/>
      </c>
      <c r="O36" s="145"/>
      <c r="P36" s="145"/>
      <c r="Q36" s="145"/>
      <c r="R36" s="145"/>
      <c r="S36" s="145"/>
      <c r="T36" s="145"/>
      <c r="U36" s="145"/>
      <c r="V36" s="145"/>
      <c r="W36" s="145"/>
      <c r="X36" s="145"/>
      <c r="Y36" s="145"/>
      <c r="Z36" s="145"/>
      <c r="AA36" s="145"/>
      <c r="AB36" s="145"/>
      <c r="AC36" s="145"/>
      <c r="AD36" s="145"/>
      <c r="AE36" s="145"/>
      <c r="AF36" s="145"/>
      <c r="AG36" s="145"/>
      <c r="AH36" s="145"/>
      <c r="AI36" s="145"/>
      <c r="AJ36" s="145"/>
      <c r="AK36" s="145"/>
      <c r="AL36" s="145"/>
      <c r="AM36" s="145"/>
      <c r="AN36" s="145"/>
      <c r="AO36" s="145"/>
      <c r="AP36" s="145"/>
      <c r="AQ36" s="145"/>
      <c r="AR36" s="145"/>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c r="BW36" s="145"/>
    </row>
    <row r="37" spans="1:75" ht="20.100000000000001" customHeight="1">
      <c r="A37" s="170" t="str">
        <f>IF(M2S_Eligibility_List!$B24&lt;&gt;"",RIGHT(M2S_Eligibility_List!$B24,LEN(M2S_Eligibility_List!$B24)-LEN(nmADwSP)),0)</f>
        <v>3ds Max Entertainment Creation Suite Standard</v>
      </c>
      <c r="B37" s="170" t="str">
        <f>IF(M2S_Eligibility_List!$B24&lt;&gt;"",RIGHT(M2S_Eligibility_List!$B24,LEN(M2S_Eligibility_List!$B24)-LEN(nmADwSP)),0)</f>
        <v>3ds Max Entertainment Creation Suite Standard</v>
      </c>
      <c r="C37" s="147" t="str">
        <f>SUBSTITUTE(_xlfn.IFNA(INDEX(M2S_Eligibility_List!$C$21:$BV$21,1,MATCH(C$271,$C274:$BW274,0)),""),nmADwSP,"")</f>
        <v>Media and Entertainment Collection</v>
      </c>
      <c r="D37" s="147" t="str">
        <f>SUBSTITUTE(_xlfn.IFNA(INDEX(M2S_Eligibility_List!$C$21:$BV$21,1,MATCH(D$271,$C274:$BW274,0)),""),nmADwSP,"")</f>
        <v>3ds Max</v>
      </c>
      <c r="E37" s="147" t="str">
        <f>SUBSTITUTE(_xlfn.IFNA(INDEX(M2S_Eligibility_List!$C$21:$BV$21,1,MATCH(E$271,$C274:$BW274,0)),""),nmADwSP,"")</f>
        <v/>
      </c>
      <c r="F37" s="147" t="str">
        <f>SUBSTITUTE(_xlfn.IFNA(INDEX(M2S_Eligibility_List!$C$21:$BV$21,1,MATCH(F$271,$C274:$BW274,0)),""),nmADwSP,"")</f>
        <v/>
      </c>
      <c r="G37" s="147" t="str">
        <f>SUBSTITUTE(_xlfn.IFNA(INDEX(M2S_Eligibility_List!$C$21:$BV$21,1,MATCH(G$271,$C274:$BW274,0)),""),nmADwSP,"")</f>
        <v/>
      </c>
      <c r="H37" s="147" t="str">
        <f>SUBSTITUTE(_xlfn.IFNA(INDEX(M2S_Eligibility_List!$C$21:$BV$21,1,MATCH(H$271,$C274:$BW274,0)),""),nmADwSP,"")</f>
        <v/>
      </c>
      <c r="I37" s="147" t="str">
        <f>SUBSTITUTE(_xlfn.IFNA(INDEX(M2S_Eligibility_List!$C$21:$BV$21,1,MATCH(I$271,$C274:$BW274,0)),""),nmADwSP,"")</f>
        <v/>
      </c>
      <c r="J37" s="147" t="str">
        <f>SUBSTITUTE(_xlfn.IFNA(INDEX(M2S_Eligibility_List!$C$21:$BV$21,1,MATCH(J$271,$C274:$BW274,0)),""),nmADwSP,"")</f>
        <v/>
      </c>
      <c r="K37" s="147" t="str">
        <f>SUBSTITUTE(_xlfn.IFNA(INDEX(M2S_Eligibility_List!$C$21:$BV$21,1,MATCH(K$271,$C274:$BW274,0)),""),nmADwSP,"")</f>
        <v/>
      </c>
      <c r="L37" s="147" t="str">
        <f>SUBSTITUTE(_xlfn.IFNA(INDEX(M2S_Eligibility_List!$C$21:$BV$21,1,MATCH(L$271,$C274:$BW274,0)),""),nmADwSP,"")</f>
        <v/>
      </c>
      <c r="M37" s="147" t="str">
        <f>SUBSTITUTE(_xlfn.IFNA(INDEX(M2S_Eligibility_List!$C$21:$BV$21,1,MATCH(M$271,$C274:$BW274,0)),""),nmADwSP,"")</f>
        <v/>
      </c>
      <c r="N37" s="147" t="str">
        <f>SUBSTITUTE(_xlfn.IFNA(INDEX(M2S_Eligibility_List!$C$21:$BV$21,1,MATCH(N$271,$C274:$BW274,0)),""),nmADwSP,"")</f>
        <v/>
      </c>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c r="BW37" s="145"/>
    </row>
    <row r="38" spans="1:75" ht="20.100000000000001" customHeight="1">
      <c r="A38" s="170" t="str">
        <f>IF(M2S_Eligibility_List!$B25&lt;&gt;"",RIGHT(M2S_Eligibility_List!$B25,LEN(M2S_Eligibility_List!$B25)-LEN(nmADwSP)),0)</f>
        <v>Advance Steel</v>
      </c>
      <c r="B38" s="170" t="str">
        <f>IF(M2S_Eligibility_List!$B25&lt;&gt;"",RIGHT(M2S_Eligibility_List!$B25,LEN(M2S_Eligibility_List!$B25)-LEN(nmADwSP)),0)</f>
        <v>Advance Steel</v>
      </c>
      <c r="C38" s="147" t="str">
        <f>SUBSTITUTE(_xlfn.IFNA(INDEX(M2S_Eligibility_List!$C$21:$BV$21,1,MATCH(C$271,$C275:$BW275,0)),""),nmADwSP,"")</f>
        <v>Architecture Engineering Construction Collection</v>
      </c>
      <c r="D38" s="147" t="str">
        <f>SUBSTITUTE(_xlfn.IFNA(INDEX(M2S_Eligibility_List!$C$21:$BV$21,1,MATCH(D$271,$C275:$BW275,0)),""),nmADwSP,"")</f>
        <v>Advance Steel</v>
      </c>
      <c r="E38" s="147" t="str">
        <f>SUBSTITUTE(_xlfn.IFNA(INDEX(M2S_Eligibility_List!$C$21:$BV$21,1,MATCH(E$271,$C275:$BW275,0)),""),nmADwSP,"")</f>
        <v/>
      </c>
      <c r="F38" s="147" t="str">
        <f>SUBSTITUTE(_xlfn.IFNA(INDEX(M2S_Eligibility_List!$C$21:$BV$21,1,MATCH(F$271,$C275:$BW275,0)),""),nmADwSP,"")</f>
        <v/>
      </c>
      <c r="G38" s="147" t="str">
        <f>SUBSTITUTE(_xlfn.IFNA(INDEX(M2S_Eligibility_List!$C$21:$BV$21,1,MATCH(G$271,$C275:$BW275,0)),""),nmADwSP,"")</f>
        <v/>
      </c>
      <c r="H38" s="147" t="str">
        <f>SUBSTITUTE(_xlfn.IFNA(INDEX(M2S_Eligibility_List!$C$21:$BV$21,1,MATCH(H$271,$C275:$BW275,0)),""),nmADwSP,"")</f>
        <v/>
      </c>
      <c r="I38" s="147" t="str">
        <f>SUBSTITUTE(_xlfn.IFNA(INDEX(M2S_Eligibility_List!$C$21:$BV$21,1,MATCH(I$271,$C275:$BW275,0)),""),nmADwSP,"")</f>
        <v/>
      </c>
      <c r="J38" s="147" t="str">
        <f>SUBSTITUTE(_xlfn.IFNA(INDEX(M2S_Eligibility_List!$C$21:$BV$21,1,MATCH(J$271,$C275:$BW275,0)),""),nmADwSP,"")</f>
        <v/>
      </c>
      <c r="K38" s="147" t="str">
        <f>SUBSTITUTE(_xlfn.IFNA(INDEX(M2S_Eligibility_List!$C$21:$BV$21,1,MATCH(K$271,$C275:$BW275,0)),""),nmADwSP,"")</f>
        <v/>
      </c>
      <c r="L38" s="147" t="str">
        <f>SUBSTITUTE(_xlfn.IFNA(INDEX(M2S_Eligibility_List!$C$21:$BV$21,1,MATCH(L$271,$C275:$BW275,0)),""),nmADwSP,"")</f>
        <v/>
      </c>
      <c r="M38" s="147" t="str">
        <f>SUBSTITUTE(_xlfn.IFNA(INDEX(M2S_Eligibility_List!$C$21:$BV$21,1,MATCH(M$271,$C275:$BW275,0)),""),nmADwSP,"")</f>
        <v/>
      </c>
      <c r="N38" s="147" t="str">
        <f>SUBSTITUTE(_xlfn.IFNA(INDEX(M2S_Eligibility_List!$C$21:$BV$21,1,MATCH(N$271,$C275:$BW275,0)),""),nmADwSP,"")</f>
        <v/>
      </c>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c r="BW38" s="145"/>
    </row>
    <row r="39" spans="1:75" ht="20.100000000000001" customHeight="1">
      <c r="A39" s="170" t="str">
        <f>IF(M2S_Eligibility_List!$B26&lt;&gt;"",RIGHT(M2S_Eligibility_List!$B26,LEN(M2S_Eligibility_List!$B26)-LEN(nmADwSP)),0)</f>
        <v>Alias AutoStudio</v>
      </c>
      <c r="B39" s="170" t="str">
        <f>IF(M2S_Eligibility_List!$B26&lt;&gt;"",RIGHT(M2S_Eligibility_List!$B26,LEN(M2S_Eligibility_List!$B26)-LEN(nmADwSP)),0)</f>
        <v>Alias AutoStudio</v>
      </c>
      <c r="C39" s="147" t="str">
        <f>SUBSTITUTE(_xlfn.IFNA(INDEX(M2S_Eligibility_List!$C$21:$BV$21,1,MATCH(C$271,$C276:$BW276,0)),""),nmADwSP,"")</f>
        <v>Alias AutoStudio</v>
      </c>
      <c r="D39" s="147" t="str">
        <f>SUBSTITUTE(_xlfn.IFNA(INDEX(M2S_Eligibility_List!$C$21:$BV$21,1,MATCH(D$271,$C276:$BW276,0)),""),nmADwSP,"")</f>
        <v/>
      </c>
      <c r="E39" s="147" t="str">
        <f>SUBSTITUTE(_xlfn.IFNA(INDEX(M2S_Eligibility_List!$C$21:$BV$21,1,MATCH(E$271,$C276:$BW276,0)),""),nmADwSP,"")</f>
        <v/>
      </c>
      <c r="F39" s="147" t="str">
        <f>SUBSTITUTE(_xlfn.IFNA(INDEX(M2S_Eligibility_List!$C$21:$BV$21,1,MATCH(F$271,$C276:$BW276,0)),""),nmADwSP,"")</f>
        <v/>
      </c>
      <c r="G39" s="147" t="str">
        <f>SUBSTITUTE(_xlfn.IFNA(INDEX(M2S_Eligibility_List!$C$21:$BV$21,1,MATCH(G$271,$C276:$BW276,0)),""),nmADwSP,"")</f>
        <v/>
      </c>
      <c r="H39" s="147" t="str">
        <f>SUBSTITUTE(_xlfn.IFNA(INDEX(M2S_Eligibility_List!$C$21:$BV$21,1,MATCH(H$271,$C276:$BW276,0)),""),nmADwSP,"")</f>
        <v/>
      </c>
      <c r="I39" s="147" t="str">
        <f>SUBSTITUTE(_xlfn.IFNA(INDEX(M2S_Eligibility_List!$C$21:$BV$21,1,MATCH(I$271,$C276:$BW276,0)),""),nmADwSP,"")</f>
        <v/>
      </c>
      <c r="J39" s="147" t="str">
        <f>SUBSTITUTE(_xlfn.IFNA(INDEX(M2S_Eligibility_List!$C$21:$BV$21,1,MATCH(J$271,$C276:$BW276,0)),""),nmADwSP,"")</f>
        <v/>
      </c>
      <c r="K39" s="147" t="str">
        <f>SUBSTITUTE(_xlfn.IFNA(INDEX(M2S_Eligibility_List!$C$21:$BV$21,1,MATCH(K$271,$C276:$BW276,0)),""),nmADwSP,"")</f>
        <v/>
      </c>
      <c r="L39" s="147" t="str">
        <f>SUBSTITUTE(_xlfn.IFNA(INDEX(M2S_Eligibility_List!$C$21:$BV$21,1,MATCH(L$271,$C276:$BW276,0)),""),nmADwSP,"")</f>
        <v/>
      </c>
      <c r="M39" s="147" t="str">
        <f>SUBSTITUTE(_xlfn.IFNA(INDEX(M2S_Eligibility_List!$C$21:$BV$21,1,MATCH(M$271,$C276:$BW276,0)),""),nmADwSP,"")</f>
        <v/>
      </c>
      <c r="N39" s="147" t="str">
        <f>SUBSTITUTE(_xlfn.IFNA(INDEX(M2S_Eligibility_List!$C$21:$BV$21,1,MATCH(N$271,$C276:$BW276,0)),""),nmADwSP,"")</f>
        <v/>
      </c>
      <c r="O39" s="145"/>
      <c r="P39" s="145"/>
      <c r="Q39" s="145"/>
      <c r="R39" s="145"/>
      <c r="S39" s="145"/>
      <c r="T39" s="145"/>
      <c r="U39" s="145"/>
      <c r="V39" s="145"/>
      <c r="W39" s="145"/>
      <c r="X39" s="145"/>
      <c r="Y39" s="145"/>
      <c r="Z39" s="145"/>
      <c r="AA39" s="145"/>
      <c r="AB39" s="145"/>
      <c r="AC39" s="145"/>
      <c r="AD39" s="145"/>
      <c r="AE39" s="145"/>
      <c r="AF39" s="145"/>
      <c r="AG39" s="145"/>
      <c r="AH39" s="145"/>
      <c r="AI39" s="145"/>
      <c r="AJ39" s="145"/>
      <c r="AK39" s="145"/>
      <c r="AL39" s="145"/>
      <c r="AM39" s="145"/>
      <c r="AN39" s="145"/>
      <c r="AO39" s="145"/>
      <c r="AP39" s="145"/>
      <c r="AQ39" s="145"/>
      <c r="AR39" s="145"/>
      <c r="AS39" s="145"/>
      <c r="AT39" s="145"/>
      <c r="AU39" s="145"/>
      <c r="AV39" s="145"/>
      <c r="AW39" s="145"/>
      <c r="AX39" s="145"/>
      <c r="AY39" s="145"/>
      <c r="AZ39" s="145"/>
      <c r="BA39" s="145"/>
      <c r="BB39" s="145"/>
      <c r="BC39" s="145"/>
      <c r="BD39" s="145"/>
      <c r="BE39" s="145"/>
      <c r="BF39" s="145"/>
      <c r="BG39" s="145"/>
      <c r="BH39" s="145"/>
      <c r="BI39" s="145"/>
      <c r="BJ39" s="145"/>
      <c r="BK39" s="145"/>
      <c r="BL39" s="145"/>
      <c r="BM39" s="145"/>
      <c r="BN39" s="145"/>
      <c r="BO39" s="145"/>
      <c r="BP39" s="145"/>
      <c r="BQ39" s="145"/>
      <c r="BR39" s="145"/>
      <c r="BS39" s="145"/>
      <c r="BT39" s="145"/>
      <c r="BU39" s="145"/>
      <c r="BV39" s="145"/>
      <c r="BW39" s="145"/>
    </row>
    <row r="40" spans="1:75" ht="20.100000000000001" customHeight="1">
      <c r="A40" s="170" t="str">
        <f>IF(M2S_Eligibility_List!$B27&lt;&gt;"",RIGHT(M2S_Eligibility_List!$B27,LEN(M2S_Eligibility_List!$B27)-LEN(nmADwSP)),0)</f>
        <v>Alias Concept</v>
      </c>
      <c r="B40" s="170" t="str">
        <f>IF(M2S_Eligibility_List!$B27&lt;&gt;"",RIGHT(M2S_Eligibility_List!$B27,LEN(M2S_Eligibility_List!$B27)-LEN(nmADwSP)),0)</f>
        <v>Alias Concept</v>
      </c>
      <c r="C40" s="147" t="str">
        <f>SUBSTITUTE(_xlfn.IFNA(INDEX(M2S_Eligibility_List!$C$21:$BV$21,1,MATCH(C$271,$C277:$BW277,0)),""),nmADwSP,"")</f>
        <v>Alias Concept</v>
      </c>
      <c r="D40" s="147" t="str">
        <f>SUBSTITUTE(_xlfn.IFNA(INDEX(M2S_Eligibility_List!$C$21:$BV$21,1,MATCH(D$271,$C277:$BW277,0)),""),nmADwSP,"")</f>
        <v/>
      </c>
      <c r="E40" s="147" t="str">
        <f>SUBSTITUTE(_xlfn.IFNA(INDEX(M2S_Eligibility_List!$C$21:$BV$21,1,MATCH(E$271,$C277:$BW277,0)),""),nmADwSP,"")</f>
        <v/>
      </c>
      <c r="F40" s="147" t="str">
        <f>SUBSTITUTE(_xlfn.IFNA(INDEX(M2S_Eligibility_List!$C$21:$BV$21,1,MATCH(F$271,$C277:$BW277,0)),""),nmADwSP,"")</f>
        <v/>
      </c>
      <c r="G40" s="147" t="str">
        <f>SUBSTITUTE(_xlfn.IFNA(INDEX(M2S_Eligibility_List!$C$21:$BV$21,1,MATCH(G$271,$C277:$BW277,0)),""),nmADwSP,"")</f>
        <v/>
      </c>
      <c r="H40" s="147" t="str">
        <f>SUBSTITUTE(_xlfn.IFNA(INDEX(M2S_Eligibility_List!$C$21:$BV$21,1,MATCH(H$271,$C277:$BW277,0)),""),nmADwSP,"")</f>
        <v/>
      </c>
      <c r="I40" s="147" t="str">
        <f>SUBSTITUTE(_xlfn.IFNA(INDEX(M2S_Eligibility_List!$C$21:$BV$21,1,MATCH(I$271,$C277:$BW277,0)),""),nmADwSP,"")</f>
        <v/>
      </c>
      <c r="J40" s="147" t="str">
        <f>SUBSTITUTE(_xlfn.IFNA(INDEX(M2S_Eligibility_List!$C$21:$BV$21,1,MATCH(J$271,$C277:$BW277,0)),""),nmADwSP,"")</f>
        <v/>
      </c>
      <c r="K40" s="147" t="str">
        <f>SUBSTITUTE(_xlfn.IFNA(INDEX(M2S_Eligibility_List!$C$21:$BV$21,1,MATCH(K$271,$C277:$BW277,0)),""),nmADwSP,"")</f>
        <v/>
      </c>
      <c r="L40" s="147" t="str">
        <f>SUBSTITUTE(_xlfn.IFNA(INDEX(M2S_Eligibility_List!$C$21:$BV$21,1,MATCH(L$271,$C277:$BW277,0)),""),nmADwSP,"")</f>
        <v/>
      </c>
      <c r="M40" s="147" t="str">
        <f>SUBSTITUTE(_xlfn.IFNA(INDEX(M2S_Eligibility_List!$C$21:$BV$21,1,MATCH(M$271,$C277:$BW277,0)),""),nmADwSP,"")</f>
        <v/>
      </c>
      <c r="N40" s="147" t="str">
        <f>SUBSTITUTE(_xlfn.IFNA(INDEX(M2S_Eligibility_List!$C$21:$BV$21,1,MATCH(N$271,$C277:$BW277,0)),""),nmADwSP,"")</f>
        <v/>
      </c>
      <c r="O40" s="145"/>
      <c r="P40" s="145"/>
      <c r="Q40" s="145"/>
      <c r="R40" s="145"/>
      <c r="S40" s="145"/>
      <c r="T40" s="145"/>
      <c r="U40" s="145"/>
      <c r="V40" s="145"/>
      <c r="W40" s="145"/>
      <c r="X40" s="145"/>
      <c r="Y40" s="145"/>
      <c r="Z40" s="145"/>
      <c r="AA40" s="145"/>
      <c r="AB40" s="145"/>
      <c r="AC40" s="145"/>
      <c r="AD40" s="145"/>
      <c r="AE40" s="145"/>
      <c r="AF40" s="145"/>
      <c r="AG40" s="145"/>
      <c r="AH40" s="145"/>
      <c r="AI40" s="145"/>
      <c r="AJ40" s="145"/>
      <c r="AK40" s="145"/>
      <c r="AL40" s="145"/>
      <c r="AM40" s="145"/>
      <c r="AN40" s="145"/>
      <c r="AO40" s="145"/>
      <c r="AP40" s="145"/>
      <c r="AQ40" s="145"/>
      <c r="AR40" s="145"/>
      <c r="AS40" s="145"/>
      <c r="AT40" s="145"/>
      <c r="AU40" s="145"/>
      <c r="AV40" s="145"/>
      <c r="AW40" s="145"/>
      <c r="AX40" s="145"/>
      <c r="AY40" s="145"/>
      <c r="AZ40" s="145"/>
      <c r="BA40" s="145"/>
      <c r="BB40" s="145"/>
      <c r="BC40" s="145"/>
      <c r="BD40" s="145"/>
      <c r="BE40" s="145"/>
      <c r="BF40" s="145"/>
      <c r="BG40" s="145"/>
      <c r="BH40" s="145"/>
      <c r="BI40" s="145"/>
      <c r="BJ40" s="145"/>
      <c r="BK40" s="145"/>
      <c r="BL40" s="145"/>
      <c r="BM40" s="145"/>
      <c r="BN40" s="145"/>
      <c r="BO40" s="145"/>
      <c r="BP40" s="145"/>
      <c r="BQ40" s="145"/>
      <c r="BR40" s="145"/>
      <c r="BS40" s="145"/>
      <c r="BT40" s="145"/>
      <c r="BU40" s="145"/>
      <c r="BV40" s="145"/>
      <c r="BW40" s="145"/>
    </row>
    <row r="41" spans="1:75" ht="20.100000000000001" customHeight="1">
      <c r="A41" s="170" t="str">
        <f>IF(M2S_Eligibility_List!$B28&lt;&gt;"",RIGHT(M2S_Eligibility_List!$B28,LEN(M2S_Eligibility_List!$B28)-LEN(nmADwSP)),0)</f>
        <v>Alias Design</v>
      </c>
      <c r="B41" s="170" t="str">
        <f>IF(M2S_Eligibility_List!$B28&lt;&gt;"",RIGHT(M2S_Eligibility_List!$B28,LEN(M2S_Eligibility_List!$B28)-LEN(nmADwSP)),0)</f>
        <v>Alias Design</v>
      </c>
      <c r="C41" s="147" t="str">
        <f>SUBSTITUTE(_xlfn.IFNA(INDEX(M2S_Eligibility_List!$C$21:$BV$21,1,MATCH(C$271,$C278:$BW278,0)),""),nmADwSP,"")</f>
        <v>Alias Design</v>
      </c>
      <c r="D41" s="147" t="str">
        <f>SUBSTITUTE(_xlfn.IFNA(INDEX(M2S_Eligibility_List!$C$21:$BV$21,1,MATCH(D$271,$C278:$BW278,0)),""),nmADwSP,"")</f>
        <v/>
      </c>
      <c r="E41" s="147" t="str">
        <f>SUBSTITUTE(_xlfn.IFNA(INDEX(M2S_Eligibility_List!$C$21:$BV$21,1,MATCH(E$271,$C278:$BW278,0)),""),nmADwSP,"")</f>
        <v/>
      </c>
      <c r="F41" s="147" t="str">
        <f>SUBSTITUTE(_xlfn.IFNA(INDEX(M2S_Eligibility_List!$C$21:$BV$21,1,MATCH(F$271,$C278:$BW278,0)),""),nmADwSP,"")</f>
        <v/>
      </c>
      <c r="G41" s="147" t="str">
        <f>SUBSTITUTE(_xlfn.IFNA(INDEX(M2S_Eligibility_List!$C$21:$BV$21,1,MATCH(G$271,$C278:$BW278,0)),""),nmADwSP,"")</f>
        <v/>
      </c>
      <c r="H41" s="147" t="str">
        <f>SUBSTITUTE(_xlfn.IFNA(INDEX(M2S_Eligibility_List!$C$21:$BV$21,1,MATCH(H$271,$C278:$BW278,0)),""),nmADwSP,"")</f>
        <v/>
      </c>
      <c r="I41" s="147" t="str">
        <f>SUBSTITUTE(_xlfn.IFNA(INDEX(M2S_Eligibility_List!$C$21:$BV$21,1,MATCH(I$271,$C278:$BW278,0)),""),nmADwSP,"")</f>
        <v/>
      </c>
      <c r="J41" s="147" t="str">
        <f>SUBSTITUTE(_xlfn.IFNA(INDEX(M2S_Eligibility_List!$C$21:$BV$21,1,MATCH(J$271,$C278:$BW278,0)),""),nmADwSP,"")</f>
        <v/>
      </c>
      <c r="K41" s="147" t="str">
        <f>SUBSTITUTE(_xlfn.IFNA(INDEX(M2S_Eligibility_List!$C$21:$BV$21,1,MATCH(K$271,$C278:$BW278,0)),""),nmADwSP,"")</f>
        <v/>
      </c>
      <c r="L41" s="147" t="str">
        <f>SUBSTITUTE(_xlfn.IFNA(INDEX(M2S_Eligibility_List!$C$21:$BV$21,1,MATCH(L$271,$C278:$BW278,0)),""),nmADwSP,"")</f>
        <v/>
      </c>
      <c r="M41" s="147" t="str">
        <f>SUBSTITUTE(_xlfn.IFNA(INDEX(M2S_Eligibility_List!$C$21:$BV$21,1,MATCH(M$271,$C278:$BW278,0)),""),nmADwSP,"")</f>
        <v/>
      </c>
      <c r="N41" s="147" t="str">
        <f>SUBSTITUTE(_xlfn.IFNA(INDEX(M2S_Eligibility_List!$C$21:$BV$21,1,MATCH(N$271,$C278:$BW278,0)),""),nmADwSP,"")</f>
        <v/>
      </c>
      <c r="O41" s="145"/>
      <c r="P41" s="145"/>
      <c r="Q41" s="145"/>
      <c r="R41" s="145"/>
      <c r="S41" s="145"/>
      <c r="T41" s="145"/>
      <c r="U41" s="145"/>
      <c r="V41" s="145"/>
      <c r="W41" s="145"/>
      <c r="X41" s="145"/>
      <c r="Y41" s="145"/>
      <c r="Z41" s="145"/>
      <c r="AA41" s="145"/>
      <c r="AB41" s="145"/>
      <c r="AC41" s="145"/>
      <c r="AD41" s="145"/>
      <c r="AE41" s="145"/>
      <c r="AF41" s="145"/>
      <c r="AG41" s="145"/>
      <c r="AH41" s="145"/>
      <c r="AI41" s="145"/>
      <c r="AJ41" s="145"/>
      <c r="AK41" s="145"/>
      <c r="AL41" s="145"/>
      <c r="AM41" s="145"/>
      <c r="AN41" s="145"/>
      <c r="AO41" s="145"/>
      <c r="AP41" s="145"/>
      <c r="AQ41" s="145"/>
      <c r="AR41" s="145"/>
      <c r="AS41" s="145"/>
      <c r="AT41" s="145"/>
      <c r="AU41" s="145"/>
      <c r="AV41" s="145"/>
      <c r="AW41" s="145"/>
      <c r="AX41" s="145"/>
      <c r="AY41" s="145"/>
      <c r="AZ41" s="145"/>
      <c r="BA41" s="145"/>
      <c r="BB41" s="145"/>
      <c r="BC41" s="145"/>
      <c r="BD41" s="145"/>
      <c r="BE41" s="145"/>
      <c r="BF41" s="145"/>
      <c r="BG41" s="145"/>
      <c r="BH41" s="145"/>
      <c r="BI41" s="145"/>
      <c r="BJ41" s="145"/>
      <c r="BK41" s="145"/>
      <c r="BL41" s="145"/>
      <c r="BM41" s="145"/>
      <c r="BN41" s="145"/>
      <c r="BO41" s="145"/>
      <c r="BP41" s="145"/>
      <c r="BQ41" s="145"/>
      <c r="BR41" s="145"/>
      <c r="BS41" s="145"/>
      <c r="BT41" s="145"/>
      <c r="BU41" s="145"/>
      <c r="BV41" s="145"/>
      <c r="BW41" s="145"/>
    </row>
    <row r="42" spans="1:75" ht="20.100000000000001" customHeight="1">
      <c r="A42" s="170" t="str">
        <f>IF(M2S_Eligibility_List!$B29&lt;&gt;"",RIGHT(M2S_Eligibility_List!$B29,LEN(M2S_Eligibility_List!$B29)-LEN(nmADwSP)),0)</f>
        <v>Alias SpeedForm</v>
      </c>
      <c r="B42" s="170" t="str">
        <f>IF(M2S_Eligibility_List!$B29&lt;&gt;"",RIGHT(M2S_Eligibility_List!$B29,LEN(M2S_Eligibility_List!$B29)-LEN(nmADwSP)),0)</f>
        <v>Alias SpeedForm</v>
      </c>
      <c r="C42" s="147" t="str">
        <f>SUBSTITUTE(_xlfn.IFNA(INDEX(M2S_Eligibility_List!$C$21:$BV$21,1,MATCH(C$271,$C279:$BW279,0)),""),nmADwSP,"")</f>
        <v>Alias SpeedForm</v>
      </c>
      <c r="D42" s="147" t="str">
        <f>SUBSTITUTE(_xlfn.IFNA(INDEX(M2S_Eligibility_List!$C$21:$BV$21,1,MATCH(D$271,$C279:$BW279,0)),""),nmADwSP,"")</f>
        <v/>
      </c>
      <c r="E42" s="147" t="str">
        <f>SUBSTITUTE(_xlfn.IFNA(INDEX(M2S_Eligibility_List!$C$21:$BV$21,1,MATCH(E$271,$C279:$BW279,0)),""),nmADwSP,"")</f>
        <v/>
      </c>
      <c r="F42" s="147" t="str">
        <f>SUBSTITUTE(_xlfn.IFNA(INDEX(M2S_Eligibility_List!$C$21:$BV$21,1,MATCH(F$271,$C279:$BW279,0)),""),nmADwSP,"")</f>
        <v/>
      </c>
      <c r="G42" s="147" t="str">
        <f>SUBSTITUTE(_xlfn.IFNA(INDEX(M2S_Eligibility_List!$C$21:$BV$21,1,MATCH(G$271,$C279:$BW279,0)),""),nmADwSP,"")</f>
        <v/>
      </c>
      <c r="H42" s="147" t="str">
        <f>SUBSTITUTE(_xlfn.IFNA(INDEX(M2S_Eligibility_List!$C$21:$BV$21,1,MATCH(H$271,$C279:$BW279,0)),""),nmADwSP,"")</f>
        <v/>
      </c>
      <c r="I42" s="147" t="str">
        <f>SUBSTITUTE(_xlfn.IFNA(INDEX(M2S_Eligibility_List!$C$21:$BV$21,1,MATCH(I$271,$C279:$BW279,0)),""),nmADwSP,"")</f>
        <v/>
      </c>
      <c r="J42" s="147" t="str">
        <f>SUBSTITUTE(_xlfn.IFNA(INDEX(M2S_Eligibility_List!$C$21:$BV$21,1,MATCH(J$271,$C279:$BW279,0)),""),nmADwSP,"")</f>
        <v/>
      </c>
      <c r="K42" s="147" t="str">
        <f>SUBSTITUTE(_xlfn.IFNA(INDEX(M2S_Eligibility_List!$C$21:$BV$21,1,MATCH(K$271,$C279:$BW279,0)),""),nmADwSP,"")</f>
        <v/>
      </c>
      <c r="L42" s="147" t="str">
        <f>SUBSTITUTE(_xlfn.IFNA(INDEX(M2S_Eligibility_List!$C$21:$BV$21,1,MATCH(L$271,$C279:$BW279,0)),""),nmADwSP,"")</f>
        <v/>
      </c>
      <c r="M42" s="147" t="str">
        <f>SUBSTITUTE(_xlfn.IFNA(INDEX(M2S_Eligibility_List!$C$21:$BV$21,1,MATCH(M$271,$C279:$BW279,0)),""),nmADwSP,"")</f>
        <v/>
      </c>
      <c r="N42" s="147" t="str">
        <f>SUBSTITUTE(_xlfn.IFNA(INDEX(M2S_Eligibility_List!$C$21:$BV$21,1,MATCH(N$271,$C279:$BW279,0)),""),nmADwSP,"")</f>
        <v/>
      </c>
      <c r="O42" s="145"/>
      <c r="P42" s="145"/>
      <c r="Q42" s="145"/>
      <c r="R42" s="145"/>
      <c r="S42" s="145"/>
      <c r="T42" s="145"/>
      <c r="U42" s="145"/>
      <c r="V42" s="145"/>
      <c r="W42" s="145"/>
      <c r="X42" s="145"/>
      <c r="Y42" s="145"/>
      <c r="Z42" s="145"/>
      <c r="AA42" s="145"/>
      <c r="AB42" s="145"/>
      <c r="AC42" s="145"/>
      <c r="AD42" s="145"/>
      <c r="AE42" s="145"/>
      <c r="AF42" s="145"/>
      <c r="AG42" s="145"/>
      <c r="AH42" s="145"/>
      <c r="AI42" s="145"/>
      <c r="AJ42" s="145"/>
      <c r="AK42" s="145"/>
      <c r="AL42" s="145"/>
      <c r="AM42" s="145"/>
      <c r="AN42" s="145"/>
      <c r="AO42" s="145"/>
      <c r="AP42" s="145"/>
      <c r="AQ42" s="145"/>
      <c r="AR42" s="145"/>
      <c r="AS42" s="145"/>
      <c r="AT42" s="145"/>
      <c r="AU42" s="145"/>
      <c r="AV42" s="145"/>
      <c r="AW42" s="145"/>
      <c r="AX42" s="145"/>
      <c r="AY42" s="145"/>
      <c r="AZ42" s="145"/>
      <c r="BA42" s="145"/>
      <c r="BB42" s="145"/>
      <c r="BC42" s="145"/>
      <c r="BD42" s="145"/>
      <c r="BE42" s="145"/>
      <c r="BF42" s="145"/>
      <c r="BG42" s="145"/>
      <c r="BH42" s="145"/>
      <c r="BI42" s="145"/>
      <c r="BJ42" s="145"/>
      <c r="BK42" s="145"/>
      <c r="BL42" s="145"/>
      <c r="BM42" s="145"/>
      <c r="BN42" s="145"/>
      <c r="BO42" s="145"/>
      <c r="BP42" s="145"/>
      <c r="BQ42" s="145"/>
      <c r="BR42" s="145"/>
      <c r="BS42" s="145"/>
      <c r="BT42" s="145"/>
      <c r="BU42" s="145"/>
      <c r="BV42" s="145"/>
      <c r="BW42" s="145"/>
    </row>
    <row r="43" spans="1:75" ht="20.100000000000001" customHeight="1">
      <c r="A43" s="170" t="str">
        <f>IF(M2S_Eligibility_List!$B30&lt;&gt;"",RIGHT(M2S_Eligibility_List!$B30,LEN(M2S_Eligibility_List!$B30)-LEN(nmADwSP)),0)</f>
        <v>Alias Surface</v>
      </c>
      <c r="B43" s="170" t="str">
        <f>IF(M2S_Eligibility_List!$B30&lt;&gt;"",RIGHT(M2S_Eligibility_List!$B30,LEN(M2S_Eligibility_List!$B30)-LEN(nmADwSP)),0)</f>
        <v>Alias Surface</v>
      </c>
      <c r="C43" s="147" t="str">
        <f>SUBSTITUTE(_xlfn.IFNA(INDEX(M2S_Eligibility_List!$C$21:$BV$21,1,MATCH(C$271,$C280:$BW280,0)),""),nmADwSP,"")</f>
        <v>Alias Surface</v>
      </c>
      <c r="D43" s="147" t="str">
        <f>SUBSTITUTE(_xlfn.IFNA(INDEX(M2S_Eligibility_List!$C$21:$BV$21,1,MATCH(D$271,$C280:$BW280,0)),""),nmADwSP,"")</f>
        <v/>
      </c>
      <c r="E43" s="147" t="str">
        <f>SUBSTITUTE(_xlfn.IFNA(INDEX(M2S_Eligibility_List!$C$21:$BV$21,1,MATCH(E$271,$C280:$BW280,0)),""),nmADwSP,"")</f>
        <v/>
      </c>
      <c r="F43" s="147" t="str">
        <f>SUBSTITUTE(_xlfn.IFNA(INDEX(M2S_Eligibility_List!$C$21:$BV$21,1,MATCH(F$271,$C280:$BW280,0)),""),nmADwSP,"")</f>
        <v/>
      </c>
      <c r="G43" s="147" t="str">
        <f>SUBSTITUTE(_xlfn.IFNA(INDEX(M2S_Eligibility_List!$C$21:$BV$21,1,MATCH(G$271,$C280:$BW280,0)),""),nmADwSP,"")</f>
        <v/>
      </c>
      <c r="H43" s="147" t="str">
        <f>SUBSTITUTE(_xlfn.IFNA(INDEX(M2S_Eligibility_List!$C$21:$BV$21,1,MATCH(H$271,$C280:$BW280,0)),""),nmADwSP,"")</f>
        <v/>
      </c>
      <c r="I43" s="147" t="str">
        <f>SUBSTITUTE(_xlfn.IFNA(INDEX(M2S_Eligibility_List!$C$21:$BV$21,1,MATCH(I$271,$C280:$BW280,0)),""),nmADwSP,"")</f>
        <v/>
      </c>
      <c r="J43" s="147" t="str">
        <f>SUBSTITUTE(_xlfn.IFNA(INDEX(M2S_Eligibility_List!$C$21:$BV$21,1,MATCH(J$271,$C280:$BW280,0)),""),nmADwSP,"")</f>
        <v/>
      </c>
      <c r="K43" s="147" t="str">
        <f>SUBSTITUTE(_xlfn.IFNA(INDEX(M2S_Eligibility_List!$C$21:$BV$21,1,MATCH(K$271,$C280:$BW280,0)),""),nmADwSP,"")</f>
        <v/>
      </c>
      <c r="L43" s="147" t="str">
        <f>SUBSTITUTE(_xlfn.IFNA(INDEX(M2S_Eligibility_List!$C$21:$BV$21,1,MATCH(L$271,$C280:$BW280,0)),""),nmADwSP,"")</f>
        <v/>
      </c>
      <c r="M43" s="147" t="str">
        <f>SUBSTITUTE(_xlfn.IFNA(INDEX(M2S_Eligibility_List!$C$21:$BV$21,1,MATCH(M$271,$C280:$BW280,0)),""),nmADwSP,"")</f>
        <v/>
      </c>
      <c r="N43" s="147" t="str">
        <f>SUBSTITUTE(_xlfn.IFNA(INDEX(M2S_Eligibility_List!$C$21:$BV$21,1,MATCH(N$271,$C280:$BW280,0)),""),nmADwSP,"")</f>
        <v/>
      </c>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c r="AL43" s="145"/>
      <c r="AM43" s="145"/>
      <c r="AN43" s="145"/>
      <c r="AO43" s="145"/>
      <c r="AP43" s="145"/>
      <c r="AQ43" s="145"/>
      <c r="AR43" s="145"/>
      <c r="AS43" s="145"/>
      <c r="AT43" s="145"/>
      <c r="AU43" s="145"/>
      <c r="AV43" s="145"/>
      <c r="AW43" s="145"/>
      <c r="AX43" s="145"/>
      <c r="AY43" s="145"/>
      <c r="AZ43" s="145"/>
      <c r="BA43" s="145"/>
      <c r="BB43" s="145"/>
      <c r="BC43" s="145"/>
      <c r="BD43" s="145"/>
      <c r="BE43" s="145"/>
      <c r="BF43" s="145"/>
      <c r="BG43" s="145"/>
      <c r="BH43" s="145"/>
      <c r="BI43" s="145"/>
      <c r="BJ43" s="145"/>
      <c r="BK43" s="145"/>
      <c r="BL43" s="145"/>
      <c r="BM43" s="145"/>
      <c r="BN43" s="145"/>
      <c r="BO43" s="145"/>
      <c r="BP43" s="145"/>
      <c r="BQ43" s="145"/>
      <c r="BR43" s="145"/>
      <c r="BS43" s="145"/>
      <c r="BT43" s="145"/>
      <c r="BU43" s="145"/>
      <c r="BV43" s="145"/>
      <c r="BW43" s="145"/>
    </row>
    <row r="44" spans="1:75" ht="20.100000000000001" customHeight="1">
      <c r="A44" s="170" t="str">
        <f>IF(M2S_Eligibility_List!$B31&lt;&gt;"",RIGHT(M2S_Eligibility_List!$B31,LEN(M2S_Eligibility_List!$B31)-LEN(nmADwSP)),0)</f>
        <v>Arnold</v>
      </c>
      <c r="B44" s="170" t="str">
        <f>IF(M2S_Eligibility_List!$B31&lt;&gt;"",RIGHT(M2S_Eligibility_List!$B31,LEN(M2S_Eligibility_List!$B31)-LEN(nmADwSP)),0)</f>
        <v>Arnold</v>
      </c>
      <c r="C44" s="147" t="str">
        <f>SUBSTITUTE(_xlfn.IFNA(INDEX(M2S_Eligibility_List!$C$21:$BV$21,1,MATCH(C$271,$C281:$BW281,0)),""),nmADwSP,"")</f>
        <v>Arnold</v>
      </c>
      <c r="D44" s="147" t="str">
        <f>SUBSTITUTE(_xlfn.IFNA(INDEX(M2S_Eligibility_List!$C$21:$BV$21,1,MATCH(D$271,$C281:$BW281,0)),""),nmADwSP,"")</f>
        <v/>
      </c>
      <c r="E44" s="147" t="str">
        <f>SUBSTITUTE(_xlfn.IFNA(INDEX(M2S_Eligibility_List!$C$21:$BV$21,1,MATCH(E$271,$C281:$BW281,0)),""),nmADwSP,"")</f>
        <v/>
      </c>
      <c r="F44" s="147" t="str">
        <f>SUBSTITUTE(_xlfn.IFNA(INDEX(M2S_Eligibility_List!$C$21:$BV$21,1,MATCH(F$271,$C281:$BW281,0)),""),nmADwSP,"")</f>
        <v/>
      </c>
      <c r="G44" s="147" t="str">
        <f>SUBSTITUTE(_xlfn.IFNA(INDEX(M2S_Eligibility_List!$C$21:$BV$21,1,MATCH(G$271,$C281:$BW281,0)),""),nmADwSP,"")</f>
        <v/>
      </c>
      <c r="H44" s="147" t="str">
        <f>SUBSTITUTE(_xlfn.IFNA(INDEX(M2S_Eligibility_List!$C$21:$BV$21,1,MATCH(H$271,$C281:$BW281,0)),""),nmADwSP,"")</f>
        <v/>
      </c>
      <c r="I44" s="147" t="str">
        <f>SUBSTITUTE(_xlfn.IFNA(INDEX(M2S_Eligibility_List!$C$21:$BV$21,1,MATCH(I$271,$C281:$BW281,0)),""),nmADwSP,"")</f>
        <v/>
      </c>
      <c r="J44" s="147" t="str">
        <f>SUBSTITUTE(_xlfn.IFNA(INDEX(M2S_Eligibility_List!$C$21:$BV$21,1,MATCH(J$271,$C281:$BW281,0)),""),nmADwSP,"")</f>
        <v/>
      </c>
      <c r="K44" s="147" t="str">
        <f>SUBSTITUTE(_xlfn.IFNA(INDEX(M2S_Eligibility_List!$C$21:$BV$21,1,MATCH(K$271,$C281:$BW281,0)),""),nmADwSP,"")</f>
        <v/>
      </c>
      <c r="L44" s="147" t="str">
        <f>SUBSTITUTE(_xlfn.IFNA(INDEX(M2S_Eligibility_List!$C$21:$BV$21,1,MATCH(L$271,$C281:$BW281,0)),""),nmADwSP,"")</f>
        <v/>
      </c>
      <c r="M44" s="147" t="str">
        <f>SUBSTITUTE(_xlfn.IFNA(INDEX(M2S_Eligibility_List!$C$21:$BV$21,1,MATCH(M$271,$C281:$BW281,0)),""),nmADwSP,"")</f>
        <v/>
      </c>
      <c r="N44" s="147" t="str">
        <f>SUBSTITUTE(_xlfn.IFNA(INDEX(M2S_Eligibility_List!$C$21:$BV$21,1,MATCH(N$271,$C281:$BW281,0)),""),nmADwSP,"")</f>
        <v/>
      </c>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c r="AL44" s="145"/>
      <c r="AM44" s="145"/>
      <c r="AN44" s="145"/>
      <c r="AO44" s="145"/>
      <c r="AP44" s="145"/>
      <c r="AQ44" s="145"/>
      <c r="AR44" s="145"/>
      <c r="AS44" s="145"/>
      <c r="AT44" s="145"/>
      <c r="AU44" s="145"/>
      <c r="AV44" s="145"/>
      <c r="AW44" s="145"/>
      <c r="AX44" s="145"/>
      <c r="AY44" s="145"/>
      <c r="AZ44" s="145"/>
      <c r="BA44" s="145"/>
      <c r="BB44" s="145"/>
      <c r="BC44" s="145"/>
      <c r="BD44" s="145"/>
      <c r="BE44" s="145"/>
      <c r="BF44" s="145"/>
      <c r="BG44" s="145"/>
      <c r="BH44" s="145"/>
      <c r="BI44" s="145"/>
      <c r="BJ44" s="145"/>
      <c r="BK44" s="145"/>
      <c r="BL44" s="145"/>
      <c r="BM44" s="145"/>
      <c r="BN44" s="145"/>
      <c r="BO44" s="145"/>
      <c r="BP44" s="145"/>
      <c r="BQ44" s="145"/>
      <c r="BR44" s="145"/>
      <c r="BS44" s="145"/>
      <c r="BT44" s="145"/>
      <c r="BU44" s="145"/>
      <c r="BV44" s="145"/>
      <c r="BW44" s="145"/>
    </row>
    <row r="45" spans="1:75" ht="20.100000000000001" customHeight="1">
      <c r="A45" s="170" t="str">
        <f>IF(M2S_Eligibility_List!$B32&lt;&gt;"",RIGHT(M2S_Eligibility_List!$B32,LEN(M2S_Eligibility_List!$B32)-LEN(nmADwSP)),0)</f>
        <v>AutoCAD</v>
      </c>
      <c r="B45" s="170" t="str">
        <f>IF(M2S_Eligibility_List!$B32&lt;&gt;"",RIGHT(M2S_Eligibility_List!$B32,LEN(M2S_Eligibility_List!$B32)-LEN(nmADwSP)),0)</f>
        <v>AutoCAD</v>
      </c>
      <c r="C45" s="147" t="str">
        <f>SUBSTITUTE(_xlfn.IFNA(INDEX(M2S_Eligibility_List!$C$21:$BV$21,1,MATCH(C$271,$C282:$BW282,0)),""),nmADwSP,"")</f>
        <v>Architecture Engineering Construction Collection</v>
      </c>
      <c r="D45" s="147" t="str">
        <f>SUBSTITUTE(_xlfn.IFNA(INDEX(M2S_Eligibility_List!$C$21:$BV$21,1,MATCH(D$271,$C282:$BW282,0)),""),nmADwSP,"")</f>
        <v>Product Design &amp; Manufacturing Collection</v>
      </c>
      <c r="E45" s="147" t="str">
        <f>SUBSTITUTE(_xlfn.IFNA(INDEX(M2S_Eligibility_List!$C$21:$BV$21,1,MATCH(E$271,$C282:$BW282,0)),""),nmADwSP,"")</f>
        <v>Advance Steel</v>
      </c>
      <c r="F45" s="147" t="str">
        <f>SUBSTITUTE(_xlfn.IFNA(INDEX(M2S_Eligibility_List!$C$21:$BV$21,1,MATCH(F$271,$C282:$BW282,0)),""),nmADwSP,"")</f>
        <v>AutoCAD - including specialized toolsets</v>
      </c>
      <c r="G45" s="147" t="str">
        <f>SUBSTITUTE(_xlfn.IFNA(INDEX(M2S_Eligibility_List!$C$21:$BV$21,1,MATCH(G$271,$C282:$BW282,0)),""),nmADwSP,"")</f>
        <v>Civil 3D*</v>
      </c>
      <c r="H45" s="147" t="str">
        <f>SUBSTITUTE(_xlfn.IFNA(INDEX(M2S_Eligibility_List!$C$21:$BV$21,1,MATCH(H$271,$C282:$BW282,0)),""),nmADwSP,"")</f>
        <v/>
      </c>
      <c r="I45" s="147" t="str">
        <f>SUBSTITUTE(_xlfn.IFNA(INDEX(M2S_Eligibility_List!$C$21:$BV$21,1,MATCH(I$271,$C282:$BW282,0)),""),nmADwSP,"")</f>
        <v/>
      </c>
      <c r="J45" s="147" t="str">
        <f>SUBSTITUTE(_xlfn.IFNA(INDEX(M2S_Eligibility_List!$C$21:$BV$21,1,MATCH(J$271,$C282:$BW282,0)),""),nmADwSP,"")</f>
        <v/>
      </c>
      <c r="K45" s="147" t="str">
        <f>SUBSTITUTE(_xlfn.IFNA(INDEX(M2S_Eligibility_List!$C$21:$BV$21,1,MATCH(K$271,$C282:$BW282,0)),""),nmADwSP,"")</f>
        <v/>
      </c>
      <c r="L45" s="147" t="str">
        <f>SUBSTITUTE(_xlfn.IFNA(INDEX(M2S_Eligibility_List!$C$21:$BV$21,1,MATCH(L$271,$C282:$BW282,0)),""),nmADwSP,"")</f>
        <v/>
      </c>
      <c r="M45" s="147" t="str">
        <f>SUBSTITUTE(_xlfn.IFNA(INDEX(M2S_Eligibility_List!$C$21:$BV$21,1,MATCH(M$271,$C282:$BW282,0)),""),nmADwSP,"")</f>
        <v/>
      </c>
      <c r="N45" s="147" t="str">
        <f>SUBSTITUTE(_xlfn.IFNA(INDEX(M2S_Eligibility_List!$C$21:$BV$21,1,MATCH(N$271,$C282:$BW282,0)),""),nmADwSP,"")</f>
        <v/>
      </c>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s="145"/>
      <c r="AT45" s="145"/>
      <c r="AU45" s="145"/>
      <c r="AV45" s="145"/>
      <c r="AW45" s="145"/>
      <c r="AX45" s="145"/>
      <c r="AY45" s="145"/>
      <c r="AZ45" s="145"/>
      <c r="BA45" s="145"/>
      <c r="BB45" s="145"/>
      <c r="BC45" s="145"/>
      <c r="BD45" s="145"/>
      <c r="BE45" s="145"/>
      <c r="BF45" s="145"/>
      <c r="BG45" s="145"/>
      <c r="BH45" s="145"/>
      <c r="BI45" s="145"/>
      <c r="BJ45" s="145"/>
      <c r="BK45" s="145"/>
      <c r="BL45" s="145"/>
      <c r="BM45" s="145"/>
      <c r="BN45" s="145"/>
      <c r="BO45" s="145"/>
      <c r="BP45" s="145"/>
      <c r="BQ45" s="145"/>
      <c r="BR45" s="145"/>
      <c r="BS45" s="145"/>
      <c r="BT45" s="145"/>
      <c r="BU45" s="145"/>
      <c r="BV45" s="145"/>
      <c r="BW45" s="145"/>
    </row>
    <row r="46" spans="1:75" ht="20.100000000000001" customHeight="1">
      <c r="A46" s="170" t="str">
        <f>IF(M2S_Eligibility_List!$B33&lt;&gt;"",RIGHT(M2S_Eligibility_List!$B33,LEN(M2S_Eligibility_List!$B33)-LEN(nmADwSP)),0)</f>
        <v>AutoCAD Architecture</v>
      </c>
      <c r="B46" s="170" t="str">
        <f>IF(M2S_Eligibility_List!$B33&lt;&gt;"",RIGHT(M2S_Eligibility_List!$B33,LEN(M2S_Eligibility_List!$B33)-LEN(nmADwSP)),0)</f>
        <v>AutoCAD Architecture</v>
      </c>
      <c r="C46" s="147" t="str">
        <f>SUBSTITUTE(_xlfn.IFNA(INDEX(M2S_Eligibility_List!$C$21:$BV$21,1,MATCH(C$271,$C283:$BW283,0)),""),nmADwSP,"")</f>
        <v>Architecture Engineering Construction Collection</v>
      </c>
      <c r="D46" s="147" t="str">
        <f>SUBSTITUTE(_xlfn.IFNA(INDEX(M2S_Eligibility_List!$C$21:$BV$21,1,MATCH(D$271,$C283:$BW283,0)),""),nmADwSP,"")</f>
        <v>Product Design &amp; Manufacturing Collection</v>
      </c>
      <c r="E46" s="147" t="str">
        <f>SUBSTITUTE(_xlfn.IFNA(INDEX(M2S_Eligibility_List!$C$21:$BV$21,1,MATCH(E$271,$C283:$BW283,0)),""),nmADwSP,"")</f>
        <v>AutoCAD - including specialized toolsets</v>
      </c>
      <c r="F46" s="147" t="str">
        <f>SUBSTITUTE(_xlfn.IFNA(INDEX(M2S_Eligibility_List!$C$21:$BV$21,1,MATCH(F$271,$C283:$BW283,0)),""),nmADwSP,"")</f>
        <v/>
      </c>
      <c r="G46" s="147" t="str">
        <f>SUBSTITUTE(_xlfn.IFNA(INDEX(M2S_Eligibility_List!$C$21:$BV$21,1,MATCH(G$271,$C283:$BW283,0)),""),nmADwSP,"")</f>
        <v/>
      </c>
      <c r="H46" s="147" t="str">
        <f>SUBSTITUTE(_xlfn.IFNA(INDEX(M2S_Eligibility_List!$C$21:$BV$21,1,MATCH(H$271,$C283:$BW283,0)),""),nmADwSP,"")</f>
        <v/>
      </c>
      <c r="I46" s="147" t="str">
        <f>SUBSTITUTE(_xlfn.IFNA(INDEX(M2S_Eligibility_List!$C$21:$BV$21,1,MATCH(I$271,$C283:$BW283,0)),""),nmADwSP,"")</f>
        <v/>
      </c>
      <c r="J46" s="147" t="str">
        <f>SUBSTITUTE(_xlfn.IFNA(INDEX(M2S_Eligibility_List!$C$21:$BV$21,1,MATCH(J$271,$C283:$BW283,0)),""),nmADwSP,"")</f>
        <v/>
      </c>
      <c r="K46" s="147" t="str">
        <f>SUBSTITUTE(_xlfn.IFNA(INDEX(M2S_Eligibility_List!$C$21:$BV$21,1,MATCH(K$271,$C283:$BW283,0)),""),nmADwSP,"")</f>
        <v/>
      </c>
      <c r="L46" s="147" t="str">
        <f>SUBSTITUTE(_xlfn.IFNA(INDEX(M2S_Eligibility_List!$C$21:$BV$21,1,MATCH(L$271,$C283:$BW283,0)),""),nmADwSP,"")</f>
        <v/>
      </c>
      <c r="M46" s="147" t="str">
        <f>SUBSTITUTE(_xlfn.IFNA(INDEX(M2S_Eligibility_List!$C$21:$BV$21,1,MATCH(M$271,$C283:$BW283,0)),""),nmADwSP,"")</f>
        <v/>
      </c>
      <c r="N46" s="147" t="str">
        <f>SUBSTITUTE(_xlfn.IFNA(INDEX(M2S_Eligibility_List!$C$21:$BV$21,1,MATCH(N$271,$C283:$BW283,0)),""),nmADwSP,"")</f>
        <v/>
      </c>
      <c r="O46" s="145"/>
      <c r="P46" s="145"/>
      <c r="Q46" s="145"/>
      <c r="R46" s="145"/>
      <c r="S46" s="145"/>
      <c r="T46" s="145"/>
      <c r="U46" s="145"/>
      <c r="V46" s="145"/>
      <c r="W46" s="145"/>
      <c r="X46" s="145"/>
      <c r="Y46" s="145"/>
      <c r="Z46" s="145"/>
      <c r="AA46" s="145"/>
      <c r="AB46" s="145"/>
      <c r="AC46" s="145"/>
      <c r="AD46" s="145"/>
      <c r="AE46" s="145"/>
      <c r="AF46" s="145"/>
      <c r="AG46" s="145"/>
      <c r="AH46" s="145"/>
      <c r="AI46" s="145"/>
      <c r="AJ46" s="145"/>
      <c r="AK46" s="145"/>
      <c r="AL46" s="145"/>
      <c r="AM46" s="145"/>
      <c r="AN46" s="145"/>
      <c r="AO46" s="145"/>
      <c r="AP46" s="145"/>
      <c r="AQ46" s="145"/>
      <c r="AR46" s="145"/>
      <c r="AS46" s="145"/>
      <c r="AT46" s="145"/>
      <c r="AU46" s="145"/>
      <c r="AV46" s="145"/>
      <c r="AW46" s="145"/>
      <c r="AX46" s="145"/>
      <c r="AY46" s="145"/>
      <c r="AZ46" s="145"/>
      <c r="BA46" s="145"/>
      <c r="BB46" s="145"/>
      <c r="BC46" s="145"/>
      <c r="BD46" s="145"/>
      <c r="BE46" s="145"/>
      <c r="BF46" s="145"/>
      <c r="BG46" s="145"/>
      <c r="BH46" s="145"/>
      <c r="BI46" s="145"/>
      <c r="BJ46" s="145"/>
      <c r="BK46" s="145"/>
      <c r="BL46" s="145"/>
      <c r="BM46" s="145"/>
      <c r="BN46" s="145"/>
      <c r="BO46" s="145"/>
      <c r="BP46" s="145"/>
      <c r="BQ46" s="145"/>
      <c r="BR46" s="145"/>
      <c r="BS46" s="145"/>
      <c r="BT46" s="145"/>
      <c r="BU46" s="145"/>
      <c r="BV46" s="145"/>
      <c r="BW46" s="145"/>
    </row>
    <row r="47" spans="1:75" ht="20.100000000000001" customHeight="1">
      <c r="A47" s="170" t="str">
        <f>IF(M2S_Eligibility_List!$B34&lt;&gt;"",RIGHT(M2S_Eligibility_List!$B34,LEN(M2S_Eligibility_List!$B34)-LEN(nmADwSP)),0)</f>
        <v>AutoCAD Civil 3D*</v>
      </c>
      <c r="B47" s="170" t="str">
        <f>IF(M2S_Eligibility_List!$B34&lt;&gt;"",RIGHT(M2S_Eligibility_List!$B34,LEN(M2S_Eligibility_List!$B34)-LEN(nmADwSP)),0)</f>
        <v>AutoCAD Civil 3D*</v>
      </c>
      <c r="C47" s="147" t="str">
        <f>SUBSTITUTE(_xlfn.IFNA(INDEX(M2S_Eligibility_List!$C$21:$BV$21,1,MATCH(C$271,$C284:$BW284,0)),""),nmADwSP,"")</f>
        <v>Architecture Engineering Construction Collection</v>
      </c>
      <c r="D47" s="147" t="str">
        <f>SUBSTITUTE(_xlfn.IFNA(INDEX(M2S_Eligibility_List!$C$21:$BV$21,1,MATCH(D$271,$C284:$BW284,0)),""),nmADwSP,"")</f>
        <v>Civil 3D*</v>
      </c>
      <c r="E47" s="147" t="str">
        <f>SUBSTITUTE(_xlfn.IFNA(INDEX(M2S_Eligibility_List!$C$21:$BV$21,1,MATCH(E$271,$C284:$BW284,0)),""),nmADwSP,"")</f>
        <v/>
      </c>
      <c r="F47" s="147" t="str">
        <f>SUBSTITUTE(_xlfn.IFNA(INDEX(M2S_Eligibility_List!$C$21:$BV$21,1,MATCH(F$271,$C284:$BW284,0)),""),nmADwSP,"")</f>
        <v/>
      </c>
      <c r="G47" s="147" t="str">
        <f>SUBSTITUTE(_xlfn.IFNA(INDEX(M2S_Eligibility_List!$C$21:$BV$21,1,MATCH(G$271,$C284:$BW284,0)),""),nmADwSP,"")</f>
        <v/>
      </c>
      <c r="H47" s="147" t="str">
        <f>SUBSTITUTE(_xlfn.IFNA(INDEX(M2S_Eligibility_List!$C$21:$BV$21,1,MATCH(H$271,$C284:$BW284,0)),""),nmADwSP,"")</f>
        <v/>
      </c>
      <c r="I47" s="147" t="str">
        <f>SUBSTITUTE(_xlfn.IFNA(INDEX(M2S_Eligibility_List!$C$21:$BV$21,1,MATCH(I$271,$C284:$BW284,0)),""),nmADwSP,"")</f>
        <v/>
      </c>
      <c r="J47" s="147" t="str">
        <f>SUBSTITUTE(_xlfn.IFNA(INDEX(M2S_Eligibility_List!$C$21:$BV$21,1,MATCH(J$271,$C284:$BW284,0)),""),nmADwSP,"")</f>
        <v/>
      </c>
      <c r="K47" s="147" t="str">
        <f>SUBSTITUTE(_xlfn.IFNA(INDEX(M2S_Eligibility_List!$C$21:$BV$21,1,MATCH(K$271,$C284:$BW284,0)),""),nmADwSP,"")</f>
        <v/>
      </c>
      <c r="L47" s="147" t="str">
        <f>SUBSTITUTE(_xlfn.IFNA(INDEX(M2S_Eligibility_List!$C$21:$BV$21,1,MATCH(L$271,$C284:$BW284,0)),""),nmADwSP,"")</f>
        <v/>
      </c>
      <c r="M47" s="147" t="str">
        <f>SUBSTITUTE(_xlfn.IFNA(INDEX(M2S_Eligibility_List!$C$21:$BV$21,1,MATCH(M$271,$C284:$BW284,0)),""),nmADwSP,"")</f>
        <v/>
      </c>
      <c r="N47" s="147" t="str">
        <f>SUBSTITUTE(_xlfn.IFNA(INDEX(M2S_Eligibility_List!$C$21:$BV$21,1,MATCH(N$271,$C284:$BW284,0)),""),nmADwSP,"")</f>
        <v/>
      </c>
      <c r="O47" s="145"/>
      <c r="P47" s="145"/>
      <c r="Q47" s="145"/>
      <c r="R47" s="145"/>
      <c r="S47" s="145"/>
      <c r="T47" s="145"/>
      <c r="U47" s="145"/>
      <c r="V47" s="145"/>
      <c r="W47" s="145"/>
      <c r="X47" s="145"/>
      <c r="Y47" s="145"/>
      <c r="Z47" s="145"/>
      <c r="AA47" s="145"/>
      <c r="AB47" s="145"/>
      <c r="AC47" s="145"/>
      <c r="AD47" s="145"/>
      <c r="AE47" s="145"/>
      <c r="AF47" s="145"/>
      <c r="AG47" s="145"/>
      <c r="AH47" s="145"/>
      <c r="AI47" s="145"/>
      <c r="AJ47" s="145"/>
      <c r="AK47" s="145"/>
      <c r="AL47" s="145"/>
      <c r="AM47" s="145"/>
      <c r="AN47" s="145"/>
      <c r="AO47" s="145"/>
      <c r="AP47" s="145"/>
      <c r="AQ47" s="145"/>
      <c r="AR47" s="145"/>
      <c r="AS47" s="145"/>
      <c r="AT47" s="145"/>
      <c r="AU47" s="145"/>
      <c r="AV47" s="145"/>
      <c r="AW47" s="145"/>
      <c r="AX47" s="145"/>
      <c r="AY47" s="145"/>
      <c r="AZ47" s="145"/>
      <c r="BA47" s="145"/>
      <c r="BB47" s="145"/>
      <c r="BC47" s="145"/>
      <c r="BD47" s="145"/>
      <c r="BE47" s="145"/>
      <c r="BF47" s="145"/>
      <c r="BG47" s="145"/>
      <c r="BH47" s="145"/>
      <c r="BI47" s="145"/>
      <c r="BJ47" s="145"/>
      <c r="BK47" s="145"/>
      <c r="BL47" s="145"/>
      <c r="BM47" s="145"/>
      <c r="BN47" s="145"/>
      <c r="BO47" s="145"/>
      <c r="BP47" s="145"/>
      <c r="BQ47" s="145"/>
      <c r="BR47" s="145"/>
      <c r="BS47" s="145"/>
      <c r="BT47" s="145"/>
      <c r="BU47" s="145"/>
      <c r="BV47" s="145"/>
      <c r="BW47" s="145"/>
    </row>
    <row r="48" spans="1:75" ht="20.100000000000001" customHeight="1">
      <c r="A48" s="170" t="str">
        <f>IF(M2S_Eligibility_List!$B35&lt;&gt;"",RIGHT(M2S_Eligibility_List!$B35,LEN(M2S_Eligibility_List!$B35)-LEN(nmADwSP)),0)</f>
        <v>AutoCAD Design Suite Premium</v>
      </c>
      <c r="B48" s="170" t="str">
        <f>IF(M2S_Eligibility_List!$B35&lt;&gt;"",RIGHT(M2S_Eligibility_List!$B35,LEN(M2S_Eligibility_List!$B35)-LEN(nmADwSP)),0)</f>
        <v>AutoCAD Design Suite Premium</v>
      </c>
      <c r="C48" s="147" t="str">
        <f>SUBSTITUTE(_xlfn.IFNA(INDEX(M2S_Eligibility_List!$C$21:$BV$21,1,MATCH(C$271,$C285:$BW285,0)),""),nmADwSP,"")</f>
        <v>Architecture Engineering Construction Collection</v>
      </c>
      <c r="D48" s="147" t="str">
        <f>SUBSTITUTE(_xlfn.IFNA(INDEX(M2S_Eligibility_List!$C$21:$BV$21,1,MATCH(D$271,$C285:$BW285,0)),""),nmADwSP,"")</f>
        <v>Product Design &amp; Manufacturing Collection</v>
      </c>
      <c r="E48" s="147" t="str">
        <f>SUBSTITUTE(_xlfn.IFNA(INDEX(M2S_Eligibility_List!$C$21:$BV$21,1,MATCH(E$271,$C285:$BW285,0)),""),nmADwSP,"")</f>
        <v/>
      </c>
      <c r="F48" s="147" t="str">
        <f>SUBSTITUTE(_xlfn.IFNA(INDEX(M2S_Eligibility_List!$C$21:$BV$21,1,MATCH(F$271,$C285:$BW285,0)),""),nmADwSP,"")</f>
        <v/>
      </c>
      <c r="G48" s="147" t="str">
        <f>SUBSTITUTE(_xlfn.IFNA(INDEX(M2S_Eligibility_List!$C$21:$BV$21,1,MATCH(G$271,$C285:$BW285,0)),""),nmADwSP,"")</f>
        <v/>
      </c>
      <c r="H48" s="147" t="str">
        <f>SUBSTITUTE(_xlfn.IFNA(INDEX(M2S_Eligibility_List!$C$21:$BV$21,1,MATCH(H$271,$C285:$BW285,0)),""),nmADwSP,"")</f>
        <v/>
      </c>
      <c r="I48" s="147" t="str">
        <f>SUBSTITUTE(_xlfn.IFNA(INDEX(M2S_Eligibility_List!$C$21:$BV$21,1,MATCH(I$271,$C285:$BW285,0)),""),nmADwSP,"")</f>
        <v/>
      </c>
      <c r="J48" s="147" t="str">
        <f>SUBSTITUTE(_xlfn.IFNA(INDEX(M2S_Eligibility_List!$C$21:$BV$21,1,MATCH(J$271,$C285:$BW285,0)),""),nmADwSP,"")</f>
        <v/>
      </c>
      <c r="K48" s="147" t="str">
        <f>SUBSTITUTE(_xlfn.IFNA(INDEX(M2S_Eligibility_List!$C$21:$BV$21,1,MATCH(K$271,$C285:$BW285,0)),""),nmADwSP,"")</f>
        <v/>
      </c>
      <c r="L48" s="147" t="str">
        <f>SUBSTITUTE(_xlfn.IFNA(INDEX(M2S_Eligibility_List!$C$21:$BV$21,1,MATCH(L$271,$C285:$BW285,0)),""),nmADwSP,"")</f>
        <v/>
      </c>
      <c r="M48" s="147" t="str">
        <f>SUBSTITUTE(_xlfn.IFNA(INDEX(M2S_Eligibility_List!$C$21:$BV$21,1,MATCH(M$271,$C285:$BW285,0)),""),nmADwSP,"")</f>
        <v/>
      </c>
      <c r="N48" s="147" t="str">
        <f>SUBSTITUTE(_xlfn.IFNA(INDEX(M2S_Eligibility_List!$C$21:$BV$21,1,MATCH(N$271,$C285:$BW285,0)),""),nmADwSP,"")</f>
        <v/>
      </c>
      <c r="O48" s="145"/>
      <c r="P48" s="145"/>
      <c r="Q48" s="145"/>
      <c r="R48" s="145"/>
      <c r="S48" s="145"/>
      <c r="T48" s="145"/>
      <c r="U48" s="145"/>
      <c r="V48" s="145"/>
      <c r="W48" s="145"/>
      <c r="X48" s="145"/>
      <c r="Y48" s="145"/>
      <c r="Z48" s="145"/>
      <c r="AA48" s="145"/>
      <c r="AB48" s="145"/>
      <c r="AC48" s="145"/>
      <c r="AD48" s="145"/>
      <c r="AE48" s="145"/>
      <c r="AF48" s="145"/>
      <c r="AG48" s="145"/>
      <c r="AH48" s="145"/>
      <c r="AI48" s="145"/>
      <c r="AJ48" s="145"/>
      <c r="AK48" s="145"/>
      <c r="AL48" s="145"/>
      <c r="AM48" s="145"/>
      <c r="AN48" s="145"/>
      <c r="AO48" s="145"/>
      <c r="AP48" s="145"/>
      <c r="AQ48" s="145"/>
      <c r="AR48" s="145"/>
      <c r="AS48" s="145"/>
      <c r="AT48" s="145"/>
      <c r="AU48" s="145"/>
      <c r="AV48" s="145"/>
      <c r="AW48" s="145"/>
      <c r="AX48" s="145"/>
      <c r="AY48" s="145"/>
      <c r="AZ48" s="145"/>
      <c r="BA48" s="145"/>
      <c r="BB48" s="145"/>
      <c r="BC48" s="145"/>
      <c r="BD48" s="145"/>
      <c r="BE48" s="145"/>
      <c r="BF48" s="145"/>
      <c r="BG48" s="145"/>
      <c r="BH48" s="145"/>
      <c r="BI48" s="145"/>
      <c r="BJ48" s="145"/>
      <c r="BK48" s="145"/>
      <c r="BL48" s="145"/>
      <c r="BM48" s="145"/>
      <c r="BN48" s="145"/>
      <c r="BO48" s="145"/>
      <c r="BP48" s="145"/>
      <c r="BQ48" s="145"/>
      <c r="BR48" s="145"/>
      <c r="BS48" s="145"/>
      <c r="BT48" s="145"/>
      <c r="BU48" s="145"/>
      <c r="BV48" s="145"/>
      <c r="BW48" s="145"/>
    </row>
    <row r="49" spans="1:75" ht="20.100000000000001" customHeight="1">
      <c r="A49" s="170" t="str">
        <f>IF(M2S_Eligibility_List!$B36&lt;&gt;"",RIGHT(M2S_Eligibility_List!$B36,LEN(M2S_Eligibility_List!$B36)-LEN(nmADwSP)),0)</f>
        <v>AutoCAD Design Suite Standard</v>
      </c>
      <c r="B49" s="170" t="str">
        <f>IF(M2S_Eligibility_List!$B36&lt;&gt;"",RIGHT(M2S_Eligibility_List!$B36,LEN(M2S_Eligibility_List!$B36)-LEN(nmADwSP)),0)</f>
        <v>AutoCAD Design Suite Standard</v>
      </c>
      <c r="C49" s="147" t="str">
        <f>SUBSTITUTE(_xlfn.IFNA(INDEX(M2S_Eligibility_List!$C$21:$BV$21,1,MATCH(C$271,$C286:$BW286,0)),""),nmADwSP,"")</f>
        <v>Architecture Engineering Construction Collection</v>
      </c>
      <c r="D49" s="147" t="str">
        <f>SUBSTITUTE(_xlfn.IFNA(INDEX(M2S_Eligibility_List!$C$21:$BV$21,1,MATCH(D$271,$C286:$BW286,0)),""),nmADwSP,"")</f>
        <v>Product Design &amp; Manufacturing Collection</v>
      </c>
      <c r="E49" s="147" t="str">
        <f>SUBSTITUTE(_xlfn.IFNA(INDEX(M2S_Eligibility_List!$C$21:$BV$21,1,MATCH(E$271,$C286:$BW286,0)),""),nmADwSP,"")</f>
        <v>AutoCAD - including specialized toolsets</v>
      </c>
      <c r="F49" s="147" t="str">
        <f>SUBSTITUTE(_xlfn.IFNA(INDEX(M2S_Eligibility_List!$C$21:$BV$21,1,MATCH(F$271,$C286:$BW286,0)),""),nmADwSP,"")</f>
        <v/>
      </c>
      <c r="G49" s="147" t="str">
        <f>SUBSTITUTE(_xlfn.IFNA(INDEX(M2S_Eligibility_List!$C$21:$BV$21,1,MATCH(G$271,$C286:$BW286,0)),""),nmADwSP,"")</f>
        <v/>
      </c>
      <c r="H49" s="147" t="str">
        <f>SUBSTITUTE(_xlfn.IFNA(INDEX(M2S_Eligibility_List!$C$21:$BV$21,1,MATCH(H$271,$C286:$BW286,0)),""),nmADwSP,"")</f>
        <v/>
      </c>
      <c r="I49" s="147" t="str">
        <f>SUBSTITUTE(_xlfn.IFNA(INDEX(M2S_Eligibility_List!$C$21:$BV$21,1,MATCH(I$271,$C286:$BW286,0)),""),nmADwSP,"")</f>
        <v/>
      </c>
      <c r="J49" s="147" t="str">
        <f>SUBSTITUTE(_xlfn.IFNA(INDEX(M2S_Eligibility_List!$C$21:$BV$21,1,MATCH(J$271,$C286:$BW286,0)),""),nmADwSP,"")</f>
        <v/>
      </c>
      <c r="K49" s="147" t="str">
        <f>SUBSTITUTE(_xlfn.IFNA(INDEX(M2S_Eligibility_List!$C$21:$BV$21,1,MATCH(K$271,$C286:$BW286,0)),""),nmADwSP,"")</f>
        <v/>
      </c>
      <c r="L49" s="147" t="str">
        <f>SUBSTITUTE(_xlfn.IFNA(INDEX(M2S_Eligibility_List!$C$21:$BV$21,1,MATCH(L$271,$C286:$BW286,0)),""),nmADwSP,"")</f>
        <v/>
      </c>
      <c r="M49" s="147" t="str">
        <f>SUBSTITUTE(_xlfn.IFNA(INDEX(M2S_Eligibility_List!$C$21:$BV$21,1,MATCH(M$271,$C286:$BW286,0)),""),nmADwSP,"")</f>
        <v/>
      </c>
      <c r="N49" s="147" t="str">
        <f>SUBSTITUTE(_xlfn.IFNA(INDEX(M2S_Eligibility_List!$C$21:$BV$21,1,MATCH(N$271,$C286:$BW286,0)),""),nmADwSP,"")</f>
        <v/>
      </c>
      <c r="O49" s="145"/>
      <c r="P49" s="145"/>
      <c r="Q49" s="145"/>
      <c r="R49" s="145"/>
      <c r="S49" s="145"/>
      <c r="T49" s="145"/>
      <c r="U49" s="145"/>
      <c r="V49" s="145"/>
      <c r="W49" s="145"/>
      <c r="X49" s="145"/>
      <c r="Y49" s="145"/>
      <c r="Z49" s="145"/>
      <c r="AA49" s="145"/>
      <c r="AB49" s="145"/>
      <c r="AC49" s="145"/>
      <c r="AD49" s="145"/>
      <c r="AE49" s="145"/>
      <c r="AF49" s="145"/>
      <c r="AG49" s="145"/>
      <c r="AH49" s="145"/>
      <c r="AI49" s="145"/>
      <c r="AJ49" s="145"/>
      <c r="AK49" s="145"/>
      <c r="AL49" s="145"/>
      <c r="AM49" s="145"/>
      <c r="AN49" s="145"/>
      <c r="AO49" s="145"/>
      <c r="AP49" s="145"/>
      <c r="AQ49" s="145"/>
      <c r="AR49" s="145"/>
      <c r="AS49" s="145"/>
      <c r="AT49" s="145"/>
      <c r="AU49" s="145"/>
      <c r="AV49" s="145"/>
      <c r="AW49" s="145"/>
      <c r="AX49" s="145"/>
      <c r="AY49" s="145"/>
      <c r="AZ49" s="145"/>
      <c r="BA49" s="145"/>
      <c r="BB49" s="145"/>
      <c r="BC49" s="145"/>
      <c r="BD49" s="145"/>
      <c r="BE49" s="145"/>
      <c r="BF49" s="145"/>
      <c r="BG49" s="145"/>
      <c r="BH49" s="145"/>
      <c r="BI49" s="145"/>
      <c r="BJ49" s="145"/>
      <c r="BK49" s="145"/>
      <c r="BL49" s="145"/>
      <c r="BM49" s="145"/>
      <c r="BN49" s="145"/>
      <c r="BO49" s="145"/>
      <c r="BP49" s="145"/>
      <c r="BQ49" s="145"/>
      <c r="BR49" s="145"/>
      <c r="BS49" s="145"/>
      <c r="BT49" s="145"/>
      <c r="BU49" s="145"/>
      <c r="BV49" s="145"/>
      <c r="BW49" s="145"/>
    </row>
    <row r="50" spans="1:75" ht="20.100000000000001" customHeight="1">
      <c r="A50" s="170" t="str">
        <f>IF(M2S_Eligibility_List!$B37&lt;&gt;"",RIGHT(M2S_Eligibility_List!$B37,LEN(M2S_Eligibility_List!$B37)-LEN(nmADwSP)),0)</f>
        <v>AutoCAD Design Suite Ultimate</v>
      </c>
      <c r="B50" s="170" t="str">
        <f>IF(M2S_Eligibility_List!$B37&lt;&gt;"",RIGHT(M2S_Eligibility_List!$B37,LEN(M2S_Eligibility_List!$B37)-LEN(nmADwSP)),0)</f>
        <v>AutoCAD Design Suite Ultimate</v>
      </c>
      <c r="C50" s="147" t="str">
        <f>SUBSTITUTE(_xlfn.IFNA(INDEX(M2S_Eligibility_List!$C$21:$BV$21,1,MATCH(C$271,$C287:$BW287,0)),""),nmADwSP,"")</f>
        <v>Architecture Engineering Construction Collection</v>
      </c>
      <c r="D50" s="147" t="str">
        <f>SUBSTITUTE(_xlfn.IFNA(INDEX(M2S_Eligibility_List!$C$21:$BV$21,1,MATCH(D$271,$C287:$BW287,0)),""),nmADwSP,"")</f>
        <v>Product Design &amp; Manufacturing Collection</v>
      </c>
      <c r="E50" s="147" t="str">
        <f>SUBSTITUTE(_xlfn.IFNA(INDEX(M2S_Eligibility_List!$C$21:$BV$21,1,MATCH(E$271,$C287:$BW287,0)),""),nmADwSP,"")</f>
        <v/>
      </c>
      <c r="F50" s="147" t="str">
        <f>SUBSTITUTE(_xlfn.IFNA(INDEX(M2S_Eligibility_List!$C$21:$BV$21,1,MATCH(F$271,$C287:$BW287,0)),""),nmADwSP,"")</f>
        <v/>
      </c>
      <c r="G50" s="147" t="str">
        <f>SUBSTITUTE(_xlfn.IFNA(INDEX(M2S_Eligibility_List!$C$21:$BV$21,1,MATCH(G$271,$C287:$BW287,0)),""),nmADwSP,"")</f>
        <v/>
      </c>
      <c r="H50" s="147" t="str">
        <f>SUBSTITUTE(_xlfn.IFNA(INDEX(M2S_Eligibility_List!$C$21:$BV$21,1,MATCH(H$271,$C287:$BW287,0)),""),nmADwSP,"")</f>
        <v/>
      </c>
      <c r="I50" s="147" t="str">
        <f>SUBSTITUTE(_xlfn.IFNA(INDEX(M2S_Eligibility_List!$C$21:$BV$21,1,MATCH(I$271,$C287:$BW287,0)),""),nmADwSP,"")</f>
        <v/>
      </c>
      <c r="J50" s="147" t="str">
        <f>SUBSTITUTE(_xlfn.IFNA(INDEX(M2S_Eligibility_List!$C$21:$BV$21,1,MATCH(J$271,$C287:$BW287,0)),""),nmADwSP,"")</f>
        <v/>
      </c>
      <c r="K50" s="147" t="str">
        <f>SUBSTITUTE(_xlfn.IFNA(INDEX(M2S_Eligibility_List!$C$21:$BV$21,1,MATCH(K$271,$C287:$BW287,0)),""),nmADwSP,"")</f>
        <v/>
      </c>
      <c r="L50" s="147" t="str">
        <f>SUBSTITUTE(_xlfn.IFNA(INDEX(M2S_Eligibility_List!$C$21:$BV$21,1,MATCH(L$271,$C287:$BW287,0)),""),nmADwSP,"")</f>
        <v/>
      </c>
      <c r="M50" s="147" t="str">
        <f>SUBSTITUTE(_xlfn.IFNA(INDEX(M2S_Eligibility_List!$C$21:$BV$21,1,MATCH(M$271,$C287:$BW287,0)),""),nmADwSP,"")</f>
        <v/>
      </c>
      <c r="N50" s="147" t="str">
        <f>SUBSTITUTE(_xlfn.IFNA(INDEX(M2S_Eligibility_List!$C$21:$BV$21,1,MATCH(N$271,$C287:$BW287,0)),""),nmADwSP,"")</f>
        <v/>
      </c>
      <c r="O50" s="145"/>
      <c r="P50" s="145"/>
      <c r="Q50" s="145"/>
      <c r="R50" s="145"/>
      <c r="S50" s="145"/>
      <c r="T50" s="145"/>
      <c r="U50" s="145"/>
      <c r="V50" s="145"/>
      <c r="W50" s="145"/>
      <c r="X50" s="145"/>
      <c r="Y50" s="145"/>
      <c r="Z50" s="145"/>
      <c r="AA50" s="145"/>
      <c r="AB50" s="145"/>
      <c r="AC50" s="145"/>
      <c r="AD50" s="145"/>
      <c r="AE50" s="145"/>
      <c r="AF50" s="145"/>
      <c r="AG50" s="145"/>
      <c r="AH50" s="145"/>
      <c r="AI50" s="145"/>
      <c r="AJ50" s="145"/>
      <c r="AK50" s="145"/>
      <c r="AL50" s="145"/>
      <c r="AM50" s="145"/>
      <c r="AN50" s="145"/>
      <c r="AO50" s="145"/>
      <c r="AP50" s="145"/>
      <c r="AQ50" s="145"/>
      <c r="AR50" s="145"/>
      <c r="AS50" s="145"/>
      <c r="AT50" s="145"/>
      <c r="AU50" s="145"/>
      <c r="AV50" s="145"/>
      <c r="AW50" s="145"/>
      <c r="AX50" s="145"/>
      <c r="AY50" s="145"/>
      <c r="AZ50" s="145"/>
      <c r="BA50" s="145"/>
      <c r="BB50" s="145"/>
      <c r="BC50" s="145"/>
      <c r="BD50" s="145"/>
      <c r="BE50" s="145"/>
      <c r="BF50" s="145"/>
      <c r="BG50" s="145"/>
      <c r="BH50" s="145"/>
      <c r="BI50" s="145"/>
      <c r="BJ50" s="145"/>
      <c r="BK50" s="145"/>
      <c r="BL50" s="145"/>
      <c r="BM50" s="145"/>
      <c r="BN50" s="145"/>
      <c r="BO50" s="145"/>
      <c r="BP50" s="145"/>
      <c r="BQ50" s="145"/>
      <c r="BR50" s="145"/>
      <c r="BS50" s="145"/>
      <c r="BT50" s="145"/>
      <c r="BU50" s="145"/>
      <c r="BV50" s="145"/>
      <c r="BW50" s="145"/>
    </row>
    <row r="51" spans="1:75" ht="20.100000000000001" customHeight="1">
      <c r="A51" s="170" t="str">
        <f>IF(M2S_Eligibility_List!$B38&lt;&gt;"",RIGHT(M2S_Eligibility_List!$B38,LEN(M2S_Eligibility_List!$B38)-LEN(nmADwSP)),0)</f>
        <v>AutoCAD Electrical*</v>
      </c>
      <c r="B51" s="170" t="str">
        <f>IF(M2S_Eligibility_List!$B38&lt;&gt;"",RIGHT(M2S_Eligibility_List!$B38,LEN(M2S_Eligibility_List!$B38)-LEN(nmADwSP)),0)</f>
        <v>AutoCAD Electrical*</v>
      </c>
      <c r="C51" s="147" t="str">
        <f>SUBSTITUTE(_xlfn.IFNA(INDEX(M2S_Eligibility_List!$C$21:$BV$21,1,MATCH(C$271,$C288:$BW288,0)),""),nmADwSP,"")</f>
        <v>Architecture Engineering Construction Collection</v>
      </c>
      <c r="D51" s="147" t="str">
        <f>SUBSTITUTE(_xlfn.IFNA(INDEX(M2S_Eligibility_List!$C$21:$BV$21,1,MATCH(D$271,$C288:$BW288,0)),""),nmADwSP,"")</f>
        <v>Product Design &amp; Manufacturing Collection</v>
      </c>
      <c r="E51" s="147" t="str">
        <f>SUBSTITUTE(_xlfn.IFNA(INDEX(M2S_Eligibility_List!$C$21:$BV$21,1,MATCH(E$271,$C288:$BW288,0)),""),nmADwSP,"")</f>
        <v>AutoCAD - including specialized toolsets</v>
      </c>
      <c r="F51" s="147" t="str">
        <f>SUBSTITUTE(_xlfn.IFNA(INDEX(M2S_Eligibility_List!$C$21:$BV$21,1,MATCH(F$271,$C288:$BW288,0)),""),nmADwSP,"")</f>
        <v/>
      </c>
      <c r="G51" s="147" t="str">
        <f>SUBSTITUTE(_xlfn.IFNA(INDEX(M2S_Eligibility_List!$C$21:$BV$21,1,MATCH(G$271,$C288:$BW288,0)),""),nmADwSP,"")</f>
        <v/>
      </c>
      <c r="H51" s="147" t="str">
        <f>SUBSTITUTE(_xlfn.IFNA(INDEX(M2S_Eligibility_List!$C$21:$BV$21,1,MATCH(H$271,$C288:$BW288,0)),""),nmADwSP,"")</f>
        <v/>
      </c>
      <c r="I51" s="147" t="str">
        <f>SUBSTITUTE(_xlfn.IFNA(INDEX(M2S_Eligibility_List!$C$21:$BV$21,1,MATCH(I$271,$C288:$BW288,0)),""),nmADwSP,"")</f>
        <v/>
      </c>
      <c r="J51" s="147" t="str">
        <f>SUBSTITUTE(_xlfn.IFNA(INDEX(M2S_Eligibility_List!$C$21:$BV$21,1,MATCH(J$271,$C288:$BW288,0)),""),nmADwSP,"")</f>
        <v/>
      </c>
      <c r="K51" s="147" t="str">
        <f>SUBSTITUTE(_xlfn.IFNA(INDEX(M2S_Eligibility_List!$C$21:$BV$21,1,MATCH(K$271,$C288:$BW288,0)),""),nmADwSP,"")</f>
        <v/>
      </c>
      <c r="L51" s="147" t="str">
        <f>SUBSTITUTE(_xlfn.IFNA(INDEX(M2S_Eligibility_List!$C$21:$BV$21,1,MATCH(L$271,$C288:$BW288,0)),""),nmADwSP,"")</f>
        <v/>
      </c>
      <c r="M51" s="147" t="str">
        <f>SUBSTITUTE(_xlfn.IFNA(INDEX(M2S_Eligibility_List!$C$21:$BV$21,1,MATCH(M$271,$C288:$BW288,0)),""),nmADwSP,"")</f>
        <v/>
      </c>
      <c r="N51" s="147" t="str">
        <f>SUBSTITUTE(_xlfn.IFNA(INDEX(M2S_Eligibility_List!$C$21:$BV$21,1,MATCH(N$271,$C288:$BW288,0)),""),nmADwSP,"")</f>
        <v/>
      </c>
      <c r="O51" s="145"/>
      <c r="P51" s="145"/>
      <c r="Q51" s="145"/>
      <c r="R51" s="145"/>
      <c r="S51" s="145"/>
      <c r="T51" s="145"/>
      <c r="U51" s="145"/>
      <c r="V51" s="145"/>
      <c r="W51" s="145"/>
      <c r="X51" s="145"/>
      <c r="Y51" s="145"/>
      <c r="Z51" s="145"/>
      <c r="AA51" s="145"/>
      <c r="AB51" s="145"/>
      <c r="AC51" s="145"/>
      <c r="AD51" s="145"/>
      <c r="AE51" s="145"/>
      <c r="AF51" s="145"/>
      <c r="AG51" s="145"/>
      <c r="AH51" s="145"/>
      <c r="AI51" s="145"/>
      <c r="AJ51" s="145"/>
      <c r="AK51" s="145"/>
      <c r="AL51" s="145"/>
      <c r="AM51" s="145"/>
      <c r="AN51" s="145"/>
      <c r="AO51" s="145"/>
      <c r="AP51" s="145"/>
      <c r="AQ51" s="145"/>
      <c r="AR51" s="145"/>
      <c r="AS51" s="145"/>
      <c r="AT51" s="145"/>
      <c r="AU51" s="145"/>
      <c r="AV51" s="145"/>
      <c r="AW51" s="145"/>
      <c r="AX51" s="145"/>
      <c r="AY51" s="145"/>
      <c r="AZ51" s="145"/>
      <c r="BA51" s="145"/>
      <c r="BB51" s="145"/>
      <c r="BC51" s="145"/>
      <c r="BD51" s="145"/>
      <c r="BE51" s="145"/>
      <c r="BF51" s="145"/>
      <c r="BG51" s="145"/>
      <c r="BH51" s="145"/>
      <c r="BI51" s="145"/>
      <c r="BJ51" s="145"/>
      <c r="BK51" s="145"/>
      <c r="BL51" s="145"/>
      <c r="BM51" s="145"/>
      <c r="BN51" s="145"/>
      <c r="BO51" s="145"/>
      <c r="BP51" s="145"/>
      <c r="BQ51" s="145"/>
      <c r="BR51" s="145"/>
      <c r="BS51" s="145"/>
      <c r="BT51" s="145"/>
      <c r="BU51" s="145"/>
      <c r="BV51" s="145"/>
      <c r="BW51" s="145"/>
    </row>
    <row r="52" spans="1:75" ht="20.100000000000001" customHeight="1">
      <c r="A52" s="170" t="str">
        <f>IF(M2S_Eligibility_List!$B39&lt;&gt;"",RIGHT(M2S_Eligibility_List!$B39,LEN(M2S_Eligibility_List!$B39)-LEN(nmADwSP)),0)</f>
        <v>AutoCAD LT</v>
      </c>
      <c r="B52" s="170" t="str">
        <f>IF(M2S_Eligibility_List!$B39&lt;&gt;"",RIGHT(M2S_Eligibility_List!$B39,LEN(M2S_Eligibility_List!$B39)-LEN(nmADwSP)),0)</f>
        <v>AutoCAD LT</v>
      </c>
      <c r="C52" s="147" t="str">
        <f>SUBSTITUTE(_xlfn.IFNA(INDEX(M2S_Eligibility_List!$C$21:$BV$21,1,MATCH(C$271,$C289:$BW289,0)),""),nmADwSP,"")</f>
        <v>AutoCAD LT</v>
      </c>
      <c r="D52" s="147" t="str">
        <f>SUBSTITUTE(_xlfn.IFNA(INDEX(M2S_Eligibility_List!$C$21:$BV$21,1,MATCH(D$271,$C289:$BW289,0)),""),nmADwSP,"")</f>
        <v>AutoCAD Inventor LT Suite</v>
      </c>
      <c r="E52" s="147" t="str">
        <f>SUBSTITUTE(_xlfn.IFNA(INDEX(M2S_Eligibility_List!$C$21:$BV$21,1,MATCH(E$271,$C289:$BW289,0)),""),nmADwSP,"")</f>
        <v>AutoCAD Revit LT Suite</v>
      </c>
      <c r="F52" s="147" t="str">
        <f>SUBSTITUTE(_xlfn.IFNA(INDEX(M2S_Eligibility_List!$C$21:$BV$21,1,MATCH(F$271,$C289:$BW289,0)),""),nmADwSP,"")</f>
        <v/>
      </c>
      <c r="G52" s="147" t="str">
        <f>SUBSTITUTE(_xlfn.IFNA(INDEX(M2S_Eligibility_List!$C$21:$BV$21,1,MATCH(G$271,$C289:$BW289,0)),""),nmADwSP,"")</f>
        <v/>
      </c>
      <c r="H52" s="147" t="str">
        <f>SUBSTITUTE(_xlfn.IFNA(INDEX(M2S_Eligibility_List!$C$21:$BV$21,1,MATCH(H$271,$C289:$BW289,0)),""),nmADwSP,"")</f>
        <v/>
      </c>
      <c r="I52" s="147" t="str">
        <f>SUBSTITUTE(_xlfn.IFNA(INDEX(M2S_Eligibility_List!$C$21:$BV$21,1,MATCH(I$271,$C289:$BW289,0)),""),nmADwSP,"")</f>
        <v/>
      </c>
      <c r="J52" s="147" t="str">
        <f>SUBSTITUTE(_xlfn.IFNA(INDEX(M2S_Eligibility_List!$C$21:$BV$21,1,MATCH(J$271,$C289:$BW289,0)),""),nmADwSP,"")</f>
        <v/>
      </c>
      <c r="K52" s="147" t="str">
        <f>SUBSTITUTE(_xlfn.IFNA(INDEX(M2S_Eligibility_List!$C$21:$BV$21,1,MATCH(K$271,$C289:$BW289,0)),""),nmADwSP,"")</f>
        <v/>
      </c>
      <c r="L52" s="147" t="str">
        <f>SUBSTITUTE(_xlfn.IFNA(INDEX(M2S_Eligibility_List!$C$21:$BV$21,1,MATCH(L$271,$C289:$BW289,0)),""),nmADwSP,"")</f>
        <v/>
      </c>
      <c r="M52" s="147" t="str">
        <f>SUBSTITUTE(_xlfn.IFNA(INDEX(M2S_Eligibility_List!$C$21:$BV$21,1,MATCH(M$271,$C289:$BW289,0)),""),nmADwSP,"")</f>
        <v/>
      </c>
      <c r="N52" s="147" t="str">
        <f>SUBSTITUTE(_xlfn.IFNA(INDEX(M2S_Eligibility_List!$C$21:$BV$21,1,MATCH(N$271,$C289:$BW289,0)),""),nmADwSP,"")</f>
        <v/>
      </c>
      <c r="O52" s="145"/>
      <c r="P52" s="145"/>
      <c r="Q52" s="145"/>
      <c r="R52" s="145"/>
      <c r="S52" s="145"/>
      <c r="T52" s="145"/>
      <c r="U52" s="145"/>
      <c r="V52" s="145"/>
      <c r="W52" s="145"/>
      <c r="X52" s="145"/>
      <c r="Y52" s="145"/>
      <c r="Z52" s="145"/>
      <c r="AA52" s="145"/>
      <c r="AB52" s="145"/>
      <c r="AC52" s="145"/>
      <c r="AD52" s="145"/>
      <c r="AE52" s="145"/>
      <c r="AF52" s="145"/>
      <c r="AG52" s="145"/>
      <c r="AH52" s="145"/>
      <c r="AI52" s="145"/>
      <c r="AJ52" s="145"/>
      <c r="AK52" s="145"/>
      <c r="AL52" s="145"/>
      <c r="AM52" s="145"/>
      <c r="AN52" s="145"/>
      <c r="AO52" s="145"/>
      <c r="AP52" s="145"/>
      <c r="AQ52" s="145"/>
      <c r="AR52" s="145"/>
      <c r="AS52" s="145"/>
      <c r="AT52" s="145"/>
      <c r="AU52" s="145"/>
      <c r="AV52" s="145"/>
      <c r="AW52" s="145"/>
      <c r="AX52" s="145"/>
      <c r="AY52" s="145"/>
      <c r="AZ52" s="145"/>
      <c r="BA52" s="145"/>
      <c r="BB52" s="145"/>
      <c r="BC52" s="145"/>
      <c r="BD52" s="145"/>
      <c r="BE52" s="145"/>
      <c r="BF52" s="145"/>
      <c r="BG52" s="145"/>
      <c r="BH52" s="145"/>
      <c r="BI52" s="145"/>
      <c r="BJ52" s="145"/>
      <c r="BK52" s="145"/>
      <c r="BL52" s="145"/>
      <c r="BM52" s="145"/>
      <c r="BN52" s="145"/>
      <c r="BO52" s="145"/>
      <c r="BP52" s="145"/>
      <c r="BQ52" s="145"/>
      <c r="BR52" s="145"/>
      <c r="BS52" s="145"/>
      <c r="BT52" s="145"/>
      <c r="BU52" s="145"/>
      <c r="BV52" s="145"/>
      <c r="BW52" s="145"/>
    </row>
    <row r="53" spans="1:75" ht="20.100000000000001" customHeight="1">
      <c r="A53" s="170" t="str">
        <f>IF(M2S_Eligibility_List!$B40&lt;&gt;"",RIGHT(M2S_Eligibility_List!$B40,LEN(M2S_Eligibility_List!$B40)-LEN(nmADwSP)),0)</f>
        <v>AutoCAD LT with CALS Tools</v>
      </c>
      <c r="B53" s="367" t="str">
        <f>IF(decCurrency&lt;&gt;nmJPY,"",IF(M2S_Eligibility_List!$B40&lt;&gt;"",RIGHT(M2S_Eligibility_List!$B40,LEN(M2S_Eligibility_List!$B40)-LEN(nmADwSP)),0))</f>
        <v/>
      </c>
      <c r="C53" s="367" t="str">
        <f>IF(decCurrency&lt;&gt;nmJPY,"",SUBSTITUTE(_xlfn.IFNA(INDEX(M2S_Eligibility_List!$C$21:$BV$21,1,MATCH(C$271,$C290:$BW290,0)),""),nmADwSP,""))</f>
        <v/>
      </c>
      <c r="D53" s="147" t="str">
        <f>SUBSTITUTE(_xlfn.IFNA(INDEX(M2S_Eligibility_List!$C$21:$BV$21,1,MATCH(D$271,$C290:$BW290,0)),""),nmADwSP,"")</f>
        <v/>
      </c>
      <c r="E53" s="147" t="str">
        <f>SUBSTITUTE(_xlfn.IFNA(INDEX(M2S_Eligibility_List!$C$21:$BV$21,1,MATCH(E$271,$C290:$BW290,0)),""),nmADwSP,"")</f>
        <v/>
      </c>
      <c r="F53" s="147" t="str">
        <f>SUBSTITUTE(_xlfn.IFNA(INDEX(M2S_Eligibility_List!$C$21:$BV$21,1,MATCH(F$271,$C290:$BW290,0)),""),nmADwSP,"")</f>
        <v/>
      </c>
      <c r="G53" s="147" t="str">
        <f>SUBSTITUTE(_xlfn.IFNA(INDEX(M2S_Eligibility_List!$C$21:$BV$21,1,MATCH(G$271,$C290:$BW290,0)),""),nmADwSP,"")</f>
        <v/>
      </c>
      <c r="H53" s="147" t="str">
        <f>SUBSTITUTE(_xlfn.IFNA(INDEX(M2S_Eligibility_List!$C$21:$BV$21,1,MATCH(H$271,$C290:$BW290,0)),""),nmADwSP,"")</f>
        <v/>
      </c>
      <c r="I53" s="147" t="str">
        <f>SUBSTITUTE(_xlfn.IFNA(INDEX(M2S_Eligibility_List!$C$21:$BV$21,1,MATCH(I$271,$C290:$BW290,0)),""),nmADwSP,"")</f>
        <v/>
      </c>
      <c r="J53" s="147" t="str">
        <f>SUBSTITUTE(_xlfn.IFNA(INDEX(M2S_Eligibility_List!$C$21:$BV$21,1,MATCH(J$271,$C290:$BW290,0)),""),nmADwSP,"")</f>
        <v/>
      </c>
      <c r="K53" s="147" t="str">
        <f>SUBSTITUTE(_xlfn.IFNA(INDEX(M2S_Eligibility_List!$C$21:$BV$21,1,MATCH(K$271,$C290:$BW290,0)),""),nmADwSP,"")</f>
        <v/>
      </c>
      <c r="L53" s="147" t="str">
        <f>SUBSTITUTE(_xlfn.IFNA(INDEX(M2S_Eligibility_List!$C$21:$BV$21,1,MATCH(L$271,$C290:$BW290,0)),""),nmADwSP,"")</f>
        <v/>
      </c>
      <c r="M53" s="147" t="str">
        <f>SUBSTITUTE(_xlfn.IFNA(INDEX(M2S_Eligibility_List!$C$21:$BV$21,1,MATCH(M$271,$C290:$BW290,0)),""),nmADwSP,"")</f>
        <v/>
      </c>
      <c r="N53" s="147" t="str">
        <f>SUBSTITUTE(_xlfn.IFNA(INDEX(M2S_Eligibility_List!$C$21:$BV$21,1,MATCH(N$271,$C290:$BW290,0)),""),nmADwSP,"")</f>
        <v/>
      </c>
      <c r="O53" s="145"/>
      <c r="P53" s="145"/>
      <c r="Q53" s="145"/>
      <c r="R53" s="145"/>
      <c r="S53" s="145"/>
      <c r="T53" s="145"/>
      <c r="U53" s="145"/>
      <c r="V53" s="145"/>
      <c r="W53" s="145"/>
      <c r="X53" s="145"/>
      <c r="Y53" s="145"/>
      <c r="Z53" s="145"/>
      <c r="AA53" s="145"/>
      <c r="AB53" s="145"/>
      <c r="AC53" s="145"/>
      <c r="AD53" s="145"/>
      <c r="AE53" s="145"/>
      <c r="AF53" s="145"/>
      <c r="AG53" s="145"/>
      <c r="AH53" s="145"/>
      <c r="AI53" s="145"/>
      <c r="AJ53" s="145"/>
      <c r="AK53" s="145"/>
      <c r="AL53" s="145"/>
      <c r="AM53" s="145"/>
      <c r="AN53" s="145"/>
      <c r="AO53" s="145"/>
      <c r="AP53" s="145"/>
      <c r="AQ53" s="145"/>
      <c r="AR53" s="145"/>
      <c r="AS53" s="145"/>
      <c r="AT53" s="145"/>
      <c r="AU53" s="145"/>
      <c r="AV53" s="145"/>
      <c r="AW53" s="145"/>
      <c r="AX53" s="145"/>
      <c r="AY53" s="145"/>
      <c r="AZ53" s="145"/>
      <c r="BA53" s="145"/>
      <c r="BB53" s="145"/>
      <c r="BC53" s="145"/>
      <c r="BD53" s="145"/>
      <c r="BE53" s="145"/>
      <c r="BF53" s="145"/>
      <c r="BG53" s="145"/>
      <c r="BH53" s="145"/>
      <c r="BI53" s="145"/>
      <c r="BJ53" s="145"/>
      <c r="BK53" s="145"/>
      <c r="BL53" s="145"/>
      <c r="BM53" s="145"/>
      <c r="BN53" s="145"/>
      <c r="BO53" s="145"/>
      <c r="BP53" s="145"/>
      <c r="BQ53" s="145"/>
      <c r="BR53" s="145"/>
      <c r="BS53" s="145"/>
      <c r="BT53" s="145"/>
      <c r="BU53" s="145"/>
      <c r="BV53" s="145"/>
      <c r="BW53" s="145"/>
    </row>
    <row r="54" spans="1:75" ht="20.100000000000001" customHeight="1">
      <c r="A54" s="170" t="str">
        <f>IF(M2S_Eligibility_List!$B41&lt;&gt;"",RIGHT(M2S_Eligibility_List!$B41,LEN(M2S_Eligibility_List!$B41)-LEN(nmADwSP)),0)</f>
        <v>AutoCAD Map 3D</v>
      </c>
      <c r="B54" s="170" t="str">
        <f>IF(M2S_Eligibility_List!$B41&lt;&gt;"",RIGHT(M2S_Eligibility_List!$B41,LEN(M2S_Eligibility_List!$B41)-LEN(nmADwSP)),0)</f>
        <v>AutoCAD Map 3D</v>
      </c>
      <c r="C54" s="147" t="str">
        <f>SUBSTITUTE(_xlfn.IFNA(INDEX(M2S_Eligibility_List!$C$21:$BV$21,1,MATCH(C$271,$C291:$BW291,0)),""),nmADwSP,"")</f>
        <v>Architecture Engineering Construction Collection</v>
      </c>
      <c r="D54" s="147" t="str">
        <f>SUBSTITUTE(_xlfn.IFNA(INDEX(M2S_Eligibility_List!$C$21:$BV$21,1,MATCH(D$271,$C291:$BW291,0)),""),nmADwSP,"")</f>
        <v>Product Design &amp; Manufacturing Collection</v>
      </c>
      <c r="E54" s="147" t="str">
        <f>SUBSTITUTE(_xlfn.IFNA(INDEX(M2S_Eligibility_List!$C$21:$BV$21,1,MATCH(E$271,$C291:$BW291,0)),""),nmADwSP,"")</f>
        <v>AutoCAD - including specialized toolsets</v>
      </c>
      <c r="F54" s="147" t="str">
        <f>SUBSTITUTE(_xlfn.IFNA(INDEX(M2S_Eligibility_List!$C$21:$BV$21,1,MATCH(F$271,$C291:$BW291,0)),""),nmADwSP,"")</f>
        <v/>
      </c>
      <c r="G54" s="147" t="str">
        <f>SUBSTITUTE(_xlfn.IFNA(INDEX(M2S_Eligibility_List!$C$21:$BV$21,1,MATCH(G$271,$C291:$BW291,0)),""),nmADwSP,"")</f>
        <v/>
      </c>
      <c r="H54" s="147" t="str">
        <f>SUBSTITUTE(_xlfn.IFNA(INDEX(M2S_Eligibility_List!$C$21:$BV$21,1,MATCH(H$271,$C291:$BW291,0)),""),nmADwSP,"")</f>
        <v/>
      </c>
      <c r="I54" s="147" t="str">
        <f>SUBSTITUTE(_xlfn.IFNA(INDEX(M2S_Eligibility_List!$C$21:$BV$21,1,MATCH(I$271,$C291:$BW291,0)),""),nmADwSP,"")</f>
        <v/>
      </c>
      <c r="J54" s="147" t="str">
        <f>SUBSTITUTE(_xlfn.IFNA(INDEX(M2S_Eligibility_List!$C$21:$BV$21,1,MATCH(J$271,$C291:$BW291,0)),""),nmADwSP,"")</f>
        <v/>
      </c>
      <c r="K54" s="147" t="str">
        <f>SUBSTITUTE(_xlfn.IFNA(INDEX(M2S_Eligibility_List!$C$21:$BV$21,1,MATCH(K$271,$C291:$BW291,0)),""),nmADwSP,"")</f>
        <v/>
      </c>
      <c r="L54" s="147" t="str">
        <f>SUBSTITUTE(_xlfn.IFNA(INDEX(M2S_Eligibility_List!$C$21:$BV$21,1,MATCH(L$271,$C291:$BW291,0)),""),nmADwSP,"")</f>
        <v/>
      </c>
      <c r="M54" s="147" t="str">
        <f>SUBSTITUTE(_xlfn.IFNA(INDEX(M2S_Eligibility_List!$C$21:$BV$21,1,MATCH(M$271,$C291:$BW291,0)),""),nmADwSP,"")</f>
        <v/>
      </c>
      <c r="N54" s="147" t="str">
        <f>SUBSTITUTE(_xlfn.IFNA(INDEX(M2S_Eligibility_List!$C$21:$BV$21,1,MATCH(N$271,$C291:$BW291,0)),""),nmADwSP,"")</f>
        <v/>
      </c>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c r="BS54" s="145"/>
      <c r="BT54" s="145"/>
      <c r="BU54" s="145"/>
      <c r="BV54" s="145"/>
      <c r="BW54" s="145"/>
    </row>
    <row r="55" spans="1:75" ht="20.100000000000001" customHeight="1">
      <c r="A55" s="170" t="str">
        <f>IF(M2S_Eligibility_List!$B42&lt;&gt;"",RIGHT(M2S_Eligibility_List!$B42,LEN(M2S_Eligibility_List!$B42)-LEN(nmADwSP)),0)</f>
        <v>AutoCAD Mechanical</v>
      </c>
      <c r="B55" s="170" t="str">
        <f>IF(M2S_Eligibility_List!$B42&lt;&gt;"",RIGHT(M2S_Eligibility_List!$B42,LEN(M2S_Eligibility_List!$B42)-LEN(nmADwSP)),0)</f>
        <v>AutoCAD Mechanical</v>
      </c>
      <c r="C55" s="147" t="str">
        <f>SUBSTITUTE(_xlfn.IFNA(INDEX(M2S_Eligibility_List!$C$21:$BV$21,1,MATCH(C$271,$C292:$BW292,0)),""),nmADwSP,"")</f>
        <v>Architecture Engineering Construction Collection</v>
      </c>
      <c r="D55" s="147" t="str">
        <f>SUBSTITUTE(_xlfn.IFNA(INDEX(M2S_Eligibility_List!$C$21:$BV$21,1,MATCH(D$271,$C292:$BW292,0)),""),nmADwSP,"")</f>
        <v>Product Design &amp; Manufacturing Collection</v>
      </c>
      <c r="E55" s="147" t="str">
        <f>SUBSTITUTE(_xlfn.IFNA(INDEX(M2S_Eligibility_List!$C$21:$BV$21,1,MATCH(E$271,$C292:$BW292,0)),""),nmADwSP,"")</f>
        <v>AutoCAD - including specialized toolsets</v>
      </c>
      <c r="F55" s="147" t="str">
        <f>SUBSTITUTE(_xlfn.IFNA(INDEX(M2S_Eligibility_List!$C$21:$BV$21,1,MATCH(F$271,$C292:$BW292,0)),""),nmADwSP,"")</f>
        <v/>
      </c>
      <c r="G55" s="147" t="str">
        <f>SUBSTITUTE(_xlfn.IFNA(INDEX(M2S_Eligibility_List!$C$21:$BV$21,1,MATCH(G$271,$C292:$BW292,0)),""),nmADwSP,"")</f>
        <v/>
      </c>
      <c r="H55" s="147" t="str">
        <f>SUBSTITUTE(_xlfn.IFNA(INDEX(M2S_Eligibility_List!$C$21:$BV$21,1,MATCH(H$271,$C292:$BW292,0)),""),nmADwSP,"")</f>
        <v/>
      </c>
      <c r="I55" s="147" t="str">
        <f>SUBSTITUTE(_xlfn.IFNA(INDEX(M2S_Eligibility_List!$C$21:$BV$21,1,MATCH(I$271,$C292:$BW292,0)),""),nmADwSP,"")</f>
        <v/>
      </c>
      <c r="J55" s="147" t="str">
        <f>SUBSTITUTE(_xlfn.IFNA(INDEX(M2S_Eligibility_List!$C$21:$BV$21,1,MATCH(J$271,$C292:$BW292,0)),""),nmADwSP,"")</f>
        <v/>
      </c>
      <c r="K55" s="147" t="str">
        <f>SUBSTITUTE(_xlfn.IFNA(INDEX(M2S_Eligibility_List!$C$21:$BV$21,1,MATCH(K$271,$C292:$BW292,0)),""),nmADwSP,"")</f>
        <v/>
      </c>
      <c r="L55" s="147" t="str">
        <f>SUBSTITUTE(_xlfn.IFNA(INDEX(M2S_Eligibility_List!$C$21:$BV$21,1,MATCH(L$271,$C292:$BW292,0)),""),nmADwSP,"")</f>
        <v/>
      </c>
      <c r="M55" s="147" t="str">
        <f>SUBSTITUTE(_xlfn.IFNA(INDEX(M2S_Eligibility_List!$C$21:$BV$21,1,MATCH(M$271,$C292:$BW292,0)),""),nmADwSP,"")</f>
        <v/>
      </c>
      <c r="N55" s="147" t="str">
        <f>SUBSTITUTE(_xlfn.IFNA(INDEX(M2S_Eligibility_List!$C$21:$BV$21,1,MATCH(N$271,$C292:$BW292,0)),""),nmADwSP,"")</f>
        <v/>
      </c>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c r="BW55" s="145"/>
    </row>
    <row r="56" spans="1:75" ht="20.100000000000001" customHeight="1">
      <c r="A56" s="170" t="str">
        <f>IF(M2S_Eligibility_List!$B43&lt;&gt;"",RIGHT(M2S_Eligibility_List!$B43,LEN(M2S_Eligibility_List!$B43)-LEN(nmADwSP)),0)</f>
        <v>AutoCAD MEP</v>
      </c>
      <c r="B56" s="367" t="str">
        <f>IF(decCurrency=nmJPY,"",IF(M2S_Eligibility_List!$B43&lt;&gt;"",RIGHT(M2S_Eligibility_List!$B43,LEN(M2S_Eligibility_List!$B43)-LEN(nmADwSP)),0))</f>
        <v>AutoCAD MEP</v>
      </c>
      <c r="C56" s="367" t="str">
        <f>IF(decCurrency=nmJPY,"",SUBSTITUTE(_xlfn.IFNA(INDEX(M2S_Eligibility_List!$C$21:$BV$21,1,MATCH(C$271,$C293:$BW293,0)),""),nmADwSP,""))</f>
        <v>Architecture Engineering Construction Collection</v>
      </c>
      <c r="D56" s="367" t="str">
        <f>IF(decCurrency=nmJPY,"",SUBSTITUTE(_xlfn.IFNA(INDEX(M2S_Eligibility_List!$C$21:$BV$21,1,MATCH(D$271,$C293:$BW293,0)),""),nmADwSP,""))</f>
        <v>Product Design &amp; Manufacturing Collection</v>
      </c>
      <c r="E56" s="367" t="str">
        <f>IF(decCurrency=nmJPY,"",SUBSTITUTE(_xlfn.IFNA(INDEX(M2S_Eligibility_List!$C$21:$BV$21,1,MATCH(E$271,$C293:$BW293,0)),""),nmADwSP,""))</f>
        <v>AutoCAD - including specialized toolsets</v>
      </c>
      <c r="F56" s="147" t="str">
        <f>SUBSTITUTE(_xlfn.IFNA(INDEX(M2S_Eligibility_List!$C$21:$BV$21,1,MATCH(F$271,$C293:$BW293,0)),""),nmADwSP,"")</f>
        <v/>
      </c>
      <c r="G56" s="147" t="str">
        <f>SUBSTITUTE(_xlfn.IFNA(INDEX(M2S_Eligibility_List!$C$21:$BV$21,1,MATCH(G$271,$C293:$BW293,0)),""),nmADwSP,"")</f>
        <v/>
      </c>
      <c r="H56" s="147" t="str">
        <f>SUBSTITUTE(_xlfn.IFNA(INDEX(M2S_Eligibility_List!$C$21:$BV$21,1,MATCH(H$271,$C293:$BW293,0)),""),nmADwSP,"")</f>
        <v/>
      </c>
      <c r="I56" s="147" t="str">
        <f>SUBSTITUTE(_xlfn.IFNA(INDEX(M2S_Eligibility_List!$C$21:$BV$21,1,MATCH(I$271,$C293:$BW293,0)),""),nmADwSP,"")</f>
        <v/>
      </c>
      <c r="J56" s="147" t="str">
        <f>SUBSTITUTE(_xlfn.IFNA(INDEX(M2S_Eligibility_List!$C$21:$BV$21,1,MATCH(J$271,$C293:$BW293,0)),""),nmADwSP,"")</f>
        <v/>
      </c>
      <c r="K56" s="147" t="str">
        <f>SUBSTITUTE(_xlfn.IFNA(INDEX(M2S_Eligibility_List!$C$21:$BV$21,1,MATCH(K$271,$C293:$BW293,0)),""),nmADwSP,"")</f>
        <v/>
      </c>
      <c r="L56" s="147" t="str">
        <f>SUBSTITUTE(_xlfn.IFNA(INDEX(M2S_Eligibility_List!$C$21:$BV$21,1,MATCH(L$271,$C293:$BW293,0)),""),nmADwSP,"")</f>
        <v/>
      </c>
      <c r="M56" s="147" t="str">
        <f>SUBSTITUTE(_xlfn.IFNA(INDEX(M2S_Eligibility_List!$C$21:$BV$21,1,MATCH(M$271,$C293:$BW293,0)),""),nmADwSP,"")</f>
        <v/>
      </c>
      <c r="N56" s="147" t="str">
        <f>SUBSTITUTE(_xlfn.IFNA(INDEX(M2S_Eligibility_List!$C$21:$BV$21,1,MATCH(N$271,$C293:$BW293,0)),""),nmADwSP,"")</f>
        <v/>
      </c>
      <c r="O56" s="145"/>
      <c r="P56" s="145"/>
      <c r="Q56" s="145"/>
      <c r="R56" s="145"/>
      <c r="S56" s="145"/>
      <c r="T56" s="145"/>
      <c r="U56" s="145"/>
      <c r="V56" s="145"/>
      <c r="W56" s="145"/>
      <c r="X56" s="145"/>
      <c r="Y56" s="145"/>
      <c r="Z56" s="145"/>
      <c r="AA56" s="145"/>
      <c r="AB56" s="145"/>
      <c r="AC56" s="145"/>
      <c r="AD56" s="145"/>
      <c r="AE56" s="145"/>
      <c r="AF56" s="145"/>
      <c r="AG56" s="145"/>
      <c r="AH56" s="145"/>
      <c r="AI56" s="145"/>
      <c r="AJ56" s="145"/>
      <c r="AK56" s="145"/>
      <c r="AL56" s="145"/>
      <c r="AM56" s="145"/>
      <c r="AN56" s="145"/>
      <c r="AO56" s="145"/>
      <c r="AP56" s="145"/>
      <c r="AQ56" s="145"/>
      <c r="AR56" s="145"/>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c r="BW56" s="145"/>
    </row>
    <row r="57" spans="1:75" ht="20.100000000000001" customHeight="1">
      <c r="A57" s="170" t="str">
        <f>IF(M2S_Eligibility_List!$B44&lt;&gt;"",RIGHT(M2S_Eligibility_List!$B44,LEN(M2S_Eligibility_List!$B44)-LEN(nmADwSP)),0)</f>
        <v>AutoCAD P&amp;ID</v>
      </c>
      <c r="B57" s="170" t="str">
        <f>IF(M2S_Eligibility_List!$B44&lt;&gt;"",RIGHT(M2S_Eligibility_List!$B44,LEN(M2S_Eligibility_List!$B44)-LEN(nmADwSP)),0)</f>
        <v>AutoCAD P&amp;ID</v>
      </c>
      <c r="C57" s="147" t="str">
        <f>SUBSTITUTE(_xlfn.IFNA(INDEX(M2S_Eligibility_List!$C$21:$BV$21,1,MATCH(C$271,$C294:$BW294,0)),""),nmADwSP,"")</f>
        <v>Architecture Engineering Construction Collection</v>
      </c>
      <c r="D57" s="147" t="str">
        <f>SUBSTITUTE(_xlfn.IFNA(INDEX(M2S_Eligibility_List!$C$21:$BV$21,1,MATCH(D$271,$C294:$BW294,0)),""),nmADwSP,"")</f>
        <v>Product Design &amp; Manufacturing Collection</v>
      </c>
      <c r="E57" s="147" t="str">
        <f>SUBSTITUTE(_xlfn.IFNA(INDEX(M2S_Eligibility_List!$C$21:$BV$21,1,MATCH(E$271,$C294:$BW294,0)),""),nmADwSP,"")</f>
        <v/>
      </c>
      <c r="F57" s="147" t="str">
        <f>SUBSTITUTE(_xlfn.IFNA(INDEX(M2S_Eligibility_List!$C$21:$BV$21,1,MATCH(F$271,$C294:$BW294,0)),""),nmADwSP,"")</f>
        <v/>
      </c>
      <c r="G57" s="147" t="str">
        <f>SUBSTITUTE(_xlfn.IFNA(INDEX(M2S_Eligibility_List!$C$21:$BV$21,1,MATCH(G$271,$C294:$BW294,0)),""),nmADwSP,"")</f>
        <v/>
      </c>
      <c r="H57" s="147" t="str">
        <f>SUBSTITUTE(_xlfn.IFNA(INDEX(M2S_Eligibility_List!$C$21:$BV$21,1,MATCH(H$271,$C294:$BW294,0)),""),nmADwSP,"")</f>
        <v/>
      </c>
      <c r="I57" s="147" t="str">
        <f>SUBSTITUTE(_xlfn.IFNA(INDEX(M2S_Eligibility_List!$C$21:$BV$21,1,MATCH(I$271,$C294:$BW294,0)),""),nmADwSP,"")</f>
        <v/>
      </c>
      <c r="J57" s="147" t="str">
        <f>SUBSTITUTE(_xlfn.IFNA(INDEX(M2S_Eligibility_List!$C$21:$BV$21,1,MATCH(J$271,$C294:$BW294,0)),""),nmADwSP,"")</f>
        <v/>
      </c>
      <c r="K57" s="147" t="str">
        <f>SUBSTITUTE(_xlfn.IFNA(INDEX(M2S_Eligibility_List!$C$21:$BV$21,1,MATCH(K$271,$C294:$BW294,0)),""),nmADwSP,"")</f>
        <v/>
      </c>
      <c r="L57" s="147" t="str">
        <f>SUBSTITUTE(_xlfn.IFNA(INDEX(M2S_Eligibility_List!$C$21:$BV$21,1,MATCH(L$271,$C294:$BW294,0)),""),nmADwSP,"")</f>
        <v/>
      </c>
      <c r="M57" s="147" t="str">
        <f>SUBSTITUTE(_xlfn.IFNA(INDEX(M2S_Eligibility_List!$C$21:$BV$21,1,MATCH(M$271,$C294:$BW294,0)),""),nmADwSP,"")</f>
        <v/>
      </c>
      <c r="N57" s="147" t="str">
        <f>SUBSTITUTE(_xlfn.IFNA(INDEX(M2S_Eligibility_List!$C$21:$BV$21,1,MATCH(N$271,$C294:$BW294,0)),""),nmADwSP,"")</f>
        <v/>
      </c>
      <c r="O57" s="145"/>
      <c r="P57" s="145"/>
      <c r="Q57" s="145"/>
      <c r="R57" s="145"/>
      <c r="S57" s="145"/>
      <c r="T57" s="145"/>
      <c r="U57" s="145"/>
      <c r="V57" s="145"/>
      <c r="W57" s="145"/>
      <c r="X57" s="145"/>
      <c r="Y57" s="145"/>
      <c r="Z57" s="145"/>
      <c r="AA57" s="145"/>
      <c r="AB57" s="145"/>
      <c r="AC57" s="145"/>
      <c r="AD57" s="145"/>
      <c r="AE57" s="145"/>
      <c r="AF57" s="145"/>
      <c r="AG57" s="145"/>
      <c r="AH57" s="145"/>
      <c r="AI57" s="145"/>
      <c r="AJ57" s="145"/>
      <c r="AK57" s="145"/>
      <c r="AL57" s="145"/>
      <c r="AM57" s="145"/>
      <c r="AN57" s="145"/>
      <c r="AO57" s="145"/>
      <c r="AP57" s="145"/>
      <c r="AQ57" s="145"/>
      <c r="AR57" s="145"/>
      <c r="AS57" s="145"/>
      <c r="AT57" s="145"/>
      <c r="AU57" s="145"/>
      <c r="AV57" s="145"/>
      <c r="AW57" s="145"/>
      <c r="AX57" s="145"/>
      <c r="AY57" s="145"/>
      <c r="AZ57" s="145"/>
      <c r="BA57" s="145"/>
      <c r="BB57" s="145"/>
      <c r="BC57" s="145"/>
      <c r="BD57" s="145"/>
      <c r="BE57" s="145"/>
      <c r="BF57" s="145"/>
      <c r="BG57" s="145"/>
      <c r="BH57" s="145"/>
      <c r="BI57" s="145"/>
      <c r="BJ57" s="145"/>
      <c r="BK57" s="145"/>
      <c r="BL57" s="145"/>
      <c r="BM57" s="145"/>
      <c r="BN57" s="145"/>
      <c r="BO57" s="145"/>
      <c r="BP57" s="145"/>
      <c r="BQ57" s="145"/>
      <c r="BR57" s="145"/>
      <c r="BS57" s="145"/>
      <c r="BT57" s="145"/>
      <c r="BU57" s="145"/>
      <c r="BV57" s="145"/>
      <c r="BW57" s="145"/>
    </row>
    <row r="58" spans="1:75" ht="20.100000000000001" customHeight="1">
      <c r="A58" s="170" t="str">
        <f>IF(M2S_Eligibility_List!$B45&lt;&gt;"",RIGHT(M2S_Eligibility_List!$B45,LEN(M2S_Eligibility_List!$B45)-LEN(nmADwSP)),0)</f>
        <v>AutoCAD Plant 3D*</v>
      </c>
      <c r="B58" s="170" t="str">
        <f>IF(M2S_Eligibility_List!$B45&lt;&gt;"",RIGHT(M2S_Eligibility_List!$B45,LEN(M2S_Eligibility_List!$B45)-LEN(nmADwSP)),0)</f>
        <v>AutoCAD Plant 3D*</v>
      </c>
      <c r="C58" s="147" t="str">
        <f>SUBSTITUTE(_xlfn.IFNA(INDEX(M2S_Eligibility_List!$C$21:$BV$21,1,MATCH(C$271,$C295:$BW295,0)),""),nmADwSP,"")</f>
        <v>Architecture Engineering Construction Collection</v>
      </c>
      <c r="D58" s="147" t="str">
        <f>SUBSTITUTE(_xlfn.IFNA(INDEX(M2S_Eligibility_List!$C$21:$BV$21,1,MATCH(D$271,$C295:$BW295,0)),""),nmADwSP,"")</f>
        <v>Product Design &amp; Manufacturing Collection</v>
      </c>
      <c r="E58" s="147" t="str">
        <f>SUBSTITUTE(_xlfn.IFNA(INDEX(M2S_Eligibility_List!$C$21:$BV$21,1,MATCH(E$271,$C295:$BW295,0)),""),nmADwSP,"")</f>
        <v>AutoCAD - including specialized toolsets</v>
      </c>
      <c r="F58" s="147" t="str">
        <f>SUBSTITUTE(_xlfn.IFNA(INDEX(M2S_Eligibility_List!$C$21:$BV$21,1,MATCH(F$271,$C295:$BW295,0)),""),nmADwSP,"")</f>
        <v/>
      </c>
      <c r="G58" s="147" t="str">
        <f>SUBSTITUTE(_xlfn.IFNA(INDEX(M2S_Eligibility_List!$C$21:$BV$21,1,MATCH(G$271,$C295:$BW295,0)),""),nmADwSP,"")</f>
        <v/>
      </c>
      <c r="H58" s="147" t="str">
        <f>SUBSTITUTE(_xlfn.IFNA(INDEX(M2S_Eligibility_List!$C$21:$BV$21,1,MATCH(H$271,$C295:$BW295,0)),""),nmADwSP,"")</f>
        <v/>
      </c>
      <c r="I58" s="147" t="str">
        <f>SUBSTITUTE(_xlfn.IFNA(INDEX(M2S_Eligibility_List!$C$21:$BV$21,1,MATCH(I$271,$C295:$BW295,0)),""),nmADwSP,"")</f>
        <v/>
      </c>
      <c r="J58" s="147" t="str">
        <f>SUBSTITUTE(_xlfn.IFNA(INDEX(M2S_Eligibility_List!$C$21:$BV$21,1,MATCH(J$271,$C295:$BW295,0)),""),nmADwSP,"")</f>
        <v/>
      </c>
      <c r="K58" s="147" t="str">
        <f>SUBSTITUTE(_xlfn.IFNA(INDEX(M2S_Eligibility_List!$C$21:$BV$21,1,MATCH(K$271,$C295:$BW295,0)),""),nmADwSP,"")</f>
        <v/>
      </c>
      <c r="L58" s="147" t="str">
        <f>SUBSTITUTE(_xlfn.IFNA(INDEX(M2S_Eligibility_List!$C$21:$BV$21,1,MATCH(L$271,$C295:$BW295,0)),""),nmADwSP,"")</f>
        <v/>
      </c>
      <c r="M58" s="147" t="str">
        <f>SUBSTITUTE(_xlfn.IFNA(INDEX(M2S_Eligibility_List!$C$21:$BV$21,1,MATCH(M$271,$C295:$BW295,0)),""),nmADwSP,"")</f>
        <v/>
      </c>
      <c r="N58" s="147" t="str">
        <f>SUBSTITUTE(_xlfn.IFNA(INDEX(M2S_Eligibility_List!$C$21:$BV$21,1,MATCH(N$271,$C295:$BW295,0)),""),nmADwSP,"")</f>
        <v/>
      </c>
      <c r="O58" s="145"/>
      <c r="P58" s="145"/>
      <c r="Q58" s="145"/>
      <c r="R58" s="145"/>
      <c r="S58" s="145"/>
      <c r="T58" s="145"/>
      <c r="U58" s="145"/>
      <c r="V58" s="145"/>
      <c r="W58" s="145"/>
      <c r="X58" s="145"/>
      <c r="Y58" s="145"/>
      <c r="Z58" s="145"/>
      <c r="AA58" s="145"/>
      <c r="AB58" s="145"/>
      <c r="AC58" s="145"/>
      <c r="AD58" s="145"/>
      <c r="AE58" s="145"/>
      <c r="AF58" s="145"/>
      <c r="AG58" s="145"/>
      <c r="AH58" s="145"/>
      <c r="AI58" s="145"/>
      <c r="AJ58" s="145"/>
      <c r="AK58" s="145"/>
      <c r="AL58" s="145"/>
      <c r="AM58" s="145"/>
      <c r="AN58" s="145"/>
      <c r="AO58" s="145"/>
      <c r="AP58" s="145"/>
      <c r="AQ58" s="145"/>
      <c r="AR58" s="145"/>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c r="BW58" s="145"/>
    </row>
    <row r="59" spans="1:75" ht="20.100000000000001" customHeight="1">
      <c r="A59" s="170" t="str">
        <f>IF(M2S_Eligibility_List!$B46&lt;&gt;"",RIGHT(M2S_Eligibility_List!$B46,LEN(M2S_Eligibility_List!$B46)-LEN(nmADwSP)),0)</f>
        <v>AutoCAD Raster Design</v>
      </c>
      <c r="B59" s="170" t="str">
        <f>IF(M2S_Eligibility_List!$B46&lt;&gt;"",RIGHT(M2S_Eligibility_List!$B46,LEN(M2S_Eligibility_List!$B46)-LEN(nmADwSP)),0)</f>
        <v>AutoCAD Raster Design</v>
      </c>
      <c r="C59" s="147" t="str">
        <f>SUBSTITUTE(_xlfn.IFNA(INDEX(M2S_Eligibility_List!$C$21:$BV$21,1,MATCH(C$271,$C296:$BW296,0)),""),nmADwSP,"")</f>
        <v>Architecture Engineering Construction Collection</v>
      </c>
      <c r="D59" s="147" t="str">
        <f>SUBSTITUTE(_xlfn.IFNA(INDEX(M2S_Eligibility_List!$C$21:$BV$21,1,MATCH(D$271,$C296:$BW296,0)),""),nmADwSP,"")</f>
        <v>Product Design &amp; Manufacturing Collection</v>
      </c>
      <c r="E59" s="147" t="str">
        <f>SUBSTITUTE(_xlfn.IFNA(INDEX(M2S_Eligibility_List!$C$21:$BV$21,1,MATCH(E$271,$C296:$BW296,0)),""),nmADwSP,"")</f>
        <v>AutoCAD - including specialized toolsets</v>
      </c>
      <c r="F59" s="147" t="str">
        <f>SUBSTITUTE(_xlfn.IFNA(INDEX(M2S_Eligibility_List!$C$21:$BV$21,1,MATCH(F$271,$C296:$BW296,0)),""),nmADwSP,"")</f>
        <v/>
      </c>
      <c r="G59" s="147" t="str">
        <f>SUBSTITUTE(_xlfn.IFNA(INDEX(M2S_Eligibility_List!$C$21:$BV$21,1,MATCH(G$271,$C296:$BW296,0)),""),nmADwSP,"")</f>
        <v/>
      </c>
      <c r="H59" s="147" t="str">
        <f>SUBSTITUTE(_xlfn.IFNA(INDEX(M2S_Eligibility_List!$C$21:$BV$21,1,MATCH(H$271,$C296:$BW296,0)),""),nmADwSP,"")</f>
        <v/>
      </c>
      <c r="I59" s="147" t="str">
        <f>SUBSTITUTE(_xlfn.IFNA(INDEX(M2S_Eligibility_List!$C$21:$BV$21,1,MATCH(I$271,$C296:$BW296,0)),""),nmADwSP,"")</f>
        <v/>
      </c>
      <c r="J59" s="147" t="str">
        <f>SUBSTITUTE(_xlfn.IFNA(INDEX(M2S_Eligibility_List!$C$21:$BV$21,1,MATCH(J$271,$C296:$BW296,0)),""),nmADwSP,"")</f>
        <v/>
      </c>
      <c r="K59" s="147" t="str">
        <f>SUBSTITUTE(_xlfn.IFNA(INDEX(M2S_Eligibility_List!$C$21:$BV$21,1,MATCH(K$271,$C296:$BW296,0)),""),nmADwSP,"")</f>
        <v/>
      </c>
      <c r="L59" s="147" t="str">
        <f>SUBSTITUTE(_xlfn.IFNA(INDEX(M2S_Eligibility_List!$C$21:$BV$21,1,MATCH(L$271,$C296:$BW296,0)),""),nmADwSP,"")</f>
        <v/>
      </c>
      <c r="M59" s="147" t="str">
        <f>SUBSTITUTE(_xlfn.IFNA(INDEX(M2S_Eligibility_List!$C$21:$BV$21,1,MATCH(M$271,$C296:$BW296,0)),""),nmADwSP,"")</f>
        <v/>
      </c>
      <c r="N59" s="147" t="str">
        <f>SUBSTITUTE(_xlfn.IFNA(INDEX(M2S_Eligibility_List!$C$21:$BV$21,1,MATCH(N$271,$C296:$BW296,0)),""),nmADwSP,"")</f>
        <v/>
      </c>
      <c r="O59" s="145"/>
      <c r="P59" s="145"/>
      <c r="Q59" s="145"/>
      <c r="R59" s="145"/>
      <c r="S59" s="145"/>
      <c r="T59" s="145"/>
      <c r="U59" s="145"/>
      <c r="V59" s="145"/>
      <c r="W59" s="145"/>
      <c r="X59" s="145"/>
      <c r="Y59" s="145"/>
      <c r="Z59" s="145"/>
      <c r="AA59" s="145"/>
      <c r="AB59" s="145"/>
      <c r="AC59" s="145"/>
      <c r="AD59" s="145"/>
      <c r="AE59" s="145"/>
      <c r="AF59" s="145"/>
      <c r="AG59" s="145"/>
      <c r="AH59" s="145"/>
      <c r="AI59" s="145"/>
      <c r="AJ59" s="145"/>
      <c r="AK59" s="145"/>
      <c r="AL59" s="145"/>
      <c r="AM59" s="145"/>
      <c r="AN59" s="145"/>
      <c r="AO59" s="145"/>
      <c r="AP59" s="145"/>
      <c r="AQ59" s="145"/>
      <c r="AR59" s="145"/>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c r="BW59" s="145"/>
    </row>
    <row r="60" spans="1:75" ht="20.100000000000001" customHeight="1">
      <c r="A60" s="170" t="str">
        <f>IF(M2S_Eligibility_List!$B47&lt;&gt;"",RIGHT(M2S_Eligibility_List!$B47,LEN(M2S_Eligibility_List!$B47)-LEN(nmADwSP)),0)</f>
        <v>AutoCAD with Advance Steel</v>
      </c>
      <c r="B60" s="170" t="str">
        <f>IF(M2S_Eligibility_List!$B47&lt;&gt;"",RIGHT(M2S_Eligibility_List!$B47,LEN(M2S_Eligibility_List!$B47)-LEN(nmADwSP)),0)</f>
        <v>AutoCAD with Advance Steel</v>
      </c>
      <c r="C60" s="147" t="str">
        <f>SUBSTITUTE(_xlfn.IFNA(INDEX(M2S_Eligibility_List!$C$21:$BV$21,1,MATCH(C$271,$C297:$BW297,0)),""),nmADwSP,"")</f>
        <v>Advance Steel</v>
      </c>
      <c r="D60" s="147" t="str">
        <f>SUBSTITUTE(_xlfn.IFNA(INDEX(M2S_Eligibility_List!$C$21:$BV$21,1,MATCH(D$271,$C297:$BW297,0)),""),nmADwSP,"")</f>
        <v/>
      </c>
      <c r="E60" s="147" t="str">
        <f>SUBSTITUTE(_xlfn.IFNA(INDEX(M2S_Eligibility_List!$C$21:$BV$21,1,MATCH(E$271,$C297:$BW297,0)),""),nmADwSP,"")</f>
        <v/>
      </c>
      <c r="F60" s="147" t="str">
        <f>SUBSTITUTE(_xlfn.IFNA(INDEX(M2S_Eligibility_List!$C$21:$BV$21,1,MATCH(F$271,$C297:$BW297,0)),""),nmADwSP,"")</f>
        <v/>
      </c>
      <c r="G60" s="147" t="str">
        <f>SUBSTITUTE(_xlfn.IFNA(INDEX(M2S_Eligibility_List!$C$21:$BV$21,1,MATCH(G$271,$C297:$BW297,0)),""),nmADwSP,"")</f>
        <v/>
      </c>
      <c r="H60" s="147" t="str">
        <f>SUBSTITUTE(_xlfn.IFNA(INDEX(M2S_Eligibility_List!$C$21:$BV$21,1,MATCH(H$271,$C297:$BW297,0)),""),nmADwSP,"")</f>
        <v/>
      </c>
      <c r="I60" s="147" t="str">
        <f>SUBSTITUTE(_xlfn.IFNA(INDEX(M2S_Eligibility_List!$C$21:$BV$21,1,MATCH(I$271,$C297:$BW297,0)),""),nmADwSP,"")</f>
        <v/>
      </c>
      <c r="J60" s="147" t="str">
        <f>SUBSTITUTE(_xlfn.IFNA(INDEX(M2S_Eligibility_List!$C$21:$BV$21,1,MATCH(J$271,$C297:$BW297,0)),""),nmADwSP,"")</f>
        <v/>
      </c>
      <c r="K60" s="147" t="str">
        <f>SUBSTITUTE(_xlfn.IFNA(INDEX(M2S_Eligibility_List!$C$21:$BV$21,1,MATCH(K$271,$C297:$BW297,0)),""),nmADwSP,"")</f>
        <v/>
      </c>
      <c r="L60" s="147" t="str">
        <f>SUBSTITUTE(_xlfn.IFNA(INDEX(M2S_Eligibility_List!$C$21:$BV$21,1,MATCH(L$271,$C297:$BW297,0)),""),nmADwSP,"")</f>
        <v/>
      </c>
      <c r="M60" s="147" t="str">
        <f>SUBSTITUTE(_xlfn.IFNA(INDEX(M2S_Eligibility_List!$C$21:$BV$21,1,MATCH(M$271,$C297:$BW297,0)),""),nmADwSP,"")</f>
        <v/>
      </c>
      <c r="N60" s="147" t="str">
        <f>SUBSTITUTE(_xlfn.IFNA(INDEX(M2S_Eligibility_List!$C$21:$BV$21,1,MATCH(N$271,$C297:$BW297,0)),""),nmADwSP,"")</f>
        <v/>
      </c>
      <c r="O60" s="145"/>
      <c r="P60" s="145"/>
      <c r="Q60" s="145"/>
      <c r="R60" s="145"/>
      <c r="S60" s="145"/>
      <c r="T60" s="145"/>
      <c r="U60" s="145"/>
      <c r="V60" s="145"/>
      <c r="W60" s="145"/>
      <c r="X60" s="145"/>
      <c r="Y60" s="145"/>
      <c r="Z60" s="145"/>
      <c r="AA60" s="145"/>
      <c r="AB60" s="145"/>
      <c r="AC60" s="145"/>
      <c r="AD60" s="145"/>
      <c r="AE60" s="145"/>
      <c r="AF60" s="145"/>
      <c r="AG60" s="145"/>
      <c r="AH60" s="145"/>
      <c r="AI60" s="145"/>
      <c r="AJ60" s="145"/>
      <c r="AK60" s="145"/>
      <c r="AL60" s="145"/>
      <c r="AM60" s="145"/>
      <c r="AN60" s="145"/>
      <c r="AO60" s="145"/>
      <c r="AP60" s="145"/>
      <c r="AQ60" s="145"/>
      <c r="AR60" s="145"/>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c r="BW60" s="145"/>
    </row>
    <row r="61" spans="1:75" ht="20.100000000000001" customHeight="1">
      <c r="A61" s="170" t="str">
        <f>IF(M2S_Eligibility_List!$B48&lt;&gt;"",RIGHT(M2S_Eligibility_List!$B48,LEN(M2S_Eligibility_List!$B48)-LEN(nmADwSP)),0)</f>
        <v>Building Design Suite Premium</v>
      </c>
      <c r="B61" s="170" t="str">
        <f>IF(M2S_Eligibility_List!$B48&lt;&gt;"",RIGHT(M2S_Eligibility_List!$B48,LEN(M2S_Eligibility_List!$B48)-LEN(nmADwSP)),0)</f>
        <v>Building Design Suite Premium</v>
      </c>
      <c r="C61" s="147" t="str">
        <f>SUBSTITUTE(_xlfn.IFNA(INDEX(M2S_Eligibility_List!$C$21:$BV$21,1,MATCH(C$271,$C298:$BW298,0)),""),nmADwSP,"")</f>
        <v>Architecture Engineering Construction Collection</v>
      </c>
      <c r="D61" s="147" t="str">
        <f>SUBSTITUTE(_xlfn.IFNA(INDEX(M2S_Eligibility_List!$C$21:$BV$21,1,MATCH(D$271,$C298:$BW298,0)),""),nmADwSP,"")</f>
        <v>Product Design &amp; Manufacturing Collection</v>
      </c>
      <c r="E61" s="147" t="str">
        <f>SUBSTITUTE(_xlfn.IFNA(INDEX(M2S_Eligibility_List!$C$21:$BV$21,1,MATCH(E$271,$C298:$BW298,0)),""),nmADwSP,"")</f>
        <v/>
      </c>
      <c r="F61" s="147" t="str">
        <f>SUBSTITUTE(_xlfn.IFNA(INDEX(M2S_Eligibility_List!$C$21:$BV$21,1,MATCH(F$271,$C298:$BW298,0)),""),nmADwSP,"")</f>
        <v/>
      </c>
      <c r="G61" s="147" t="str">
        <f>SUBSTITUTE(_xlfn.IFNA(INDEX(M2S_Eligibility_List!$C$21:$BV$21,1,MATCH(G$271,$C298:$BW298,0)),""),nmADwSP,"")</f>
        <v/>
      </c>
      <c r="H61" s="147" t="str">
        <f>SUBSTITUTE(_xlfn.IFNA(INDEX(M2S_Eligibility_List!$C$21:$BV$21,1,MATCH(H$271,$C298:$BW298,0)),""),nmADwSP,"")</f>
        <v/>
      </c>
      <c r="I61" s="147" t="str">
        <f>SUBSTITUTE(_xlfn.IFNA(INDEX(M2S_Eligibility_List!$C$21:$BV$21,1,MATCH(I$271,$C298:$BW298,0)),""),nmADwSP,"")</f>
        <v/>
      </c>
      <c r="J61" s="147" t="str">
        <f>SUBSTITUTE(_xlfn.IFNA(INDEX(M2S_Eligibility_List!$C$21:$BV$21,1,MATCH(J$271,$C298:$BW298,0)),""),nmADwSP,"")</f>
        <v/>
      </c>
      <c r="K61" s="147" t="str">
        <f>SUBSTITUTE(_xlfn.IFNA(INDEX(M2S_Eligibility_List!$C$21:$BV$21,1,MATCH(K$271,$C298:$BW298,0)),""),nmADwSP,"")</f>
        <v/>
      </c>
      <c r="L61" s="147" t="str">
        <f>SUBSTITUTE(_xlfn.IFNA(INDEX(M2S_Eligibility_List!$C$21:$BV$21,1,MATCH(L$271,$C298:$BW298,0)),""),nmADwSP,"")</f>
        <v/>
      </c>
      <c r="M61" s="147" t="str">
        <f>SUBSTITUTE(_xlfn.IFNA(INDEX(M2S_Eligibility_List!$C$21:$BV$21,1,MATCH(M$271,$C298:$BW298,0)),""),nmADwSP,"")</f>
        <v/>
      </c>
      <c r="N61" s="147" t="str">
        <f>SUBSTITUTE(_xlfn.IFNA(INDEX(M2S_Eligibility_List!$C$21:$BV$21,1,MATCH(N$271,$C298:$BW298,0)),""),nmADwSP,"")</f>
        <v/>
      </c>
      <c r="O61" s="145"/>
      <c r="P61" s="145"/>
      <c r="Q61" s="145"/>
      <c r="R61" s="145"/>
      <c r="S61" s="145"/>
      <c r="T61" s="145"/>
      <c r="U61" s="145"/>
      <c r="V61" s="145"/>
      <c r="W61" s="145"/>
      <c r="X61" s="145"/>
      <c r="Y61" s="145"/>
      <c r="Z61" s="145"/>
      <c r="AA61" s="145"/>
      <c r="AB61" s="145"/>
      <c r="AC61" s="145"/>
      <c r="AD61" s="145"/>
      <c r="AE61" s="145"/>
      <c r="AF61" s="145"/>
      <c r="AG61" s="145"/>
      <c r="AH61" s="145"/>
      <c r="AI61" s="145"/>
      <c r="AJ61" s="145"/>
      <c r="AK61" s="145"/>
      <c r="AL61" s="145"/>
      <c r="AM61" s="145"/>
      <c r="AN61" s="145"/>
      <c r="AO61" s="145"/>
      <c r="AP61" s="145"/>
      <c r="AQ61" s="145"/>
      <c r="AR61" s="145"/>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c r="BW61" s="145"/>
    </row>
    <row r="62" spans="1:75" ht="20.100000000000001" customHeight="1">
      <c r="A62" s="170" t="str">
        <f>IF(M2S_Eligibility_List!$B49&lt;&gt;"",RIGHT(M2S_Eligibility_List!$B49,LEN(M2S_Eligibility_List!$B49)-LEN(nmADwSP)),0)</f>
        <v>Building Design Suite Standard</v>
      </c>
      <c r="B62" s="170" t="str">
        <f>IF(M2S_Eligibility_List!$B49&lt;&gt;"",RIGHT(M2S_Eligibility_List!$B49,LEN(M2S_Eligibility_List!$B49)-LEN(nmADwSP)),0)</f>
        <v>Building Design Suite Standard</v>
      </c>
      <c r="C62" s="147" t="str">
        <f>SUBSTITUTE(_xlfn.IFNA(INDEX(M2S_Eligibility_List!$C$21:$BV$21,1,MATCH(C$271,$C299:$BW299,0)),""),nmADwSP,"")</f>
        <v>Architecture Engineering Construction Collection</v>
      </c>
      <c r="D62" s="147" t="str">
        <f>SUBSTITUTE(_xlfn.IFNA(INDEX(M2S_Eligibility_List!$C$21:$BV$21,1,MATCH(D$271,$C299:$BW299,0)),""),nmADwSP,"")</f>
        <v>Product Design &amp; Manufacturing Collection</v>
      </c>
      <c r="E62" s="147" t="str">
        <f>SUBSTITUTE(_xlfn.IFNA(INDEX(M2S_Eligibility_List!$C$21:$BV$21,1,MATCH(E$271,$C299:$BW299,0)),""),nmADwSP,"")</f>
        <v>AutoCAD - including specialized toolsets</v>
      </c>
      <c r="F62" s="147" t="str">
        <f>SUBSTITUTE(_xlfn.IFNA(INDEX(M2S_Eligibility_List!$C$21:$BV$21,1,MATCH(F$271,$C299:$BW299,0)),""),nmADwSP,"")</f>
        <v/>
      </c>
      <c r="G62" s="147" t="str">
        <f>SUBSTITUTE(_xlfn.IFNA(INDEX(M2S_Eligibility_List!$C$21:$BV$21,1,MATCH(G$271,$C299:$BW299,0)),""),nmADwSP,"")</f>
        <v/>
      </c>
      <c r="H62" s="147" t="str">
        <f>SUBSTITUTE(_xlfn.IFNA(INDEX(M2S_Eligibility_List!$C$21:$BV$21,1,MATCH(H$271,$C299:$BW299,0)),""),nmADwSP,"")</f>
        <v/>
      </c>
      <c r="I62" s="147" t="str">
        <f>SUBSTITUTE(_xlfn.IFNA(INDEX(M2S_Eligibility_List!$C$21:$BV$21,1,MATCH(I$271,$C299:$BW299,0)),""),nmADwSP,"")</f>
        <v/>
      </c>
      <c r="J62" s="147" t="str">
        <f>SUBSTITUTE(_xlfn.IFNA(INDEX(M2S_Eligibility_List!$C$21:$BV$21,1,MATCH(J$271,$C299:$BW299,0)),""),nmADwSP,"")</f>
        <v/>
      </c>
      <c r="K62" s="147" t="str">
        <f>SUBSTITUTE(_xlfn.IFNA(INDEX(M2S_Eligibility_List!$C$21:$BV$21,1,MATCH(K$271,$C299:$BW299,0)),""),nmADwSP,"")</f>
        <v/>
      </c>
      <c r="L62" s="147" t="str">
        <f>SUBSTITUTE(_xlfn.IFNA(INDEX(M2S_Eligibility_List!$C$21:$BV$21,1,MATCH(L$271,$C299:$BW299,0)),""),nmADwSP,"")</f>
        <v/>
      </c>
      <c r="M62" s="147" t="str">
        <f>SUBSTITUTE(_xlfn.IFNA(INDEX(M2S_Eligibility_List!$C$21:$BV$21,1,MATCH(M$271,$C299:$BW299,0)),""),nmADwSP,"")</f>
        <v/>
      </c>
      <c r="N62" s="147" t="str">
        <f>SUBSTITUTE(_xlfn.IFNA(INDEX(M2S_Eligibility_List!$C$21:$BV$21,1,MATCH(N$271,$C299:$BW299,0)),""),nmADwSP,"")</f>
        <v/>
      </c>
      <c r="O62" s="145"/>
      <c r="P62" s="145"/>
      <c r="Q62" s="145"/>
      <c r="R62" s="145"/>
      <c r="S62" s="145"/>
      <c r="T62" s="145"/>
      <c r="U62" s="145"/>
      <c r="V62" s="145"/>
      <c r="W62" s="145"/>
      <c r="X62" s="145"/>
      <c r="Y62" s="145"/>
      <c r="Z62" s="145"/>
      <c r="AA62" s="145"/>
      <c r="AB62" s="145"/>
      <c r="AC62" s="145"/>
      <c r="AD62" s="145"/>
      <c r="AE62" s="145"/>
      <c r="AF62" s="145"/>
      <c r="AG62" s="145"/>
      <c r="AH62" s="145"/>
      <c r="AI62" s="145"/>
      <c r="AJ62" s="145"/>
      <c r="AK62" s="145"/>
      <c r="AL62" s="145"/>
      <c r="AM62" s="145"/>
      <c r="AN62" s="145"/>
      <c r="AO62" s="145"/>
      <c r="AP62" s="145"/>
      <c r="AQ62" s="145"/>
      <c r="AR62" s="145"/>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c r="BW62" s="145"/>
    </row>
    <row r="63" spans="1:75" ht="20.100000000000001" customHeight="1">
      <c r="A63" s="170" t="str">
        <f>IF(M2S_Eligibility_List!$B50&lt;&gt;"",RIGHT(M2S_Eligibility_List!$B50,LEN(M2S_Eligibility_List!$B50)-LEN(nmADwSP)),0)</f>
        <v>Building Design Suite Ultimate</v>
      </c>
      <c r="B63" s="170" t="str">
        <f>IF(M2S_Eligibility_List!$B50&lt;&gt;"",RIGHT(M2S_Eligibility_List!$B50,LEN(M2S_Eligibility_List!$B50)-LEN(nmADwSP)),0)</f>
        <v>Building Design Suite Ultimate</v>
      </c>
      <c r="C63" s="147" t="str">
        <f>SUBSTITUTE(_xlfn.IFNA(INDEX(M2S_Eligibility_List!$C$21:$BV$21,1,MATCH(C$271,$C300:$BW300,0)),""),nmADwSP,"")</f>
        <v>Architecture Engineering Construction Collection</v>
      </c>
      <c r="D63" s="147" t="str">
        <f>SUBSTITUTE(_xlfn.IFNA(INDEX(M2S_Eligibility_List!$C$21:$BV$21,1,MATCH(D$271,$C300:$BW300,0)),""),nmADwSP,"")</f>
        <v>Product Design &amp; Manufacturing Collection</v>
      </c>
      <c r="E63" s="147" t="str">
        <f>SUBSTITUTE(_xlfn.IFNA(INDEX(M2S_Eligibility_List!$C$21:$BV$21,1,MATCH(E$271,$C300:$BW300,0)),""),nmADwSP,"")</f>
        <v/>
      </c>
      <c r="F63" s="147" t="str">
        <f>SUBSTITUTE(_xlfn.IFNA(INDEX(M2S_Eligibility_List!$C$21:$BV$21,1,MATCH(F$271,$C300:$BW300,0)),""),nmADwSP,"")</f>
        <v/>
      </c>
      <c r="G63" s="147" t="str">
        <f>SUBSTITUTE(_xlfn.IFNA(INDEX(M2S_Eligibility_List!$C$21:$BV$21,1,MATCH(G$271,$C300:$BW300,0)),""),nmADwSP,"")</f>
        <v/>
      </c>
      <c r="H63" s="147" t="str">
        <f>SUBSTITUTE(_xlfn.IFNA(INDEX(M2S_Eligibility_List!$C$21:$BV$21,1,MATCH(H$271,$C300:$BW300,0)),""),nmADwSP,"")</f>
        <v/>
      </c>
      <c r="I63" s="147" t="str">
        <f>SUBSTITUTE(_xlfn.IFNA(INDEX(M2S_Eligibility_List!$C$21:$BV$21,1,MATCH(I$271,$C300:$BW300,0)),""),nmADwSP,"")</f>
        <v/>
      </c>
      <c r="J63" s="147" t="str">
        <f>SUBSTITUTE(_xlfn.IFNA(INDEX(M2S_Eligibility_List!$C$21:$BV$21,1,MATCH(J$271,$C300:$BW300,0)),""),nmADwSP,"")</f>
        <v/>
      </c>
      <c r="K63" s="147" t="str">
        <f>SUBSTITUTE(_xlfn.IFNA(INDEX(M2S_Eligibility_List!$C$21:$BV$21,1,MATCH(K$271,$C300:$BW300,0)),""),nmADwSP,"")</f>
        <v/>
      </c>
      <c r="L63" s="147" t="str">
        <f>SUBSTITUTE(_xlfn.IFNA(INDEX(M2S_Eligibility_List!$C$21:$BV$21,1,MATCH(L$271,$C300:$BW300,0)),""),nmADwSP,"")</f>
        <v/>
      </c>
      <c r="M63" s="147" t="str">
        <f>SUBSTITUTE(_xlfn.IFNA(INDEX(M2S_Eligibility_List!$C$21:$BV$21,1,MATCH(M$271,$C300:$BW300,0)),""),nmADwSP,"")</f>
        <v/>
      </c>
      <c r="N63" s="147" t="str">
        <f>SUBSTITUTE(_xlfn.IFNA(INDEX(M2S_Eligibility_List!$C$21:$BV$21,1,MATCH(N$271,$C300:$BW300,0)),""),nmADwSP,"")</f>
        <v/>
      </c>
      <c r="O63" s="145"/>
      <c r="P63" s="145"/>
      <c r="Q63" s="145"/>
      <c r="R63" s="145"/>
      <c r="S63" s="145"/>
      <c r="T63" s="145"/>
      <c r="U63" s="145"/>
      <c r="V63" s="145"/>
      <c r="W63" s="145"/>
      <c r="X63" s="145"/>
      <c r="Y63" s="145"/>
      <c r="Z63" s="145"/>
      <c r="AA63" s="145"/>
      <c r="AB63" s="145"/>
      <c r="AC63" s="145"/>
      <c r="AD63" s="145"/>
      <c r="AE63" s="145"/>
      <c r="AF63" s="145"/>
      <c r="AG63" s="145"/>
      <c r="AH63" s="145"/>
      <c r="AI63" s="145"/>
      <c r="AJ63" s="145"/>
      <c r="AK63" s="145"/>
      <c r="AL63" s="145"/>
      <c r="AM63" s="145"/>
      <c r="AN63" s="145"/>
      <c r="AO63" s="145"/>
      <c r="AP63" s="145"/>
      <c r="AQ63" s="145"/>
      <c r="AR63" s="145"/>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c r="BW63" s="145"/>
    </row>
    <row r="64" spans="1:75" ht="20.100000000000001" customHeight="1">
      <c r="A64" s="170" t="str">
        <f>IF(M2S_Eligibility_List!$B51&lt;&gt;"",RIGHT(M2S_Eligibility_List!$B51,LEN(M2S_Eligibility_List!$B51)-LEN(nmADwSP)),0)</f>
        <v>CFD</v>
      </c>
      <c r="B64" s="170" t="str">
        <f>IF(M2S_Eligibility_List!$B51&lt;&gt;"",RIGHT(M2S_Eligibility_List!$B51,LEN(M2S_Eligibility_List!$B51)-LEN(nmADwSP)),0)</f>
        <v>CFD</v>
      </c>
      <c r="C64" s="147" t="str">
        <f>SUBSTITUTE(_xlfn.IFNA(INDEX(M2S_Eligibility_List!$C$21:$BV$21,1,MATCH(C$271,$C301:$BW301,0)),""),nmADwSP,"")</f>
        <v>CFD Premium (formerly CFD Advanced)</v>
      </c>
      <c r="D64" s="147" t="str">
        <f>SUBSTITUTE(_xlfn.IFNA(INDEX(M2S_Eligibility_List!$C$21:$BV$21,1,MATCH(D$271,$C301:$BW301,0)),""),nmADwSP,"")</f>
        <v>CFD Ultimate (formerly CFD Motion)</v>
      </c>
      <c r="E64" s="147" t="str">
        <f>SUBSTITUTE(_xlfn.IFNA(INDEX(M2S_Eligibility_List!$C$21:$BV$21,1,MATCH(E$271,$C301:$BW301,0)),""),nmADwSP,"")</f>
        <v/>
      </c>
      <c r="F64" s="147" t="str">
        <f>SUBSTITUTE(_xlfn.IFNA(INDEX(M2S_Eligibility_List!$C$21:$BV$21,1,MATCH(F$271,$C301:$BW301,0)),""),nmADwSP,"")</f>
        <v/>
      </c>
      <c r="G64" s="147" t="str">
        <f>SUBSTITUTE(_xlfn.IFNA(INDEX(M2S_Eligibility_List!$C$21:$BV$21,1,MATCH(G$271,$C301:$BW301,0)),""),nmADwSP,"")</f>
        <v/>
      </c>
      <c r="H64" s="147" t="str">
        <f>SUBSTITUTE(_xlfn.IFNA(INDEX(M2S_Eligibility_List!$C$21:$BV$21,1,MATCH(H$271,$C301:$BW301,0)),""),nmADwSP,"")</f>
        <v/>
      </c>
      <c r="I64" s="147" t="str">
        <f>SUBSTITUTE(_xlfn.IFNA(INDEX(M2S_Eligibility_List!$C$21:$BV$21,1,MATCH(I$271,$C301:$BW301,0)),""),nmADwSP,"")</f>
        <v/>
      </c>
      <c r="J64" s="147" t="str">
        <f>SUBSTITUTE(_xlfn.IFNA(INDEX(M2S_Eligibility_List!$C$21:$BV$21,1,MATCH(J$271,$C301:$BW301,0)),""),nmADwSP,"")</f>
        <v/>
      </c>
      <c r="K64" s="147" t="str">
        <f>SUBSTITUTE(_xlfn.IFNA(INDEX(M2S_Eligibility_List!$C$21:$BV$21,1,MATCH(K$271,$C301:$BW301,0)),""),nmADwSP,"")</f>
        <v/>
      </c>
      <c r="L64" s="147" t="str">
        <f>SUBSTITUTE(_xlfn.IFNA(INDEX(M2S_Eligibility_List!$C$21:$BV$21,1,MATCH(L$271,$C301:$BW301,0)),""),nmADwSP,"")</f>
        <v/>
      </c>
      <c r="M64" s="147" t="str">
        <f>SUBSTITUTE(_xlfn.IFNA(INDEX(M2S_Eligibility_List!$C$21:$BV$21,1,MATCH(M$271,$C301:$BW301,0)),""),nmADwSP,"")</f>
        <v/>
      </c>
      <c r="N64" s="147" t="str">
        <f>SUBSTITUTE(_xlfn.IFNA(INDEX(M2S_Eligibility_List!$C$21:$BV$21,1,MATCH(N$271,$C301:$BW301,0)),""),nmADwSP,"")</f>
        <v/>
      </c>
      <c r="O64" s="145"/>
      <c r="P64" s="145"/>
      <c r="Q64" s="145"/>
      <c r="R64" s="145"/>
      <c r="S64" s="145"/>
      <c r="T64" s="145"/>
      <c r="U64" s="145"/>
      <c r="V64" s="145"/>
      <c r="W64" s="145"/>
      <c r="X64" s="145"/>
      <c r="Y64" s="145"/>
      <c r="Z64" s="145"/>
      <c r="AA64" s="145"/>
      <c r="AB64" s="145"/>
      <c r="AC64" s="145"/>
      <c r="AD64" s="145"/>
      <c r="AE64" s="145"/>
      <c r="AF64" s="145"/>
      <c r="AG64" s="145"/>
      <c r="AH64" s="145"/>
      <c r="AI64" s="145"/>
      <c r="AJ64" s="145"/>
      <c r="AK64" s="145"/>
      <c r="AL64" s="145"/>
      <c r="AM64" s="145"/>
      <c r="AN64" s="145"/>
      <c r="AO64" s="145"/>
      <c r="AP64" s="145"/>
      <c r="AQ64" s="145"/>
      <c r="AR64" s="145"/>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c r="BW64" s="145"/>
    </row>
    <row r="65" spans="1:75" ht="20.100000000000001" customHeight="1">
      <c r="A65" s="170" t="str">
        <f>IF(M2S_Eligibility_List!$B52&lt;&gt;"",RIGHT(M2S_Eligibility_List!$B52,LEN(M2S_Eligibility_List!$B52)-LEN(nmADwSP)),0)</f>
        <v>CFD Premium (formerly CFD Advanced)</v>
      </c>
      <c r="B65" s="170" t="str">
        <f>IF(M2S_Eligibility_List!$B52&lt;&gt;"",RIGHT(M2S_Eligibility_List!$B52,LEN(M2S_Eligibility_List!$B52)-LEN(nmADwSP)),0)</f>
        <v>CFD Premium (formerly CFD Advanced)</v>
      </c>
      <c r="C65" s="147" t="str">
        <f>SUBSTITUTE(_xlfn.IFNA(INDEX(M2S_Eligibility_List!$C$21:$BV$21,1,MATCH(C$271,$C302:$BW302,0)),""),nmADwSP,"")</f>
        <v>CFD Premium (formerly CFD Advanced)</v>
      </c>
      <c r="D65" s="147" t="str">
        <f>SUBSTITUTE(_xlfn.IFNA(INDEX(M2S_Eligibility_List!$C$21:$BV$21,1,MATCH(D$271,$C302:$BW302,0)),""),nmADwSP,"")</f>
        <v>CFD Ultimate (formerly CFD Motion)</v>
      </c>
      <c r="E65" s="147" t="str">
        <f>SUBSTITUTE(_xlfn.IFNA(INDEX(M2S_Eligibility_List!$C$21:$BV$21,1,MATCH(E$271,$C302:$BW302,0)),""),nmADwSP,"")</f>
        <v/>
      </c>
      <c r="F65" s="147" t="str">
        <f>SUBSTITUTE(_xlfn.IFNA(INDEX(M2S_Eligibility_List!$C$21:$BV$21,1,MATCH(F$271,$C302:$BW302,0)),""),nmADwSP,"")</f>
        <v/>
      </c>
      <c r="G65" s="147" t="str">
        <f>SUBSTITUTE(_xlfn.IFNA(INDEX(M2S_Eligibility_List!$C$21:$BV$21,1,MATCH(G$271,$C302:$BW302,0)),""),nmADwSP,"")</f>
        <v/>
      </c>
      <c r="H65" s="147" t="str">
        <f>SUBSTITUTE(_xlfn.IFNA(INDEX(M2S_Eligibility_List!$C$21:$BV$21,1,MATCH(H$271,$C302:$BW302,0)),""),nmADwSP,"")</f>
        <v/>
      </c>
      <c r="I65" s="147" t="str">
        <f>SUBSTITUTE(_xlfn.IFNA(INDEX(M2S_Eligibility_List!$C$21:$BV$21,1,MATCH(I$271,$C302:$BW302,0)),""),nmADwSP,"")</f>
        <v/>
      </c>
      <c r="J65" s="147" t="str">
        <f>SUBSTITUTE(_xlfn.IFNA(INDEX(M2S_Eligibility_List!$C$21:$BV$21,1,MATCH(J$271,$C302:$BW302,0)),""),nmADwSP,"")</f>
        <v/>
      </c>
      <c r="K65" s="147" t="str">
        <f>SUBSTITUTE(_xlfn.IFNA(INDEX(M2S_Eligibility_List!$C$21:$BV$21,1,MATCH(K$271,$C302:$BW302,0)),""),nmADwSP,"")</f>
        <v/>
      </c>
      <c r="L65" s="147" t="str">
        <f>SUBSTITUTE(_xlfn.IFNA(INDEX(M2S_Eligibility_List!$C$21:$BV$21,1,MATCH(L$271,$C302:$BW302,0)),""),nmADwSP,"")</f>
        <v/>
      </c>
      <c r="M65" s="147" t="str">
        <f>SUBSTITUTE(_xlfn.IFNA(INDEX(M2S_Eligibility_List!$C$21:$BV$21,1,MATCH(M$271,$C302:$BW302,0)),""),nmADwSP,"")</f>
        <v/>
      </c>
      <c r="N65" s="147" t="str">
        <f>SUBSTITUTE(_xlfn.IFNA(INDEX(M2S_Eligibility_List!$C$21:$BV$21,1,MATCH(N$271,$C302:$BW302,0)),""),nmADwSP,"")</f>
        <v/>
      </c>
      <c r="O65" s="145"/>
      <c r="P65" s="145"/>
      <c r="Q65" s="145"/>
      <c r="R65" s="145"/>
      <c r="S65" s="145"/>
      <c r="T65" s="145"/>
      <c r="U65" s="145"/>
      <c r="V65" s="145"/>
      <c r="W65" s="145"/>
      <c r="X65" s="145"/>
      <c r="Y65" s="145"/>
      <c r="Z65" s="145"/>
      <c r="AA65" s="145"/>
      <c r="AB65" s="145"/>
      <c r="AC65" s="145"/>
      <c r="AD65" s="145"/>
      <c r="AE65" s="145"/>
      <c r="AF65" s="145"/>
      <c r="AG65" s="145"/>
      <c r="AH65" s="145"/>
      <c r="AI65" s="145"/>
      <c r="AJ65" s="145"/>
      <c r="AK65" s="145"/>
      <c r="AL65" s="145"/>
      <c r="AM65" s="145"/>
      <c r="AN65" s="145"/>
      <c r="AO65" s="145"/>
      <c r="AP65" s="145"/>
      <c r="AQ65" s="145"/>
      <c r="AR65" s="145"/>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c r="BW65" s="145"/>
    </row>
    <row r="66" spans="1:75" ht="20.100000000000001" customHeight="1">
      <c r="A66" s="170" t="str">
        <f>IF(M2S_Eligibility_List!$B53&lt;&gt;"",RIGHT(M2S_Eligibility_List!$B53,LEN(M2S_Eligibility_List!$B53)-LEN(nmADwSP)),0)</f>
        <v>CFD Ultimate (formerly CFD Motion)</v>
      </c>
      <c r="B66" s="170" t="str">
        <f>IF(M2S_Eligibility_List!$B53&lt;&gt;"",RIGHT(M2S_Eligibility_List!$B53,LEN(M2S_Eligibility_List!$B53)-LEN(nmADwSP)),0)</f>
        <v>CFD Ultimate (formerly CFD Motion)</v>
      </c>
      <c r="C66" s="147" t="str">
        <f>SUBSTITUTE(_xlfn.IFNA(INDEX(M2S_Eligibility_List!$C$21:$BV$21,1,MATCH(C$271,$C303:$BW303,0)),""),nmADwSP,"")</f>
        <v>CFD Ultimate (formerly CFD Motion)</v>
      </c>
      <c r="D66" s="147" t="str">
        <f>SUBSTITUTE(_xlfn.IFNA(INDEX(M2S_Eligibility_List!$C$21:$BV$21,1,MATCH(D$271,$C303:$BW303,0)),""),nmADwSP,"")</f>
        <v/>
      </c>
      <c r="E66" s="147" t="str">
        <f>SUBSTITUTE(_xlfn.IFNA(INDEX(M2S_Eligibility_List!$C$21:$BV$21,1,MATCH(E$271,$C303:$BW303,0)),""),nmADwSP,"")</f>
        <v/>
      </c>
      <c r="F66" s="147" t="str">
        <f>SUBSTITUTE(_xlfn.IFNA(INDEX(M2S_Eligibility_List!$C$21:$BV$21,1,MATCH(F$271,$C303:$BW303,0)),""),nmADwSP,"")</f>
        <v/>
      </c>
      <c r="G66" s="147" t="str">
        <f>SUBSTITUTE(_xlfn.IFNA(INDEX(M2S_Eligibility_List!$C$21:$BV$21,1,MATCH(G$271,$C303:$BW303,0)),""),nmADwSP,"")</f>
        <v/>
      </c>
      <c r="H66" s="147" t="str">
        <f>SUBSTITUTE(_xlfn.IFNA(INDEX(M2S_Eligibility_List!$C$21:$BV$21,1,MATCH(H$271,$C303:$BW303,0)),""),nmADwSP,"")</f>
        <v/>
      </c>
      <c r="I66" s="147" t="str">
        <f>SUBSTITUTE(_xlfn.IFNA(INDEX(M2S_Eligibility_List!$C$21:$BV$21,1,MATCH(I$271,$C303:$BW303,0)),""),nmADwSP,"")</f>
        <v/>
      </c>
      <c r="J66" s="147" t="str">
        <f>SUBSTITUTE(_xlfn.IFNA(INDEX(M2S_Eligibility_List!$C$21:$BV$21,1,MATCH(J$271,$C303:$BW303,0)),""),nmADwSP,"")</f>
        <v/>
      </c>
      <c r="K66" s="147" t="str">
        <f>SUBSTITUTE(_xlfn.IFNA(INDEX(M2S_Eligibility_List!$C$21:$BV$21,1,MATCH(K$271,$C303:$BW303,0)),""),nmADwSP,"")</f>
        <v/>
      </c>
      <c r="L66" s="147" t="str">
        <f>SUBSTITUTE(_xlfn.IFNA(INDEX(M2S_Eligibility_List!$C$21:$BV$21,1,MATCH(L$271,$C303:$BW303,0)),""),nmADwSP,"")</f>
        <v/>
      </c>
      <c r="M66" s="147" t="str">
        <f>SUBSTITUTE(_xlfn.IFNA(INDEX(M2S_Eligibility_List!$C$21:$BV$21,1,MATCH(M$271,$C303:$BW303,0)),""),nmADwSP,"")</f>
        <v/>
      </c>
      <c r="N66" s="147" t="str">
        <f>SUBSTITUTE(_xlfn.IFNA(INDEX(M2S_Eligibility_List!$C$21:$BV$21,1,MATCH(N$271,$C303:$BW303,0)),""),nmADwSP,"")</f>
        <v/>
      </c>
      <c r="O66" s="145"/>
      <c r="P66" s="145"/>
      <c r="Q66" s="145"/>
      <c r="R66" s="145"/>
      <c r="S66" s="145"/>
      <c r="T66" s="145"/>
      <c r="U66" s="145"/>
      <c r="V66" s="145"/>
      <c r="W66" s="145"/>
      <c r="X66" s="145"/>
      <c r="Y66" s="145"/>
      <c r="Z66" s="145"/>
      <c r="AA66" s="145"/>
      <c r="AB66" s="145"/>
      <c r="AC66" s="145"/>
      <c r="AD66" s="145"/>
      <c r="AE66" s="145"/>
      <c r="AF66" s="145"/>
      <c r="AG66" s="145"/>
      <c r="AH66" s="145"/>
      <c r="AI66" s="145"/>
      <c r="AJ66" s="145"/>
      <c r="AK66" s="145"/>
      <c r="AL66" s="145"/>
      <c r="AM66" s="145"/>
      <c r="AN66" s="145"/>
      <c r="AO66" s="145"/>
      <c r="AP66" s="145"/>
      <c r="AQ66" s="145"/>
      <c r="AR66" s="145"/>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c r="BW66" s="145"/>
    </row>
    <row r="67" spans="1:75" ht="20.100000000000001" customHeight="1">
      <c r="A67" s="170" t="str">
        <f>IF(M2S_Eligibility_List!$B54&lt;&gt;"",RIGHT(M2S_Eligibility_List!$B54,LEN(M2S_Eligibility_List!$B54)-LEN(nmADwSP)),0)</f>
        <v>Entertainment Creation Suite Ultimate</v>
      </c>
      <c r="B67" s="170" t="str">
        <f>IF(M2S_Eligibility_List!$B54&lt;&gt;"",RIGHT(M2S_Eligibility_List!$B54,LEN(M2S_Eligibility_List!$B54)-LEN(nmADwSP)),0)</f>
        <v>Entertainment Creation Suite Ultimate</v>
      </c>
      <c r="C67" s="147" t="str">
        <f>SUBSTITUTE(_xlfn.IFNA(INDEX(M2S_Eligibility_List!$C$21:$BV$21,1,MATCH(C$271,$C304:$BW304,0)),""),nmADwSP,"")</f>
        <v>Media and Entertainment Collection</v>
      </c>
      <c r="D67" s="147" t="str">
        <f>SUBSTITUTE(_xlfn.IFNA(INDEX(M2S_Eligibility_List!$C$21:$BV$21,1,MATCH(D$271,$C304:$BW304,0)),""),nmADwSP,"")</f>
        <v/>
      </c>
      <c r="E67" s="147" t="str">
        <f>SUBSTITUTE(_xlfn.IFNA(INDEX(M2S_Eligibility_List!$C$21:$BV$21,1,MATCH(E$271,$C304:$BW304,0)),""),nmADwSP,"")</f>
        <v/>
      </c>
      <c r="F67" s="147" t="str">
        <f>SUBSTITUTE(_xlfn.IFNA(INDEX(M2S_Eligibility_List!$C$21:$BV$21,1,MATCH(F$271,$C304:$BW304,0)),""),nmADwSP,"")</f>
        <v/>
      </c>
      <c r="G67" s="147" t="str">
        <f>SUBSTITUTE(_xlfn.IFNA(INDEX(M2S_Eligibility_List!$C$21:$BV$21,1,MATCH(G$271,$C304:$BW304,0)),""),nmADwSP,"")</f>
        <v/>
      </c>
      <c r="H67" s="147" t="str">
        <f>SUBSTITUTE(_xlfn.IFNA(INDEX(M2S_Eligibility_List!$C$21:$BV$21,1,MATCH(H$271,$C304:$BW304,0)),""),nmADwSP,"")</f>
        <v/>
      </c>
      <c r="I67" s="147" t="str">
        <f>SUBSTITUTE(_xlfn.IFNA(INDEX(M2S_Eligibility_List!$C$21:$BV$21,1,MATCH(I$271,$C304:$BW304,0)),""),nmADwSP,"")</f>
        <v/>
      </c>
      <c r="J67" s="147" t="str">
        <f>SUBSTITUTE(_xlfn.IFNA(INDEX(M2S_Eligibility_List!$C$21:$BV$21,1,MATCH(J$271,$C304:$BW304,0)),""),nmADwSP,"")</f>
        <v/>
      </c>
      <c r="K67" s="147" t="str">
        <f>SUBSTITUTE(_xlfn.IFNA(INDEX(M2S_Eligibility_List!$C$21:$BV$21,1,MATCH(K$271,$C304:$BW304,0)),""),nmADwSP,"")</f>
        <v/>
      </c>
      <c r="L67" s="147" t="str">
        <f>SUBSTITUTE(_xlfn.IFNA(INDEX(M2S_Eligibility_List!$C$21:$BV$21,1,MATCH(L$271,$C304:$BW304,0)),""),nmADwSP,"")</f>
        <v/>
      </c>
      <c r="M67" s="147" t="str">
        <f>SUBSTITUTE(_xlfn.IFNA(INDEX(M2S_Eligibility_List!$C$21:$BV$21,1,MATCH(M$271,$C304:$BW304,0)),""),nmADwSP,"")</f>
        <v/>
      </c>
      <c r="N67" s="147" t="str">
        <f>SUBSTITUTE(_xlfn.IFNA(INDEX(M2S_Eligibility_List!$C$21:$BV$21,1,MATCH(N$271,$C304:$BW304,0)),""),nmADwSP,"")</f>
        <v/>
      </c>
      <c r="O67" s="145"/>
      <c r="P67" s="145"/>
      <c r="Q67" s="145"/>
      <c r="R67" s="145"/>
      <c r="S67" s="145"/>
      <c r="T67" s="145"/>
      <c r="U67" s="145"/>
      <c r="V67" s="145"/>
      <c r="W67" s="145"/>
      <c r="X67" s="145"/>
      <c r="Y67" s="145"/>
      <c r="Z67" s="145"/>
      <c r="AA67" s="145"/>
      <c r="AB67" s="145"/>
      <c r="AC67" s="145"/>
      <c r="AD67" s="145"/>
      <c r="AE67" s="145"/>
      <c r="AF67" s="145"/>
      <c r="AG67" s="145"/>
      <c r="AH67" s="145"/>
      <c r="AI67" s="145"/>
      <c r="AJ67" s="145"/>
      <c r="AK67" s="145"/>
      <c r="AL67" s="145"/>
      <c r="AM67" s="145"/>
      <c r="AN67" s="145"/>
      <c r="AO67" s="145"/>
      <c r="AP67" s="145"/>
      <c r="AQ67" s="145"/>
      <c r="AR67" s="145"/>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c r="BW67" s="145"/>
    </row>
    <row r="68" spans="1:75" ht="20.100000000000001" customHeight="1">
      <c r="A68" s="170" t="str">
        <f>IF(M2S_Eligibility_List!$B55&lt;&gt;"",RIGHT(M2S_Eligibility_List!$B55,LEN(M2S_Eligibility_List!$B55)-LEN(nmADwSP)),0)</f>
        <v>Fabrication CADmep</v>
      </c>
      <c r="B68" s="367" t="str">
        <f>IF(decCurrency=nmJPY,"",IF(M2S_Eligibility_List!$B55&lt;&gt;"",RIGHT(M2S_Eligibility_List!$B55,LEN(M2S_Eligibility_List!$B55)-LEN(nmADwSP)),0))</f>
        <v>Fabrication CADmep</v>
      </c>
      <c r="C68" s="367" t="str">
        <f>IF(decCurrency=nmJPY,"",SUBSTITUTE(_xlfn.IFNA(INDEX(M2S_Eligibility_List!$C$21:$BV$21,1,MATCH(C$271,$C305:$BW305,0)),""),nmADwSP,""))</f>
        <v>Architecture Engineering Construction Collection</v>
      </c>
      <c r="D68" s="367" t="str">
        <f>IF(decCurrency=nmJPY,"",SUBSTITUTE(_xlfn.IFNA(INDEX(M2S_Eligibility_List!$C$21:$BV$21,1,MATCH(D$271,$C305:$BW305,0)),""),nmADwSP,""))</f>
        <v>Fabrication CADmep</v>
      </c>
      <c r="E68" s="147" t="str">
        <f>SUBSTITUTE(_xlfn.IFNA(INDEX(M2S_Eligibility_List!$C$21:$BV$21,1,MATCH(E$271,$C305:$BW305,0)),""),nmADwSP,"")</f>
        <v/>
      </c>
      <c r="F68" s="147" t="str">
        <f>SUBSTITUTE(_xlfn.IFNA(INDEX(M2S_Eligibility_List!$C$21:$BV$21,1,MATCH(F$271,$C305:$BW305,0)),""),nmADwSP,"")</f>
        <v/>
      </c>
      <c r="G68" s="147" t="str">
        <f>SUBSTITUTE(_xlfn.IFNA(INDEX(M2S_Eligibility_List!$C$21:$BV$21,1,MATCH(G$271,$C305:$BW305,0)),""),nmADwSP,"")</f>
        <v/>
      </c>
      <c r="H68" s="147" t="str">
        <f>SUBSTITUTE(_xlfn.IFNA(INDEX(M2S_Eligibility_List!$C$21:$BV$21,1,MATCH(H$271,$C305:$BW305,0)),""),nmADwSP,"")</f>
        <v/>
      </c>
      <c r="I68" s="147" t="str">
        <f>SUBSTITUTE(_xlfn.IFNA(INDEX(M2S_Eligibility_List!$C$21:$BV$21,1,MATCH(I$271,$C305:$BW305,0)),""),nmADwSP,"")</f>
        <v/>
      </c>
      <c r="J68" s="147" t="str">
        <f>SUBSTITUTE(_xlfn.IFNA(INDEX(M2S_Eligibility_List!$C$21:$BV$21,1,MATCH(J$271,$C305:$BW305,0)),""),nmADwSP,"")</f>
        <v/>
      </c>
      <c r="K68" s="147" t="str">
        <f>SUBSTITUTE(_xlfn.IFNA(INDEX(M2S_Eligibility_List!$C$21:$BV$21,1,MATCH(K$271,$C305:$BW305,0)),""),nmADwSP,"")</f>
        <v/>
      </c>
      <c r="L68" s="147" t="str">
        <f>SUBSTITUTE(_xlfn.IFNA(INDEX(M2S_Eligibility_List!$C$21:$BV$21,1,MATCH(L$271,$C305:$BW305,0)),""),nmADwSP,"")</f>
        <v/>
      </c>
      <c r="M68" s="147" t="str">
        <f>SUBSTITUTE(_xlfn.IFNA(INDEX(M2S_Eligibility_List!$C$21:$BV$21,1,MATCH(M$271,$C305:$BW305,0)),""),nmADwSP,"")</f>
        <v/>
      </c>
      <c r="N68" s="147" t="str">
        <f>SUBSTITUTE(_xlfn.IFNA(INDEX(M2S_Eligibility_List!$C$21:$BV$21,1,MATCH(N$271,$C305:$BW305,0)),""),nmADwSP,"")</f>
        <v/>
      </c>
      <c r="O68" s="145"/>
      <c r="P68" s="145"/>
      <c r="Q68" s="145"/>
      <c r="R68" s="145"/>
      <c r="S68" s="145"/>
      <c r="T68" s="145"/>
      <c r="U68" s="145"/>
      <c r="V68" s="145"/>
      <c r="W68" s="145"/>
      <c r="X68" s="145"/>
      <c r="Y68" s="145"/>
      <c r="Z68" s="145"/>
      <c r="AA68" s="145"/>
      <c r="AB68" s="145"/>
      <c r="AC68" s="145"/>
      <c r="AD68" s="145"/>
      <c r="AE68" s="145"/>
      <c r="AF68" s="145"/>
      <c r="AG68" s="145"/>
      <c r="AH68" s="145"/>
      <c r="AI68" s="145"/>
      <c r="AJ68" s="145"/>
      <c r="AK68" s="145"/>
      <c r="AL68" s="145"/>
      <c r="AM68" s="145"/>
      <c r="AN68" s="145"/>
      <c r="AO68" s="145"/>
      <c r="AP68" s="145"/>
      <c r="AQ68" s="145"/>
      <c r="AR68" s="145"/>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c r="BW68" s="145"/>
    </row>
    <row r="69" spans="1:75" ht="20.100000000000001" customHeight="1">
      <c r="A69" s="170" t="str">
        <f>IF(M2S_Eligibility_List!$B56&lt;&gt;"",RIGHT(M2S_Eligibility_List!$B56,LEN(M2S_Eligibility_List!$B56)-LEN(nmADwSP)),0)</f>
        <v>Fabrication CAMduct</v>
      </c>
      <c r="B69" s="367" t="str">
        <f>IF(decCurrency=nmJPY,"",IF(M2S_Eligibility_List!$B56&lt;&gt;"",RIGHT(M2S_Eligibility_List!$B56,LEN(M2S_Eligibility_List!$B56)-LEN(nmADwSP)),0))</f>
        <v>Fabrication CAMduct</v>
      </c>
      <c r="C69" s="367" t="str">
        <f>IF(decCurrency=nmJPY,"",SUBSTITUTE(_xlfn.IFNA(INDEX(M2S_Eligibility_List!$C$21:$BV$21,1,MATCH(C$271,$C306:$BW306,0)),""),nmADwSP,""))</f>
        <v>Fabrication CAMduct</v>
      </c>
      <c r="D69" s="147" t="str">
        <f>SUBSTITUTE(_xlfn.IFNA(INDEX(M2S_Eligibility_List!$C$21:$BV$21,1,MATCH(D$271,$C306:$BW306,0)),""),nmADwSP,"")</f>
        <v/>
      </c>
      <c r="E69" s="147" t="str">
        <f>SUBSTITUTE(_xlfn.IFNA(INDEX(M2S_Eligibility_List!$C$21:$BV$21,1,MATCH(E$271,$C306:$BW306,0)),""),nmADwSP,"")</f>
        <v/>
      </c>
      <c r="F69" s="147" t="str">
        <f>SUBSTITUTE(_xlfn.IFNA(INDEX(M2S_Eligibility_List!$C$21:$BV$21,1,MATCH(F$271,$C306:$BW306,0)),""),nmADwSP,"")</f>
        <v/>
      </c>
      <c r="G69" s="147" t="str">
        <f>SUBSTITUTE(_xlfn.IFNA(INDEX(M2S_Eligibility_List!$C$21:$BV$21,1,MATCH(G$271,$C306:$BW306,0)),""),nmADwSP,"")</f>
        <v/>
      </c>
      <c r="H69" s="147" t="str">
        <f>SUBSTITUTE(_xlfn.IFNA(INDEX(M2S_Eligibility_List!$C$21:$BV$21,1,MATCH(H$271,$C306:$BW306,0)),""),nmADwSP,"")</f>
        <v/>
      </c>
      <c r="I69" s="147" t="str">
        <f>SUBSTITUTE(_xlfn.IFNA(INDEX(M2S_Eligibility_List!$C$21:$BV$21,1,MATCH(I$271,$C306:$BW306,0)),""),nmADwSP,"")</f>
        <v/>
      </c>
      <c r="J69" s="147" t="str">
        <f>SUBSTITUTE(_xlfn.IFNA(INDEX(M2S_Eligibility_List!$C$21:$BV$21,1,MATCH(J$271,$C306:$BW306,0)),""),nmADwSP,"")</f>
        <v/>
      </c>
      <c r="K69" s="147" t="str">
        <f>SUBSTITUTE(_xlfn.IFNA(INDEX(M2S_Eligibility_List!$C$21:$BV$21,1,MATCH(K$271,$C306:$BW306,0)),""),nmADwSP,"")</f>
        <v/>
      </c>
      <c r="L69" s="147" t="str">
        <f>SUBSTITUTE(_xlfn.IFNA(INDEX(M2S_Eligibility_List!$C$21:$BV$21,1,MATCH(L$271,$C306:$BW306,0)),""),nmADwSP,"")</f>
        <v/>
      </c>
      <c r="M69" s="147" t="str">
        <f>SUBSTITUTE(_xlfn.IFNA(INDEX(M2S_Eligibility_List!$C$21:$BV$21,1,MATCH(M$271,$C306:$BW306,0)),""),nmADwSP,"")</f>
        <v/>
      </c>
      <c r="N69" s="147" t="str">
        <f>SUBSTITUTE(_xlfn.IFNA(INDEX(M2S_Eligibility_List!$C$21:$BV$21,1,MATCH(N$271,$C306:$BW306,0)),""),nmADwSP,"")</f>
        <v/>
      </c>
      <c r="O69" s="145"/>
      <c r="P69" s="145"/>
      <c r="Q69" s="145"/>
      <c r="R69" s="145"/>
      <c r="S69" s="145"/>
      <c r="T69" s="145"/>
      <c r="U69" s="145"/>
      <c r="V69" s="145"/>
      <c r="W69" s="145"/>
      <c r="X69" s="145"/>
      <c r="Y69" s="145"/>
      <c r="Z69" s="145"/>
      <c r="AA69" s="145"/>
      <c r="AB69" s="145"/>
      <c r="AC69" s="145"/>
      <c r="AD69" s="145"/>
      <c r="AE69" s="145"/>
      <c r="AF69" s="145"/>
      <c r="AG69" s="145"/>
      <c r="AH69" s="145"/>
      <c r="AI69" s="145"/>
      <c r="AJ69" s="145"/>
      <c r="AK69" s="145"/>
      <c r="AL69" s="145"/>
      <c r="AM69" s="145"/>
      <c r="AN69" s="145"/>
      <c r="AO69" s="145"/>
      <c r="AP69" s="145"/>
      <c r="AQ69" s="145"/>
      <c r="AR69" s="145"/>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c r="BW69" s="145"/>
    </row>
    <row r="70" spans="1:75" ht="20.100000000000001" customHeight="1">
      <c r="A70" s="170" t="str">
        <f>IF(M2S_Eligibility_List!$B57&lt;&gt;"",RIGHT(M2S_Eligibility_List!$B57,LEN(M2S_Eligibility_List!$B57)-LEN(nmADwSP)),0)</f>
        <v>Fabrication ESTmep</v>
      </c>
      <c r="B70" s="367" t="str">
        <f>IF(decCurrency=nmJPY,"",IF(M2S_Eligibility_List!$B57&lt;&gt;"",RIGHT(M2S_Eligibility_List!$B57,LEN(M2S_Eligibility_List!$B57)-LEN(nmADwSP)),0))</f>
        <v>Fabrication ESTmep</v>
      </c>
      <c r="C70" s="367" t="str">
        <f>IF(decCurrency=nmJPY,"",SUBSTITUTE(_xlfn.IFNA(INDEX(M2S_Eligibility_List!$C$21:$BV$21,1,MATCH(C$271,$C307:$BW307,0)),""),nmADwSP,""))</f>
        <v>Fabrication ESTmep</v>
      </c>
      <c r="D70" s="147" t="str">
        <f>SUBSTITUTE(_xlfn.IFNA(INDEX(M2S_Eligibility_List!$C$21:$BV$21,1,MATCH(D$271,$C307:$BW307,0)),""),nmADwSP,"")</f>
        <v/>
      </c>
      <c r="E70" s="147" t="str">
        <f>SUBSTITUTE(_xlfn.IFNA(INDEX(M2S_Eligibility_List!$C$21:$BV$21,1,MATCH(E$271,$C307:$BW307,0)),""),nmADwSP,"")</f>
        <v/>
      </c>
      <c r="F70" s="147" t="str">
        <f>SUBSTITUTE(_xlfn.IFNA(INDEX(M2S_Eligibility_List!$C$21:$BV$21,1,MATCH(F$271,$C307:$BW307,0)),""),nmADwSP,"")</f>
        <v/>
      </c>
      <c r="G70" s="147" t="str">
        <f>SUBSTITUTE(_xlfn.IFNA(INDEX(M2S_Eligibility_List!$C$21:$BV$21,1,MATCH(G$271,$C307:$BW307,0)),""),nmADwSP,"")</f>
        <v/>
      </c>
      <c r="H70" s="147" t="str">
        <f>SUBSTITUTE(_xlfn.IFNA(INDEX(M2S_Eligibility_List!$C$21:$BV$21,1,MATCH(H$271,$C307:$BW307,0)),""),nmADwSP,"")</f>
        <v/>
      </c>
      <c r="I70" s="147" t="str">
        <f>SUBSTITUTE(_xlfn.IFNA(INDEX(M2S_Eligibility_List!$C$21:$BV$21,1,MATCH(I$271,$C307:$BW307,0)),""),nmADwSP,"")</f>
        <v/>
      </c>
      <c r="J70" s="147" t="str">
        <f>SUBSTITUTE(_xlfn.IFNA(INDEX(M2S_Eligibility_List!$C$21:$BV$21,1,MATCH(J$271,$C307:$BW307,0)),""),nmADwSP,"")</f>
        <v/>
      </c>
      <c r="K70" s="147" t="str">
        <f>SUBSTITUTE(_xlfn.IFNA(INDEX(M2S_Eligibility_List!$C$21:$BV$21,1,MATCH(K$271,$C307:$BW307,0)),""),nmADwSP,"")</f>
        <v/>
      </c>
      <c r="L70" s="147" t="str">
        <f>SUBSTITUTE(_xlfn.IFNA(INDEX(M2S_Eligibility_List!$C$21:$BV$21,1,MATCH(L$271,$C307:$BW307,0)),""),nmADwSP,"")</f>
        <v/>
      </c>
      <c r="M70" s="147" t="str">
        <f>SUBSTITUTE(_xlfn.IFNA(INDEX(M2S_Eligibility_List!$C$21:$BV$21,1,MATCH(M$271,$C307:$BW307,0)),""),nmADwSP,"")</f>
        <v/>
      </c>
      <c r="N70" s="147" t="str">
        <f>SUBSTITUTE(_xlfn.IFNA(INDEX(M2S_Eligibility_List!$C$21:$BV$21,1,MATCH(N$271,$C307:$BW307,0)),""),nmADwSP,"")</f>
        <v/>
      </c>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145"/>
      <c r="AO70" s="145"/>
      <c r="AP70" s="145"/>
      <c r="AQ70" s="145"/>
      <c r="AR70" s="145"/>
      <c r="AS70" s="145"/>
      <c r="AT70" s="145"/>
      <c r="AU70" s="145"/>
      <c r="AV70" s="145"/>
      <c r="AW70" s="145"/>
      <c r="AX70" s="145"/>
      <c r="AY70" s="145"/>
      <c r="AZ70" s="145"/>
      <c r="BA70" s="145"/>
      <c r="BB70" s="145"/>
      <c r="BC70" s="145"/>
      <c r="BD70" s="145"/>
      <c r="BE70" s="145"/>
      <c r="BF70" s="145"/>
      <c r="BG70" s="145"/>
      <c r="BH70" s="145"/>
      <c r="BI70" s="145"/>
      <c r="BJ70" s="145"/>
      <c r="BK70" s="145"/>
      <c r="BL70" s="145"/>
      <c r="BM70" s="145"/>
      <c r="BN70" s="145"/>
      <c r="BO70" s="145"/>
      <c r="BP70" s="145"/>
      <c r="BQ70" s="145"/>
      <c r="BR70" s="145"/>
      <c r="BS70" s="145"/>
      <c r="BT70" s="145"/>
      <c r="BU70" s="145"/>
      <c r="BV70" s="145"/>
      <c r="BW70" s="145"/>
    </row>
    <row r="71" spans="1:75" ht="20.100000000000001" customHeight="1">
      <c r="A71" s="170" t="str">
        <f>IF(M2S_Eligibility_List!$B58&lt;&gt;"",RIGHT(M2S_Eligibility_List!$B58,LEN(M2S_Eligibility_List!$B58)-LEN(nmADwSP)),0)</f>
        <v>Factory Design Suite Premium</v>
      </c>
      <c r="B71" s="170" t="str">
        <f>IF(M2S_Eligibility_List!$B58&lt;&gt;"",RIGHT(M2S_Eligibility_List!$B58,LEN(M2S_Eligibility_List!$B58)-LEN(nmADwSP)),0)</f>
        <v>Factory Design Suite Premium</v>
      </c>
      <c r="C71" s="147" t="str">
        <f>SUBSTITUTE(_xlfn.IFNA(INDEX(M2S_Eligibility_List!$C$21:$BV$21,1,MATCH(C$271,$C308:$BW308,0)),""),nmADwSP,"")</f>
        <v>Architecture Engineering Construction Collection</v>
      </c>
      <c r="D71" s="147" t="str">
        <f>SUBSTITUTE(_xlfn.IFNA(INDEX(M2S_Eligibility_List!$C$21:$BV$21,1,MATCH(D$271,$C308:$BW308,0)),""),nmADwSP,"")</f>
        <v>Product Design &amp; Manufacturing Collection</v>
      </c>
      <c r="E71" s="147" t="str">
        <f>SUBSTITUTE(_xlfn.IFNA(INDEX(M2S_Eligibility_List!$C$21:$BV$21,1,MATCH(E$271,$C308:$BW308,0)),""),nmADwSP,"")</f>
        <v/>
      </c>
      <c r="F71" s="147" t="str">
        <f>SUBSTITUTE(_xlfn.IFNA(INDEX(M2S_Eligibility_List!$C$21:$BV$21,1,MATCH(F$271,$C308:$BW308,0)),""),nmADwSP,"")</f>
        <v/>
      </c>
      <c r="G71" s="147" t="str">
        <f>SUBSTITUTE(_xlfn.IFNA(INDEX(M2S_Eligibility_List!$C$21:$BV$21,1,MATCH(G$271,$C308:$BW308,0)),""),nmADwSP,"")</f>
        <v/>
      </c>
      <c r="H71" s="147" t="str">
        <f>SUBSTITUTE(_xlfn.IFNA(INDEX(M2S_Eligibility_List!$C$21:$BV$21,1,MATCH(H$271,$C308:$BW308,0)),""),nmADwSP,"")</f>
        <v/>
      </c>
      <c r="I71" s="147" t="str">
        <f>SUBSTITUTE(_xlfn.IFNA(INDEX(M2S_Eligibility_List!$C$21:$BV$21,1,MATCH(I$271,$C308:$BW308,0)),""),nmADwSP,"")</f>
        <v/>
      </c>
      <c r="J71" s="147" t="str">
        <f>SUBSTITUTE(_xlfn.IFNA(INDEX(M2S_Eligibility_List!$C$21:$BV$21,1,MATCH(J$271,$C308:$BW308,0)),""),nmADwSP,"")</f>
        <v/>
      </c>
      <c r="K71" s="147" t="str">
        <f>SUBSTITUTE(_xlfn.IFNA(INDEX(M2S_Eligibility_List!$C$21:$BV$21,1,MATCH(K$271,$C308:$BW308,0)),""),nmADwSP,"")</f>
        <v/>
      </c>
      <c r="L71" s="147" t="str">
        <f>SUBSTITUTE(_xlfn.IFNA(INDEX(M2S_Eligibility_List!$C$21:$BV$21,1,MATCH(L$271,$C308:$BW308,0)),""),nmADwSP,"")</f>
        <v/>
      </c>
      <c r="M71" s="147" t="str">
        <f>SUBSTITUTE(_xlfn.IFNA(INDEX(M2S_Eligibility_List!$C$21:$BV$21,1,MATCH(M$271,$C308:$BW308,0)),""),nmADwSP,"")</f>
        <v/>
      </c>
      <c r="N71" s="147" t="str">
        <f>SUBSTITUTE(_xlfn.IFNA(INDEX(M2S_Eligibility_List!$C$21:$BV$21,1,MATCH(N$271,$C308:$BW308,0)),""),nmADwSP,"")</f>
        <v/>
      </c>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c r="BS71" s="145"/>
      <c r="BT71" s="145"/>
      <c r="BU71" s="145"/>
      <c r="BV71" s="145"/>
      <c r="BW71" s="145"/>
    </row>
    <row r="72" spans="1:75" ht="20.100000000000001" customHeight="1">
      <c r="A72" s="170" t="str">
        <f>IF(M2S_Eligibility_List!$B59&lt;&gt;"",RIGHT(M2S_Eligibility_List!$B59,LEN(M2S_Eligibility_List!$B59)-LEN(nmADwSP)),0)</f>
        <v>Factory Design Suite Standard</v>
      </c>
      <c r="B72" s="170" t="str">
        <f>IF(M2S_Eligibility_List!$B59&lt;&gt;"",RIGHT(M2S_Eligibility_List!$B59,LEN(M2S_Eligibility_List!$B59)-LEN(nmADwSP)),0)</f>
        <v>Factory Design Suite Standard</v>
      </c>
      <c r="C72" s="147" t="str">
        <f>SUBSTITUTE(_xlfn.IFNA(INDEX(M2S_Eligibility_List!$C$21:$BV$21,1,MATCH(C$271,$C309:$BW309,0)),""),nmADwSP,"")</f>
        <v>Architecture Engineering Construction Collection</v>
      </c>
      <c r="D72" s="147" t="str">
        <f>SUBSTITUTE(_xlfn.IFNA(INDEX(M2S_Eligibility_List!$C$21:$BV$21,1,MATCH(D$271,$C309:$BW309,0)),""),nmADwSP,"")</f>
        <v>Product Design &amp; Manufacturing Collection</v>
      </c>
      <c r="E72" s="147" t="str">
        <f>SUBSTITUTE(_xlfn.IFNA(INDEX(M2S_Eligibility_List!$C$21:$BV$21,1,MATCH(E$271,$C309:$BW309,0)),""),nmADwSP,"")</f>
        <v>AutoCAD - including specialized toolsets</v>
      </c>
      <c r="F72" s="147" t="str">
        <f>SUBSTITUTE(_xlfn.IFNA(INDEX(M2S_Eligibility_List!$C$21:$BV$21,1,MATCH(F$271,$C309:$BW309,0)),""),nmADwSP,"")</f>
        <v/>
      </c>
      <c r="G72" s="147" t="str">
        <f>SUBSTITUTE(_xlfn.IFNA(INDEX(M2S_Eligibility_List!$C$21:$BV$21,1,MATCH(G$271,$C309:$BW309,0)),""),nmADwSP,"")</f>
        <v/>
      </c>
      <c r="H72" s="147" t="str">
        <f>SUBSTITUTE(_xlfn.IFNA(INDEX(M2S_Eligibility_List!$C$21:$BV$21,1,MATCH(H$271,$C309:$BW309,0)),""),nmADwSP,"")</f>
        <v/>
      </c>
      <c r="I72" s="147" t="str">
        <f>SUBSTITUTE(_xlfn.IFNA(INDEX(M2S_Eligibility_List!$C$21:$BV$21,1,MATCH(I$271,$C309:$BW309,0)),""),nmADwSP,"")</f>
        <v/>
      </c>
      <c r="J72" s="147" t="str">
        <f>SUBSTITUTE(_xlfn.IFNA(INDEX(M2S_Eligibility_List!$C$21:$BV$21,1,MATCH(J$271,$C309:$BW309,0)),""),nmADwSP,"")</f>
        <v/>
      </c>
      <c r="K72" s="147" t="str">
        <f>SUBSTITUTE(_xlfn.IFNA(INDEX(M2S_Eligibility_List!$C$21:$BV$21,1,MATCH(K$271,$C309:$BW309,0)),""),nmADwSP,"")</f>
        <v/>
      </c>
      <c r="L72" s="147" t="str">
        <f>SUBSTITUTE(_xlfn.IFNA(INDEX(M2S_Eligibility_List!$C$21:$BV$21,1,MATCH(L$271,$C309:$BW309,0)),""),nmADwSP,"")</f>
        <v/>
      </c>
      <c r="M72" s="147" t="str">
        <f>SUBSTITUTE(_xlfn.IFNA(INDEX(M2S_Eligibility_List!$C$21:$BV$21,1,MATCH(M$271,$C309:$BW309,0)),""),nmADwSP,"")</f>
        <v/>
      </c>
      <c r="N72" s="147" t="str">
        <f>SUBSTITUTE(_xlfn.IFNA(INDEX(M2S_Eligibility_List!$C$21:$BV$21,1,MATCH(N$271,$C309:$BW309,0)),""),nmADwSP,"")</f>
        <v/>
      </c>
      <c r="O72" s="145"/>
      <c r="P72" s="145"/>
      <c r="Q72" s="145"/>
      <c r="R72" s="145"/>
      <c r="S72" s="145"/>
      <c r="T72" s="145"/>
      <c r="U72" s="145"/>
      <c r="V72" s="145"/>
      <c r="W72" s="145"/>
      <c r="X72" s="145"/>
      <c r="Y72" s="145"/>
      <c r="Z72" s="145"/>
      <c r="AA72" s="145"/>
      <c r="AB72" s="145"/>
      <c r="AC72" s="145"/>
      <c r="AD72" s="145"/>
      <c r="AE72" s="145"/>
      <c r="AF72" s="145"/>
      <c r="AG72" s="145"/>
      <c r="AH72" s="145"/>
      <c r="AI72" s="145"/>
      <c r="AJ72" s="145"/>
      <c r="AK72" s="145"/>
      <c r="AL72" s="145"/>
      <c r="AM72" s="145"/>
      <c r="AN72" s="145"/>
      <c r="AO72" s="145"/>
      <c r="AP72" s="145"/>
      <c r="AQ72" s="145"/>
      <c r="AR72" s="145"/>
      <c r="AS72" s="145"/>
      <c r="AT72" s="145"/>
      <c r="AU72" s="145"/>
      <c r="AV72" s="145"/>
      <c r="AW72" s="145"/>
      <c r="AX72" s="145"/>
      <c r="AY72" s="145"/>
      <c r="AZ72" s="145"/>
      <c r="BA72" s="145"/>
      <c r="BB72" s="145"/>
      <c r="BC72" s="145"/>
      <c r="BD72" s="145"/>
      <c r="BE72" s="145"/>
      <c r="BF72" s="145"/>
      <c r="BG72" s="145"/>
      <c r="BH72" s="145"/>
      <c r="BI72" s="145"/>
      <c r="BJ72" s="145"/>
      <c r="BK72" s="145"/>
      <c r="BL72" s="145"/>
      <c r="BM72" s="145"/>
      <c r="BN72" s="145"/>
      <c r="BO72" s="145"/>
      <c r="BP72" s="145"/>
      <c r="BQ72" s="145"/>
      <c r="BR72" s="145"/>
      <c r="BS72" s="145"/>
      <c r="BT72" s="145"/>
      <c r="BU72" s="145"/>
      <c r="BV72" s="145"/>
      <c r="BW72" s="145"/>
    </row>
    <row r="73" spans="1:75" ht="20.100000000000001" customHeight="1">
      <c r="A73" s="170" t="str">
        <f>IF(M2S_Eligibility_List!$B60&lt;&gt;"",RIGHT(M2S_Eligibility_List!$B60,LEN(M2S_Eligibility_List!$B60)-LEN(nmADwSP)),0)</f>
        <v>Factory Design Suite Ultimate</v>
      </c>
      <c r="B73" s="170" t="str">
        <f>IF(M2S_Eligibility_List!$B60&lt;&gt;"",RIGHT(M2S_Eligibility_List!$B60,LEN(M2S_Eligibility_List!$B60)-LEN(nmADwSP)),0)</f>
        <v>Factory Design Suite Ultimate</v>
      </c>
      <c r="C73" s="147" t="str">
        <f>SUBSTITUTE(_xlfn.IFNA(INDEX(M2S_Eligibility_List!$C$21:$BV$21,1,MATCH(C$271,$C310:$BW310,0)),""),nmADwSP,"")</f>
        <v>Architecture Engineering Construction Collection</v>
      </c>
      <c r="D73" s="147" t="str">
        <f>SUBSTITUTE(_xlfn.IFNA(INDEX(M2S_Eligibility_List!$C$21:$BV$21,1,MATCH(D$271,$C310:$BW310,0)),""),nmADwSP,"")</f>
        <v>Product Design &amp; Manufacturing Collection</v>
      </c>
      <c r="E73" s="147" t="str">
        <f>SUBSTITUTE(_xlfn.IFNA(INDEX(M2S_Eligibility_List!$C$21:$BV$21,1,MATCH(E$271,$C310:$BW310,0)),""),nmADwSP,"")</f>
        <v/>
      </c>
      <c r="F73" s="147" t="str">
        <f>SUBSTITUTE(_xlfn.IFNA(INDEX(M2S_Eligibility_List!$C$21:$BV$21,1,MATCH(F$271,$C310:$BW310,0)),""),nmADwSP,"")</f>
        <v/>
      </c>
      <c r="G73" s="147" t="str">
        <f>SUBSTITUTE(_xlfn.IFNA(INDEX(M2S_Eligibility_List!$C$21:$BV$21,1,MATCH(G$271,$C310:$BW310,0)),""),nmADwSP,"")</f>
        <v/>
      </c>
      <c r="H73" s="147" t="str">
        <f>SUBSTITUTE(_xlfn.IFNA(INDEX(M2S_Eligibility_List!$C$21:$BV$21,1,MATCH(H$271,$C310:$BW310,0)),""),nmADwSP,"")</f>
        <v/>
      </c>
      <c r="I73" s="147" t="str">
        <f>SUBSTITUTE(_xlfn.IFNA(INDEX(M2S_Eligibility_List!$C$21:$BV$21,1,MATCH(I$271,$C310:$BW310,0)),""),nmADwSP,"")</f>
        <v/>
      </c>
      <c r="J73" s="147" t="str">
        <f>SUBSTITUTE(_xlfn.IFNA(INDEX(M2S_Eligibility_List!$C$21:$BV$21,1,MATCH(J$271,$C310:$BW310,0)),""),nmADwSP,"")</f>
        <v/>
      </c>
      <c r="K73" s="147" t="str">
        <f>SUBSTITUTE(_xlfn.IFNA(INDEX(M2S_Eligibility_List!$C$21:$BV$21,1,MATCH(K$271,$C310:$BW310,0)),""),nmADwSP,"")</f>
        <v/>
      </c>
      <c r="L73" s="147" t="str">
        <f>SUBSTITUTE(_xlfn.IFNA(INDEX(M2S_Eligibility_List!$C$21:$BV$21,1,MATCH(L$271,$C310:$BW310,0)),""),nmADwSP,"")</f>
        <v/>
      </c>
      <c r="M73" s="147" t="str">
        <f>SUBSTITUTE(_xlfn.IFNA(INDEX(M2S_Eligibility_List!$C$21:$BV$21,1,MATCH(M$271,$C310:$BW310,0)),""),nmADwSP,"")</f>
        <v/>
      </c>
      <c r="N73" s="147" t="str">
        <f>SUBSTITUTE(_xlfn.IFNA(INDEX(M2S_Eligibility_List!$C$21:$BV$21,1,MATCH(N$271,$C310:$BW310,0)),""),nmADwSP,"")</f>
        <v/>
      </c>
      <c r="O73" s="145"/>
      <c r="P73" s="145"/>
      <c r="Q73" s="145"/>
      <c r="R73" s="145"/>
      <c r="S73" s="145"/>
      <c r="T73" s="145"/>
      <c r="U73" s="145"/>
      <c r="V73" s="145"/>
      <c r="W73" s="145"/>
      <c r="X73" s="145"/>
      <c r="Y73" s="145"/>
      <c r="Z73" s="145"/>
      <c r="AA73" s="145"/>
      <c r="AB73" s="145"/>
      <c r="AC73" s="145"/>
      <c r="AD73" s="145"/>
      <c r="AE73" s="145"/>
      <c r="AF73" s="145"/>
      <c r="AG73" s="145"/>
      <c r="AH73" s="145"/>
      <c r="AI73" s="145"/>
      <c r="AJ73" s="145"/>
      <c r="AK73" s="145"/>
      <c r="AL73" s="145"/>
      <c r="AM73" s="145"/>
      <c r="AN73" s="145"/>
      <c r="AO73" s="145"/>
      <c r="AP73" s="145"/>
      <c r="AQ73" s="145"/>
      <c r="AR73" s="145"/>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c r="BW73" s="145"/>
    </row>
    <row r="74" spans="1:75" ht="20.100000000000001" customHeight="1">
      <c r="A74" s="170" t="str">
        <f>IF(M2S_Eligibility_List!$B61&lt;&gt;"",RIGHT(M2S_Eligibility_List!$B61,LEN(M2S_Eligibility_List!$B61)-LEN(nmADwSP)),0)</f>
        <v>FeatureCAM - Premium</v>
      </c>
      <c r="B74" s="170" t="str">
        <f>IF(M2S_Eligibility_List!$B61&lt;&gt;"",RIGHT(M2S_Eligibility_List!$B61,LEN(M2S_Eligibility_List!$B61)-LEN(nmADwSP)),0)</f>
        <v>FeatureCAM - Premium</v>
      </c>
      <c r="C74" s="147" t="str">
        <f>SUBSTITUTE(_xlfn.IFNA(INDEX(M2S_Eligibility_List!$C$21:$BV$21,1,MATCH(C$271,$C311:$BW311,0)),""),nmADwSP,"")</f>
        <v>FeatureCAM - Premium</v>
      </c>
      <c r="D74" s="147" t="str">
        <f>SUBSTITUTE(_xlfn.IFNA(INDEX(M2S_Eligibility_List!$C$21:$BV$21,1,MATCH(D$271,$C311:$BW311,0)),""),nmADwSP,"")</f>
        <v>FeatureCAM - Ultimate</v>
      </c>
      <c r="E74" s="147" t="str">
        <f>SUBSTITUTE(_xlfn.IFNA(INDEX(M2S_Eligibility_List!$C$21:$BV$21,1,MATCH(E$271,$C311:$BW311,0)),""),nmADwSP,"")</f>
        <v/>
      </c>
      <c r="F74" s="147" t="str">
        <f>SUBSTITUTE(_xlfn.IFNA(INDEX(M2S_Eligibility_List!$C$21:$BV$21,1,MATCH(F$271,$C311:$BW311,0)),""),nmADwSP,"")</f>
        <v/>
      </c>
      <c r="G74" s="147" t="str">
        <f>SUBSTITUTE(_xlfn.IFNA(INDEX(M2S_Eligibility_List!$C$21:$BV$21,1,MATCH(G$271,$C311:$BW311,0)),""),nmADwSP,"")</f>
        <v/>
      </c>
      <c r="H74" s="147" t="str">
        <f>SUBSTITUTE(_xlfn.IFNA(INDEX(M2S_Eligibility_List!$C$21:$BV$21,1,MATCH(H$271,$C311:$BW311,0)),""),nmADwSP,"")</f>
        <v/>
      </c>
      <c r="I74" s="147" t="str">
        <f>SUBSTITUTE(_xlfn.IFNA(INDEX(M2S_Eligibility_List!$C$21:$BV$21,1,MATCH(I$271,$C311:$BW311,0)),""),nmADwSP,"")</f>
        <v/>
      </c>
      <c r="J74" s="147" t="str">
        <f>SUBSTITUTE(_xlfn.IFNA(INDEX(M2S_Eligibility_List!$C$21:$BV$21,1,MATCH(J$271,$C311:$BW311,0)),""),nmADwSP,"")</f>
        <v/>
      </c>
      <c r="K74" s="147" t="str">
        <f>SUBSTITUTE(_xlfn.IFNA(INDEX(M2S_Eligibility_List!$C$21:$BV$21,1,MATCH(K$271,$C311:$BW311,0)),""),nmADwSP,"")</f>
        <v/>
      </c>
      <c r="L74" s="147" t="str">
        <f>SUBSTITUTE(_xlfn.IFNA(INDEX(M2S_Eligibility_List!$C$21:$BV$21,1,MATCH(L$271,$C311:$BW311,0)),""),nmADwSP,"")</f>
        <v/>
      </c>
      <c r="M74" s="147" t="str">
        <f>SUBSTITUTE(_xlfn.IFNA(INDEX(M2S_Eligibility_List!$C$21:$BV$21,1,MATCH(M$271,$C311:$BW311,0)),""),nmADwSP,"")</f>
        <v/>
      </c>
      <c r="N74" s="147" t="str">
        <f>SUBSTITUTE(_xlfn.IFNA(INDEX(M2S_Eligibility_List!$C$21:$BV$21,1,MATCH(N$271,$C311:$BW311,0)),""),nmADwSP,"")</f>
        <v/>
      </c>
      <c r="O74" s="145"/>
      <c r="P74" s="145"/>
      <c r="Q74" s="145"/>
      <c r="R74" s="145"/>
      <c r="S74" s="145"/>
      <c r="T74" s="145"/>
      <c r="U74" s="145"/>
      <c r="V74" s="145"/>
      <c r="W74" s="145"/>
      <c r="X74" s="145"/>
      <c r="Y74" s="145"/>
      <c r="Z74" s="145"/>
      <c r="AA74" s="145"/>
      <c r="AB74" s="145"/>
      <c r="AC74" s="145"/>
      <c r="AD74" s="145"/>
      <c r="AE74" s="145"/>
      <c r="AF74" s="145"/>
      <c r="AG74" s="145"/>
      <c r="AH74" s="145"/>
      <c r="AI74" s="145"/>
      <c r="AJ74" s="145"/>
      <c r="AK74" s="145"/>
      <c r="AL74" s="145"/>
      <c r="AM74" s="145"/>
      <c r="AN74" s="145"/>
      <c r="AO74" s="145"/>
      <c r="AP74" s="145"/>
      <c r="AQ74" s="145"/>
      <c r="AR74" s="145"/>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c r="BW74" s="145"/>
    </row>
    <row r="75" spans="1:75" ht="20.100000000000001" customHeight="1">
      <c r="A75" s="170" t="str">
        <f>IF(M2S_Eligibility_List!$B62&lt;&gt;"",RIGHT(M2S_Eligibility_List!$B62,LEN(M2S_Eligibility_List!$B62)-LEN(nmADwSP)),0)</f>
        <v>FeatureCAM - Standard</v>
      </c>
      <c r="B75" s="170" t="str">
        <f>IF(M2S_Eligibility_List!$B62&lt;&gt;"",RIGHT(M2S_Eligibility_List!$B62,LEN(M2S_Eligibility_List!$B62)-LEN(nmADwSP)),0)</f>
        <v>FeatureCAM - Standard</v>
      </c>
      <c r="C75" s="147" t="str">
        <f>SUBSTITUTE(_xlfn.IFNA(INDEX(M2S_Eligibility_List!$C$21:$BV$21,1,MATCH(C$271,$C312:$BW312,0)),""),nmADwSP,"")</f>
        <v>FeatureCAM - Premium</v>
      </c>
      <c r="D75" s="147" t="str">
        <f>SUBSTITUTE(_xlfn.IFNA(INDEX(M2S_Eligibility_List!$C$21:$BV$21,1,MATCH(D$271,$C312:$BW312,0)),""),nmADwSP,"")</f>
        <v>FeatureCAM - Standard</v>
      </c>
      <c r="E75" s="147" t="str">
        <f>SUBSTITUTE(_xlfn.IFNA(INDEX(M2S_Eligibility_List!$C$21:$BV$21,1,MATCH(E$271,$C312:$BW312,0)),""),nmADwSP,"")</f>
        <v>FeatureCAM - Ultimate</v>
      </c>
      <c r="F75" s="147" t="str">
        <f>SUBSTITUTE(_xlfn.IFNA(INDEX(M2S_Eligibility_List!$C$21:$BV$21,1,MATCH(F$271,$C312:$BW312,0)),""),nmADwSP,"")</f>
        <v/>
      </c>
      <c r="G75" s="147" t="str">
        <f>SUBSTITUTE(_xlfn.IFNA(INDEX(M2S_Eligibility_List!$C$21:$BV$21,1,MATCH(G$271,$C312:$BW312,0)),""),nmADwSP,"")</f>
        <v/>
      </c>
      <c r="H75" s="147" t="str">
        <f>SUBSTITUTE(_xlfn.IFNA(INDEX(M2S_Eligibility_List!$C$21:$BV$21,1,MATCH(H$271,$C312:$BW312,0)),""),nmADwSP,"")</f>
        <v/>
      </c>
      <c r="I75" s="147" t="str">
        <f>SUBSTITUTE(_xlfn.IFNA(INDEX(M2S_Eligibility_List!$C$21:$BV$21,1,MATCH(I$271,$C312:$BW312,0)),""),nmADwSP,"")</f>
        <v/>
      </c>
      <c r="J75" s="147" t="str">
        <f>SUBSTITUTE(_xlfn.IFNA(INDEX(M2S_Eligibility_List!$C$21:$BV$21,1,MATCH(J$271,$C312:$BW312,0)),""),nmADwSP,"")</f>
        <v/>
      </c>
      <c r="K75" s="147" t="str">
        <f>SUBSTITUTE(_xlfn.IFNA(INDEX(M2S_Eligibility_List!$C$21:$BV$21,1,MATCH(K$271,$C312:$BW312,0)),""),nmADwSP,"")</f>
        <v/>
      </c>
      <c r="L75" s="147" t="str">
        <f>SUBSTITUTE(_xlfn.IFNA(INDEX(M2S_Eligibility_List!$C$21:$BV$21,1,MATCH(L$271,$C312:$BW312,0)),""),nmADwSP,"")</f>
        <v/>
      </c>
      <c r="M75" s="147" t="str">
        <f>SUBSTITUTE(_xlfn.IFNA(INDEX(M2S_Eligibility_List!$C$21:$BV$21,1,MATCH(M$271,$C312:$BW312,0)),""),nmADwSP,"")</f>
        <v/>
      </c>
      <c r="N75" s="147" t="str">
        <f>SUBSTITUTE(_xlfn.IFNA(INDEX(M2S_Eligibility_List!$C$21:$BV$21,1,MATCH(N$271,$C312:$BW312,0)),""),nmADwSP,"")</f>
        <v/>
      </c>
      <c r="O75" s="145"/>
      <c r="P75" s="145"/>
      <c r="Q75" s="145"/>
      <c r="R75" s="145"/>
      <c r="S75" s="145"/>
      <c r="T75" s="145"/>
      <c r="U75" s="145"/>
      <c r="V75" s="145"/>
      <c r="W75" s="145"/>
      <c r="X75" s="145"/>
      <c r="Y75" s="145"/>
      <c r="Z75" s="145"/>
      <c r="AA75" s="145"/>
      <c r="AB75" s="145"/>
      <c r="AC75" s="145"/>
      <c r="AD75" s="145"/>
      <c r="AE75" s="145"/>
      <c r="AF75" s="145"/>
      <c r="AG75" s="145"/>
      <c r="AH75" s="145"/>
      <c r="AI75" s="145"/>
      <c r="AJ75" s="145"/>
      <c r="AK75" s="145"/>
      <c r="AL75" s="145"/>
      <c r="AM75" s="145"/>
      <c r="AN75" s="145"/>
      <c r="AO75" s="145"/>
      <c r="AP75" s="145"/>
      <c r="AQ75" s="145"/>
      <c r="AR75" s="14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c r="BW75" s="145"/>
    </row>
    <row r="76" spans="1:75" ht="20.100000000000001" customHeight="1">
      <c r="A76" s="170" t="str">
        <f>IF(M2S_Eligibility_List!$B63&lt;&gt;"",RIGHT(M2S_Eligibility_List!$B63,LEN(M2S_Eligibility_List!$B63)-LEN(nmADwSP)),0)</f>
        <v>FeatureCAM - Ultimate</v>
      </c>
      <c r="B76" s="170" t="str">
        <f>IF(M2S_Eligibility_List!$B63&lt;&gt;"",RIGHT(M2S_Eligibility_List!$B63,LEN(M2S_Eligibility_List!$B63)-LEN(nmADwSP)),0)</f>
        <v>FeatureCAM - Ultimate</v>
      </c>
      <c r="C76" s="147" t="str">
        <f>SUBSTITUTE(_xlfn.IFNA(INDEX(M2S_Eligibility_List!$C$21:$BV$21,1,MATCH(C$271,$C313:$BW313,0)),""),nmADwSP,"")</f>
        <v>FeatureCAM - Ultimate</v>
      </c>
      <c r="D76" s="147" t="str">
        <f>SUBSTITUTE(_xlfn.IFNA(INDEX(M2S_Eligibility_List!$C$21:$BV$21,1,MATCH(D$271,$C313:$BW313,0)),""),nmADwSP,"")</f>
        <v/>
      </c>
      <c r="E76" s="147" t="str">
        <f>SUBSTITUTE(_xlfn.IFNA(INDEX(M2S_Eligibility_List!$C$21:$BV$21,1,MATCH(E$271,$C313:$BW313,0)),""),nmADwSP,"")</f>
        <v/>
      </c>
      <c r="F76" s="147" t="str">
        <f>SUBSTITUTE(_xlfn.IFNA(INDEX(M2S_Eligibility_List!$C$21:$BV$21,1,MATCH(F$271,$C313:$BW313,0)),""),nmADwSP,"")</f>
        <v/>
      </c>
      <c r="G76" s="147" t="str">
        <f>SUBSTITUTE(_xlfn.IFNA(INDEX(M2S_Eligibility_List!$C$21:$BV$21,1,MATCH(G$271,$C313:$BW313,0)),""),nmADwSP,"")</f>
        <v/>
      </c>
      <c r="H76" s="147" t="str">
        <f>SUBSTITUTE(_xlfn.IFNA(INDEX(M2S_Eligibility_List!$C$21:$BV$21,1,MATCH(H$271,$C313:$BW313,0)),""),nmADwSP,"")</f>
        <v/>
      </c>
      <c r="I76" s="147" t="str">
        <f>SUBSTITUTE(_xlfn.IFNA(INDEX(M2S_Eligibility_List!$C$21:$BV$21,1,MATCH(I$271,$C313:$BW313,0)),""),nmADwSP,"")</f>
        <v/>
      </c>
      <c r="J76" s="147" t="str">
        <f>SUBSTITUTE(_xlfn.IFNA(INDEX(M2S_Eligibility_List!$C$21:$BV$21,1,MATCH(J$271,$C313:$BW313,0)),""),nmADwSP,"")</f>
        <v/>
      </c>
      <c r="K76" s="147" t="str">
        <f>SUBSTITUTE(_xlfn.IFNA(INDEX(M2S_Eligibility_List!$C$21:$BV$21,1,MATCH(K$271,$C313:$BW313,0)),""),nmADwSP,"")</f>
        <v/>
      </c>
      <c r="L76" s="147" t="str">
        <f>SUBSTITUTE(_xlfn.IFNA(INDEX(M2S_Eligibility_List!$C$21:$BV$21,1,MATCH(L$271,$C313:$BW313,0)),""),nmADwSP,"")</f>
        <v/>
      </c>
      <c r="M76" s="147" t="str">
        <f>SUBSTITUTE(_xlfn.IFNA(INDEX(M2S_Eligibility_List!$C$21:$BV$21,1,MATCH(M$271,$C313:$BW313,0)),""),nmADwSP,"")</f>
        <v/>
      </c>
      <c r="N76" s="147" t="str">
        <f>SUBSTITUTE(_xlfn.IFNA(INDEX(M2S_Eligibility_List!$C$21:$BV$21,1,MATCH(N$271,$C313:$BW313,0)),""),nmADwSP,"")</f>
        <v/>
      </c>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145"/>
      <c r="AL76" s="145"/>
      <c r="AM76" s="145"/>
      <c r="AN76" s="145"/>
      <c r="AO76" s="145"/>
      <c r="AP76" s="145"/>
      <c r="AQ76" s="145"/>
      <c r="AR76" s="145"/>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c r="BW76" s="145"/>
    </row>
    <row r="77" spans="1:75" ht="20.100000000000001" customHeight="1">
      <c r="A77" s="170" t="str">
        <f>IF(M2S_Eligibility_List!$B64&lt;&gt;"",RIGHT(M2S_Eligibility_List!$B64,LEN(M2S_Eligibility_List!$B64)-LEN(nmADwSP)),0)</f>
        <v>Helius Composite</v>
      </c>
      <c r="B77" s="170" t="str">
        <f>IF(M2S_Eligibility_List!$B64&lt;&gt;"",RIGHT(M2S_Eligibility_List!$B64,LEN(M2S_Eligibility_List!$B64)-LEN(nmADwSP)),0)</f>
        <v>Helius Composite</v>
      </c>
      <c r="C77" s="147" t="str">
        <f>SUBSTITUTE(_xlfn.IFNA(INDEX(M2S_Eligibility_List!$C$21:$BV$21,1,MATCH(C$271,$C314:$BW314,0)),""),nmADwSP,"")</f>
        <v>Helius Composite</v>
      </c>
      <c r="D77" s="147" t="str">
        <f>SUBSTITUTE(_xlfn.IFNA(INDEX(M2S_Eligibility_List!$C$21:$BV$21,1,MATCH(D$271,$C314:$BW314,0)),""),nmADwSP,"")</f>
        <v/>
      </c>
      <c r="E77" s="147" t="str">
        <f>SUBSTITUTE(_xlfn.IFNA(INDEX(M2S_Eligibility_List!$C$21:$BV$21,1,MATCH(E$271,$C314:$BW314,0)),""),nmADwSP,"")</f>
        <v/>
      </c>
      <c r="F77" s="147" t="str">
        <f>SUBSTITUTE(_xlfn.IFNA(INDEX(M2S_Eligibility_List!$C$21:$BV$21,1,MATCH(F$271,$C314:$BW314,0)),""),nmADwSP,"")</f>
        <v/>
      </c>
      <c r="G77" s="147" t="str">
        <f>SUBSTITUTE(_xlfn.IFNA(INDEX(M2S_Eligibility_List!$C$21:$BV$21,1,MATCH(G$271,$C314:$BW314,0)),""),nmADwSP,"")</f>
        <v/>
      </c>
      <c r="H77" s="147" t="str">
        <f>SUBSTITUTE(_xlfn.IFNA(INDEX(M2S_Eligibility_List!$C$21:$BV$21,1,MATCH(H$271,$C314:$BW314,0)),""),nmADwSP,"")</f>
        <v/>
      </c>
      <c r="I77" s="147" t="str">
        <f>SUBSTITUTE(_xlfn.IFNA(INDEX(M2S_Eligibility_List!$C$21:$BV$21,1,MATCH(I$271,$C314:$BW314,0)),""),nmADwSP,"")</f>
        <v/>
      </c>
      <c r="J77" s="147" t="str">
        <f>SUBSTITUTE(_xlfn.IFNA(INDEX(M2S_Eligibility_List!$C$21:$BV$21,1,MATCH(J$271,$C314:$BW314,0)),""),nmADwSP,"")</f>
        <v/>
      </c>
      <c r="K77" s="147" t="str">
        <f>SUBSTITUTE(_xlfn.IFNA(INDEX(M2S_Eligibility_List!$C$21:$BV$21,1,MATCH(K$271,$C314:$BW314,0)),""),nmADwSP,"")</f>
        <v/>
      </c>
      <c r="L77" s="147" t="str">
        <f>SUBSTITUTE(_xlfn.IFNA(INDEX(M2S_Eligibility_List!$C$21:$BV$21,1,MATCH(L$271,$C314:$BW314,0)),""),nmADwSP,"")</f>
        <v/>
      </c>
      <c r="M77" s="147" t="str">
        <f>SUBSTITUTE(_xlfn.IFNA(INDEX(M2S_Eligibility_List!$C$21:$BV$21,1,MATCH(M$271,$C314:$BW314,0)),""),nmADwSP,"")</f>
        <v/>
      </c>
      <c r="N77" s="147" t="str">
        <f>SUBSTITUTE(_xlfn.IFNA(INDEX(M2S_Eligibility_List!$C$21:$BV$21,1,MATCH(N$271,$C314:$BW314,0)),""),nmADwSP,"")</f>
        <v/>
      </c>
      <c r="O77" s="145"/>
      <c r="P77" s="145"/>
      <c r="Q77" s="145"/>
      <c r="R77" s="145"/>
      <c r="S77" s="145"/>
      <c r="T77" s="145"/>
      <c r="U77" s="145"/>
      <c r="V77" s="145"/>
      <c r="W77" s="145"/>
      <c r="X77" s="145"/>
      <c r="Y77" s="145"/>
      <c r="Z77" s="145"/>
      <c r="AA77" s="145"/>
      <c r="AB77" s="145"/>
      <c r="AC77" s="145"/>
      <c r="AD77" s="145"/>
      <c r="AE77" s="145"/>
      <c r="AF77" s="145"/>
      <c r="AG77" s="145"/>
      <c r="AH77" s="145"/>
      <c r="AI77" s="145"/>
      <c r="AJ77" s="145"/>
      <c r="AK77" s="145"/>
      <c r="AL77" s="145"/>
      <c r="AM77" s="145"/>
      <c r="AN77" s="145"/>
      <c r="AO77" s="145"/>
      <c r="AP77" s="145"/>
      <c r="AQ77" s="145"/>
      <c r="AR77" s="145"/>
      <c r="AS77" s="145"/>
      <c r="AT77" s="145"/>
      <c r="AU77" s="145"/>
      <c r="AV77" s="145"/>
      <c r="AW77" s="145"/>
      <c r="AX77" s="145"/>
      <c r="AY77" s="145"/>
      <c r="AZ77" s="145"/>
      <c r="BA77" s="145"/>
      <c r="BB77" s="145"/>
      <c r="BC77" s="145"/>
      <c r="BD77" s="145"/>
      <c r="BE77" s="145"/>
      <c r="BF77" s="145"/>
      <c r="BG77" s="145"/>
      <c r="BH77" s="145"/>
      <c r="BI77" s="145"/>
      <c r="BJ77" s="145"/>
      <c r="BK77" s="145"/>
      <c r="BL77" s="145"/>
      <c r="BM77" s="145"/>
      <c r="BN77" s="145"/>
      <c r="BO77" s="145"/>
      <c r="BP77" s="145"/>
      <c r="BQ77" s="145"/>
      <c r="BR77" s="145"/>
      <c r="BS77" s="145"/>
      <c r="BT77" s="145"/>
      <c r="BU77" s="145"/>
      <c r="BV77" s="145"/>
      <c r="BW77" s="145"/>
    </row>
    <row r="78" spans="1:75" ht="20.100000000000001" customHeight="1">
      <c r="A78" s="170" t="str">
        <f>IF(M2S_Eligibility_List!$B65&lt;&gt;"",RIGHT(M2S_Eligibility_List!$B65,LEN(M2S_Eligibility_List!$B65)-LEN(nmADwSP)),0)</f>
        <v>HSM - Premium</v>
      </c>
      <c r="B78" s="170" t="str">
        <f>IF(M2S_Eligibility_List!$B65&lt;&gt;"",RIGHT(M2S_Eligibility_List!$B65,LEN(M2S_Eligibility_List!$B65)-LEN(nmADwSP)),0)</f>
        <v>HSM - Premium</v>
      </c>
      <c r="C78" s="147" t="str">
        <f>SUBSTITUTE(_xlfn.IFNA(INDEX(M2S_Eligibility_List!$C$21:$BV$21,1,MATCH(C$271,$C315:$BW315,0)),""),nmADwSP,"")</f>
        <v>Product Design &amp; Manufacturing Collection</v>
      </c>
      <c r="D78" s="147" t="str">
        <f>SUBSTITUTE(_xlfn.IFNA(INDEX(M2S_Eligibility_List!$C$21:$BV$21,1,MATCH(D$271,$C315:$BW315,0)),""),nmADwSP,"")</f>
        <v/>
      </c>
      <c r="E78" s="147" t="str">
        <f>SUBSTITUTE(_xlfn.IFNA(INDEX(M2S_Eligibility_List!$C$21:$BV$21,1,MATCH(E$271,$C315:$BW315,0)),""),nmADwSP,"")</f>
        <v/>
      </c>
      <c r="F78" s="147" t="str">
        <f>SUBSTITUTE(_xlfn.IFNA(INDEX(M2S_Eligibility_List!$C$21:$BV$21,1,MATCH(F$271,$C315:$BW315,0)),""),nmADwSP,"")</f>
        <v/>
      </c>
      <c r="G78" s="147" t="str">
        <f>SUBSTITUTE(_xlfn.IFNA(INDEX(M2S_Eligibility_List!$C$21:$BV$21,1,MATCH(G$271,$C315:$BW315,0)),""),nmADwSP,"")</f>
        <v/>
      </c>
      <c r="H78" s="147" t="str">
        <f>SUBSTITUTE(_xlfn.IFNA(INDEX(M2S_Eligibility_List!$C$21:$BV$21,1,MATCH(H$271,$C315:$BW315,0)),""),nmADwSP,"")</f>
        <v/>
      </c>
      <c r="I78" s="147" t="str">
        <f>SUBSTITUTE(_xlfn.IFNA(INDEX(M2S_Eligibility_List!$C$21:$BV$21,1,MATCH(I$271,$C315:$BW315,0)),""),nmADwSP,"")</f>
        <v/>
      </c>
      <c r="J78" s="147" t="str">
        <f>SUBSTITUTE(_xlfn.IFNA(INDEX(M2S_Eligibility_List!$C$21:$BV$21,1,MATCH(J$271,$C315:$BW315,0)),""),nmADwSP,"")</f>
        <v/>
      </c>
      <c r="K78" s="147" t="str">
        <f>SUBSTITUTE(_xlfn.IFNA(INDEX(M2S_Eligibility_List!$C$21:$BV$21,1,MATCH(K$271,$C315:$BW315,0)),""),nmADwSP,"")</f>
        <v/>
      </c>
      <c r="L78" s="147" t="str">
        <f>SUBSTITUTE(_xlfn.IFNA(INDEX(M2S_Eligibility_List!$C$21:$BV$21,1,MATCH(L$271,$C315:$BW315,0)),""),nmADwSP,"")</f>
        <v/>
      </c>
      <c r="M78" s="147" t="str">
        <f>SUBSTITUTE(_xlfn.IFNA(INDEX(M2S_Eligibility_List!$C$21:$BV$21,1,MATCH(M$271,$C315:$BW315,0)),""),nmADwSP,"")</f>
        <v/>
      </c>
      <c r="N78" s="147" t="str">
        <f>SUBSTITUTE(_xlfn.IFNA(INDEX(M2S_Eligibility_List!$C$21:$BV$21,1,MATCH(N$271,$C315:$BW315,0)),""),nmADwSP,"")</f>
        <v/>
      </c>
      <c r="O78" s="145"/>
      <c r="P78" s="145"/>
      <c r="Q78" s="145"/>
      <c r="R78" s="145"/>
      <c r="S78" s="145"/>
      <c r="T78" s="145"/>
      <c r="U78" s="145"/>
      <c r="V78" s="145"/>
      <c r="W78" s="145"/>
      <c r="X78" s="145"/>
      <c r="Y78" s="145"/>
      <c r="Z78" s="145"/>
      <c r="AA78" s="145"/>
      <c r="AB78" s="145"/>
      <c r="AC78" s="145"/>
      <c r="AD78" s="145"/>
      <c r="AE78" s="145"/>
      <c r="AF78" s="145"/>
      <c r="AG78" s="145"/>
      <c r="AH78" s="145"/>
      <c r="AI78" s="145"/>
      <c r="AJ78" s="145"/>
      <c r="AK78" s="145"/>
      <c r="AL78" s="145"/>
      <c r="AM78" s="145"/>
      <c r="AN78" s="145"/>
      <c r="AO78" s="145"/>
      <c r="AP78" s="145"/>
      <c r="AQ78" s="145"/>
      <c r="AR78" s="145"/>
      <c r="AS78" s="145"/>
      <c r="AT78" s="145"/>
      <c r="AU78" s="145"/>
      <c r="AV78" s="145"/>
      <c r="AW78" s="145"/>
      <c r="AX78" s="145"/>
      <c r="AY78" s="145"/>
      <c r="AZ78" s="145"/>
      <c r="BA78" s="145"/>
      <c r="BB78" s="145"/>
      <c r="BC78" s="145"/>
      <c r="BD78" s="145"/>
      <c r="BE78" s="145"/>
      <c r="BF78" s="145"/>
      <c r="BG78" s="145"/>
      <c r="BH78" s="145"/>
      <c r="BI78" s="145"/>
      <c r="BJ78" s="145"/>
      <c r="BK78" s="145"/>
      <c r="BL78" s="145"/>
      <c r="BM78" s="145"/>
      <c r="BN78" s="145"/>
      <c r="BO78" s="145"/>
      <c r="BP78" s="145"/>
      <c r="BQ78" s="145"/>
      <c r="BR78" s="145"/>
      <c r="BS78" s="145"/>
      <c r="BT78" s="145"/>
      <c r="BU78" s="145"/>
      <c r="BV78" s="145"/>
      <c r="BW78" s="145"/>
    </row>
    <row r="79" spans="1:75" ht="20.100000000000001" customHeight="1">
      <c r="A79" s="170" t="str">
        <f>IF(M2S_Eligibility_List!$B66&lt;&gt;"",RIGHT(M2S_Eligibility_List!$B66,LEN(M2S_Eligibility_List!$B66)-LEN(nmADwSP)),0)</f>
        <v>HSM - Ultimate</v>
      </c>
      <c r="B79" s="170" t="str">
        <f>IF(M2S_Eligibility_List!$B66&lt;&gt;"",RIGHT(M2S_Eligibility_List!$B66,LEN(M2S_Eligibility_List!$B66)-LEN(nmADwSP)),0)</f>
        <v>HSM - Ultimate</v>
      </c>
      <c r="C79" s="147" t="str">
        <f>SUBSTITUTE(_xlfn.IFNA(INDEX(M2S_Eligibility_List!$C$21:$BV$21,1,MATCH(C$271,$C316:$BW316,0)),""),nmADwSP,"")</f>
        <v>Product Design &amp; Manufacturing Collection</v>
      </c>
      <c r="D79" s="147" t="str">
        <f>SUBSTITUTE(_xlfn.IFNA(INDEX(M2S_Eligibility_List!$C$21:$BV$21,1,MATCH(D$271,$C316:$BW316,0)),""),nmADwSP,"")</f>
        <v/>
      </c>
      <c r="E79" s="147" t="str">
        <f>SUBSTITUTE(_xlfn.IFNA(INDEX(M2S_Eligibility_List!$C$21:$BV$21,1,MATCH(E$271,$C316:$BW316,0)),""),nmADwSP,"")</f>
        <v/>
      </c>
      <c r="F79" s="147" t="str">
        <f>SUBSTITUTE(_xlfn.IFNA(INDEX(M2S_Eligibility_List!$C$21:$BV$21,1,MATCH(F$271,$C316:$BW316,0)),""),nmADwSP,"")</f>
        <v/>
      </c>
      <c r="G79" s="147" t="str">
        <f>SUBSTITUTE(_xlfn.IFNA(INDEX(M2S_Eligibility_List!$C$21:$BV$21,1,MATCH(G$271,$C316:$BW316,0)),""),nmADwSP,"")</f>
        <v/>
      </c>
      <c r="H79" s="147" t="str">
        <f>SUBSTITUTE(_xlfn.IFNA(INDEX(M2S_Eligibility_List!$C$21:$BV$21,1,MATCH(H$271,$C316:$BW316,0)),""),nmADwSP,"")</f>
        <v/>
      </c>
      <c r="I79" s="147" t="str">
        <f>SUBSTITUTE(_xlfn.IFNA(INDEX(M2S_Eligibility_List!$C$21:$BV$21,1,MATCH(I$271,$C316:$BW316,0)),""),nmADwSP,"")</f>
        <v/>
      </c>
      <c r="J79" s="147" t="str">
        <f>SUBSTITUTE(_xlfn.IFNA(INDEX(M2S_Eligibility_List!$C$21:$BV$21,1,MATCH(J$271,$C316:$BW316,0)),""),nmADwSP,"")</f>
        <v/>
      </c>
      <c r="K79" s="147" t="str">
        <f>SUBSTITUTE(_xlfn.IFNA(INDEX(M2S_Eligibility_List!$C$21:$BV$21,1,MATCH(K$271,$C316:$BW316,0)),""),nmADwSP,"")</f>
        <v/>
      </c>
      <c r="L79" s="147" t="str">
        <f>SUBSTITUTE(_xlfn.IFNA(INDEX(M2S_Eligibility_List!$C$21:$BV$21,1,MATCH(L$271,$C316:$BW316,0)),""),nmADwSP,"")</f>
        <v/>
      </c>
      <c r="M79" s="147" t="str">
        <f>SUBSTITUTE(_xlfn.IFNA(INDEX(M2S_Eligibility_List!$C$21:$BV$21,1,MATCH(M$271,$C316:$BW316,0)),""),nmADwSP,"")</f>
        <v/>
      </c>
      <c r="N79" s="147" t="str">
        <f>SUBSTITUTE(_xlfn.IFNA(INDEX(M2S_Eligibility_List!$C$21:$BV$21,1,MATCH(N$271,$C316:$BW316,0)),""),nmADwSP,"")</f>
        <v/>
      </c>
      <c r="O79" s="145"/>
      <c r="P79" s="145"/>
      <c r="Q79" s="145"/>
      <c r="R79" s="145"/>
      <c r="S79" s="145"/>
      <c r="T79" s="145"/>
      <c r="U79" s="145"/>
      <c r="V79" s="145"/>
      <c r="W79" s="145"/>
      <c r="X79" s="145"/>
      <c r="Y79" s="145"/>
      <c r="Z79" s="145"/>
      <c r="AA79" s="145"/>
      <c r="AB79" s="145"/>
      <c r="AC79" s="145"/>
      <c r="AD79" s="145"/>
      <c r="AE79" s="145"/>
      <c r="AF79" s="145"/>
      <c r="AG79" s="145"/>
      <c r="AH79" s="145"/>
      <c r="AI79" s="145"/>
      <c r="AJ79" s="145"/>
      <c r="AK79" s="145"/>
      <c r="AL79" s="145"/>
      <c r="AM79" s="145"/>
      <c r="AN79" s="145"/>
      <c r="AO79" s="145"/>
      <c r="AP79" s="145"/>
      <c r="AQ79" s="145"/>
      <c r="AR79" s="145"/>
      <c r="AS79" s="145"/>
      <c r="AT79" s="145"/>
      <c r="AU79" s="145"/>
      <c r="AV79" s="145"/>
      <c r="AW79" s="145"/>
      <c r="AX79" s="145"/>
      <c r="AY79" s="145"/>
      <c r="AZ79" s="145"/>
      <c r="BA79" s="145"/>
      <c r="BB79" s="145"/>
      <c r="BC79" s="145"/>
      <c r="BD79" s="145"/>
      <c r="BE79" s="145"/>
      <c r="BF79" s="145"/>
      <c r="BG79" s="145"/>
      <c r="BH79" s="145"/>
      <c r="BI79" s="145"/>
      <c r="BJ79" s="145"/>
      <c r="BK79" s="145"/>
      <c r="BL79" s="145"/>
      <c r="BM79" s="145"/>
      <c r="BN79" s="145"/>
      <c r="BO79" s="145"/>
      <c r="BP79" s="145"/>
      <c r="BQ79" s="145"/>
      <c r="BR79" s="145"/>
      <c r="BS79" s="145"/>
      <c r="BT79" s="145"/>
      <c r="BU79" s="145"/>
      <c r="BV79" s="145"/>
      <c r="BW79" s="145"/>
    </row>
    <row r="80" spans="1:75" ht="20.100000000000001" customHeight="1">
      <c r="A80" s="170" t="str">
        <f>IF(M2S_Eligibility_List!$B67&lt;&gt;"",RIGHT(M2S_Eligibility_List!$B67,LEN(M2S_Eligibility_List!$B67)-LEN(nmADwSP)),0)</f>
        <v>Infrastructure Design Suite Premium</v>
      </c>
      <c r="B80" s="170" t="str">
        <f>IF(M2S_Eligibility_List!$B67&lt;&gt;"",RIGHT(M2S_Eligibility_List!$B67,LEN(M2S_Eligibility_List!$B67)-LEN(nmADwSP)),0)</f>
        <v>Infrastructure Design Suite Premium</v>
      </c>
      <c r="C80" s="147" t="str">
        <f>SUBSTITUTE(_xlfn.IFNA(INDEX(M2S_Eligibility_List!$C$21:$BV$21,1,MATCH(C$271,$C317:$BW317,0)),""),nmADwSP,"")</f>
        <v>Architecture Engineering Construction Collection</v>
      </c>
      <c r="D80" s="147" t="str">
        <f>SUBSTITUTE(_xlfn.IFNA(INDEX(M2S_Eligibility_List!$C$21:$BV$21,1,MATCH(D$271,$C317:$BW317,0)),""),nmADwSP,"")</f>
        <v>Product Design &amp; Manufacturing Collection</v>
      </c>
      <c r="E80" s="147" t="str">
        <f>SUBSTITUTE(_xlfn.IFNA(INDEX(M2S_Eligibility_List!$C$21:$BV$21,1,MATCH(E$271,$C317:$BW317,0)),""),nmADwSP,"")</f>
        <v/>
      </c>
      <c r="F80" s="147" t="str">
        <f>SUBSTITUTE(_xlfn.IFNA(INDEX(M2S_Eligibility_List!$C$21:$BV$21,1,MATCH(F$271,$C317:$BW317,0)),""),nmADwSP,"")</f>
        <v/>
      </c>
      <c r="G80" s="147" t="str">
        <f>SUBSTITUTE(_xlfn.IFNA(INDEX(M2S_Eligibility_List!$C$21:$BV$21,1,MATCH(G$271,$C317:$BW317,0)),""),nmADwSP,"")</f>
        <v/>
      </c>
      <c r="H80" s="147" t="str">
        <f>SUBSTITUTE(_xlfn.IFNA(INDEX(M2S_Eligibility_List!$C$21:$BV$21,1,MATCH(H$271,$C317:$BW317,0)),""),nmADwSP,"")</f>
        <v/>
      </c>
      <c r="I80" s="147" t="str">
        <f>SUBSTITUTE(_xlfn.IFNA(INDEX(M2S_Eligibility_List!$C$21:$BV$21,1,MATCH(I$271,$C317:$BW317,0)),""),nmADwSP,"")</f>
        <v/>
      </c>
      <c r="J80" s="147" t="str">
        <f>SUBSTITUTE(_xlfn.IFNA(INDEX(M2S_Eligibility_List!$C$21:$BV$21,1,MATCH(J$271,$C317:$BW317,0)),""),nmADwSP,"")</f>
        <v/>
      </c>
      <c r="K80" s="147" t="str">
        <f>SUBSTITUTE(_xlfn.IFNA(INDEX(M2S_Eligibility_List!$C$21:$BV$21,1,MATCH(K$271,$C317:$BW317,0)),""),nmADwSP,"")</f>
        <v/>
      </c>
      <c r="L80" s="147" t="str">
        <f>SUBSTITUTE(_xlfn.IFNA(INDEX(M2S_Eligibility_List!$C$21:$BV$21,1,MATCH(L$271,$C317:$BW317,0)),""),nmADwSP,"")</f>
        <v/>
      </c>
      <c r="M80" s="147" t="str">
        <f>SUBSTITUTE(_xlfn.IFNA(INDEX(M2S_Eligibility_List!$C$21:$BV$21,1,MATCH(M$271,$C317:$BW317,0)),""),nmADwSP,"")</f>
        <v/>
      </c>
      <c r="N80" s="147" t="str">
        <f>SUBSTITUTE(_xlfn.IFNA(INDEX(M2S_Eligibility_List!$C$21:$BV$21,1,MATCH(N$271,$C317:$BW317,0)),""),nmADwSP,"")</f>
        <v/>
      </c>
      <c r="O80" s="145"/>
      <c r="P80" s="145"/>
      <c r="Q80" s="145"/>
      <c r="R80" s="145"/>
      <c r="S80" s="145"/>
      <c r="T80" s="145"/>
      <c r="U80" s="145"/>
      <c r="V80" s="145"/>
      <c r="W80" s="145"/>
      <c r="X80" s="145"/>
      <c r="Y80" s="145"/>
      <c r="Z80" s="145"/>
      <c r="AA80" s="145"/>
      <c r="AB80" s="145"/>
      <c r="AC80" s="145"/>
      <c r="AD80" s="145"/>
      <c r="AE80" s="145"/>
      <c r="AF80" s="145"/>
      <c r="AG80" s="145"/>
      <c r="AH80" s="145"/>
      <c r="AI80" s="145"/>
      <c r="AJ80" s="145"/>
      <c r="AK80" s="145"/>
      <c r="AL80" s="145"/>
      <c r="AM80" s="145"/>
      <c r="AN80" s="145"/>
      <c r="AO80" s="145"/>
      <c r="AP80" s="145"/>
      <c r="AQ80" s="145"/>
      <c r="AR80" s="145"/>
      <c r="AS80" s="145"/>
      <c r="AT80" s="145"/>
      <c r="AU80" s="145"/>
      <c r="AV80" s="145"/>
      <c r="AW80" s="145"/>
      <c r="AX80" s="145"/>
      <c r="AY80" s="145"/>
      <c r="AZ80" s="145"/>
      <c r="BA80" s="145"/>
      <c r="BB80" s="145"/>
      <c r="BC80" s="145"/>
      <c r="BD80" s="145"/>
      <c r="BE80" s="145"/>
      <c r="BF80" s="145"/>
      <c r="BG80" s="145"/>
      <c r="BH80" s="145"/>
      <c r="BI80" s="145"/>
      <c r="BJ80" s="145"/>
      <c r="BK80" s="145"/>
      <c r="BL80" s="145"/>
      <c r="BM80" s="145"/>
      <c r="BN80" s="145"/>
      <c r="BO80" s="145"/>
      <c r="BP80" s="145"/>
      <c r="BQ80" s="145"/>
      <c r="BR80" s="145"/>
      <c r="BS80" s="145"/>
      <c r="BT80" s="145"/>
      <c r="BU80" s="145"/>
      <c r="BV80" s="145"/>
      <c r="BW80" s="145"/>
    </row>
    <row r="81" spans="1:75" ht="20.100000000000001" customHeight="1">
      <c r="A81" s="170" t="str">
        <f>IF(M2S_Eligibility_List!$B68&lt;&gt;"",RIGHT(M2S_Eligibility_List!$B68,LEN(M2S_Eligibility_List!$B68)-LEN(nmADwSP)),0)</f>
        <v>Infrastructure Design Suite Standard</v>
      </c>
      <c r="B81" s="170" t="str">
        <f>IF(M2S_Eligibility_List!$B68&lt;&gt;"",RIGHT(M2S_Eligibility_List!$B68,LEN(M2S_Eligibility_List!$B68)-LEN(nmADwSP)),0)</f>
        <v>Infrastructure Design Suite Standard</v>
      </c>
      <c r="C81" s="147" t="str">
        <f>SUBSTITUTE(_xlfn.IFNA(INDEX(M2S_Eligibility_List!$C$21:$BV$21,1,MATCH(C$271,$C318:$BW318,0)),""),nmADwSP,"")</f>
        <v>Architecture Engineering Construction Collection</v>
      </c>
      <c r="D81" s="147" t="str">
        <f>SUBSTITUTE(_xlfn.IFNA(INDEX(M2S_Eligibility_List!$C$21:$BV$21,1,MATCH(D$271,$C318:$BW318,0)),""),nmADwSP,"")</f>
        <v>Product Design &amp; Manufacturing Collection</v>
      </c>
      <c r="E81" s="147" t="str">
        <f>SUBSTITUTE(_xlfn.IFNA(INDEX(M2S_Eligibility_List!$C$21:$BV$21,1,MATCH(E$271,$C318:$BW318,0)),""),nmADwSP,"")</f>
        <v>AutoCAD - including specialized toolsets</v>
      </c>
      <c r="F81" s="147" t="str">
        <f>SUBSTITUTE(_xlfn.IFNA(INDEX(M2S_Eligibility_List!$C$21:$BV$21,1,MATCH(F$271,$C318:$BW318,0)),""),nmADwSP,"")</f>
        <v/>
      </c>
      <c r="G81" s="147" t="str">
        <f>SUBSTITUTE(_xlfn.IFNA(INDEX(M2S_Eligibility_List!$C$21:$BV$21,1,MATCH(G$271,$C318:$BW318,0)),""),nmADwSP,"")</f>
        <v/>
      </c>
      <c r="H81" s="147" t="str">
        <f>SUBSTITUTE(_xlfn.IFNA(INDEX(M2S_Eligibility_List!$C$21:$BV$21,1,MATCH(H$271,$C318:$BW318,0)),""),nmADwSP,"")</f>
        <v/>
      </c>
      <c r="I81" s="147" t="str">
        <f>SUBSTITUTE(_xlfn.IFNA(INDEX(M2S_Eligibility_List!$C$21:$BV$21,1,MATCH(I$271,$C318:$BW318,0)),""),nmADwSP,"")</f>
        <v/>
      </c>
      <c r="J81" s="147" t="str">
        <f>SUBSTITUTE(_xlfn.IFNA(INDEX(M2S_Eligibility_List!$C$21:$BV$21,1,MATCH(J$271,$C318:$BW318,0)),""),nmADwSP,"")</f>
        <v/>
      </c>
      <c r="K81" s="147" t="str">
        <f>SUBSTITUTE(_xlfn.IFNA(INDEX(M2S_Eligibility_List!$C$21:$BV$21,1,MATCH(K$271,$C318:$BW318,0)),""),nmADwSP,"")</f>
        <v/>
      </c>
      <c r="L81" s="147" t="str">
        <f>SUBSTITUTE(_xlfn.IFNA(INDEX(M2S_Eligibility_List!$C$21:$BV$21,1,MATCH(L$271,$C318:$BW318,0)),""),nmADwSP,"")</f>
        <v/>
      </c>
      <c r="M81" s="147" t="str">
        <f>SUBSTITUTE(_xlfn.IFNA(INDEX(M2S_Eligibility_List!$C$21:$BV$21,1,MATCH(M$271,$C318:$BW318,0)),""),nmADwSP,"")</f>
        <v/>
      </c>
      <c r="N81" s="147" t="str">
        <f>SUBSTITUTE(_xlfn.IFNA(INDEX(M2S_Eligibility_List!$C$21:$BV$21,1,MATCH(N$271,$C318:$BW318,0)),""),nmADwSP,"")</f>
        <v/>
      </c>
      <c r="O81" s="145"/>
      <c r="P81" s="145"/>
      <c r="Q81" s="145"/>
      <c r="R81" s="145"/>
      <c r="S81" s="145"/>
      <c r="T81" s="145"/>
      <c r="U81" s="145"/>
      <c r="V81" s="145"/>
      <c r="W81" s="145"/>
      <c r="X81" s="145"/>
      <c r="Y81" s="145"/>
      <c r="Z81" s="145"/>
      <c r="AA81" s="145"/>
      <c r="AB81" s="145"/>
      <c r="AC81" s="145"/>
      <c r="AD81" s="145"/>
      <c r="AE81" s="145"/>
      <c r="AF81" s="145"/>
      <c r="AG81" s="145"/>
      <c r="AH81" s="145"/>
      <c r="AI81" s="145"/>
      <c r="AJ81" s="145"/>
      <c r="AK81" s="145"/>
      <c r="AL81" s="145"/>
      <c r="AM81" s="145"/>
      <c r="AN81" s="145"/>
      <c r="AO81" s="145"/>
      <c r="AP81" s="145"/>
      <c r="AQ81" s="145"/>
      <c r="AR81" s="145"/>
      <c r="AS81" s="145"/>
      <c r="AT81" s="145"/>
      <c r="AU81" s="145"/>
      <c r="AV81" s="145"/>
      <c r="AW81" s="145"/>
      <c r="AX81" s="145"/>
      <c r="AY81" s="145"/>
      <c r="AZ81" s="145"/>
      <c r="BA81" s="145"/>
      <c r="BB81" s="145"/>
      <c r="BC81" s="145"/>
      <c r="BD81" s="145"/>
      <c r="BE81" s="145"/>
      <c r="BF81" s="145"/>
      <c r="BG81" s="145"/>
      <c r="BH81" s="145"/>
      <c r="BI81" s="145"/>
      <c r="BJ81" s="145"/>
      <c r="BK81" s="145"/>
      <c r="BL81" s="145"/>
      <c r="BM81" s="145"/>
      <c r="BN81" s="145"/>
      <c r="BO81" s="145"/>
      <c r="BP81" s="145"/>
      <c r="BQ81" s="145"/>
      <c r="BR81" s="145"/>
      <c r="BS81" s="145"/>
      <c r="BT81" s="145"/>
      <c r="BU81" s="145"/>
      <c r="BV81" s="145"/>
      <c r="BW81" s="145"/>
    </row>
    <row r="82" spans="1:75" ht="20.100000000000001" customHeight="1">
      <c r="A82" s="170" t="str">
        <f>IF(M2S_Eligibility_List!$B69&lt;&gt;"",RIGHT(M2S_Eligibility_List!$B69,LEN(M2S_Eligibility_List!$B69)-LEN(nmADwSP)),0)</f>
        <v>Infrastructure Design Suite Ultimate</v>
      </c>
      <c r="B82" s="170" t="str">
        <f>IF(M2S_Eligibility_List!$B69&lt;&gt;"",RIGHT(M2S_Eligibility_List!$B69,LEN(M2S_Eligibility_List!$B69)-LEN(nmADwSP)),0)</f>
        <v>Infrastructure Design Suite Ultimate</v>
      </c>
      <c r="C82" s="147" t="str">
        <f>SUBSTITUTE(_xlfn.IFNA(INDEX(M2S_Eligibility_List!$C$21:$BV$21,1,MATCH(C$271,$C319:$BW319,0)),""),nmADwSP,"")</f>
        <v>Architecture Engineering Construction Collection</v>
      </c>
      <c r="D82" s="147" t="str">
        <f>SUBSTITUTE(_xlfn.IFNA(INDEX(M2S_Eligibility_List!$C$21:$BV$21,1,MATCH(D$271,$C319:$BW319,0)),""),nmADwSP,"")</f>
        <v>Product Design &amp; Manufacturing Collection</v>
      </c>
      <c r="E82" s="147" t="str">
        <f>SUBSTITUTE(_xlfn.IFNA(INDEX(M2S_Eligibility_List!$C$21:$BV$21,1,MATCH(E$271,$C319:$BW319,0)),""),nmADwSP,"")</f>
        <v/>
      </c>
      <c r="F82" s="147" t="str">
        <f>SUBSTITUTE(_xlfn.IFNA(INDEX(M2S_Eligibility_List!$C$21:$BV$21,1,MATCH(F$271,$C319:$BW319,0)),""),nmADwSP,"")</f>
        <v/>
      </c>
      <c r="G82" s="147" t="str">
        <f>SUBSTITUTE(_xlfn.IFNA(INDEX(M2S_Eligibility_List!$C$21:$BV$21,1,MATCH(G$271,$C319:$BW319,0)),""),nmADwSP,"")</f>
        <v/>
      </c>
      <c r="H82" s="147" t="str">
        <f>SUBSTITUTE(_xlfn.IFNA(INDEX(M2S_Eligibility_List!$C$21:$BV$21,1,MATCH(H$271,$C319:$BW319,0)),""),nmADwSP,"")</f>
        <v/>
      </c>
      <c r="I82" s="147" t="str">
        <f>SUBSTITUTE(_xlfn.IFNA(INDEX(M2S_Eligibility_List!$C$21:$BV$21,1,MATCH(I$271,$C319:$BW319,0)),""),nmADwSP,"")</f>
        <v/>
      </c>
      <c r="J82" s="147" t="str">
        <f>SUBSTITUTE(_xlfn.IFNA(INDEX(M2S_Eligibility_List!$C$21:$BV$21,1,MATCH(J$271,$C319:$BW319,0)),""),nmADwSP,"")</f>
        <v/>
      </c>
      <c r="K82" s="147" t="str">
        <f>SUBSTITUTE(_xlfn.IFNA(INDEX(M2S_Eligibility_List!$C$21:$BV$21,1,MATCH(K$271,$C319:$BW319,0)),""),nmADwSP,"")</f>
        <v/>
      </c>
      <c r="L82" s="147" t="str">
        <f>SUBSTITUTE(_xlfn.IFNA(INDEX(M2S_Eligibility_List!$C$21:$BV$21,1,MATCH(L$271,$C319:$BW319,0)),""),nmADwSP,"")</f>
        <v/>
      </c>
      <c r="M82" s="147" t="str">
        <f>SUBSTITUTE(_xlfn.IFNA(INDEX(M2S_Eligibility_List!$C$21:$BV$21,1,MATCH(M$271,$C319:$BW319,0)),""),nmADwSP,"")</f>
        <v/>
      </c>
      <c r="N82" s="147" t="str">
        <f>SUBSTITUTE(_xlfn.IFNA(INDEX(M2S_Eligibility_List!$C$21:$BV$21,1,MATCH(N$271,$C319:$BW319,0)),""),nmADwSP,"")</f>
        <v/>
      </c>
      <c r="O82" s="145"/>
      <c r="P82" s="145"/>
      <c r="Q82" s="145"/>
      <c r="R82" s="145"/>
      <c r="S82" s="145"/>
      <c r="T82" s="145"/>
      <c r="U82" s="145"/>
      <c r="V82" s="145"/>
      <c r="W82" s="145"/>
      <c r="X82" s="145"/>
      <c r="Y82" s="145"/>
      <c r="Z82" s="145"/>
      <c r="AA82" s="145"/>
      <c r="AB82" s="145"/>
      <c r="AC82" s="145"/>
      <c r="AD82" s="145"/>
      <c r="AE82" s="145"/>
      <c r="AF82" s="145"/>
      <c r="AG82" s="145"/>
      <c r="AH82" s="145"/>
      <c r="AI82" s="145"/>
      <c r="AJ82" s="145"/>
      <c r="AK82" s="145"/>
      <c r="AL82" s="145"/>
      <c r="AM82" s="145"/>
      <c r="AN82" s="145"/>
      <c r="AO82" s="145"/>
      <c r="AP82" s="145"/>
      <c r="AQ82" s="145"/>
      <c r="AR82" s="145"/>
      <c r="AS82" s="145"/>
      <c r="AT82" s="145"/>
      <c r="AU82" s="145"/>
      <c r="AV82" s="145"/>
      <c r="AW82" s="145"/>
      <c r="AX82" s="145"/>
      <c r="AY82" s="145"/>
      <c r="AZ82" s="145"/>
      <c r="BA82" s="145"/>
      <c r="BB82" s="145"/>
      <c r="BC82" s="145"/>
      <c r="BD82" s="145"/>
      <c r="BE82" s="145"/>
      <c r="BF82" s="145"/>
      <c r="BG82" s="145"/>
      <c r="BH82" s="145"/>
      <c r="BI82" s="145"/>
      <c r="BJ82" s="145"/>
      <c r="BK82" s="145"/>
      <c r="BL82" s="145"/>
      <c r="BM82" s="145"/>
      <c r="BN82" s="145"/>
      <c r="BO82" s="145"/>
      <c r="BP82" s="145"/>
      <c r="BQ82" s="145"/>
      <c r="BR82" s="145"/>
      <c r="BS82" s="145"/>
      <c r="BT82" s="145"/>
      <c r="BU82" s="145"/>
      <c r="BV82" s="145"/>
      <c r="BW82" s="145"/>
    </row>
    <row r="83" spans="1:75" ht="20.100000000000001" customHeight="1">
      <c r="A83" s="170" t="str">
        <f>IF(M2S_Eligibility_List!$B70&lt;&gt;"",RIGHT(M2S_Eligibility_List!$B70,LEN(M2S_Eligibility_List!$B70)-LEN(nmADwSP)),0)</f>
        <v>Infrastructure Map Server</v>
      </c>
      <c r="B83" s="170" t="str">
        <f>IF(M2S_Eligibility_List!$B70&lt;&gt;"",RIGHT(M2S_Eligibility_List!$B70,LEN(M2S_Eligibility_List!$B70)-LEN(nmADwSP)),0)</f>
        <v>Infrastructure Map Server</v>
      </c>
      <c r="C83" s="147" t="str">
        <f>SUBSTITUTE(_xlfn.IFNA(INDEX(M2S_Eligibility_List!$C$21:$BV$21,1,MATCH(C$271,$C320:$BW320,0)),""),nmADwSP,"")</f>
        <v>Infrastructure Map Server</v>
      </c>
      <c r="D83" s="147" t="str">
        <f>SUBSTITUTE(_xlfn.IFNA(INDEX(M2S_Eligibility_List!$C$21:$BV$21,1,MATCH(D$271,$C320:$BW320,0)),""),nmADwSP,"")</f>
        <v/>
      </c>
      <c r="E83" s="147" t="str">
        <f>SUBSTITUTE(_xlfn.IFNA(INDEX(M2S_Eligibility_List!$C$21:$BV$21,1,MATCH(E$271,$C320:$BW320,0)),""),nmADwSP,"")</f>
        <v/>
      </c>
      <c r="F83" s="147" t="str">
        <f>SUBSTITUTE(_xlfn.IFNA(INDEX(M2S_Eligibility_List!$C$21:$BV$21,1,MATCH(F$271,$C320:$BW320,0)),""),nmADwSP,"")</f>
        <v/>
      </c>
      <c r="G83" s="147" t="str">
        <f>SUBSTITUTE(_xlfn.IFNA(INDEX(M2S_Eligibility_List!$C$21:$BV$21,1,MATCH(G$271,$C320:$BW320,0)),""),nmADwSP,"")</f>
        <v/>
      </c>
      <c r="H83" s="147" t="str">
        <f>SUBSTITUTE(_xlfn.IFNA(INDEX(M2S_Eligibility_List!$C$21:$BV$21,1,MATCH(H$271,$C320:$BW320,0)),""),nmADwSP,"")</f>
        <v/>
      </c>
      <c r="I83" s="147" t="str">
        <f>SUBSTITUTE(_xlfn.IFNA(INDEX(M2S_Eligibility_List!$C$21:$BV$21,1,MATCH(I$271,$C320:$BW320,0)),""),nmADwSP,"")</f>
        <v/>
      </c>
      <c r="J83" s="147" t="str">
        <f>SUBSTITUTE(_xlfn.IFNA(INDEX(M2S_Eligibility_List!$C$21:$BV$21,1,MATCH(J$271,$C320:$BW320,0)),""),nmADwSP,"")</f>
        <v/>
      </c>
      <c r="K83" s="147" t="str">
        <f>SUBSTITUTE(_xlfn.IFNA(INDEX(M2S_Eligibility_List!$C$21:$BV$21,1,MATCH(K$271,$C320:$BW320,0)),""),nmADwSP,"")</f>
        <v/>
      </c>
      <c r="L83" s="147" t="str">
        <f>SUBSTITUTE(_xlfn.IFNA(INDEX(M2S_Eligibility_List!$C$21:$BV$21,1,MATCH(L$271,$C320:$BW320,0)),""),nmADwSP,"")</f>
        <v/>
      </c>
      <c r="M83" s="147" t="str">
        <f>SUBSTITUTE(_xlfn.IFNA(INDEX(M2S_Eligibility_List!$C$21:$BV$21,1,MATCH(M$271,$C320:$BW320,0)),""),nmADwSP,"")</f>
        <v/>
      </c>
      <c r="N83" s="147" t="str">
        <f>SUBSTITUTE(_xlfn.IFNA(INDEX(M2S_Eligibility_List!$C$21:$BV$21,1,MATCH(N$271,$C320:$BW320,0)),""),nmADwSP,"")</f>
        <v/>
      </c>
      <c r="O83" s="145"/>
      <c r="P83" s="145"/>
      <c r="Q83" s="145"/>
      <c r="R83" s="145"/>
      <c r="S83" s="145"/>
      <c r="T83" s="145"/>
      <c r="U83" s="145"/>
      <c r="V83" s="145"/>
      <c r="W83" s="145"/>
      <c r="X83" s="145"/>
      <c r="Y83" s="145"/>
      <c r="Z83" s="145"/>
      <c r="AA83" s="145"/>
      <c r="AB83" s="145"/>
      <c r="AC83" s="145"/>
      <c r="AD83" s="145"/>
      <c r="AE83" s="145"/>
      <c r="AF83" s="145"/>
      <c r="AG83" s="145"/>
      <c r="AH83" s="145"/>
      <c r="AI83" s="145"/>
      <c r="AJ83" s="145"/>
      <c r="AK83" s="145"/>
      <c r="AL83" s="145"/>
      <c r="AM83" s="145"/>
      <c r="AN83" s="145"/>
      <c r="AO83" s="145"/>
      <c r="AP83" s="145"/>
      <c r="AQ83" s="145"/>
      <c r="AR83" s="145"/>
      <c r="AS83" s="145"/>
      <c r="AT83" s="145"/>
      <c r="AU83" s="145"/>
      <c r="AV83" s="145"/>
      <c r="AW83" s="145"/>
      <c r="AX83" s="145"/>
      <c r="AY83" s="145"/>
      <c r="AZ83" s="145"/>
      <c r="BA83" s="145"/>
      <c r="BB83" s="145"/>
      <c r="BC83" s="145"/>
      <c r="BD83" s="145"/>
      <c r="BE83" s="145"/>
      <c r="BF83" s="145"/>
      <c r="BG83" s="145"/>
      <c r="BH83" s="145"/>
      <c r="BI83" s="145"/>
      <c r="BJ83" s="145"/>
      <c r="BK83" s="145"/>
      <c r="BL83" s="145"/>
      <c r="BM83" s="145"/>
      <c r="BN83" s="145"/>
      <c r="BO83" s="145"/>
      <c r="BP83" s="145"/>
      <c r="BQ83" s="145"/>
      <c r="BR83" s="145"/>
      <c r="BS83" s="145"/>
      <c r="BT83" s="145"/>
      <c r="BU83" s="145"/>
      <c r="BV83" s="145"/>
      <c r="BW83" s="145"/>
    </row>
    <row r="84" spans="1:75" ht="20.100000000000001" customHeight="1">
      <c r="A84" s="170" t="str">
        <f>IF(M2S_Eligibility_List!$B71&lt;&gt;"",RIGHT(M2S_Eligibility_List!$B71,LEN(M2S_Eligibility_List!$B71)-LEN(nmADwSP)),0)</f>
        <v>Inventor</v>
      </c>
      <c r="B84" s="170" t="str">
        <f>IF(M2S_Eligibility_List!$B71&lt;&gt;"",RIGHT(M2S_Eligibility_List!$B71,LEN(M2S_Eligibility_List!$B71)-LEN(nmADwSP)),0)</f>
        <v>Inventor</v>
      </c>
      <c r="C84" s="147" t="str">
        <f>SUBSTITUTE(_xlfn.IFNA(INDEX(M2S_Eligibility_List!$C$21:$BV$21,1,MATCH(C$271,$C321:$BW321,0)),""),nmADwSP,"")</f>
        <v>Product Design &amp; Manufacturing Collection</v>
      </c>
      <c r="D84" s="147" t="str">
        <f>SUBSTITUTE(_xlfn.IFNA(INDEX(M2S_Eligibility_List!$C$21:$BV$21,1,MATCH(D$271,$C321:$BW321,0)),""),nmADwSP,"")</f>
        <v>Inventor Professional</v>
      </c>
      <c r="E84" s="147" t="str">
        <f>SUBSTITUTE(_xlfn.IFNA(INDEX(M2S_Eligibility_List!$C$21:$BV$21,1,MATCH(E$271,$C321:$BW321,0)),""),nmADwSP,"")</f>
        <v/>
      </c>
      <c r="F84" s="147" t="str">
        <f>SUBSTITUTE(_xlfn.IFNA(INDEX(M2S_Eligibility_List!$C$21:$BV$21,1,MATCH(F$271,$C321:$BW321,0)),""),nmADwSP,"")</f>
        <v/>
      </c>
      <c r="G84" s="147" t="str">
        <f>SUBSTITUTE(_xlfn.IFNA(INDEX(M2S_Eligibility_List!$C$21:$BV$21,1,MATCH(G$271,$C321:$BW321,0)),""),nmADwSP,"")</f>
        <v/>
      </c>
      <c r="H84" s="147" t="str">
        <f>SUBSTITUTE(_xlfn.IFNA(INDEX(M2S_Eligibility_List!$C$21:$BV$21,1,MATCH(H$271,$C321:$BW321,0)),""),nmADwSP,"")</f>
        <v/>
      </c>
      <c r="I84" s="147" t="str">
        <f>SUBSTITUTE(_xlfn.IFNA(INDEX(M2S_Eligibility_List!$C$21:$BV$21,1,MATCH(I$271,$C321:$BW321,0)),""),nmADwSP,"")</f>
        <v/>
      </c>
      <c r="J84" s="147" t="str">
        <f>SUBSTITUTE(_xlfn.IFNA(INDEX(M2S_Eligibility_List!$C$21:$BV$21,1,MATCH(J$271,$C321:$BW321,0)),""),nmADwSP,"")</f>
        <v/>
      </c>
      <c r="K84" s="147" t="str">
        <f>SUBSTITUTE(_xlfn.IFNA(INDEX(M2S_Eligibility_List!$C$21:$BV$21,1,MATCH(K$271,$C321:$BW321,0)),""),nmADwSP,"")</f>
        <v/>
      </c>
      <c r="L84" s="147" t="str">
        <f>SUBSTITUTE(_xlfn.IFNA(INDEX(M2S_Eligibility_List!$C$21:$BV$21,1,MATCH(L$271,$C321:$BW321,0)),""),nmADwSP,"")</f>
        <v/>
      </c>
      <c r="M84" s="147" t="str">
        <f>SUBSTITUTE(_xlfn.IFNA(INDEX(M2S_Eligibility_List!$C$21:$BV$21,1,MATCH(M$271,$C321:$BW321,0)),""),nmADwSP,"")</f>
        <v/>
      </c>
      <c r="N84" s="147" t="str">
        <f>SUBSTITUTE(_xlfn.IFNA(INDEX(M2S_Eligibility_List!$C$21:$BV$21,1,MATCH(N$271,$C321:$BW321,0)),""),nmADwSP,"")</f>
        <v/>
      </c>
      <c r="O84" s="145"/>
      <c r="P84" s="145"/>
      <c r="Q84" s="145"/>
      <c r="R84" s="145"/>
      <c r="S84" s="145"/>
      <c r="T84" s="145"/>
      <c r="U84" s="145"/>
      <c r="V84" s="145"/>
      <c r="W84" s="145"/>
      <c r="X84" s="145"/>
      <c r="Y84" s="145"/>
      <c r="Z84" s="145"/>
      <c r="AA84" s="145"/>
      <c r="AB84" s="145"/>
      <c r="AC84" s="145"/>
      <c r="AD84" s="145"/>
      <c r="AE84" s="145"/>
      <c r="AF84" s="145"/>
      <c r="AG84" s="145"/>
      <c r="AH84" s="145"/>
      <c r="AI84" s="145"/>
      <c r="AJ84" s="145"/>
      <c r="AK84" s="145"/>
      <c r="AL84" s="145"/>
      <c r="AM84" s="145"/>
      <c r="AN84" s="145"/>
      <c r="AO84" s="145"/>
      <c r="AP84" s="145"/>
      <c r="AQ84" s="145"/>
      <c r="AR84" s="145"/>
      <c r="AS84" s="145"/>
      <c r="AT84" s="145"/>
      <c r="AU84" s="145"/>
      <c r="AV84" s="145"/>
      <c r="AW84" s="145"/>
      <c r="AX84" s="145"/>
      <c r="AY84" s="145"/>
      <c r="AZ84" s="145"/>
      <c r="BA84" s="145"/>
      <c r="BB84" s="145"/>
      <c r="BC84" s="145"/>
      <c r="BD84" s="145"/>
      <c r="BE84" s="145"/>
      <c r="BF84" s="145"/>
      <c r="BG84" s="145"/>
      <c r="BH84" s="145"/>
      <c r="BI84" s="145"/>
      <c r="BJ84" s="145"/>
      <c r="BK84" s="145"/>
      <c r="BL84" s="145"/>
      <c r="BM84" s="145"/>
      <c r="BN84" s="145"/>
      <c r="BO84" s="145"/>
      <c r="BP84" s="145"/>
      <c r="BQ84" s="145"/>
      <c r="BR84" s="145"/>
      <c r="BS84" s="145"/>
      <c r="BT84" s="145"/>
      <c r="BU84" s="145"/>
      <c r="BV84" s="145"/>
      <c r="BW84" s="145"/>
    </row>
    <row r="85" spans="1:75" ht="20.100000000000001" customHeight="1">
      <c r="A85" s="170" t="str">
        <f>IF(M2S_Eligibility_List!$B72&lt;&gt;"",RIGHT(M2S_Eligibility_List!$B72,LEN(M2S_Eligibility_List!$B72)-LEN(nmADwSP)),0)</f>
        <v>Inventor LT</v>
      </c>
      <c r="B85" s="170" t="str">
        <f>IF(M2S_Eligibility_List!$B72&lt;&gt;"",RIGHT(M2S_Eligibility_List!$B72,LEN(M2S_Eligibility_List!$B72)-LEN(nmADwSP)),0)</f>
        <v>Inventor LT</v>
      </c>
      <c r="C85" s="147" t="str">
        <f>SUBSTITUTE(_xlfn.IFNA(INDEX(M2S_Eligibility_List!$C$21:$BV$21,1,MATCH(C$271,$C322:$BW322,0)),""),nmADwSP,"")</f>
        <v>Inventor LT</v>
      </c>
      <c r="D85" s="147" t="str">
        <f>SUBSTITUTE(_xlfn.IFNA(INDEX(M2S_Eligibility_List!$C$21:$BV$21,1,MATCH(D$271,$C322:$BW322,0)),""),nmADwSP,"")</f>
        <v>AutoCAD Inventor LT Suite</v>
      </c>
      <c r="E85" s="147" t="str">
        <f>SUBSTITUTE(_xlfn.IFNA(INDEX(M2S_Eligibility_List!$C$21:$BV$21,1,MATCH(E$271,$C322:$BW322,0)),""),nmADwSP,"")</f>
        <v/>
      </c>
      <c r="F85" s="147" t="str">
        <f>SUBSTITUTE(_xlfn.IFNA(INDEX(M2S_Eligibility_List!$C$21:$BV$21,1,MATCH(F$271,$C322:$BW322,0)),""),nmADwSP,"")</f>
        <v/>
      </c>
      <c r="G85" s="147" t="str">
        <f>SUBSTITUTE(_xlfn.IFNA(INDEX(M2S_Eligibility_List!$C$21:$BV$21,1,MATCH(G$271,$C322:$BW322,0)),""),nmADwSP,"")</f>
        <v/>
      </c>
      <c r="H85" s="147" t="str">
        <f>SUBSTITUTE(_xlfn.IFNA(INDEX(M2S_Eligibility_List!$C$21:$BV$21,1,MATCH(H$271,$C322:$BW322,0)),""),nmADwSP,"")</f>
        <v/>
      </c>
      <c r="I85" s="147" t="str">
        <f>SUBSTITUTE(_xlfn.IFNA(INDEX(M2S_Eligibility_List!$C$21:$BV$21,1,MATCH(I$271,$C322:$BW322,0)),""),nmADwSP,"")</f>
        <v/>
      </c>
      <c r="J85" s="147" t="str">
        <f>SUBSTITUTE(_xlfn.IFNA(INDEX(M2S_Eligibility_List!$C$21:$BV$21,1,MATCH(J$271,$C322:$BW322,0)),""),nmADwSP,"")</f>
        <v/>
      </c>
      <c r="K85" s="147" t="str">
        <f>SUBSTITUTE(_xlfn.IFNA(INDEX(M2S_Eligibility_List!$C$21:$BV$21,1,MATCH(K$271,$C322:$BW322,0)),""),nmADwSP,"")</f>
        <v/>
      </c>
      <c r="L85" s="147" t="str">
        <f>SUBSTITUTE(_xlfn.IFNA(INDEX(M2S_Eligibility_List!$C$21:$BV$21,1,MATCH(L$271,$C322:$BW322,0)),""),nmADwSP,"")</f>
        <v/>
      </c>
      <c r="M85" s="147" t="str">
        <f>SUBSTITUTE(_xlfn.IFNA(INDEX(M2S_Eligibility_List!$C$21:$BV$21,1,MATCH(M$271,$C322:$BW322,0)),""),nmADwSP,"")</f>
        <v/>
      </c>
      <c r="N85" s="147" t="str">
        <f>SUBSTITUTE(_xlfn.IFNA(INDEX(M2S_Eligibility_List!$C$21:$BV$21,1,MATCH(N$271,$C322:$BW322,0)),""),nmADwSP,"")</f>
        <v/>
      </c>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5"/>
      <c r="BK85" s="145"/>
      <c r="BL85" s="145"/>
      <c r="BM85" s="145"/>
      <c r="BN85" s="145"/>
      <c r="BO85" s="145"/>
      <c r="BP85" s="145"/>
      <c r="BQ85" s="145"/>
      <c r="BR85" s="145"/>
      <c r="BS85" s="145"/>
      <c r="BT85" s="145"/>
      <c r="BU85" s="145"/>
      <c r="BV85" s="145"/>
      <c r="BW85" s="145"/>
    </row>
    <row r="86" spans="1:75" ht="20.100000000000001" customHeight="1">
      <c r="A86" s="170" t="str">
        <f>IF(M2S_Eligibility_List!$B73&lt;&gt;"",RIGHT(M2S_Eligibility_List!$B73,LEN(M2S_Eligibility_List!$B73)-LEN(nmADwSP)),0)</f>
        <v>AutoCAD Inventor LT Suite</v>
      </c>
      <c r="B86" s="170" t="str">
        <f>IF(M2S_Eligibility_List!$B73&lt;&gt;"",RIGHT(M2S_Eligibility_List!$B73,LEN(M2S_Eligibility_List!$B73)-LEN(nmADwSP)),0)</f>
        <v>AutoCAD Inventor LT Suite</v>
      </c>
      <c r="C86" s="147" t="str">
        <f>SUBSTITUTE(_xlfn.IFNA(INDEX(M2S_Eligibility_List!$C$21:$BV$21,1,MATCH(C$271,$C323:$BW323,0)),""),nmADwSP,"")</f>
        <v>AutoCAD Inventor LT Suite</v>
      </c>
      <c r="D86" s="147" t="str">
        <f>SUBSTITUTE(_xlfn.IFNA(INDEX(M2S_Eligibility_List!$C$21:$BV$21,1,MATCH(D$271,$C323:$BW323,0)),""),nmADwSP,"")</f>
        <v/>
      </c>
      <c r="E86" s="147" t="str">
        <f>SUBSTITUTE(_xlfn.IFNA(INDEX(M2S_Eligibility_List!$C$21:$BV$21,1,MATCH(E$271,$C323:$BW323,0)),""),nmADwSP,"")</f>
        <v/>
      </c>
      <c r="F86" s="147" t="str">
        <f>SUBSTITUTE(_xlfn.IFNA(INDEX(M2S_Eligibility_List!$C$21:$BV$21,1,MATCH(F$271,$C323:$BW323,0)),""),nmADwSP,"")</f>
        <v/>
      </c>
      <c r="G86" s="147" t="str">
        <f>SUBSTITUTE(_xlfn.IFNA(INDEX(M2S_Eligibility_List!$C$21:$BV$21,1,MATCH(G$271,$C323:$BW323,0)),""),nmADwSP,"")</f>
        <v/>
      </c>
      <c r="H86" s="147" t="str">
        <f>SUBSTITUTE(_xlfn.IFNA(INDEX(M2S_Eligibility_List!$C$21:$BV$21,1,MATCH(H$271,$C323:$BW323,0)),""),nmADwSP,"")</f>
        <v/>
      </c>
      <c r="I86" s="147" t="str">
        <f>SUBSTITUTE(_xlfn.IFNA(INDEX(M2S_Eligibility_List!$C$21:$BV$21,1,MATCH(I$271,$C323:$BW323,0)),""),nmADwSP,"")</f>
        <v/>
      </c>
      <c r="J86" s="147" t="str">
        <f>SUBSTITUTE(_xlfn.IFNA(INDEX(M2S_Eligibility_List!$C$21:$BV$21,1,MATCH(J$271,$C323:$BW323,0)),""),nmADwSP,"")</f>
        <v/>
      </c>
      <c r="K86" s="147" t="str">
        <f>SUBSTITUTE(_xlfn.IFNA(INDEX(M2S_Eligibility_List!$C$21:$BV$21,1,MATCH(K$271,$C323:$BW323,0)),""),nmADwSP,"")</f>
        <v/>
      </c>
      <c r="L86" s="147" t="str">
        <f>SUBSTITUTE(_xlfn.IFNA(INDEX(M2S_Eligibility_List!$C$21:$BV$21,1,MATCH(L$271,$C323:$BW323,0)),""),nmADwSP,"")</f>
        <v/>
      </c>
      <c r="M86" s="147" t="str">
        <f>SUBSTITUTE(_xlfn.IFNA(INDEX(M2S_Eligibility_List!$C$21:$BV$21,1,MATCH(M$271,$C323:$BW323,0)),""),nmADwSP,"")</f>
        <v/>
      </c>
      <c r="N86" s="147" t="str">
        <f>SUBSTITUTE(_xlfn.IFNA(INDEX(M2S_Eligibility_List!$C$21:$BV$21,1,MATCH(N$271,$C323:$BW323,0)),""),nmADwSP,"")</f>
        <v/>
      </c>
      <c r="O86" s="145"/>
      <c r="P86" s="145"/>
      <c r="Q86" s="145"/>
      <c r="R86" s="145"/>
      <c r="S86" s="145"/>
      <c r="T86" s="145"/>
      <c r="U86" s="145"/>
      <c r="V86" s="145"/>
      <c r="W86" s="145"/>
      <c r="X86" s="145"/>
      <c r="Y86" s="145"/>
      <c r="Z86" s="145"/>
      <c r="AA86" s="145"/>
      <c r="AB86" s="145"/>
      <c r="AC86" s="145"/>
      <c r="AD86" s="145"/>
      <c r="AE86" s="145"/>
      <c r="AF86" s="145"/>
      <c r="AG86" s="145"/>
      <c r="AH86" s="145"/>
      <c r="AI86" s="145"/>
      <c r="AJ86" s="145"/>
      <c r="AK86" s="145"/>
      <c r="AL86" s="145"/>
      <c r="AM86" s="145"/>
      <c r="AN86" s="145"/>
      <c r="AO86" s="145"/>
      <c r="AP86" s="145"/>
      <c r="AQ86" s="145"/>
      <c r="AR86" s="145"/>
      <c r="AS86" s="145"/>
      <c r="AT86" s="145"/>
      <c r="AU86" s="145"/>
      <c r="AV86" s="145"/>
      <c r="AW86" s="145"/>
      <c r="AX86" s="145"/>
      <c r="AY86" s="145"/>
      <c r="AZ86" s="145"/>
      <c r="BA86" s="145"/>
      <c r="BB86" s="145"/>
      <c r="BC86" s="145"/>
      <c r="BD86" s="145"/>
      <c r="BE86" s="145"/>
      <c r="BF86" s="145"/>
      <c r="BG86" s="145"/>
      <c r="BH86" s="145"/>
      <c r="BI86" s="145"/>
      <c r="BJ86" s="145"/>
      <c r="BK86" s="145"/>
      <c r="BL86" s="145"/>
      <c r="BM86" s="145"/>
      <c r="BN86" s="145"/>
      <c r="BO86" s="145"/>
      <c r="BP86" s="145"/>
      <c r="BQ86" s="145"/>
      <c r="BR86" s="145"/>
      <c r="BS86" s="145"/>
      <c r="BT86" s="145"/>
      <c r="BU86" s="145"/>
      <c r="BV86" s="145"/>
      <c r="BW86" s="145"/>
    </row>
    <row r="87" spans="1:75" ht="20.100000000000001" customHeight="1">
      <c r="A87" s="170" t="str">
        <f>IF(M2S_Eligibility_List!$B74&lt;&gt;"",RIGHT(M2S_Eligibility_List!$B74,LEN(M2S_Eligibility_List!$B74)-LEN(nmADwSP)),0)</f>
        <v>Inventor Professional</v>
      </c>
      <c r="B87" s="170" t="str">
        <f>IF(M2S_Eligibility_List!$B74&lt;&gt;"",RIGHT(M2S_Eligibility_List!$B74,LEN(M2S_Eligibility_List!$B74)-LEN(nmADwSP)),0)</f>
        <v>Inventor Professional</v>
      </c>
      <c r="C87" s="147" t="str">
        <f>SUBSTITUTE(_xlfn.IFNA(INDEX(M2S_Eligibility_List!$C$21:$BV$21,1,MATCH(C$271,$C324:$BW324,0)),""),nmADwSP,"")</f>
        <v>Product Design &amp; Manufacturing Collection</v>
      </c>
      <c r="D87" s="147" t="str">
        <f>SUBSTITUTE(_xlfn.IFNA(INDEX(M2S_Eligibility_List!$C$21:$BV$21,1,MATCH(D$271,$C324:$BW324,0)),""),nmADwSP,"")</f>
        <v>Inventor Professional</v>
      </c>
      <c r="E87" s="147" t="str">
        <f>SUBSTITUTE(_xlfn.IFNA(INDEX(M2S_Eligibility_List!$C$21:$BV$21,1,MATCH(E$271,$C324:$BW324,0)),""),nmADwSP,"")</f>
        <v/>
      </c>
      <c r="F87" s="147" t="str">
        <f>SUBSTITUTE(_xlfn.IFNA(INDEX(M2S_Eligibility_List!$C$21:$BV$21,1,MATCH(F$271,$C324:$BW324,0)),""),nmADwSP,"")</f>
        <v/>
      </c>
      <c r="G87" s="147" t="str">
        <f>SUBSTITUTE(_xlfn.IFNA(INDEX(M2S_Eligibility_List!$C$21:$BV$21,1,MATCH(G$271,$C324:$BW324,0)),""),nmADwSP,"")</f>
        <v/>
      </c>
      <c r="H87" s="147" t="str">
        <f>SUBSTITUTE(_xlfn.IFNA(INDEX(M2S_Eligibility_List!$C$21:$BV$21,1,MATCH(H$271,$C324:$BW324,0)),""),nmADwSP,"")</f>
        <v/>
      </c>
      <c r="I87" s="147" t="str">
        <f>SUBSTITUTE(_xlfn.IFNA(INDEX(M2S_Eligibility_List!$C$21:$BV$21,1,MATCH(I$271,$C324:$BW324,0)),""),nmADwSP,"")</f>
        <v/>
      </c>
      <c r="J87" s="147" t="str">
        <f>SUBSTITUTE(_xlfn.IFNA(INDEX(M2S_Eligibility_List!$C$21:$BV$21,1,MATCH(J$271,$C324:$BW324,0)),""),nmADwSP,"")</f>
        <v/>
      </c>
      <c r="K87" s="147" t="str">
        <f>SUBSTITUTE(_xlfn.IFNA(INDEX(M2S_Eligibility_List!$C$21:$BV$21,1,MATCH(K$271,$C324:$BW324,0)),""),nmADwSP,"")</f>
        <v/>
      </c>
      <c r="L87" s="147" t="str">
        <f>SUBSTITUTE(_xlfn.IFNA(INDEX(M2S_Eligibility_List!$C$21:$BV$21,1,MATCH(L$271,$C324:$BW324,0)),""),nmADwSP,"")</f>
        <v/>
      </c>
      <c r="M87" s="147" t="str">
        <f>SUBSTITUTE(_xlfn.IFNA(INDEX(M2S_Eligibility_List!$C$21:$BV$21,1,MATCH(M$271,$C324:$BW324,0)),""),nmADwSP,"")</f>
        <v/>
      </c>
      <c r="N87" s="147" t="str">
        <f>SUBSTITUTE(_xlfn.IFNA(INDEX(M2S_Eligibility_List!$C$21:$BV$21,1,MATCH(N$271,$C324:$BW324,0)),""),nmADwSP,"")</f>
        <v/>
      </c>
      <c r="O87" s="145"/>
      <c r="P87" s="145"/>
      <c r="Q87" s="145"/>
      <c r="R87" s="145"/>
      <c r="S87" s="145"/>
      <c r="T87" s="145"/>
      <c r="U87" s="145"/>
      <c r="V87" s="145"/>
      <c r="W87" s="145"/>
      <c r="X87" s="145"/>
      <c r="Y87" s="145"/>
      <c r="Z87" s="145"/>
      <c r="AA87" s="145"/>
      <c r="AB87" s="145"/>
      <c r="AC87" s="145"/>
      <c r="AD87" s="145"/>
      <c r="AE87" s="145"/>
      <c r="AF87" s="145"/>
      <c r="AG87" s="145"/>
      <c r="AH87" s="145"/>
      <c r="AI87" s="145"/>
      <c r="AJ87" s="145"/>
      <c r="AK87" s="145"/>
      <c r="AL87" s="145"/>
      <c r="AM87" s="145"/>
      <c r="AN87" s="145"/>
      <c r="AO87" s="145"/>
      <c r="AP87" s="145"/>
      <c r="AQ87" s="145"/>
      <c r="AR87" s="145"/>
      <c r="AS87" s="145"/>
      <c r="AT87" s="145"/>
      <c r="AU87" s="145"/>
      <c r="AV87" s="145"/>
      <c r="AW87" s="145"/>
      <c r="AX87" s="145"/>
      <c r="AY87" s="145"/>
      <c r="AZ87" s="145"/>
      <c r="BA87" s="145"/>
      <c r="BB87" s="145"/>
      <c r="BC87" s="145"/>
      <c r="BD87" s="145"/>
      <c r="BE87" s="145"/>
      <c r="BF87" s="145"/>
      <c r="BG87" s="145"/>
      <c r="BH87" s="145"/>
      <c r="BI87" s="145"/>
      <c r="BJ87" s="145"/>
      <c r="BK87" s="145"/>
      <c r="BL87" s="145"/>
      <c r="BM87" s="145"/>
      <c r="BN87" s="145"/>
      <c r="BO87" s="145"/>
      <c r="BP87" s="145"/>
      <c r="BQ87" s="145"/>
      <c r="BR87" s="145"/>
      <c r="BS87" s="145"/>
      <c r="BT87" s="145"/>
      <c r="BU87" s="145"/>
      <c r="BV87" s="145"/>
      <c r="BW87" s="145"/>
    </row>
    <row r="88" spans="1:75" ht="20.100000000000001" customHeight="1">
      <c r="A88" s="170" t="str">
        <f>IF(M2S_Eligibility_List!$B75&lt;&gt;"",RIGHT(M2S_Eligibility_List!$B75,LEN(M2S_Eligibility_List!$B75)-LEN(nmADwSP)),0)</f>
        <v>Maya</v>
      </c>
      <c r="B88" s="170" t="str">
        <f>IF(M2S_Eligibility_List!$B75&lt;&gt;"",RIGHT(M2S_Eligibility_List!$B75,LEN(M2S_Eligibility_List!$B75)-LEN(nmADwSP)),0)</f>
        <v>Maya</v>
      </c>
      <c r="C88" s="147" t="str">
        <f>SUBSTITUTE(_xlfn.IFNA(INDEX(M2S_Eligibility_List!$C$21:$BV$21,1,MATCH(C$271,$C325:$BW325,0)),""),nmADwSP,"")</f>
        <v>Media and Entertainment Collection</v>
      </c>
      <c r="D88" s="147" t="str">
        <f>SUBSTITUTE(_xlfn.IFNA(INDEX(M2S_Eligibility_List!$C$21:$BV$21,1,MATCH(D$271,$C325:$BW325,0)),""),nmADwSP,"")</f>
        <v>Maya</v>
      </c>
      <c r="E88" s="147" t="str">
        <f>SUBSTITUTE(_xlfn.IFNA(INDEX(M2S_Eligibility_List!$C$21:$BV$21,1,MATCH(E$271,$C325:$BW325,0)),""),nmADwSP,"")</f>
        <v/>
      </c>
      <c r="F88" s="147" t="str">
        <f>SUBSTITUTE(_xlfn.IFNA(INDEX(M2S_Eligibility_List!$C$21:$BV$21,1,MATCH(F$271,$C325:$BW325,0)),""),nmADwSP,"")</f>
        <v/>
      </c>
      <c r="G88" s="147" t="str">
        <f>SUBSTITUTE(_xlfn.IFNA(INDEX(M2S_Eligibility_List!$C$21:$BV$21,1,MATCH(G$271,$C325:$BW325,0)),""),nmADwSP,"")</f>
        <v/>
      </c>
      <c r="H88" s="147" t="str">
        <f>SUBSTITUTE(_xlfn.IFNA(INDEX(M2S_Eligibility_List!$C$21:$BV$21,1,MATCH(H$271,$C325:$BW325,0)),""),nmADwSP,"")</f>
        <v/>
      </c>
      <c r="I88" s="147" t="str">
        <f>SUBSTITUTE(_xlfn.IFNA(INDEX(M2S_Eligibility_List!$C$21:$BV$21,1,MATCH(I$271,$C325:$BW325,0)),""),nmADwSP,"")</f>
        <v/>
      </c>
      <c r="J88" s="147" t="str">
        <f>SUBSTITUTE(_xlfn.IFNA(INDEX(M2S_Eligibility_List!$C$21:$BV$21,1,MATCH(J$271,$C325:$BW325,0)),""),nmADwSP,"")</f>
        <v/>
      </c>
      <c r="K88" s="147" t="str">
        <f>SUBSTITUTE(_xlfn.IFNA(INDEX(M2S_Eligibility_List!$C$21:$BV$21,1,MATCH(K$271,$C325:$BW325,0)),""),nmADwSP,"")</f>
        <v/>
      </c>
      <c r="L88" s="147" t="str">
        <f>SUBSTITUTE(_xlfn.IFNA(INDEX(M2S_Eligibility_List!$C$21:$BV$21,1,MATCH(L$271,$C325:$BW325,0)),""),nmADwSP,"")</f>
        <v/>
      </c>
      <c r="M88" s="147" t="str">
        <f>SUBSTITUTE(_xlfn.IFNA(INDEX(M2S_Eligibility_List!$C$21:$BV$21,1,MATCH(M$271,$C325:$BW325,0)),""),nmADwSP,"")</f>
        <v/>
      </c>
      <c r="N88" s="147" t="str">
        <f>SUBSTITUTE(_xlfn.IFNA(INDEX(M2S_Eligibility_List!$C$21:$BV$21,1,MATCH(N$271,$C325:$BW325,0)),""),nmADwSP,"")</f>
        <v/>
      </c>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c r="BS88" s="145"/>
      <c r="BT88" s="145"/>
      <c r="BU88" s="145"/>
      <c r="BV88" s="145"/>
      <c r="BW88" s="145"/>
    </row>
    <row r="89" spans="1:75" ht="20.100000000000001" customHeight="1">
      <c r="A89" s="170" t="str">
        <f>IF(M2S_Eligibility_List!$B76&lt;&gt;"",RIGHT(M2S_Eligibility_List!$B76,LEN(M2S_Eligibility_List!$B76)-LEN(nmADwSP)),0)</f>
        <v>Maya Entertainment Creation Suite Standard</v>
      </c>
      <c r="B89" s="170" t="str">
        <f>IF(M2S_Eligibility_List!$B76&lt;&gt;"",RIGHT(M2S_Eligibility_List!$B76,LEN(M2S_Eligibility_List!$B76)-LEN(nmADwSP)),0)</f>
        <v>Maya Entertainment Creation Suite Standard</v>
      </c>
      <c r="C89" s="147" t="str">
        <f>SUBSTITUTE(_xlfn.IFNA(INDEX(M2S_Eligibility_List!$C$21:$BV$21,1,MATCH(C$271,$C326:$BW326,0)),""),nmADwSP,"")</f>
        <v>Media and Entertainment Collection</v>
      </c>
      <c r="D89" s="147" t="str">
        <f>SUBSTITUTE(_xlfn.IFNA(INDEX(M2S_Eligibility_List!$C$21:$BV$21,1,MATCH(D$271,$C326:$BW326,0)),""),nmADwSP,"")</f>
        <v>Maya</v>
      </c>
      <c r="E89" s="147" t="str">
        <f>SUBSTITUTE(_xlfn.IFNA(INDEX(M2S_Eligibility_List!$C$21:$BV$21,1,MATCH(E$271,$C326:$BW326,0)),""),nmADwSP,"")</f>
        <v/>
      </c>
      <c r="F89" s="147" t="str">
        <f>SUBSTITUTE(_xlfn.IFNA(INDEX(M2S_Eligibility_List!$C$21:$BV$21,1,MATCH(F$271,$C326:$BW326,0)),""),nmADwSP,"")</f>
        <v/>
      </c>
      <c r="G89" s="147" t="str">
        <f>SUBSTITUTE(_xlfn.IFNA(INDEX(M2S_Eligibility_List!$C$21:$BV$21,1,MATCH(G$271,$C326:$BW326,0)),""),nmADwSP,"")</f>
        <v/>
      </c>
      <c r="H89" s="147" t="str">
        <f>SUBSTITUTE(_xlfn.IFNA(INDEX(M2S_Eligibility_List!$C$21:$BV$21,1,MATCH(H$271,$C326:$BW326,0)),""),nmADwSP,"")</f>
        <v/>
      </c>
      <c r="I89" s="147" t="str">
        <f>SUBSTITUTE(_xlfn.IFNA(INDEX(M2S_Eligibility_List!$C$21:$BV$21,1,MATCH(I$271,$C326:$BW326,0)),""),nmADwSP,"")</f>
        <v/>
      </c>
      <c r="J89" s="147" t="str">
        <f>SUBSTITUTE(_xlfn.IFNA(INDEX(M2S_Eligibility_List!$C$21:$BV$21,1,MATCH(J$271,$C326:$BW326,0)),""),nmADwSP,"")</f>
        <v/>
      </c>
      <c r="K89" s="147" t="str">
        <f>SUBSTITUTE(_xlfn.IFNA(INDEX(M2S_Eligibility_List!$C$21:$BV$21,1,MATCH(K$271,$C326:$BW326,0)),""),nmADwSP,"")</f>
        <v/>
      </c>
      <c r="L89" s="147" t="str">
        <f>SUBSTITUTE(_xlfn.IFNA(INDEX(M2S_Eligibility_List!$C$21:$BV$21,1,MATCH(L$271,$C326:$BW326,0)),""),nmADwSP,"")</f>
        <v/>
      </c>
      <c r="M89" s="147" t="str">
        <f>SUBSTITUTE(_xlfn.IFNA(INDEX(M2S_Eligibility_List!$C$21:$BV$21,1,MATCH(M$271,$C326:$BW326,0)),""),nmADwSP,"")</f>
        <v/>
      </c>
      <c r="N89" s="147" t="str">
        <f>SUBSTITUTE(_xlfn.IFNA(INDEX(M2S_Eligibility_List!$C$21:$BV$21,1,MATCH(N$271,$C326:$BW326,0)),""),nmADwSP,"")</f>
        <v/>
      </c>
      <c r="O89" s="145"/>
      <c r="P89" s="145"/>
      <c r="Q89" s="145"/>
      <c r="R89" s="145"/>
      <c r="S89" s="145"/>
      <c r="T89" s="145"/>
      <c r="U89" s="145"/>
      <c r="V89" s="145"/>
      <c r="W89" s="145"/>
      <c r="X89" s="145"/>
      <c r="Y89" s="145"/>
      <c r="Z89" s="145"/>
      <c r="AA89" s="145"/>
      <c r="AB89" s="145"/>
      <c r="AC89" s="145"/>
      <c r="AD89" s="145"/>
      <c r="AE89" s="145"/>
      <c r="AF89" s="145"/>
      <c r="AG89" s="145"/>
      <c r="AH89" s="145"/>
      <c r="AI89" s="145"/>
      <c r="AJ89" s="145"/>
      <c r="AK89" s="145"/>
      <c r="AL89" s="145"/>
      <c r="AM89" s="145"/>
      <c r="AN89" s="145"/>
      <c r="AO89" s="145"/>
      <c r="AP89" s="145"/>
      <c r="AQ89" s="145"/>
      <c r="AR89" s="145"/>
      <c r="AS89" s="145"/>
      <c r="AT89" s="145"/>
      <c r="AU89" s="145"/>
      <c r="AV89" s="145"/>
      <c r="AW89" s="145"/>
      <c r="AX89" s="145"/>
      <c r="AY89" s="145"/>
      <c r="AZ89" s="145"/>
      <c r="BA89" s="145"/>
      <c r="BB89" s="145"/>
      <c r="BC89" s="145"/>
      <c r="BD89" s="145"/>
      <c r="BE89" s="145"/>
      <c r="BF89" s="145"/>
      <c r="BG89" s="145"/>
      <c r="BH89" s="145"/>
      <c r="BI89" s="145"/>
      <c r="BJ89" s="145"/>
      <c r="BK89" s="145"/>
      <c r="BL89" s="145"/>
      <c r="BM89" s="145"/>
      <c r="BN89" s="145"/>
      <c r="BO89" s="145"/>
      <c r="BP89" s="145"/>
      <c r="BQ89" s="145"/>
      <c r="BR89" s="145"/>
      <c r="BS89" s="145"/>
      <c r="BT89" s="145"/>
      <c r="BU89" s="145"/>
      <c r="BV89" s="145"/>
      <c r="BW89" s="145"/>
    </row>
    <row r="90" spans="1:75" ht="20.100000000000001" customHeight="1">
      <c r="A90" s="170" t="str">
        <f>IF(M2S_Eligibility_List!$B77&lt;&gt;"",RIGHT(M2S_Eligibility_List!$B77,LEN(M2S_Eligibility_List!$B77)-LEN(nmADwSP)),0)</f>
        <v>Maya LT</v>
      </c>
      <c r="B90" s="170" t="str">
        <f>IF(M2S_Eligibility_List!$B77&lt;&gt;"",RIGHT(M2S_Eligibility_List!$B77,LEN(M2S_Eligibility_List!$B77)-LEN(nmADwSP)),0)</f>
        <v>Maya LT</v>
      </c>
      <c r="C90" s="147" t="str">
        <f>SUBSTITUTE(_xlfn.IFNA(INDEX(M2S_Eligibility_List!$C$21:$BV$21,1,MATCH(C$271,$C327:$BW327,0)),""),nmADwSP,"")</f>
        <v>Maya LT</v>
      </c>
      <c r="D90" s="147" t="str">
        <f>SUBSTITUTE(_xlfn.IFNA(INDEX(M2S_Eligibility_List!$C$21:$BV$21,1,MATCH(D$271,$C327:$BW327,0)),""),nmADwSP,"")</f>
        <v/>
      </c>
      <c r="E90" s="147" t="str">
        <f>SUBSTITUTE(_xlfn.IFNA(INDEX(M2S_Eligibility_List!$C$21:$BV$21,1,MATCH(E$271,$C327:$BW327,0)),""),nmADwSP,"")</f>
        <v/>
      </c>
      <c r="F90" s="147" t="str">
        <f>SUBSTITUTE(_xlfn.IFNA(INDEX(M2S_Eligibility_List!$C$21:$BV$21,1,MATCH(F$271,$C327:$BW327,0)),""),nmADwSP,"")</f>
        <v/>
      </c>
      <c r="G90" s="147" t="str">
        <f>SUBSTITUTE(_xlfn.IFNA(INDEX(M2S_Eligibility_List!$C$21:$BV$21,1,MATCH(G$271,$C327:$BW327,0)),""),nmADwSP,"")</f>
        <v/>
      </c>
      <c r="H90" s="147" t="str">
        <f>SUBSTITUTE(_xlfn.IFNA(INDEX(M2S_Eligibility_List!$C$21:$BV$21,1,MATCH(H$271,$C327:$BW327,0)),""),nmADwSP,"")</f>
        <v/>
      </c>
      <c r="I90" s="147" t="str">
        <f>SUBSTITUTE(_xlfn.IFNA(INDEX(M2S_Eligibility_List!$C$21:$BV$21,1,MATCH(I$271,$C327:$BW327,0)),""),nmADwSP,"")</f>
        <v/>
      </c>
      <c r="J90" s="147" t="str">
        <f>SUBSTITUTE(_xlfn.IFNA(INDEX(M2S_Eligibility_List!$C$21:$BV$21,1,MATCH(J$271,$C327:$BW327,0)),""),nmADwSP,"")</f>
        <v/>
      </c>
      <c r="K90" s="147" t="str">
        <f>SUBSTITUTE(_xlfn.IFNA(INDEX(M2S_Eligibility_List!$C$21:$BV$21,1,MATCH(K$271,$C327:$BW327,0)),""),nmADwSP,"")</f>
        <v/>
      </c>
      <c r="L90" s="147" t="str">
        <f>SUBSTITUTE(_xlfn.IFNA(INDEX(M2S_Eligibility_List!$C$21:$BV$21,1,MATCH(L$271,$C327:$BW327,0)),""),nmADwSP,"")</f>
        <v/>
      </c>
      <c r="M90" s="147" t="str">
        <f>SUBSTITUTE(_xlfn.IFNA(INDEX(M2S_Eligibility_List!$C$21:$BV$21,1,MATCH(M$271,$C327:$BW327,0)),""),nmADwSP,"")</f>
        <v/>
      </c>
      <c r="N90" s="147" t="str">
        <f>SUBSTITUTE(_xlfn.IFNA(INDEX(M2S_Eligibility_List!$C$21:$BV$21,1,MATCH(N$271,$C327:$BW327,0)),""),nmADwSP,"")</f>
        <v/>
      </c>
      <c r="O90" s="145"/>
      <c r="P90" s="145"/>
      <c r="Q90" s="145"/>
      <c r="R90" s="145"/>
      <c r="S90" s="145"/>
      <c r="T90" s="145"/>
      <c r="U90" s="145"/>
      <c r="V90" s="145"/>
      <c r="W90" s="145"/>
      <c r="X90" s="145"/>
      <c r="Y90" s="145"/>
      <c r="Z90" s="145"/>
      <c r="AA90" s="145"/>
      <c r="AB90" s="145"/>
      <c r="AC90" s="145"/>
      <c r="AD90" s="145"/>
      <c r="AE90" s="145"/>
      <c r="AF90" s="145"/>
      <c r="AG90" s="145"/>
      <c r="AH90" s="145"/>
      <c r="AI90" s="145"/>
      <c r="AJ90" s="145"/>
      <c r="AK90" s="145"/>
      <c r="AL90" s="145"/>
      <c r="AM90" s="145"/>
      <c r="AN90" s="145"/>
      <c r="AO90" s="145"/>
      <c r="AP90" s="145"/>
      <c r="AQ90" s="145"/>
      <c r="AR90" s="145"/>
      <c r="AS90" s="145"/>
      <c r="AT90" s="145"/>
      <c r="AU90" s="145"/>
      <c r="AV90" s="145"/>
      <c r="AW90" s="145"/>
      <c r="AX90" s="145"/>
      <c r="AY90" s="145"/>
      <c r="AZ90" s="145"/>
      <c r="BA90" s="145"/>
      <c r="BB90" s="145"/>
      <c r="BC90" s="145"/>
      <c r="BD90" s="145"/>
      <c r="BE90" s="145"/>
      <c r="BF90" s="145"/>
      <c r="BG90" s="145"/>
      <c r="BH90" s="145"/>
      <c r="BI90" s="145"/>
      <c r="BJ90" s="145"/>
      <c r="BK90" s="145"/>
      <c r="BL90" s="145"/>
      <c r="BM90" s="145"/>
      <c r="BN90" s="145"/>
      <c r="BO90" s="145"/>
      <c r="BP90" s="145"/>
      <c r="BQ90" s="145"/>
      <c r="BR90" s="145"/>
      <c r="BS90" s="145"/>
      <c r="BT90" s="145"/>
      <c r="BU90" s="145"/>
      <c r="BV90" s="145"/>
      <c r="BW90" s="145"/>
    </row>
    <row r="91" spans="1:75" ht="20.100000000000001" customHeight="1">
      <c r="A91" s="170" t="str">
        <f>IF(M2S_Eligibility_List!$B78&lt;&gt;"",RIGHT(M2S_Eligibility_List!$B78,LEN(M2S_Eligibility_List!$B78)-LEN(nmADwSP)),0)</f>
        <v>Maya with Softimage</v>
      </c>
      <c r="B91" s="170" t="str">
        <f>IF(M2S_Eligibility_List!$B78&lt;&gt;"",RIGHT(M2S_Eligibility_List!$B78,LEN(M2S_Eligibility_List!$B78)-LEN(nmADwSP)),0)</f>
        <v>Maya with Softimage</v>
      </c>
      <c r="C91" s="147" t="str">
        <f>SUBSTITUTE(_xlfn.IFNA(INDEX(M2S_Eligibility_List!$C$21:$BV$21,1,MATCH(C$271,$C328:$BW328,0)),""),nmADwSP,"")</f>
        <v>Media and Entertainment Collection</v>
      </c>
      <c r="D91" s="147" t="str">
        <f>SUBSTITUTE(_xlfn.IFNA(INDEX(M2S_Eligibility_List!$C$21:$BV$21,1,MATCH(D$271,$C328:$BW328,0)),""),nmADwSP,"")</f>
        <v>Maya</v>
      </c>
      <c r="E91" s="147" t="str">
        <f>SUBSTITUTE(_xlfn.IFNA(INDEX(M2S_Eligibility_List!$C$21:$BV$21,1,MATCH(E$271,$C328:$BW328,0)),""),nmADwSP,"")</f>
        <v/>
      </c>
      <c r="F91" s="147" t="str">
        <f>SUBSTITUTE(_xlfn.IFNA(INDEX(M2S_Eligibility_List!$C$21:$BV$21,1,MATCH(F$271,$C328:$BW328,0)),""),nmADwSP,"")</f>
        <v/>
      </c>
      <c r="G91" s="147" t="str">
        <f>SUBSTITUTE(_xlfn.IFNA(INDEX(M2S_Eligibility_List!$C$21:$BV$21,1,MATCH(G$271,$C328:$BW328,0)),""),nmADwSP,"")</f>
        <v/>
      </c>
      <c r="H91" s="147" t="str">
        <f>SUBSTITUTE(_xlfn.IFNA(INDEX(M2S_Eligibility_List!$C$21:$BV$21,1,MATCH(H$271,$C328:$BW328,0)),""),nmADwSP,"")</f>
        <v/>
      </c>
      <c r="I91" s="147" t="str">
        <f>SUBSTITUTE(_xlfn.IFNA(INDEX(M2S_Eligibility_List!$C$21:$BV$21,1,MATCH(I$271,$C328:$BW328,0)),""),nmADwSP,"")</f>
        <v/>
      </c>
      <c r="J91" s="147" t="str">
        <f>SUBSTITUTE(_xlfn.IFNA(INDEX(M2S_Eligibility_List!$C$21:$BV$21,1,MATCH(J$271,$C328:$BW328,0)),""),nmADwSP,"")</f>
        <v/>
      </c>
      <c r="K91" s="147" t="str">
        <f>SUBSTITUTE(_xlfn.IFNA(INDEX(M2S_Eligibility_List!$C$21:$BV$21,1,MATCH(K$271,$C328:$BW328,0)),""),nmADwSP,"")</f>
        <v/>
      </c>
      <c r="L91" s="147" t="str">
        <f>SUBSTITUTE(_xlfn.IFNA(INDEX(M2S_Eligibility_List!$C$21:$BV$21,1,MATCH(L$271,$C328:$BW328,0)),""),nmADwSP,"")</f>
        <v/>
      </c>
      <c r="M91" s="147" t="str">
        <f>SUBSTITUTE(_xlfn.IFNA(INDEX(M2S_Eligibility_List!$C$21:$BV$21,1,MATCH(M$271,$C328:$BW328,0)),""),nmADwSP,"")</f>
        <v/>
      </c>
      <c r="N91" s="147" t="str">
        <f>SUBSTITUTE(_xlfn.IFNA(INDEX(M2S_Eligibility_List!$C$21:$BV$21,1,MATCH(N$271,$C328:$BW328,0)),""),nmADwSP,"")</f>
        <v/>
      </c>
      <c r="O91" s="145"/>
      <c r="P91" s="145"/>
      <c r="Q91" s="145"/>
      <c r="R91" s="145"/>
      <c r="S91" s="145"/>
      <c r="T91" s="145"/>
      <c r="U91" s="145"/>
      <c r="V91" s="145"/>
      <c r="W91" s="145"/>
      <c r="X91" s="145"/>
      <c r="Y91" s="145"/>
      <c r="Z91" s="145"/>
      <c r="AA91" s="145"/>
      <c r="AB91" s="145"/>
      <c r="AC91" s="145"/>
      <c r="AD91" s="145"/>
      <c r="AE91" s="145"/>
      <c r="AF91" s="145"/>
      <c r="AG91" s="145"/>
      <c r="AH91" s="145"/>
      <c r="AI91" s="145"/>
      <c r="AJ91" s="145"/>
      <c r="AK91" s="145"/>
      <c r="AL91" s="145"/>
      <c r="AM91" s="145"/>
      <c r="AN91" s="145"/>
      <c r="AO91" s="145"/>
      <c r="AP91" s="145"/>
      <c r="AQ91" s="145"/>
      <c r="AR91" s="145"/>
      <c r="AS91" s="145"/>
      <c r="AT91" s="145"/>
      <c r="AU91" s="145"/>
      <c r="AV91" s="145"/>
      <c r="AW91" s="145"/>
      <c r="AX91" s="145"/>
      <c r="AY91" s="145"/>
      <c r="AZ91" s="145"/>
      <c r="BA91" s="145"/>
      <c r="BB91" s="145"/>
      <c r="BC91" s="145"/>
      <c r="BD91" s="145"/>
      <c r="BE91" s="145"/>
      <c r="BF91" s="145"/>
      <c r="BG91" s="145"/>
      <c r="BH91" s="145"/>
      <c r="BI91" s="145"/>
      <c r="BJ91" s="145"/>
      <c r="BK91" s="145"/>
      <c r="BL91" s="145"/>
      <c r="BM91" s="145"/>
      <c r="BN91" s="145"/>
      <c r="BO91" s="145"/>
      <c r="BP91" s="145"/>
      <c r="BQ91" s="145"/>
      <c r="BR91" s="145"/>
      <c r="BS91" s="145"/>
      <c r="BT91" s="145"/>
      <c r="BU91" s="145"/>
      <c r="BV91" s="145"/>
      <c r="BW91" s="145"/>
    </row>
    <row r="92" spans="1:75" ht="20.100000000000001" customHeight="1">
      <c r="A92" s="170" t="str">
        <f>IF(M2S_Eligibility_List!$B79&lt;&gt;"",RIGHT(M2S_Eligibility_List!$B79,LEN(M2S_Eligibility_List!$B79)-LEN(nmADwSP)),0)</f>
        <v>Moldflow Adviser Premium</v>
      </c>
      <c r="B92" s="170" t="str">
        <f>IF(M2S_Eligibility_List!$B79&lt;&gt;"",RIGHT(M2S_Eligibility_List!$B79,LEN(M2S_Eligibility_List!$B79)-LEN(nmADwSP)),0)</f>
        <v>Moldflow Adviser Premium</v>
      </c>
      <c r="C92" s="147" t="str">
        <f>SUBSTITUTE(_xlfn.IFNA(INDEX(M2S_Eligibility_List!$C$21:$BV$21,1,MATCH(C$271,$C329:$BW329,0)),""),nmADwSP,"")</f>
        <v>Moldflow Adviser Premium</v>
      </c>
      <c r="D92" s="147" t="str">
        <f>SUBSTITUTE(_xlfn.IFNA(INDEX(M2S_Eligibility_List!$C$21:$BV$21,1,MATCH(D$271,$C329:$BW329,0)),""),nmADwSP,"")</f>
        <v>Moldflow Adviser Ultimate</v>
      </c>
      <c r="E92" s="147" t="str">
        <f>SUBSTITUTE(_xlfn.IFNA(INDEX(M2S_Eligibility_List!$C$21:$BV$21,1,MATCH(E$271,$C329:$BW329,0)),""),nmADwSP,"")</f>
        <v>Moldflow Insight Premium</v>
      </c>
      <c r="F92" s="147" t="str">
        <f>SUBSTITUTE(_xlfn.IFNA(INDEX(M2S_Eligibility_List!$C$21:$BV$21,1,MATCH(F$271,$C329:$BW329,0)),""),nmADwSP,"")</f>
        <v>Moldflow Insight Standard</v>
      </c>
      <c r="G92" s="147" t="str">
        <f>SUBSTITUTE(_xlfn.IFNA(INDEX(M2S_Eligibility_List!$C$21:$BV$21,1,MATCH(G$271,$C329:$BW329,0)),""),nmADwSP,"")</f>
        <v>Moldflow Insight Ultimate</v>
      </c>
      <c r="H92" s="147" t="str">
        <f>SUBSTITUTE(_xlfn.IFNA(INDEX(M2S_Eligibility_List!$C$21:$BV$21,1,MATCH(H$271,$C329:$BW329,0)),""),nmADwSP,"")</f>
        <v/>
      </c>
      <c r="I92" s="147" t="str">
        <f>SUBSTITUTE(_xlfn.IFNA(INDEX(M2S_Eligibility_List!$C$21:$BV$21,1,MATCH(I$271,$C329:$BW329,0)),""),nmADwSP,"")</f>
        <v/>
      </c>
      <c r="J92" s="147" t="str">
        <f>SUBSTITUTE(_xlfn.IFNA(INDEX(M2S_Eligibility_List!$C$21:$BV$21,1,MATCH(J$271,$C329:$BW329,0)),""),nmADwSP,"")</f>
        <v/>
      </c>
      <c r="K92" s="147" t="str">
        <f>SUBSTITUTE(_xlfn.IFNA(INDEX(M2S_Eligibility_List!$C$21:$BV$21,1,MATCH(K$271,$C329:$BW329,0)),""),nmADwSP,"")</f>
        <v/>
      </c>
      <c r="L92" s="147" t="str">
        <f>SUBSTITUTE(_xlfn.IFNA(INDEX(M2S_Eligibility_List!$C$21:$BV$21,1,MATCH(L$271,$C329:$BW329,0)),""),nmADwSP,"")</f>
        <v/>
      </c>
      <c r="M92" s="147" t="str">
        <f>SUBSTITUTE(_xlfn.IFNA(INDEX(M2S_Eligibility_List!$C$21:$BV$21,1,MATCH(M$271,$C329:$BW329,0)),""),nmADwSP,"")</f>
        <v/>
      </c>
      <c r="N92" s="147" t="str">
        <f>SUBSTITUTE(_xlfn.IFNA(INDEX(M2S_Eligibility_List!$C$21:$BV$21,1,MATCH(N$271,$C329:$BW329,0)),""),nmADwSP,"")</f>
        <v/>
      </c>
      <c r="O92" s="145"/>
      <c r="P92" s="145"/>
      <c r="Q92" s="145"/>
      <c r="R92" s="145"/>
      <c r="S92" s="145"/>
      <c r="T92" s="145"/>
      <c r="U92" s="145"/>
      <c r="V92" s="145"/>
      <c r="W92" s="145"/>
      <c r="X92" s="145"/>
      <c r="Y92" s="145"/>
      <c r="Z92" s="145"/>
      <c r="AA92" s="145"/>
      <c r="AB92" s="145"/>
      <c r="AC92" s="145"/>
      <c r="AD92" s="145"/>
      <c r="AE92" s="145"/>
      <c r="AF92" s="145"/>
      <c r="AG92" s="145"/>
      <c r="AH92" s="145"/>
      <c r="AI92" s="145"/>
      <c r="AJ92" s="145"/>
      <c r="AK92" s="145"/>
      <c r="AL92" s="145"/>
      <c r="AM92" s="145"/>
      <c r="AN92" s="145"/>
      <c r="AO92" s="145"/>
      <c r="AP92" s="145"/>
      <c r="AQ92" s="145"/>
      <c r="AR92" s="145"/>
      <c r="AS92" s="145"/>
      <c r="AT92" s="145"/>
      <c r="AU92" s="145"/>
      <c r="AV92" s="145"/>
      <c r="AW92" s="145"/>
      <c r="AX92" s="145"/>
      <c r="AY92" s="145"/>
      <c r="AZ92" s="145"/>
      <c r="BA92" s="145"/>
      <c r="BB92" s="145"/>
      <c r="BC92" s="145"/>
      <c r="BD92" s="145"/>
      <c r="BE92" s="145"/>
      <c r="BF92" s="145"/>
      <c r="BG92" s="145"/>
      <c r="BH92" s="145"/>
      <c r="BI92" s="145"/>
      <c r="BJ92" s="145"/>
      <c r="BK92" s="145"/>
      <c r="BL92" s="145"/>
      <c r="BM92" s="145"/>
      <c r="BN92" s="145"/>
      <c r="BO92" s="145"/>
      <c r="BP92" s="145"/>
      <c r="BQ92" s="145"/>
      <c r="BR92" s="145"/>
      <c r="BS92" s="145"/>
      <c r="BT92" s="145"/>
      <c r="BU92" s="145"/>
      <c r="BV92" s="145"/>
      <c r="BW92" s="145"/>
    </row>
    <row r="93" spans="1:75" ht="20.100000000000001" customHeight="1">
      <c r="A93" s="170" t="str">
        <f>IF(M2S_Eligibility_List!$B80&lt;&gt;"",RIGHT(M2S_Eligibility_List!$B80,LEN(M2S_Eligibility_List!$B80)-LEN(nmADwSP)),0)</f>
        <v>Moldflow Adviser Ultimate</v>
      </c>
      <c r="B93" s="170" t="str">
        <f>IF(M2S_Eligibility_List!$B80&lt;&gt;"",RIGHT(M2S_Eligibility_List!$B80,LEN(M2S_Eligibility_List!$B80)-LEN(nmADwSP)),0)</f>
        <v>Moldflow Adviser Ultimate</v>
      </c>
      <c r="C93" s="147" t="str">
        <f>SUBSTITUTE(_xlfn.IFNA(INDEX(M2S_Eligibility_List!$C$21:$BV$21,1,MATCH(C$271,$C330:$BW330,0)),""),nmADwSP,"")</f>
        <v>Moldflow Adviser Ultimate</v>
      </c>
      <c r="D93" s="147" t="str">
        <f>SUBSTITUTE(_xlfn.IFNA(INDEX(M2S_Eligibility_List!$C$21:$BV$21,1,MATCH(D$271,$C330:$BW330,0)),""),nmADwSP,"")</f>
        <v>Moldflow Insight Premium</v>
      </c>
      <c r="E93" s="147" t="str">
        <f>SUBSTITUTE(_xlfn.IFNA(INDEX(M2S_Eligibility_List!$C$21:$BV$21,1,MATCH(E$271,$C330:$BW330,0)),""),nmADwSP,"")</f>
        <v>Moldflow Insight Standard</v>
      </c>
      <c r="F93" s="147" t="str">
        <f>SUBSTITUTE(_xlfn.IFNA(INDEX(M2S_Eligibility_List!$C$21:$BV$21,1,MATCH(F$271,$C330:$BW330,0)),""),nmADwSP,"")</f>
        <v>Moldflow Insight Ultimate</v>
      </c>
      <c r="G93" s="147" t="str">
        <f>SUBSTITUTE(_xlfn.IFNA(INDEX(M2S_Eligibility_List!$C$21:$BV$21,1,MATCH(G$271,$C330:$BW330,0)),""),nmADwSP,"")</f>
        <v/>
      </c>
      <c r="H93" s="147" t="str">
        <f>SUBSTITUTE(_xlfn.IFNA(INDEX(M2S_Eligibility_List!$C$21:$BV$21,1,MATCH(H$271,$C330:$BW330,0)),""),nmADwSP,"")</f>
        <v/>
      </c>
      <c r="I93" s="147" t="str">
        <f>SUBSTITUTE(_xlfn.IFNA(INDEX(M2S_Eligibility_List!$C$21:$BV$21,1,MATCH(I$271,$C330:$BW330,0)),""),nmADwSP,"")</f>
        <v/>
      </c>
      <c r="J93" s="147" t="str">
        <f>SUBSTITUTE(_xlfn.IFNA(INDEX(M2S_Eligibility_List!$C$21:$BV$21,1,MATCH(J$271,$C330:$BW330,0)),""),nmADwSP,"")</f>
        <v/>
      </c>
      <c r="K93" s="147" t="str">
        <f>SUBSTITUTE(_xlfn.IFNA(INDEX(M2S_Eligibility_List!$C$21:$BV$21,1,MATCH(K$271,$C330:$BW330,0)),""),nmADwSP,"")</f>
        <v/>
      </c>
      <c r="L93" s="147" t="str">
        <f>SUBSTITUTE(_xlfn.IFNA(INDEX(M2S_Eligibility_List!$C$21:$BV$21,1,MATCH(L$271,$C330:$BW330,0)),""),nmADwSP,"")</f>
        <v/>
      </c>
      <c r="M93" s="147" t="str">
        <f>SUBSTITUTE(_xlfn.IFNA(INDEX(M2S_Eligibility_List!$C$21:$BV$21,1,MATCH(M$271,$C330:$BW330,0)),""),nmADwSP,"")</f>
        <v/>
      </c>
      <c r="N93" s="147" t="str">
        <f>SUBSTITUTE(_xlfn.IFNA(INDEX(M2S_Eligibility_List!$C$21:$BV$21,1,MATCH(N$271,$C330:$BW330,0)),""),nmADwSP,"")</f>
        <v/>
      </c>
      <c r="O93" s="145"/>
      <c r="P93" s="145"/>
      <c r="Q93" s="145"/>
      <c r="R93" s="145"/>
      <c r="S93" s="145"/>
      <c r="T93" s="145"/>
      <c r="U93" s="145"/>
      <c r="V93" s="145"/>
      <c r="W93" s="145"/>
      <c r="X93" s="145"/>
      <c r="Y93" s="145"/>
      <c r="Z93" s="145"/>
      <c r="AA93" s="145"/>
      <c r="AB93" s="145"/>
      <c r="AC93" s="145"/>
      <c r="AD93" s="145"/>
      <c r="AE93" s="145"/>
      <c r="AF93" s="145"/>
      <c r="AG93" s="145"/>
      <c r="AH93" s="145"/>
      <c r="AI93" s="145"/>
      <c r="AJ93" s="145"/>
      <c r="AK93" s="145"/>
      <c r="AL93" s="145"/>
      <c r="AM93" s="145"/>
      <c r="AN93" s="145"/>
      <c r="AO93" s="145"/>
      <c r="AP93" s="145"/>
      <c r="AQ93" s="145"/>
      <c r="AR93" s="145"/>
      <c r="AS93" s="145"/>
      <c r="AT93" s="145"/>
      <c r="AU93" s="145"/>
      <c r="AV93" s="145"/>
      <c r="AW93" s="145"/>
      <c r="AX93" s="145"/>
      <c r="AY93" s="145"/>
      <c r="AZ93" s="145"/>
      <c r="BA93" s="145"/>
      <c r="BB93" s="145"/>
      <c r="BC93" s="145"/>
      <c r="BD93" s="145"/>
      <c r="BE93" s="145"/>
      <c r="BF93" s="145"/>
      <c r="BG93" s="145"/>
      <c r="BH93" s="145"/>
      <c r="BI93" s="145"/>
      <c r="BJ93" s="145"/>
      <c r="BK93" s="145"/>
      <c r="BL93" s="145"/>
      <c r="BM93" s="145"/>
      <c r="BN93" s="145"/>
      <c r="BO93" s="145"/>
      <c r="BP93" s="145"/>
      <c r="BQ93" s="145"/>
      <c r="BR93" s="145"/>
      <c r="BS93" s="145"/>
      <c r="BT93" s="145"/>
      <c r="BU93" s="145"/>
      <c r="BV93" s="145"/>
      <c r="BW93" s="145"/>
    </row>
    <row r="94" spans="1:75" ht="20.100000000000001" customHeight="1">
      <c r="A94" s="170" t="str">
        <f>IF(M2S_Eligibility_List!$B81&lt;&gt;"",RIGHT(M2S_Eligibility_List!$B81,LEN(M2S_Eligibility_List!$B81)-LEN(nmADwSP)),0)</f>
        <v>Moldflow Insight Premium</v>
      </c>
      <c r="B94" s="170" t="str">
        <f>IF(M2S_Eligibility_List!$B81&lt;&gt;"",RIGHT(M2S_Eligibility_List!$B81,LEN(M2S_Eligibility_List!$B81)-LEN(nmADwSP)),0)</f>
        <v>Moldflow Insight Premium</v>
      </c>
      <c r="C94" s="147" t="str">
        <f>SUBSTITUTE(_xlfn.IFNA(INDEX(M2S_Eligibility_List!$C$21:$BV$21,1,MATCH(C$271,$C331:$BW331,0)),""),nmADwSP,"")</f>
        <v>Moldflow Insight Premium</v>
      </c>
      <c r="D94" s="147" t="str">
        <f>SUBSTITUTE(_xlfn.IFNA(INDEX(M2S_Eligibility_List!$C$21:$BV$21,1,MATCH(D$271,$C331:$BW331,0)),""),nmADwSP,"")</f>
        <v>Moldflow Insight Ultimate</v>
      </c>
      <c r="E94" s="147" t="str">
        <f>SUBSTITUTE(_xlfn.IFNA(INDEX(M2S_Eligibility_List!$C$21:$BV$21,1,MATCH(E$271,$C331:$BW331,0)),""),nmADwSP,"")</f>
        <v/>
      </c>
      <c r="F94" s="147" t="str">
        <f>SUBSTITUTE(_xlfn.IFNA(INDEX(M2S_Eligibility_List!$C$21:$BV$21,1,MATCH(F$271,$C331:$BW331,0)),""),nmADwSP,"")</f>
        <v/>
      </c>
      <c r="G94" s="147" t="str">
        <f>SUBSTITUTE(_xlfn.IFNA(INDEX(M2S_Eligibility_List!$C$21:$BV$21,1,MATCH(G$271,$C331:$BW331,0)),""),nmADwSP,"")</f>
        <v/>
      </c>
      <c r="H94" s="147" t="str">
        <f>SUBSTITUTE(_xlfn.IFNA(INDEX(M2S_Eligibility_List!$C$21:$BV$21,1,MATCH(H$271,$C331:$BW331,0)),""),nmADwSP,"")</f>
        <v/>
      </c>
      <c r="I94" s="147" t="str">
        <f>SUBSTITUTE(_xlfn.IFNA(INDEX(M2S_Eligibility_List!$C$21:$BV$21,1,MATCH(I$271,$C331:$BW331,0)),""),nmADwSP,"")</f>
        <v/>
      </c>
      <c r="J94" s="147" t="str">
        <f>SUBSTITUTE(_xlfn.IFNA(INDEX(M2S_Eligibility_List!$C$21:$BV$21,1,MATCH(J$271,$C331:$BW331,0)),""),nmADwSP,"")</f>
        <v/>
      </c>
      <c r="K94" s="147" t="str">
        <f>SUBSTITUTE(_xlfn.IFNA(INDEX(M2S_Eligibility_List!$C$21:$BV$21,1,MATCH(K$271,$C331:$BW331,0)),""),nmADwSP,"")</f>
        <v/>
      </c>
      <c r="L94" s="147" t="str">
        <f>SUBSTITUTE(_xlfn.IFNA(INDEX(M2S_Eligibility_List!$C$21:$BV$21,1,MATCH(L$271,$C331:$BW331,0)),""),nmADwSP,"")</f>
        <v/>
      </c>
      <c r="M94" s="147" t="str">
        <f>SUBSTITUTE(_xlfn.IFNA(INDEX(M2S_Eligibility_List!$C$21:$BV$21,1,MATCH(M$271,$C331:$BW331,0)),""),nmADwSP,"")</f>
        <v/>
      </c>
      <c r="N94" s="147" t="str">
        <f>SUBSTITUTE(_xlfn.IFNA(INDEX(M2S_Eligibility_List!$C$21:$BV$21,1,MATCH(N$271,$C331:$BW331,0)),""),nmADwSP,"")</f>
        <v/>
      </c>
      <c r="O94" s="145"/>
      <c r="P94" s="145"/>
      <c r="Q94" s="145"/>
      <c r="R94" s="145"/>
      <c r="S94" s="145"/>
      <c r="T94" s="145"/>
      <c r="U94" s="145"/>
      <c r="V94" s="145"/>
      <c r="W94" s="145"/>
      <c r="X94" s="145"/>
      <c r="Y94" s="145"/>
      <c r="Z94" s="145"/>
      <c r="AA94" s="145"/>
      <c r="AB94" s="145"/>
      <c r="AC94" s="145"/>
      <c r="AD94" s="145"/>
      <c r="AE94" s="145"/>
      <c r="AF94" s="145"/>
      <c r="AG94" s="145"/>
      <c r="AH94" s="145"/>
      <c r="AI94" s="145"/>
      <c r="AJ94" s="145"/>
      <c r="AK94" s="145"/>
      <c r="AL94" s="145"/>
      <c r="AM94" s="145"/>
      <c r="AN94" s="145"/>
      <c r="AO94" s="145"/>
      <c r="AP94" s="145"/>
      <c r="AQ94" s="145"/>
      <c r="AR94" s="145"/>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145"/>
      <c r="BO94" s="145"/>
      <c r="BP94" s="145"/>
      <c r="BQ94" s="145"/>
      <c r="BR94" s="145"/>
      <c r="BS94" s="145"/>
      <c r="BT94" s="145"/>
      <c r="BU94" s="145"/>
      <c r="BV94" s="145"/>
      <c r="BW94" s="145"/>
    </row>
    <row r="95" spans="1:75" ht="20.100000000000001" customHeight="1">
      <c r="A95" s="170" t="str">
        <f>IF(M2S_Eligibility_List!$B82&lt;&gt;"",RIGHT(M2S_Eligibility_List!$B82,LEN(M2S_Eligibility_List!$B82)-LEN(nmADwSP)),0)</f>
        <v>Moldflow Insight Standard</v>
      </c>
      <c r="B95" s="170" t="str">
        <f>IF(M2S_Eligibility_List!$B82&lt;&gt;"",RIGHT(M2S_Eligibility_List!$B82,LEN(M2S_Eligibility_List!$B82)-LEN(nmADwSP)),0)</f>
        <v>Moldflow Insight Standard</v>
      </c>
      <c r="C95" s="147" t="str">
        <f>SUBSTITUTE(_xlfn.IFNA(INDEX(M2S_Eligibility_List!$C$21:$BV$21,1,MATCH(C$271,$C332:$BW332,0)),""),nmADwSP,"")</f>
        <v>Moldflow Insight Premium</v>
      </c>
      <c r="D95" s="147" t="str">
        <f>SUBSTITUTE(_xlfn.IFNA(INDEX(M2S_Eligibility_List!$C$21:$BV$21,1,MATCH(D$271,$C332:$BW332,0)),""),nmADwSP,"")</f>
        <v>Moldflow Insight Standard</v>
      </c>
      <c r="E95" s="147" t="str">
        <f>SUBSTITUTE(_xlfn.IFNA(INDEX(M2S_Eligibility_List!$C$21:$BV$21,1,MATCH(E$271,$C332:$BW332,0)),""),nmADwSP,"")</f>
        <v>Moldflow Insight Ultimate</v>
      </c>
      <c r="F95" s="147" t="str">
        <f>SUBSTITUTE(_xlfn.IFNA(INDEX(M2S_Eligibility_List!$C$21:$BV$21,1,MATCH(F$271,$C332:$BW332,0)),""),nmADwSP,"")</f>
        <v/>
      </c>
      <c r="G95" s="147" t="str">
        <f>SUBSTITUTE(_xlfn.IFNA(INDEX(M2S_Eligibility_List!$C$21:$BV$21,1,MATCH(G$271,$C332:$BW332,0)),""),nmADwSP,"")</f>
        <v/>
      </c>
      <c r="H95" s="147" t="str">
        <f>SUBSTITUTE(_xlfn.IFNA(INDEX(M2S_Eligibility_List!$C$21:$BV$21,1,MATCH(H$271,$C332:$BW332,0)),""),nmADwSP,"")</f>
        <v/>
      </c>
      <c r="I95" s="147" t="str">
        <f>SUBSTITUTE(_xlfn.IFNA(INDEX(M2S_Eligibility_List!$C$21:$BV$21,1,MATCH(I$271,$C332:$BW332,0)),""),nmADwSP,"")</f>
        <v/>
      </c>
      <c r="J95" s="147" t="str">
        <f>SUBSTITUTE(_xlfn.IFNA(INDEX(M2S_Eligibility_List!$C$21:$BV$21,1,MATCH(J$271,$C332:$BW332,0)),""),nmADwSP,"")</f>
        <v/>
      </c>
      <c r="K95" s="147" t="str">
        <f>SUBSTITUTE(_xlfn.IFNA(INDEX(M2S_Eligibility_List!$C$21:$BV$21,1,MATCH(K$271,$C332:$BW332,0)),""),nmADwSP,"")</f>
        <v/>
      </c>
      <c r="L95" s="147" t="str">
        <f>SUBSTITUTE(_xlfn.IFNA(INDEX(M2S_Eligibility_List!$C$21:$BV$21,1,MATCH(L$271,$C332:$BW332,0)),""),nmADwSP,"")</f>
        <v/>
      </c>
      <c r="M95" s="147" t="str">
        <f>SUBSTITUTE(_xlfn.IFNA(INDEX(M2S_Eligibility_List!$C$21:$BV$21,1,MATCH(M$271,$C332:$BW332,0)),""),nmADwSP,"")</f>
        <v/>
      </c>
      <c r="N95" s="147" t="str">
        <f>SUBSTITUTE(_xlfn.IFNA(INDEX(M2S_Eligibility_List!$C$21:$BV$21,1,MATCH(N$271,$C332:$BW332,0)),""),nmADwSP,"")</f>
        <v/>
      </c>
      <c r="O95" s="145"/>
      <c r="P95" s="145"/>
      <c r="Q95" s="145"/>
      <c r="R95" s="145"/>
      <c r="S95" s="145"/>
      <c r="T95" s="145"/>
      <c r="U95" s="145"/>
      <c r="V95" s="145"/>
      <c r="W95" s="145"/>
      <c r="X95" s="145"/>
      <c r="Y95" s="145"/>
      <c r="Z95" s="145"/>
      <c r="AA95" s="145"/>
      <c r="AB95" s="145"/>
      <c r="AC95" s="145"/>
      <c r="AD95" s="145"/>
      <c r="AE95" s="145"/>
      <c r="AF95" s="145"/>
      <c r="AG95" s="145"/>
      <c r="AH95" s="145"/>
      <c r="AI95" s="145"/>
      <c r="AJ95" s="145"/>
      <c r="AK95" s="145"/>
      <c r="AL95" s="145"/>
      <c r="AM95" s="145"/>
      <c r="AN95" s="145"/>
      <c r="AO95" s="145"/>
      <c r="AP95" s="145"/>
      <c r="AQ95" s="145"/>
      <c r="AR95" s="145"/>
      <c r="AS95" s="145"/>
      <c r="AT95" s="145"/>
      <c r="AU95" s="145"/>
      <c r="AV95" s="145"/>
      <c r="AW95" s="145"/>
      <c r="AX95" s="145"/>
      <c r="AY95" s="145"/>
      <c r="AZ95" s="145"/>
      <c r="BA95" s="145"/>
      <c r="BB95" s="145"/>
      <c r="BC95" s="145"/>
      <c r="BD95" s="145"/>
      <c r="BE95" s="145"/>
      <c r="BF95" s="145"/>
      <c r="BG95" s="145"/>
      <c r="BH95" s="145"/>
      <c r="BI95" s="145"/>
      <c r="BJ95" s="145"/>
      <c r="BK95" s="145"/>
      <c r="BL95" s="145"/>
      <c r="BM95" s="145"/>
      <c r="BN95" s="145"/>
      <c r="BO95" s="145"/>
      <c r="BP95" s="145"/>
      <c r="BQ95" s="145"/>
      <c r="BR95" s="145"/>
      <c r="BS95" s="145"/>
      <c r="BT95" s="145"/>
      <c r="BU95" s="145"/>
      <c r="BV95" s="145"/>
      <c r="BW95" s="145"/>
    </row>
    <row r="96" spans="1:75" ht="20.100000000000001" customHeight="1">
      <c r="A96" s="170" t="str">
        <f>IF(M2S_Eligibility_List!$B83&lt;&gt;"",RIGHT(M2S_Eligibility_List!$B83,LEN(M2S_Eligibility_List!$B83)-LEN(nmADwSP)),0)</f>
        <v>Moldflow Insight Ultimate</v>
      </c>
      <c r="B96" s="170" t="str">
        <f>IF(M2S_Eligibility_List!$B83&lt;&gt;"",RIGHT(M2S_Eligibility_List!$B83,LEN(M2S_Eligibility_List!$B83)-LEN(nmADwSP)),0)</f>
        <v>Moldflow Insight Ultimate</v>
      </c>
      <c r="C96" s="147" t="str">
        <f>SUBSTITUTE(_xlfn.IFNA(INDEX(M2S_Eligibility_List!$C$21:$BV$21,1,MATCH(C$271,$C333:$BW333,0)),""),nmADwSP,"")</f>
        <v>Moldflow Insight Ultimate</v>
      </c>
      <c r="D96" s="147" t="str">
        <f>SUBSTITUTE(_xlfn.IFNA(INDEX(M2S_Eligibility_List!$C$21:$BV$21,1,MATCH(D$271,$C333:$BW333,0)),""),nmADwSP,"")</f>
        <v/>
      </c>
      <c r="E96" s="147" t="str">
        <f>SUBSTITUTE(_xlfn.IFNA(INDEX(M2S_Eligibility_List!$C$21:$BV$21,1,MATCH(E$271,$C333:$BW333,0)),""),nmADwSP,"")</f>
        <v/>
      </c>
      <c r="F96" s="147" t="str">
        <f>SUBSTITUTE(_xlfn.IFNA(INDEX(M2S_Eligibility_List!$C$21:$BV$21,1,MATCH(F$271,$C333:$BW333,0)),""),nmADwSP,"")</f>
        <v/>
      </c>
      <c r="G96" s="147" t="str">
        <f>SUBSTITUTE(_xlfn.IFNA(INDEX(M2S_Eligibility_List!$C$21:$BV$21,1,MATCH(G$271,$C333:$BW333,0)),""),nmADwSP,"")</f>
        <v/>
      </c>
      <c r="H96" s="147" t="str">
        <f>SUBSTITUTE(_xlfn.IFNA(INDEX(M2S_Eligibility_List!$C$21:$BV$21,1,MATCH(H$271,$C333:$BW333,0)),""),nmADwSP,"")</f>
        <v/>
      </c>
      <c r="I96" s="147" t="str">
        <f>SUBSTITUTE(_xlfn.IFNA(INDEX(M2S_Eligibility_List!$C$21:$BV$21,1,MATCH(I$271,$C333:$BW333,0)),""),nmADwSP,"")</f>
        <v/>
      </c>
      <c r="J96" s="147" t="str">
        <f>SUBSTITUTE(_xlfn.IFNA(INDEX(M2S_Eligibility_List!$C$21:$BV$21,1,MATCH(J$271,$C333:$BW333,0)),""),nmADwSP,"")</f>
        <v/>
      </c>
      <c r="K96" s="147" t="str">
        <f>SUBSTITUTE(_xlfn.IFNA(INDEX(M2S_Eligibility_List!$C$21:$BV$21,1,MATCH(K$271,$C333:$BW333,0)),""),nmADwSP,"")</f>
        <v/>
      </c>
      <c r="L96" s="147" t="str">
        <f>SUBSTITUTE(_xlfn.IFNA(INDEX(M2S_Eligibility_List!$C$21:$BV$21,1,MATCH(L$271,$C333:$BW333,0)),""),nmADwSP,"")</f>
        <v/>
      </c>
      <c r="M96" s="147" t="str">
        <f>SUBSTITUTE(_xlfn.IFNA(INDEX(M2S_Eligibility_List!$C$21:$BV$21,1,MATCH(M$271,$C333:$BW333,0)),""),nmADwSP,"")</f>
        <v/>
      </c>
      <c r="N96" s="147" t="str">
        <f>SUBSTITUTE(_xlfn.IFNA(INDEX(M2S_Eligibility_List!$C$21:$BV$21,1,MATCH(N$271,$C333:$BW333,0)),""),nmADwSP,"")</f>
        <v/>
      </c>
      <c r="O96" s="145"/>
      <c r="P96" s="145"/>
      <c r="Q96" s="145"/>
      <c r="R96" s="145"/>
      <c r="S96" s="145"/>
      <c r="T96" s="145"/>
      <c r="U96" s="145"/>
      <c r="V96" s="145"/>
      <c r="W96" s="145"/>
      <c r="X96" s="145"/>
      <c r="Y96" s="145"/>
      <c r="Z96" s="145"/>
      <c r="AA96" s="145"/>
      <c r="AB96" s="145"/>
      <c r="AC96" s="145"/>
      <c r="AD96" s="145"/>
      <c r="AE96" s="145"/>
      <c r="AF96" s="145"/>
      <c r="AG96" s="145"/>
      <c r="AH96" s="145"/>
      <c r="AI96" s="145"/>
      <c r="AJ96" s="145"/>
      <c r="AK96" s="145"/>
      <c r="AL96" s="145"/>
      <c r="AM96" s="145"/>
      <c r="AN96" s="145"/>
      <c r="AO96" s="145"/>
      <c r="AP96" s="145"/>
      <c r="AQ96" s="145"/>
      <c r="AR96" s="145"/>
      <c r="AS96" s="145"/>
      <c r="AT96" s="145"/>
      <c r="AU96" s="145"/>
      <c r="AV96" s="145"/>
      <c r="AW96" s="145"/>
      <c r="AX96" s="145"/>
      <c r="AY96" s="145"/>
      <c r="AZ96" s="145"/>
      <c r="BA96" s="145"/>
      <c r="BB96" s="145"/>
      <c r="BC96" s="145"/>
      <c r="BD96" s="145"/>
      <c r="BE96" s="145"/>
      <c r="BF96" s="145"/>
      <c r="BG96" s="145"/>
      <c r="BH96" s="145"/>
      <c r="BI96" s="145"/>
      <c r="BJ96" s="145"/>
      <c r="BK96" s="145"/>
      <c r="BL96" s="145"/>
      <c r="BM96" s="145"/>
      <c r="BN96" s="145"/>
      <c r="BO96" s="145"/>
      <c r="BP96" s="145"/>
      <c r="BQ96" s="145"/>
      <c r="BR96" s="145"/>
      <c r="BS96" s="145"/>
      <c r="BT96" s="145"/>
      <c r="BU96" s="145"/>
      <c r="BV96" s="145"/>
      <c r="BW96" s="145"/>
    </row>
    <row r="97" spans="1:75" ht="20.100000000000001" customHeight="1">
      <c r="A97" s="170" t="str">
        <f>IF(M2S_Eligibility_List!$B84&lt;&gt;"",RIGHT(M2S_Eligibility_List!$B84,LEN(M2S_Eligibility_List!$B84)-LEN(nmADwSP)),0)</f>
        <v>Moldflow Synergy</v>
      </c>
      <c r="B97" s="170" t="str">
        <f>IF(M2S_Eligibility_List!$B84&lt;&gt;"",RIGHT(M2S_Eligibility_List!$B84,LEN(M2S_Eligibility_List!$B84)-LEN(nmADwSP)),0)</f>
        <v>Moldflow Synergy</v>
      </c>
      <c r="C97" s="147" t="str">
        <f>SUBSTITUTE(_xlfn.IFNA(INDEX(M2S_Eligibility_List!$C$21:$BV$21,1,MATCH(C$271,$C334:$BW334,0)),""),nmADwSP,"")</f>
        <v>Moldflow Synergy</v>
      </c>
      <c r="D97" s="147" t="str">
        <f>SUBSTITUTE(_xlfn.IFNA(INDEX(M2S_Eligibility_List!$C$21:$BV$21,1,MATCH(D$271,$C334:$BW334,0)),""),nmADwSP,"")</f>
        <v/>
      </c>
      <c r="E97" s="147" t="str">
        <f>SUBSTITUTE(_xlfn.IFNA(INDEX(M2S_Eligibility_List!$C$21:$BV$21,1,MATCH(E$271,$C334:$BW334,0)),""),nmADwSP,"")</f>
        <v/>
      </c>
      <c r="F97" s="147" t="str">
        <f>SUBSTITUTE(_xlfn.IFNA(INDEX(M2S_Eligibility_List!$C$21:$BV$21,1,MATCH(F$271,$C334:$BW334,0)),""),nmADwSP,"")</f>
        <v/>
      </c>
      <c r="G97" s="147" t="str">
        <f>SUBSTITUTE(_xlfn.IFNA(INDEX(M2S_Eligibility_List!$C$21:$BV$21,1,MATCH(G$271,$C334:$BW334,0)),""),nmADwSP,"")</f>
        <v/>
      </c>
      <c r="H97" s="147" t="str">
        <f>SUBSTITUTE(_xlfn.IFNA(INDEX(M2S_Eligibility_List!$C$21:$BV$21,1,MATCH(H$271,$C334:$BW334,0)),""),nmADwSP,"")</f>
        <v/>
      </c>
      <c r="I97" s="147" t="str">
        <f>SUBSTITUTE(_xlfn.IFNA(INDEX(M2S_Eligibility_List!$C$21:$BV$21,1,MATCH(I$271,$C334:$BW334,0)),""),nmADwSP,"")</f>
        <v/>
      </c>
      <c r="J97" s="147" t="str">
        <f>SUBSTITUTE(_xlfn.IFNA(INDEX(M2S_Eligibility_List!$C$21:$BV$21,1,MATCH(J$271,$C334:$BW334,0)),""),nmADwSP,"")</f>
        <v/>
      </c>
      <c r="K97" s="147" t="str">
        <f>SUBSTITUTE(_xlfn.IFNA(INDEX(M2S_Eligibility_List!$C$21:$BV$21,1,MATCH(K$271,$C334:$BW334,0)),""),nmADwSP,"")</f>
        <v/>
      </c>
      <c r="L97" s="147" t="str">
        <f>SUBSTITUTE(_xlfn.IFNA(INDEX(M2S_Eligibility_List!$C$21:$BV$21,1,MATCH(L$271,$C334:$BW334,0)),""),nmADwSP,"")</f>
        <v/>
      </c>
      <c r="M97" s="147" t="str">
        <f>SUBSTITUTE(_xlfn.IFNA(INDEX(M2S_Eligibility_List!$C$21:$BV$21,1,MATCH(M$271,$C334:$BW334,0)),""),nmADwSP,"")</f>
        <v/>
      </c>
      <c r="N97" s="147" t="str">
        <f>SUBSTITUTE(_xlfn.IFNA(INDEX(M2S_Eligibility_List!$C$21:$BV$21,1,MATCH(N$271,$C334:$BW334,0)),""),nmADwSP,"")</f>
        <v/>
      </c>
      <c r="O97" s="145"/>
      <c r="P97" s="145"/>
      <c r="Q97" s="145"/>
      <c r="R97" s="145"/>
      <c r="S97" s="145"/>
      <c r="T97" s="145"/>
      <c r="U97" s="145"/>
      <c r="V97" s="145"/>
      <c r="W97" s="145"/>
      <c r="X97" s="145"/>
      <c r="Y97" s="145"/>
      <c r="Z97" s="145"/>
      <c r="AA97" s="145"/>
      <c r="AB97" s="145"/>
      <c r="AC97" s="145"/>
      <c r="AD97" s="145"/>
      <c r="AE97" s="145"/>
      <c r="AF97" s="145"/>
      <c r="AG97" s="145"/>
      <c r="AH97" s="145"/>
      <c r="AI97" s="145"/>
      <c r="AJ97" s="145"/>
      <c r="AK97" s="145"/>
      <c r="AL97" s="145"/>
      <c r="AM97" s="145"/>
      <c r="AN97" s="145"/>
      <c r="AO97" s="145"/>
      <c r="AP97" s="145"/>
      <c r="AQ97" s="145"/>
      <c r="AR97" s="145"/>
      <c r="AS97" s="145"/>
      <c r="AT97" s="145"/>
      <c r="AU97" s="145"/>
      <c r="AV97" s="145"/>
      <c r="AW97" s="145"/>
      <c r="AX97" s="145"/>
      <c r="AY97" s="145"/>
      <c r="AZ97" s="145"/>
      <c r="BA97" s="145"/>
      <c r="BB97" s="145"/>
      <c r="BC97" s="145"/>
      <c r="BD97" s="145"/>
      <c r="BE97" s="145"/>
      <c r="BF97" s="145"/>
      <c r="BG97" s="145"/>
      <c r="BH97" s="145"/>
      <c r="BI97" s="145"/>
      <c r="BJ97" s="145"/>
      <c r="BK97" s="145"/>
      <c r="BL97" s="145"/>
      <c r="BM97" s="145"/>
      <c r="BN97" s="145"/>
      <c r="BO97" s="145"/>
      <c r="BP97" s="145"/>
      <c r="BQ97" s="145"/>
      <c r="BR97" s="145"/>
      <c r="BS97" s="145"/>
      <c r="BT97" s="145"/>
      <c r="BU97" s="145"/>
      <c r="BV97" s="145"/>
      <c r="BW97" s="145"/>
    </row>
    <row r="98" spans="1:75" ht="20.100000000000001" customHeight="1">
      <c r="A98" s="170" t="str">
        <f>IF(M2S_Eligibility_List!$B85&lt;&gt;"",RIGHT(M2S_Eligibility_List!$B85,LEN(M2S_Eligibility_List!$B85)-LEN(nmADwSP)),0)</f>
        <v>MotionBuilder</v>
      </c>
      <c r="B98" s="170" t="str">
        <f>IF(M2S_Eligibility_List!$B85&lt;&gt;"",RIGHT(M2S_Eligibility_List!$B85,LEN(M2S_Eligibility_List!$B85)-LEN(nmADwSP)),0)</f>
        <v>MotionBuilder</v>
      </c>
      <c r="C98" s="147" t="str">
        <f>SUBSTITUTE(_xlfn.IFNA(INDEX(M2S_Eligibility_List!$C$21:$BV$21,1,MATCH(C$271,$C335:$BW335,0)),""),nmADwSP,"")</f>
        <v>Media and Entertainment Collection</v>
      </c>
      <c r="D98" s="147" t="str">
        <f>SUBSTITUTE(_xlfn.IFNA(INDEX(M2S_Eligibility_List!$C$21:$BV$21,1,MATCH(D$271,$C335:$BW335,0)),""),nmADwSP,"")</f>
        <v>MotionBuilder</v>
      </c>
      <c r="E98" s="147" t="str">
        <f>SUBSTITUTE(_xlfn.IFNA(INDEX(M2S_Eligibility_List!$C$21:$BV$21,1,MATCH(E$271,$C335:$BW335,0)),""),nmADwSP,"")</f>
        <v/>
      </c>
      <c r="F98" s="147" t="str">
        <f>SUBSTITUTE(_xlfn.IFNA(INDEX(M2S_Eligibility_List!$C$21:$BV$21,1,MATCH(F$271,$C335:$BW335,0)),""),nmADwSP,"")</f>
        <v/>
      </c>
      <c r="G98" s="147" t="str">
        <f>SUBSTITUTE(_xlfn.IFNA(INDEX(M2S_Eligibility_List!$C$21:$BV$21,1,MATCH(G$271,$C335:$BW335,0)),""),nmADwSP,"")</f>
        <v/>
      </c>
      <c r="H98" s="147" t="str">
        <f>SUBSTITUTE(_xlfn.IFNA(INDEX(M2S_Eligibility_List!$C$21:$BV$21,1,MATCH(H$271,$C335:$BW335,0)),""),nmADwSP,"")</f>
        <v/>
      </c>
      <c r="I98" s="147" t="str">
        <f>SUBSTITUTE(_xlfn.IFNA(INDEX(M2S_Eligibility_List!$C$21:$BV$21,1,MATCH(I$271,$C335:$BW335,0)),""),nmADwSP,"")</f>
        <v/>
      </c>
      <c r="J98" s="147" t="str">
        <f>SUBSTITUTE(_xlfn.IFNA(INDEX(M2S_Eligibility_List!$C$21:$BV$21,1,MATCH(J$271,$C335:$BW335,0)),""),nmADwSP,"")</f>
        <v/>
      </c>
      <c r="K98" s="147" t="str">
        <f>SUBSTITUTE(_xlfn.IFNA(INDEX(M2S_Eligibility_List!$C$21:$BV$21,1,MATCH(K$271,$C335:$BW335,0)),""),nmADwSP,"")</f>
        <v/>
      </c>
      <c r="L98" s="147" t="str">
        <f>SUBSTITUTE(_xlfn.IFNA(INDEX(M2S_Eligibility_List!$C$21:$BV$21,1,MATCH(L$271,$C335:$BW335,0)),""),nmADwSP,"")</f>
        <v/>
      </c>
      <c r="M98" s="147" t="str">
        <f>SUBSTITUTE(_xlfn.IFNA(INDEX(M2S_Eligibility_List!$C$21:$BV$21,1,MATCH(M$271,$C335:$BW335,0)),""),nmADwSP,"")</f>
        <v/>
      </c>
      <c r="N98" s="147" t="str">
        <f>SUBSTITUTE(_xlfn.IFNA(INDEX(M2S_Eligibility_List!$C$21:$BV$21,1,MATCH(N$271,$C335:$BW335,0)),""),nmADwSP,"")</f>
        <v/>
      </c>
      <c r="O98" s="145"/>
      <c r="P98" s="145"/>
      <c r="Q98" s="145"/>
      <c r="R98" s="145"/>
      <c r="S98" s="145"/>
      <c r="T98" s="145"/>
      <c r="U98" s="145"/>
      <c r="V98" s="145"/>
      <c r="W98" s="145"/>
      <c r="X98" s="145"/>
      <c r="Y98" s="145"/>
      <c r="Z98" s="145"/>
      <c r="AA98" s="145"/>
      <c r="AB98" s="145"/>
      <c r="AC98" s="145"/>
      <c r="AD98" s="145"/>
      <c r="AE98" s="145"/>
      <c r="AF98" s="145"/>
      <c r="AG98" s="145"/>
      <c r="AH98" s="145"/>
      <c r="AI98" s="145"/>
      <c r="AJ98" s="145"/>
      <c r="AK98" s="145"/>
      <c r="AL98" s="145"/>
      <c r="AM98" s="145"/>
      <c r="AN98" s="145"/>
      <c r="AO98" s="145"/>
      <c r="AP98" s="145"/>
      <c r="AQ98" s="145"/>
      <c r="AR98" s="145"/>
      <c r="AS98" s="145"/>
      <c r="AT98" s="145"/>
      <c r="AU98" s="145"/>
      <c r="AV98" s="145"/>
      <c r="AW98" s="145"/>
      <c r="AX98" s="145"/>
      <c r="AY98" s="145"/>
      <c r="AZ98" s="145"/>
      <c r="BA98" s="145"/>
      <c r="BB98" s="145"/>
      <c r="BC98" s="145"/>
      <c r="BD98" s="145"/>
      <c r="BE98" s="145"/>
      <c r="BF98" s="145"/>
      <c r="BG98" s="145"/>
      <c r="BH98" s="145"/>
      <c r="BI98" s="145"/>
      <c r="BJ98" s="145"/>
      <c r="BK98" s="145"/>
      <c r="BL98" s="145"/>
      <c r="BM98" s="145"/>
      <c r="BN98" s="145"/>
      <c r="BO98" s="145"/>
      <c r="BP98" s="145"/>
      <c r="BQ98" s="145"/>
      <c r="BR98" s="145"/>
      <c r="BS98" s="145"/>
      <c r="BT98" s="145"/>
      <c r="BU98" s="145"/>
      <c r="BV98" s="145"/>
      <c r="BW98" s="145"/>
    </row>
    <row r="99" spans="1:75" ht="20.100000000000001" customHeight="1">
      <c r="A99" s="170" t="str">
        <f>IF(M2S_Eligibility_List!$B86&lt;&gt;"",RIGHT(M2S_Eligibility_List!$B86,LEN(M2S_Eligibility_List!$B86)-LEN(nmADwSP)),0)</f>
        <v>Mudbox</v>
      </c>
      <c r="B99" s="170" t="str">
        <f>IF(M2S_Eligibility_List!$B86&lt;&gt;"",RIGHT(M2S_Eligibility_List!$B86,LEN(M2S_Eligibility_List!$B86)-LEN(nmADwSP)),0)</f>
        <v>Mudbox</v>
      </c>
      <c r="C99" s="147" t="str">
        <f>SUBSTITUTE(_xlfn.IFNA(INDEX(M2S_Eligibility_List!$C$21:$BV$21,1,MATCH(C$271,$C336:$BW336,0)),""),nmADwSP,"")</f>
        <v>Media and Entertainment Collection</v>
      </c>
      <c r="D99" s="147" t="str">
        <f>SUBSTITUTE(_xlfn.IFNA(INDEX(M2S_Eligibility_List!$C$21:$BV$21,1,MATCH(D$271,$C336:$BW336,0)),""),nmADwSP,"")</f>
        <v>Mudbox</v>
      </c>
      <c r="E99" s="147" t="str">
        <f>SUBSTITUTE(_xlfn.IFNA(INDEX(M2S_Eligibility_List!$C$21:$BV$21,1,MATCH(E$271,$C336:$BW336,0)),""),nmADwSP,"")</f>
        <v/>
      </c>
      <c r="F99" s="147" t="str">
        <f>SUBSTITUTE(_xlfn.IFNA(INDEX(M2S_Eligibility_List!$C$21:$BV$21,1,MATCH(F$271,$C336:$BW336,0)),""),nmADwSP,"")</f>
        <v/>
      </c>
      <c r="G99" s="147" t="str">
        <f>SUBSTITUTE(_xlfn.IFNA(INDEX(M2S_Eligibility_List!$C$21:$BV$21,1,MATCH(G$271,$C336:$BW336,0)),""),nmADwSP,"")</f>
        <v/>
      </c>
      <c r="H99" s="147" t="str">
        <f>SUBSTITUTE(_xlfn.IFNA(INDEX(M2S_Eligibility_List!$C$21:$BV$21,1,MATCH(H$271,$C336:$BW336,0)),""),nmADwSP,"")</f>
        <v/>
      </c>
      <c r="I99" s="147" t="str">
        <f>SUBSTITUTE(_xlfn.IFNA(INDEX(M2S_Eligibility_List!$C$21:$BV$21,1,MATCH(I$271,$C336:$BW336,0)),""),nmADwSP,"")</f>
        <v/>
      </c>
      <c r="J99" s="147" t="str">
        <f>SUBSTITUTE(_xlfn.IFNA(INDEX(M2S_Eligibility_List!$C$21:$BV$21,1,MATCH(J$271,$C336:$BW336,0)),""),nmADwSP,"")</f>
        <v/>
      </c>
      <c r="K99" s="147" t="str">
        <f>SUBSTITUTE(_xlfn.IFNA(INDEX(M2S_Eligibility_List!$C$21:$BV$21,1,MATCH(K$271,$C336:$BW336,0)),""),nmADwSP,"")</f>
        <v/>
      </c>
      <c r="L99" s="147" t="str">
        <f>SUBSTITUTE(_xlfn.IFNA(INDEX(M2S_Eligibility_List!$C$21:$BV$21,1,MATCH(L$271,$C336:$BW336,0)),""),nmADwSP,"")</f>
        <v/>
      </c>
      <c r="M99" s="147" t="str">
        <f>SUBSTITUTE(_xlfn.IFNA(INDEX(M2S_Eligibility_List!$C$21:$BV$21,1,MATCH(M$271,$C336:$BW336,0)),""),nmADwSP,"")</f>
        <v/>
      </c>
      <c r="N99" s="147" t="str">
        <f>SUBSTITUTE(_xlfn.IFNA(INDEX(M2S_Eligibility_List!$C$21:$BV$21,1,MATCH(N$271,$C336:$BW336,0)),""),nmADwSP,"")</f>
        <v/>
      </c>
      <c r="O99" s="145"/>
      <c r="P99" s="145"/>
      <c r="Q99" s="145"/>
      <c r="R99" s="145"/>
      <c r="S99" s="145"/>
      <c r="T99" s="145"/>
      <c r="U99" s="145"/>
      <c r="V99" s="145"/>
      <c r="W99" s="145"/>
      <c r="X99" s="145"/>
      <c r="Y99" s="145"/>
      <c r="Z99" s="145"/>
      <c r="AA99" s="145"/>
      <c r="AB99" s="145"/>
      <c r="AC99" s="145"/>
      <c r="AD99" s="145"/>
      <c r="AE99" s="145"/>
      <c r="AF99" s="145"/>
      <c r="AG99" s="145"/>
      <c r="AH99" s="145"/>
      <c r="AI99" s="145"/>
      <c r="AJ99" s="145"/>
      <c r="AK99" s="145"/>
      <c r="AL99" s="145"/>
      <c r="AM99" s="145"/>
      <c r="AN99" s="145"/>
      <c r="AO99" s="145"/>
      <c r="AP99" s="145"/>
      <c r="AQ99" s="145"/>
      <c r="AR99" s="145"/>
      <c r="AS99" s="145"/>
      <c r="AT99" s="145"/>
      <c r="AU99" s="145"/>
      <c r="AV99" s="145"/>
      <c r="AW99" s="145"/>
      <c r="AX99" s="145"/>
      <c r="AY99" s="145"/>
      <c r="AZ99" s="145"/>
      <c r="BA99" s="145"/>
      <c r="BB99" s="145"/>
      <c r="BC99" s="145"/>
      <c r="BD99" s="145"/>
      <c r="BE99" s="145"/>
      <c r="BF99" s="145"/>
      <c r="BG99" s="145"/>
      <c r="BH99" s="145"/>
      <c r="BI99" s="145"/>
      <c r="BJ99" s="145"/>
      <c r="BK99" s="145"/>
      <c r="BL99" s="145"/>
      <c r="BM99" s="145"/>
      <c r="BN99" s="145"/>
      <c r="BO99" s="145"/>
      <c r="BP99" s="145"/>
      <c r="BQ99" s="145"/>
      <c r="BR99" s="145"/>
      <c r="BS99" s="145"/>
      <c r="BT99" s="145"/>
      <c r="BU99" s="145"/>
      <c r="BV99" s="145"/>
      <c r="BW99" s="145"/>
    </row>
    <row r="100" spans="1:75" ht="20.100000000000001" customHeight="1">
      <c r="A100" s="170" t="str">
        <f>IF(M2S_Eligibility_List!$B87&lt;&gt;"",RIGHT(M2S_Eligibility_List!$B87,LEN(M2S_Eligibility_List!$B87)-LEN(nmADwSP)),0)</f>
        <v>Nastran</v>
      </c>
      <c r="B100" s="170" t="str">
        <f>IF(M2S_Eligibility_List!$B87&lt;&gt;"",RIGHT(M2S_Eligibility_List!$B87,LEN(M2S_Eligibility_List!$B87)-LEN(nmADwSP)),0)</f>
        <v>Nastran</v>
      </c>
      <c r="C100" s="147" t="str">
        <f>SUBSTITUTE(_xlfn.IFNA(INDEX(M2S_Eligibility_List!$C$21:$BV$21,1,MATCH(C$271,$C337:$BW337,0)),""),nmADwSP,"")</f>
        <v>Product Design &amp; Manufacturing Collection</v>
      </c>
      <c r="D100" s="147" t="str">
        <f>SUBSTITUTE(_xlfn.IFNA(INDEX(M2S_Eligibility_List!$C$21:$BV$21,1,MATCH(D$271,$C337:$BW337,0)),""),nmADwSP,"")</f>
        <v/>
      </c>
      <c r="E100" s="147" t="str">
        <f>SUBSTITUTE(_xlfn.IFNA(INDEX(M2S_Eligibility_List!$C$21:$BV$21,1,MATCH(E$271,$C337:$BW337,0)),""),nmADwSP,"")</f>
        <v/>
      </c>
      <c r="F100" s="147" t="str">
        <f>SUBSTITUTE(_xlfn.IFNA(INDEX(M2S_Eligibility_List!$C$21:$BV$21,1,MATCH(F$271,$C337:$BW337,0)),""),nmADwSP,"")</f>
        <v/>
      </c>
      <c r="G100" s="147" t="str">
        <f>SUBSTITUTE(_xlfn.IFNA(INDEX(M2S_Eligibility_List!$C$21:$BV$21,1,MATCH(G$271,$C337:$BW337,0)),""),nmADwSP,"")</f>
        <v/>
      </c>
      <c r="H100" s="147" t="str">
        <f>SUBSTITUTE(_xlfn.IFNA(INDEX(M2S_Eligibility_List!$C$21:$BV$21,1,MATCH(H$271,$C337:$BW337,0)),""),nmADwSP,"")</f>
        <v/>
      </c>
      <c r="I100" s="147" t="str">
        <f>SUBSTITUTE(_xlfn.IFNA(INDEX(M2S_Eligibility_List!$C$21:$BV$21,1,MATCH(I$271,$C337:$BW337,0)),""),nmADwSP,"")</f>
        <v/>
      </c>
      <c r="J100" s="147" t="str">
        <f>SUBSTITUTE(_xlfn.IFNA(INDEX(M2S_Eligibility_List!$C$21:$BV$21,1,MATCH(J$271,$C337:$BW337,0)),""),nmADwSP,"")</f>
        <v/>
      </c>
      <c r="K100" s="147" t="str">
        <f>SUBSTITUTE(_xlfn.IFNA(INDEX(M2S_Eligibility_List!$C$21:$BV$21,1,MATCH(K$271,$C337:$BW337,0)),""),nmADwSP,"")</f>
        <v/>
      </c>
      <c r="L100" s="147" t="str">
        <f>SUBSTITUTE(_xlfn.IFNA(INDEX(M2S_Eligibility_List!$C$21:$BV$21,1,MATCH(L$271,$C337:$BW337,0)),""),nmADwSP,"")</f>
        <v/>
      </c>
      <c r="M100" s="147" t="str">
        <f>SUBSTITUTE(_xlfn.IFNA(INDEX(M2S_Eligibility_List!$C$21:$BV$21,1,MATCH(M$271,$C337:$BW337,0)),""),nmADwSP,"")</f>
        <v/>
      </c>
      <c r="N100" s="147" t="str">
        <f>SUBSTITUTE(_xlfn.IFNA(INDEX(M2S_Eligibility_List!$C$21:$BV$21,1,MATCH(N$271,$C337:$BW337,0)),""),nmADwSP,"")</f>
        <v/>
      </c>
      <c r="O100" s="145"/>
      <c r="P100" s="145"/>
      <c r="Q100" s="145"/>
      <c r="R100" s="145"/>
      <c r="S100" s="145"/>
      <c r="T100" s="145"/>
      <c r="U100" s="145"/>
      <c r="V100" s="145"/>
      <c r="W100" s="145"/>
      <c r="X100" s="145"/>
      <c r="Y100" s="145"/>
      <c r="Z100" s="145"/>
      <c r="AA100" s="145"/>
      <c r="AB100" s="145"/>
      <c r="AC100" s="145"/>
      <c r="AD100" s="145"/>
      <c r="AE100" s="145"/>
      <c r="AF100" s="145"/>
      <c r="AG100" s="145"/>
      <c r="AH100" s="145"/>
      <c r="AI100" s="145"/>
      <c r="AJ100" s="145"/>
      <c r="AK100" s="145"/>
      <c r="AL100" s="145"/>
      <c r="AM100" s="145"/>
      <c r="AN100" s="145"/>
      <c r="AO100" s="145"/>
      <c r="AP100" s="145"/>
      <c r="AQ100" s="145"/>
      <c r="AR100" s="145"/>
      <c r="AS100" s="145"/>
      <c r="AT100" s="145"/>
      <c r="AU100" s="145"/>
      <c r="AV100" s="145"/>
      <c r="AW100" s="145"/>
      <c r="AX100" s="145"/>
      <c r="AY100" s="145"/>
      <c r="AZ100" s="145"/>
      <c r="BA100" s="145"/>
      <c r="BB100" s="145"/>
      <c r="BC100" s="145"/>
      <c r="BD100" s="145"/>
      <c r="BE100" s="145"/>
      <c r="BF100" s="145"/>
      <c r="BG100" s="145"/>
      <c r="BH100" s="145"/>
      <c r="BI100" s="145"/>
      <c r="BJ100" s="145"/>
      <c r="BK100" s="145"/>
      <c r="BL100" s="145"/>
      <c r="BM100" s="145"/>
      <c r="BN100" s="145"/>
      <c r="BO100" s="145"/>
      <c r="BP100" s="145"/>
      <c r="BQ100" s="145"/>
      <c r="BR100" s="145"/>
      <c r="BS100" s="145"/>
      <c r="BT100" s="145"/>
      <c r="BU100" s="145"/>
      <c r="BV100" s="145"/>
      <c r="BW100" s="145"/>
    </row>
    <row r="101" spans="1:75" ht="20.100000000000001" customHeight="1">
      <c r="A101" s="170" t="str">
        <f>IF(M2S_Eligibility_List!$B88&lt;&gt;"",RIGHT(M2S_Eligibility_List!$B88,LEN(M2S_Eligibility_List!$B88)-LEN(nmADwSP)),0)</f>
        <v>Nastran In-CAD</v>
      </c>
      <c r="B101" s="170" t="str">
        <f>IF(M2S_Eligibility_List!$B88&lt;&gt;"",RIGHT(M2S_Eligibility_List!$B88,LEN(M2S_Eligibility_List!$B88)-LEN(nmADwSP)),0)</f>
        <v>Nastran In-CAD</v>
      </c>
      <c r="C101" s="147" t="str">
        <f>SUBSTITUTE(_xlfn.IFNA(INDEX(M2S_Eligibility_List!$C$21:$BV$21,1,MATCH(C$271,$C338:$BW338,0)),""),nmADwSP,"")</f>
        <v>Product Design &amp; Manufacturing Collection</v>
      </c>
      <c r="D101" s="147" t="str">
        <f>SUBSTITUTE(_xlfn.IFNA(INDEX(M2S_Eligibility_List!$C$21:$BV$21,1,MATCH(D$271,$C338:$BW338,0)),""),nmADwSP,"")</f>
        <v/>
      </c>
      <c r="E101" s="147" t="str">
        <f>SUBSTITUTE(_xlfn.IFNA(INDEX(M2S_Eligibility_List!$C$21:$BV$21,1,MATCH(E$271,$C338:$BW338,0)),""),nmADwSP,"")</f>
        <v/>
      </c>
      <c r="F101" s="147" t="str">
        <f>SUBSTITUTE(_xlfn.IFNA(INDEX(M2S_Eligibility_List!$C$21:$BV$21,1,MATCH(F$271,$C338:$BW338,0)),""),nmADwSP,"")</f>
        <v/>
      </c>
      <c r="G101" s="147" t="str">
        <f>SUBSTITUTE(_xlfn.IFNA(INDEX(M2S_Eligibility_List!$C$21:$BV$21,1,MATCH(G$271,$C338:$BW338,0)),""),nmADwSP,"")</f>
        <v/>
      </c>
      <c r="H101" s="147" t="str">
        <f>SUBSTITUTE(_xlfn.IFNA(INDEX(M2S_Eligibility_List!$C$21:$BV$21,1,MATCH(H$271,$C338:$BW338,0)),""),nmADwSP,"")</f>
        <v/>
      </c>
      <c r="I101" s="147" t="str">
        <f>SUBSTITUTE(_xlfn.IFNA(INDEX(M2S_Eligibility_List!$C$21:$BV$21,1,MATCH(I$271,$C338:$BW338,0)),""),nmADwSP,"")</f>
        <v/>
      </c>
      <c r="J101" s="147" t="str">
        <f>SUBSTITUTE(_xlfn.IFNA(INDEX(M2S_Eligibility_List!$C$21:$BV$21,1,MATCH(J$271,$C338:$BW338,0)),""),nmADwSP,"")</f>
        <v/>
      </c>
      <c r="K101" s="147" t="str">
        <f>SUBSTITUTE(_xlfn.IFNA(INDEX(M2S_Eligibility_List!$C$21:$BV$21,1,MATCH(K$271,$C338:$BW338,0)),""),nmADwSP,"")</f>
        <v/>
      </c>
      <c r="L101" s="147" t="str">
        <f>SUBSTITUTE(_xlfn.IFNA(INDEX(M2S_Eligibility_List!$C$21:$BV$21,1,MATCH(L$271,$C338:$BW338,0)),""),nmADwSP,"")</f>
        <v/>
      </c>
      <c r="M101" s="147" t="str">
        <f>SUBSTITUTE(_xlfn.IFNA(INDEX(M2S_Eligibility_List!$C$21:$BV$21,1,MATCH(M$271,$C338:$BW338,0)),""),nmADwSP,"")</f>
        <v/>
      </c>
      <c r="N101" s="147" t="str">
        <f>SUBSTITUTE(_xlfn.IFNA(INDEX(M2S_Eligibility_List!$C$21:$BV$21,1,MATCH(N$271,$C338:$BW338,0)),""),nmADwSP,"")</f>
        <v/>
      </c>
      <c r="O101" s="145"/>
      <c r="P101" s="145"/>
      <c r="Q101" s="145"/>
      <c r="R101" s="145"/>
      <c r="S101" s="145"/>
      <c r="T101" s="145"/>
      <c r="U101" s="145"/>
      <c r="V101" s="145"/>
      <c r="W101" s="145"/>
      <c r="X101" s="145"/>
      <c r="Y101" s="145"/>
      <c r="Z101" s="145"/>
      <c r="AA101" s="145"/>
      <c r="AB101" s="145"/>
      <c r="AC101" s="145"/>
      <c r="AD101" s="145"/>
      <c r="AE101" s="145"/>
      <c r="AF101" s="145"/>
      <c r="AG101" s="145"/>
      <c r="AH101" s="145"/>
      <c r="AI101" s="145"/>
      <c r="AJ101" s="145"/>
      <c r="AK101" s="145"/>
      <c r="AL101" s="145"/>
      <c r="AM101" s="145"/>
      <c r="AN101" s="145"/>
      <c r="AO101" s="145"/>
      <c r="AP101" s="145"/>
      <c r="AQ101" s="145"/>
      <c r="AR101" s="145"/>
      <c r="AS101" s="145"/>
      <c r="AT101" s="145"/>
      <c r="AU101" s="145"/>
      <c r="AV101" s="145"/>
      <c r="AW101" s="145"/>
      <c r="AX101" s="145"/>
      <c r="AY101" s="145"/>
      <c r="AZ101" s="145"/>
      <c r="BA101" s="145"/>
      <c r="BB101" s="145"/>
      <c r="BC101" s="145"/>
      <c r="BD101" s="145"/>
      <c r="BE101" s="145"/>
      <c r="BF101" s="145"/>
      <c r="BG101" s="145"/>
      <c r="BH101" s="145"/>
      <c r="BI101" s="145"/>
      <c r="BJ101" s="145"/>
      <c r="BK101" s="145"/>
      <c r="BL101" s="145"/>
      <c r="BM101" s="145"/>
      <c r="BN101" s="145"/>
      <c r="BO101" s="145"/>
      <c r="BP101" s="145"/>
      <c r="BQ101" s="145"/>
      <c r="BR101" s="145"/>
      <c r="BS101" s="145"/>
      <c r="BT101" s="145"/>
      <c r="BU101" s="145"/>
      <c r="BV101" s="145"/>
      <c r="BW101" s="145"/>
    </row>
    <row r="102" spans="1:75" ht="20.100000000000001" customHeight="1">
      <c r="A102" s="170" t="str">
        <f>IF(M2S_Eligibility_List!$B89&lt;&gt;"",RIGHT(M2S_Eligibility_List!$B89,LEN(M2S_Eligibility_List!$B89)-LEN(nmADwSP)),0)</f>
        <v>Navisworks Manage*</v>
      </c>
      <c r="B102" s="170" t="str">
        <f>IF(M2S_Eligibility_List!$B89&lt;&gt;"",RIGHT(M2S_Eligibility_List!$B89,LEN(M2S_Eligibility_List!$B89)-LEN(nmADwSP)),0)</f>
        <v>Navisworks Manage*</v>
      </c>
      <c r="C102" s="147" t="str">
        <f>SUBSTITUTE(_xlfn.IFNA(INDEX(M2S_Eligibility_List!$C$21:$BV$21,1,MATCH(C$271,$C339:$BW339,0)),""),nmADwSP,"")</f>
        <v>Architecture Engineering Construction Collection</v>
      </c>
      <c r="D102" s="147" t="str">
        <f>SUBSTITUTE(_xlfn.IFNA(INDEX(M2S_Eligibility_List!$C$21:$BV$21,1,MATCH(D$271,$C339:$BW339,0)),""),nmADwSP,"")</f>
        <v>Product Design &amp; Manufacturing Collection</v>
      </c>
      <c r="E102" s="147" t="str">
        <f>SUBSTITUTE(_xlfn.IFNA(INDEX(M2S_Eligibility_List!$C$21:$BV$21,1,MATCH(E$271,$C339:$BW339,0)),""),nmADwSP,"")</f>
        <v>Navisworks Manage*</v>
      </c>
      <c r="F102" s="147" t="str">
        <f>SUBSTITUTE(_xlfn.IFNA(INDEX(M2S_Eligibility_List!$C$21:$BV$21,1,MATCH(F$271,$C339:$BW339,0)),""),nmADwSP,"")</f>
        <v/>
      </c>
      <c r="G102" s="147" t="str">
        <f>SUBSTITUTE(_xlfn.IFNA(INDEX(M2S_Eligibility_List!$C$21:$BV$21,1,MATCH(G$271,$C339:$BW339,0)),""),nmADwSP,"")</f>
        <v/>
      </c>
      <c r="H102" s="147" t="str">
        <f>SUBSTITUTE(_xlfn.IFNA(INDEX(M2S_Eligibility_List!$C$21:$BV$21,1,MATCH(H$271,$C339:$BW339,0)),""),nmADwSP,"")</f>
        <v/>
      </c>
      <c r="I102" s="147" t="str">
        <f>SUBSTITUTE(_xlfn.IFNA(INDEX(M2S_Eligibility_List!$C$21:$BV$21,1,MATCH(I$271,$C339:$BW339,0)),""),nmADwSP,"")</f>
        <v/>
      </c>
      <c r="J102" s="147" t="str">
        <f>SUBSTITUTE(_xlfn.IFNA(INDEX(M2S_Eligibility_List!$C$21:$BV$21,1,MATCH(J$271,$C339:$BW339,0)),""),nmADwSP,"")</f>
        <v/>
      </c>
      <c r="K102" s="147" t="str">
        <f>SUBSTITUTE(_xlfn.IFNA(INDEX(M2S_Eligibility_List!$C$21:$BV$21,1,MATCH(K$271,$C339:$BW339,0)),""),nmADwSP,"")</f>
        <v/>
      </c>
      <c r="L102" s="147" t="str">
        <f>SUBSTITUTE(_xlfn.IFNA(INDEX(M2S_Eligibility_List!$C$21:$BV$21,1,MATCH(L$271,$C339:$BW339,0)),""),nmADwSP,"")</f>
        <v/>
      </c>
      <c r="M102" s="147" t="str">
        <f>SUBSTITUTE(_xlfn.IFNA(INDEX(M2S_Eligibility_List!$C$21:$BV$21,1,MATCH(M$271,$C339:$BW339,0)),""),nmADwSP,"")</f>
        <v/>
      </c>
      <c r="N102" s="147" t="str">
        <f>SUBSTITUTE(_xlfn.IFNA(INDEX(M2S_Eligibility_List!$C$21:$BV$21,1,MATCH(N$271,$C339:$BW339,0)),""),nmADwSP,"")</f>
        <v/>
      </c>
      <c r="O102" s="145"/>
      <c r="P102" s="145"/>
      <c r="Q102" s="145"/>
      <c r="R102" s="145"/>
      <c r="S102" s="145"/>
      <c r="T102" s="145"/>
      <c r="U102" s="145"/>
      <c r="V102" s="145"/>
      <c r="W102" s="145"/>
      <c r="X102" s="145"/>
      <c r="Y102" s="145"/>
      <c r="Z102" s="145"/>
      <c r="AA102" s="145"/>
      <c r="AB102" s="145"/>
      <c r="AC102" s="145"/>
      <c r="AD102" s="145"/>
      <c r="AE102" s="145"/>
      <c r="AF102" s="145"/>
      <c r="AG102" s="145"/>
      <c r="AH102" s="145"/>
      <c r="AI102" s="145"/>
      <c r="AJ102" s="145"/>
      <c r="AK102" s="145"/>
      <c r="AL102" s="145"/>
      <c r="AM102" s="145"/>
      <c r="AN102" s="145"/>
      <c r="AO102" s="145"/>
      <c r="AP102" s="145"/>
      <c r="AQ102" s="145"/>
      <c r="AR102" s="145"/>
      <c r="AS102" s="145"/>
      <c r="AT102" s="145"/>
      <c r="AU102" s="145"/>
      <c r="AV102" s="145"/>
      <c r="AW102" s="145"/>
      <c r="AX102" s="145"/>
      <c r="AY102" s="145"/>
      <c r="AZ102" s="145"/>
      <c r="BA102" s="145"/>
      <c r="BB102" s="145"/>
      <c r="BC102" s="145"/>
      <c r="BD102" s="145"/>
      <c r="BE102" s="145"/>
      <c r="BF102" s="145"/>
      <c r="BG102" s="145"/>
      <c r="BH102" s="145"/>
      <c r="BI102" s="145"/>
      <c r="BJ102" s="145"/>
      <c r="BK102" s="145"/>
      <c r="BL102" s="145"/>
      <c r="BM102" s="145"/>
      <c r="BN102" s="145"/>
      <c r="BO102" s="145"/>
      <c r="BP102" s="145"/>
      <c r="BQ102" s="145"/>
      <c r="BR102" s="145"/>
      <c r="BS102" s="145"/>
      <c r="BT102" s="145"/>
      <c r="BU102" s="145"/>
      <c r="BV102" s="145"/>
      <c r="BW102" s="145"/>
    </row>
    <row r="103" spans="1:75" ht="20.100000000000001" customHeight="1">
      <c r="A103" s="170" t="str">
        <f>IF(M2S_Eligibility_List!$B90&lt;&gt;"",RIGHT(M2S_Eligibility_List!$B90,LEN(M2S_Eligibility_List!$B90)-LEN(nmADwSP)),0)</f>
        <v>Navisworks Simulate</v>
      </c>
      <c r="B103" s="170" t="str">
        <f>IF(M2S_Eligibility_List!$B90&lt;&gt;"",RIGHT(M2S_Eligibility_List!$B90,LEN(M2S_Eligibility_List!$B90)-LEN(nmADwSP)),0)</f>
        <v>Navisworks Simulate</v>
      </c>
      <c r="C103" s="147" t="str">
        <f>SUBSTITUTE(_xlfn.IFNA(INDEX(M2S_Eligibility_List!$C$21:$BV$21,1,MATCH(C$271,$C340:$BW340,0)),""),nmADwSP,"")</f>
        <v>Architecture Engineering Construction Collection</v>
      </c>
      <c r="D103" s="147" t="str">
        <f>SUBSTITUTE(_xlfn.IFNA(INDEX(M2S_Eligibility_List!$C$21:$BV$21,1,MATCH(D$271,$C340:$BW340,0)),""),nmADwSP,"")</f>
        <v>Navisworks Manage*</v>
      </c>
      <c r="E103" s="147" t="str">
        <f>SUBSTITUTE(_xlfn.IFNA(INDEX(M2S_Eligibility_List!$C$21:$BV$21,1,MATCH(E$271,$C340:$BW340,0)),""),nmADwSP,"")</f>
        <v>Navisworks Simulate</v>
      </c>
      <c r="F103" s="147" t="str">
        <f>SUBSTITUTE(_xlfn.IFNA(INDEX(M2S_Eligibility_List!$C$21:$BV$21,1,MATCH(F$271,$C340:$BW340,0)),""),nmADwSP,"")</f>
        <v/>
      </c>
      <c r="G103" s="147" t="str">
        <f>SUBSTITUTE(_xlfn.IFNA(INDEX(M2S_Eligibility_List!$C$21:$BV$21,1,MATCH(G$271,$C340:$BW340,0)),""),nmADwSP,"")</f>
        <v/>
      </c>
      <c r="H103" s="147" t="str">
        <f>SUBSTITUTE(_xlfn.IFNA(INDEX(M2S_Eligibility_List!$C$21:$BV$21,1,MATCH(H$271,$C340:$BW340,0)),""),nmADwSP,"")</f>
        <v/>
      </c>
      <c r="I103" s="147" t="str">
        <f>SUBSTITUTE(_xlfn.IFNA(INDEX(M2S_Eligibility_List!$C$21:$BV$21,1,MATCH(I$271,$C340:$BW340,0)),""),nmADwSP,"")</f>
        <v/>
      </c>
      <c r="J103" s="147" t="str">
        <f>SUBSTITUTE(_xlfn.IFNA(INDEX(M2S_Eligibility_List!$C$21:$BV$21,1,MATCH(J$271,$C340:$BW340,0)),""),nmADwSP,"")</f>
        <v/>
      </c>
      <c r="K103" s="147" t="str">
        <f>SUBSTITUTE(_xlfn.IFNA(INDEX(M2S_Eligibility_List!$C$21:$BV$21,1,MATCH(K$271,$C340:$BW340,0)),""),nmADwSP,"")</f>
        <v/>
      </c>
      <c r="L103" s="147" t="str">
        <f>SUBSTITUTE(_xlfn.IFNA(INDEX(M2S_Eligibility_List!$C$21:$BV$21,1,MATCH(L$271,$C340:$BW340,0)),""),nmADwSP,"")</f>
        <v/>
      </c>
      <c r="M103" s="147" t="str">
        <f>SUBSTITUTE(_xlfn.IFNA(INDEX(M2S_Eligibility_List!$C$21:$BV$21,1,MATCH(M$271,$C340:$BW340,0)),""),nmADwSP,"")</f>
        <v/>
      </c>
      <c r="N103" s="147" t="str">
        <f>SUBSTITUTE(_xlfn.IFNA(INDEX(M2S_Eligibility_List!$C$21:$BV$21,1,MATCH(N$271,$C340:$BW340,0)),""),nmADwSP,"")</f>
        <v/>
      </c>
      <c r="O103" s="145"/>
      <c r="P103" s="145"/>
      <c r="Q103" s="145"/>
      <c r="R103" s="145"/>
      <c r="S103" s="145"/>
      <c r="T103" s="145"/>
      <c r="U103" s="145"/>
      <c r="V103" s="145"/>
      <c r="W103" s="145"/>
      <c r="X103" s="145"/>
      <c r="Y103" s="145"/>
      <c r="Z103" s="145"/>
      <c r="AA103" s="145"/>
      <c r="AB103" s="145"/>
      <c r="AC103" s="145"/>
      <c r="AD103" s="145"/>
      <c r="AE103" s="145"/>
      <c r="AF103" s="145"/>
      <c r="AG103" s="145"/>
      <c r="AH103" s="145"/>
      <c r="AI103" s="145"/>
      <c r="AJ103" s="145"/>
      <c r="AK103" s="145"/>
      <c r="AL103" s="145"/>
      <c r="AM103" s="145"/>
      <c r="AN103" s="145"/>
      <c r="AO103" s="145"/>
      <c r="AP103" s="145"/>
      <c r="AQ103" s="145"/>
      <c r="AR103" s="145"/>
      <c r="AS103" s="145"/>
      <c r="AT103" s="145"/>
      <c r="AU103" s="145"/>
      <c r="AV103" s="145"/>
      <c r="AW103" s="145"/>
      <c r="AX103" s="145"/>
      <c r="AY103" s="145"/>
      <c r="AZ103" s="145"/>
      <c r="BA103" s="145"/>
      <c r="BB103" s="145"/>
      <c r="BC103" s="145"/>
      <c r="BD103" s="145"/>
      <c r="BE103" s="145"/>
      <c r="BF103" s="145"/>
      <c r="BG103" s="145"/>
      <c r="BH103" s="145"/>
      <c r="BI103" s="145"/>
      <c r="BJ103" s="145"/>
      <c r="BK103" s="145"/>
      <c r="BL103" s="145"/>
      <c r="BM103" s="145"/>
      <c r="BN103" s="145"/>
      <c r="BO103" s="145"/>
      <c r="BP103" s="145"/>
      <c r="BQ103" s="145"/>
      <c r="BR103" s="145"/>
      <c r="BS103" s="145"/>
      <c r="BT103" s="145"/>
      <c r="BU103" s="145"/>
      <c r="BV103" s="145"/>
      <c r="BW103" s="145"/>
    </row>
    <row r="104" spans="1:75" ht="20.100000000000001" customHeight="1">
      <c r="A104" s="170" t="str">
        <f>IF(M2S_Eligibility_List!$B91&lt;&gt;"",RIGHT(M2S_Eligibility_List!$B91,LEN(M2S_Eligibility_List!$B91)-LEN(nmADwSP)),0)</f>
        <v>Plant Design Suite Premium</v>
      </c>
      <c r="B104" s="170" t="str">
        <f>IF(M2S_Eligibility_List!$B91&lt;&gt;"",RIGHT(M2S_Eligibility_List!$B91,LEN(M2S_Eligibility_List!$B91)-LEN(nmADwSP)),0)</f>
        <v>Plant Design Suite Premium</v>
      </c>
      <c r="C104" s="147" t="str">
        <f>SUBSTITUTE(_xlfn.IFNA(INDEX(M2S_Eligibility_List!$C$21:$BV$21,1,MATCH(C$271,$C341:$BW341,0)),""),nmADwSP,"")</f>
        <v>Architecture Engineering Construction Collection</v>
      </c>
      <c r="D104" s="147" t="str">
        <f>SUBSTITUTE(_xlfn.IFNA(INDEX(M2S_Eligibility_List!$C$21:$BV$21,1,MATCH(D$271,$C341:$BW341,0)),""),nmADwSP,"")</f>
        <v>Product Design &amp; Manufacturing Collection</v>
      </c>
      <c r="E104" s="147" t="str">
        <f>SUBSTITUTE(_xlfn.IFNA(INDEX(M2S_Eligibility_List!$C$21:$BV$21,1,MATCH(E$271,$C341:$BW341,0)),""),nmADwSP,"")</f>
        <v/>
      </c>
      <c r="F104" s="147" t="str">
        <f>SUBSTITUTE(_xlfn.IFNA(INDEX(M2S_Eligibility_List!$C$21:$BV$21,1,MATCH(F$271,$C341:$BW341,0)),""),nmADwSP,"")</f>
        <v/>
      </c>
      <c r="G104" s="147" t="str">
        <f>SUBSTITUTE(_xlfn.IFNA(INDEX(M2S_Eligibility_List!$C$21:$BV$21,1,MATCH(G$271,$C341:$BW341,0)),""),nmADwSP,"")</f>
        <v/>
      </c>
      <c r="H104" s="147" t="str">
        <f>SUBSTITUTE(_xlfn.IFNA(INDEX(M2S_Eligibility_List!$C$21:$BV$21,1,MATCH(H$271,$C341:$BW341,0)),""),nmADwSP,"")</f>
        <v/>
      </c>
      <c r="I104" s="147" t="str">
        <f>SUBSTITUTE(_xlfn.IFNA(INDEX(M2S_Eligibility_List!$C$21:$BV$21,1,MATCH(I$271,$C341:$BW341,0)),""),nmADwSP,"")</f>
        <v/>
      </c>
      <c r="J104" s="147" t="str">
        <f>SUBSTITUTE(_xlfn.IFNA(INDEX(M2S_Eligibility_List!$C$21:$BV$21,1,MATCH(J$271,$C341:$BW341,0)),""),nmADwSP,"")</f>
        <v/>
      </c>
      <c r="K104" s="147" t="str">
        <f>SUBSTITUTE(_xlfn.IFNA(INDEX(M2S_Eligibility_List!$C$21:$BV$21,1,MATCH(K$271,$C341:$BW341,0)),""),nmADwSP,"")</f>
        <v/>
      </c>
      <c r="L104" s="147" t="str">
        <f>SUBSTITUTE(_xlfn.IFNA(INDEX(M2S_Eligibility_List!$C$21:$BV$21,1,MATCH(L$271,$C341:$BW341,0)),""),nmADwSP,"")</f>
        <v/>
      </c>
      <c r="M104" s="147" t="str">
        <f>SUBSTITUTE(_xlfn.IFNA(INDEX(M2S_Eligibility_List!$C$21:$BV$21,1,MATCH(M$271,$C341:$BW341,0)),""),nmADwSP,"")</f>
        <v/>
      </c>
      <c r="N104" s="147" t="str">
        <f>SUBSTITUTE(_xlfn.IFNA(INDEX(M2S_Eligibility_List!$C$21:$BV$21,1,MATCH(N$271,$C341:$BW341,0)),""),nmADwSP,"")</f>
        <v/>
      </c>
      <c r="O104" s="145"/>
      <c r="P104" s="145"/>
      <c r="Q104" s="145"/>
      <c r="R104" s="145"/>
      <c r="S104" s="145"/>
      <c r="T104" s="145"/>
      <c r="U104" s="145"/>
      <c r="V104" s="145"/>
      <c r="W104" s="145"/>
      <c r="X104" s="145"/>
      <c r="Y104" s="145"/>
      <c r="Z104" s="145"/>
      <c r="AA104" s="145"/>
      <c r="AB104" s="145"/>
      <c r="AC104" s="145"/>
      <c r="AD104" s="145"/>
      <c r="AE104" s="145"/>
      <c r="AF104" s="145"/>
      <c r="AG104" s="145"/>
      <c r="AH104" s="145"/>
      <c r="AI104" s="145"/>
      <c r="AJ104" s="145"/>
      <c r="AK104" s="145"/>
      <c r="AL104" s="145"/>
      <c r="AM104" s="145"/>
      <c r="AN104" s="145"/>
      <c r="AO104" s="145"/>
      <c r="AP104" s="145"/>
      <c r="AQ104" s="145"/>
      <c r="AR104" s="145"/>
      <c r="AS104" s="145"/>
      <c r="AT104" s="145"/>
      <c r="AU104" s="145"/>
      <c r="AV104" s="145"/>
      <c r="AW104" s="145"/>
      <c r="AX104" s="145"/>
      <c r="AY104" s="145"/>
      <c r="AZ104" s="145"/>
      <c r="BA104" s="145"/>
      <c r="BB104" s="145"/>
      <c r="BC104" s="145"/>
      <c r="BD104" s="145"/>
      <c r="BE104" s="145"/>
      <c r="BF104" s="145"/>
      <c r="BG104" s="145"/>
      <c r="BH104" s="145"/>
      <c r="BI104" s="145"/>
      <c r="BJ104" s="145"/>
      <c r="BK104" s="145"/>
      <c r="BL104" s="145"/>
      <c r="BM104" s="145"/>
      <c r="BN104" s="145"/>
      <c r="BO104" s="145"/>
      <c r="BP104" s="145"/>
      <c r="BQ104" s="145"/>
      <c r="BR104" s="145"/>
      <c r="BS104" s="145"/>
      <c r="BT104" s="145"/>
      <c r="BU104" s="145"/>
      <c r="BV104" s="145"/>
      <c r="BW104" s="145"/>
    </row>
    <row r="105" spans="1:75" ht="20.100000000000001" customHeight="1">
      <c r="A105" s="170" t="str">
        <f>IF(M2S_Eligibility_List!$B92&lt;&gt;"",RIGHT(M2S_Eligibility_List!$B92,LEN(M2S_Eligibility_List!$B92)-LEN(nmADwSP)),0)</f>
        <v>Plant Design Suite Standard</v>
      </c>
      <c r="B105" s="170" t="str">
        <f>IF(M2S_Eligibility_List!$B92&lt;&gt;"",RIGHT(M2S_Eligibility_List!$B92,LEN(M2S_Eligibility_List!$B92)-LEN(nmADwSP)),0)</f>
        <v>Plant Design Suite Standard</v>
      </c>
      <c r="C105" s="147" t="str">
        <f>SUBSTITUTE(_xlfn.IFNA(INDEX(M2S_Eligibility_List!$C$21:$BV$21,1,MATCH(C$271,$C342:$BW342,0)),""),nmADwSP,"")</f>
        <v>Architecture Engineering Construction Collection</v>
      </c>
      <c r="D105" s="147" t="str">
        <f>SUBSTITUTE(_xlfn.IFNA(INDEX(M2S_Eligibility_List!$C$21:$BV$21,1,MATCH(D$271,$C342:$BW342,0)),""),nmADwSP,"")</f>
        <v>Product Design &amp; Manufacturing Collection</v>
      </c>
      <c r="E105" s="147" t="str">
        <f>SUBSTITUTE(_xlfn.IFNA(INDEX(M2S_Eligibility_List!$C$21:$BV$21,1,MATCH(E$271,$C342:$BW342,0)),""),nmADwSP,"")</f>
        <v>AutoCAD - including specialized toolsets</v>
      </c>
      <c r="F105" s="147" t="str">
        <f>SUBSTITUTE(_xlfn.IFNA(INDEX(M2S_Eligibility_List!$C$21:$BV$21,1,MATCH(F$271,$C342:$BW342,0)),""),nmADwSP,"")</f>
        <v/>
      </c>
      <c r="G105" s="147" t="str">
        <f>SUBSTITUTE(_xlfn.IFNA(INDEX(M2S_Eligibility_List!$C$21:$BV$21,1,MATCH(G$271,$C342:$BW342,0)),""),nmADwSP,"")</f>
        <v/>
      </c>
      <c r="H105" s="147" t="str">
        <f>SUBSTITUTE(_xlfn.IFNA(INDEX(M2S_Eligibility_List!$C$21:$BV$21,1,MATCH(H$271,$C342:$BW342,0)),""),nmADwSP,"")</f>
        <v/>
      </c>
      <c r="I105" s="147" t="str">
        <f>SUBSTITUTE(_xlfn.IFNA(INDEX(M2S_Eligibility_List!$C$21:$BV$21,1,MATCH(I$271,$C342:$BW342,0)),""),nmADwSP,"")</f>
        <v/>
      </c>
      <c r="J105" s="147" t="str">
        <f>SUBSTITUTE(_xlfn.IFNA(INDEX(M2S_Eligibility_List!$C$21:$BV$21,1,MATCH(J$271,$C342:$BW342,0)),""),nmADwSP,"")</f>
        <v/>
      </c>
      <c r="K105" s="147" t="str">
        <f>SUBSTITUTE(_xlfn.IFNA(INDEX(M2S_Eligibility_List!$C$21:$BV$21,1,MATCH(K$271,$C342:$BW342,0)),""),nmADwSP,"")</f>
        <v/>
      </c>
      <c r="L105" s="147" t="str">
        <f>SUBSTITUTE(_xlfn.IFNA(INDEX(M2S_Eligibility_List!$C$21:$BV$21,1,MATCH(L$271,$C342:$BW342,0)),""),nmADwSP,"")</f>
        <v/>
      </c>
      <c r="M105" s="147" t="str">
        <f>SUBSTITUTE(_xlfn.IFNA(INDEX(M2S_Eligibility_List!$C$21:$BV$21,1,MATCH(M$271,$C342:$BW342,0)),""),nmADwSP,"")</f>
        <v/>
      </c>
      <c r="N105" s="147" t="str">
        <f>SUBSTITUTE(_xlfn.IFNA(INDEX(M2S_Eligibility_List!$C$21:$BV$21,1,MATCH(N$271,$C342:$BW342,0)),""),nmADwSP,"")</f>
        <v/>
      </c>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c r="BS105" s="145"/>
      <c r="BT105" s="145"/>
      <c r="BU105" s="145"/>
      <c r="BV105" s="145"/>
      <c r="BW105" s="145"/>
    </row>
    <row r="106" spans="1:75" ht="20.100000000000001" customHeight="1">
      <c r="A106" s="170" t="str">
        <f>IF(M2S_Eligibility_List!$B93&lt;&gt;"",RIGHT(M2S_Eligibility_List!$B93,LEN(M2S_Eligibility_List!$B93)-LEN(nmADwSP)),0)</f>
        <v>Plant Design Suite Ultimate</v>
      </c>
      <c r="B106" s="170" t="str">
        <f>IF(M2S_Eligibility_List!$B93&lt;&gt;"",RIGHT(M2S_Eligibility_List!$B93,LEN(M2S_Eligibility_List!$B93)-LEN(nmADwSP)),0)</f>
        <v>Plant Design Suite Ultimate</v>
      </c>
      <c r="C106" s="147" t="str">
        <f>SUBSTITUTE(_xlfn.IFNA(INDEX(M2S_Eligibility_List!$C$21:$BV$21,1,MATCH(C$271,$C343:$BW343,0)),""),nmADwSP,"")</f>
        <v>Architecture Engineering Construction Collection</v>
      </c>
      <c r="D106" s="147" t="str">
        <f>SUBSTITUTE(_xlfn.IFNA(INDEX(M2S_Eligibility_List!$C$21:$BV$21,1,MATCH(D$271,$C343:$BW343,0)),""),nmADwSP,"")</f>
        <v>Product Design &amp; Manufacturing Collection</v>
      </c>
      <c r="E106" s="147" t="str">
        <f>SUBSTITUTE(_xlfn.IFNA(INDEX(M2S_Eligibility_List!$C$21:$BV$21,1,MATCH(E$271,$C343:$BW343,0)),""),nmADwSP,"")</f>
        <v/>
      </c>
      <c r="F106" s="147" t="str">
        <f>SUBSTITUTE(_xlfn.IFNA(INDEX(M2S_Eligibility_List!$C$21:$BV$21,1,MATCH(F$271,$C343:$BW343,0)),""),nmADwSP,"")</f>
        <v/>
      </c>
      <c r="G106" s="147" t="str">
        <f>SUBSTITUTE(_xlfn.IFNA(INDEX(M2S_Eligibility_List!$C$21:$BV$21,1,MATCH(G$271,$C343:$BW343,0)),""),nmADwSP,"")</f>
        <v/>
      </c>
      <c r="H106" s="147" t="str">
        <f>SUBSTITUTE(_xlfn.IFNA(INDEX(M2S_Eligibility_List!$C$21:$BV$21,1,MATCH(H$271,$C343:$BW343,0)),""),nmADwSP,"")</f>
        <v/>
      </c>
      <c r="I106" s="147" t="str">
        <f>SUBSTITUTE(_xlfn.IFNA(INDEX(M2S_Eligibility_List!$C$21:$BV$21,1,MATCH(I$271,$C343:$BW343,0)),""),nmADwSP,"")</f>
        <v/>
      </c>
      <c r="J106" s="147" t="str">
        <f>SUBSTITUTE(_xlfn.IFNA(INDEX(M2S_Eligibility_List!$C$21:$BV$21,1,MATCH(J$271,$C343:$BW343,0)),""),nmADwSP,"")</f>
        <v/>
      </c>
      <c r="K106" s="147" t="str">
        <f>SUBSTITUTE(_xlfn.IFNA(INDEX(M2S_Eligibility_List!$C$21:$BV$21,1,MATCH(K$271,$C343:$BW343,0)),""),nmADwSP,"")</f>
        <v/>
      </c>
      <c r="L106" s="147" t="str">
        <f>SUBSTITUTE(_xlfn.IFNA(INDEX(M2S_Eligibility_List!$C$21:$BV$21,1,MATCH(L$271,$C343:$BW343,0)),""),nmADwSP,"")</f>
        <v/>
      </c>
      <c r="M106" s="147" t="str">
        <f>SUBSTITUTE(_xlfn.IFNA(INDEX(M2S_Eligibility_List!$C$21:$BV$21,1,MATCH(M$271,$C343:$BW343,0)),""),nmADwSP,"")</f>
        <v/>
      </c>
      <c r="N106" s="147" t="str">
        <f>SUBSTITUTE(_xlfn.IFNA(INDEX(M2S_Eligibility_List!$C$21:$BV$21,1,MATCH(N$271,$C343:$BW343,0)),""),nmADwSP,"")</f>
        <v/>
      </c>
      <c r="O106" s="145"/>
      <c r="P106" s="145"/>
      <c r="Q106" s="145"/>
      <c r="R106" s="145"/>
      <c r="S106" s="145"/>
      <c r="T106" s="145"/>
      <c r="U106" s="145"/>
      <c r="V106" s="145"/>
      <c r="W106" s="145"/>
      <c r="X106" s="145"/>
      <c r="Y106" s="145"/>
      <c r="Z106" s="145"/>
      <c r="AA106" s="145"/>
      <c r="AB106" s="145"/>
      <c r="AC106" s="145"/>
      <c r="AD106" s="145"/>
      <c r="AE106" s="145"/>
      <c r="AF106" s="145"/>
      <c r="AG106" s="145"/>
      <c r="AH106" s="145"/>
      <c r="AI106" s="145"/>
      <c r="AJ106" s="145"/>
      <c r="AK106" s="145"/>
      <c r="AL106" s="145"/>
      <c r="AM106" s="145"/>
      <c r="AN106" s="145"/>
      <c r="AO106" s="145"/>
      <c r="AP106" s="145"/>
      <c r="AQ106" s="145"/>
      <c r="AR106" s="145"/>
      <c r="AS106" s="145"/>
      <c r="AT106" s="145"/>
      <c r="AU106" s="145"/>
      <c r="AV106" s="145"/>
      <c r="AW106" s="145"/>
      <c r="AX106" s="145"/>
      <c r="AY106" s="145"/>
      <c r="AZ106" s="145"/>
      <c r="BA106" s="145"/>
      <c r="BB106" s="145"/>
      <c r="BC106" s="145"/>
      <c r="BD106" s="145"/>
      <c r="BE106" s="145"/>
      <c r="BF106" s="145"/>
      <c r="BG106" s="145"/>
      <c r="BH106" s="145"/>
      <c r="BI106" s="145"/>
      <c r="BJ106" s="145"/>
      <c r="BK106" s="145"/>
      <c r="BL106" s="145"/>
      <c r="BM106" s="145"/>
      <c r="BN106" s="145"/>
      <c r="BO106" s="145"/>
      <c r="BP106" s="145"/>
      <c r="BQ106" s="145"/>
      <c r="BR106" s="145"/>
      <c r="BS106" s="145"/>
      <c r="BT106" s="145"/>
      <c r="BU106" s="145"/>
      <c r="BV106" s="145"/>
      <c r="BW106" s="145"/>
    </row>
    <row r="107" spans="1:75" ht="20.100000000000001" customHeight="1">
      <c r="A107" s="170" t="str">
        <f>IF(M2S_Eligibility_List!$B94&lt;&gt;"",RIGHT(M2S_Eligibility_List!$B94,LEN(M2S_Eligibility_List!$B94)-LEN(nmADwSP)),0)</f>
        <v>Point Layout</v>
      </c>
      <c r="B107" s="170" t="str">
        <f>IF(M2S_Eligibility_List!$B94&lt;&gt;"",RIGHT(M2S_Eligibility_List!$B94,LEN(M2S_Eligibility_List!$B94)-LEN(nmADwSP)),0)</f>
        <v>Point Layout</v>
      </c>
      <c r="C107" s="147" t="str">
        <f>SUBSTITUTE(_xlfn.IFNA(INDEX(M2S_Eligibility_List!$C$21:$BV$21,1,MATCH(C$271,$C344:$BW344,0)),""),nmADwSP,"")</f>
        <v>Point Layout</v>
      </c>
      <c r="D107" s="147" t="str">
        <f>SUBSTITUTE(_xlfn.IFNA(INDEX(M2S_Eligibility_List!$C$21:$BV$21,1,MATCH(D$271,$C344:$BW344,0)),""),nmADwSP,"")</f>
        <v/>
      </c>
      <c r="E107" s="147" t="str">
        <f>SUBSTITUTE(_xlfn.IFNA(INDEX(M2S_Eligibility_List!$C$21:$BV$21,1,MATCH(E$271,$C344:$BW344,0)),""),nmADwSP,"")</f>
        <v/>
      </c>
      <c r="F107" s="147" t="str">
        <f>SUBSTITUTE(_xlfn.IFNA(INDEX(M2S_Eligibility_List!$C$21:$BV$21,1,MATCH(F$271,$C344:$BW344,0)),""),nmADwSP,"")</f>
        <v/>
      </c>
      <c r="G107" s="147" t="str">
        <f>SUBSTITUTE(_xlfn.IFNA(INDEX(M2S_Eligibility_List!$C$21:$BV$21,1,MATCH(G$271,$C344:$BW344,0)),""),nmADwSP,"")</f>
        <v/>
      </c>
      <c r="H107" s="147" t="str">
        <f>SUBSTITUTE(_xlfn.IFNA(INDEX(M2S_Eligibility_List!$C$21:$BV$21,1,MATCH(H$271,$C344:$BW344,0)),""),nmADwSP,"")</f>
        <v/>
      </c>
      <c r="I107" s="147" t="str">
        <f>SUBSTITUTE(_xlfn.IFNA(INDEX(M2S_Eligibility_List!$C$21:$BV$21,1,MATCH(I$271,$C344:$BW344,0)),""),nmADwSP,"")</f>
        <v/>
      </c>
      <c r="J107" s="147" t="str">
        <f>SUBSTITUTE(_xlfn.IFNA(INDEX(M2S_Eligibility_List!$C$21:$BV$21,1,MATCH(J$271,$C344:$BW344,0)),""),nmADwSP,"")</f>
        <v/>
      </c>
      <c r="K107" s="147" t="str">
        <f>SUBSTITUTE(_xlfn.IFNA(INDEX(M2S_Eligibility_List!$C$21:$BV$21,1,MATCH(K$271,$C344:$BW344,0)),""),nmADwSP,"")</f>
        <v/>
      </c>
      <c r="L107" s="147" t="str">
        <f>SUBSTITUTE(_xlfn.IFNA(INDEX(M2S_Eligibility_List!$C$21:$BV$21,1,MATCH(L$271,$C344:$BW344,0)),""),nmADwSP,"")</f>
        <v/>
      </c>
      <c r="M107" s="147" t="str">
        <f>SUBSTITUTE(_xlfn.IFNA(INDEX(M2S_Eligibility_List!$C$21:$BV$21,1,MATCH(M$271,$C344:$BW344,0)),""),nmADwSP,"")</f>
        <v/>
      </c>
      <c r="N107" s="147" t="str">
        <f>SUBSTITUTE(_xlfn.IFNA(INDEX(M2S_Eligibility_List!$C$21:$BV$21,1,MATCH(N$271,$C344:$BW344,0)),""),nmADwSP,"")</f>
        <v/>
      </c>
      <c r="O107" s="145"/>
      <c r="P107" s="145"/>
      <c r="Q107" s="145"/>
      <c r="R107" s="145"/>
      <c r="S107" s="145"/>
      <c r="T107" s="145"/>
      <c r="U107" s="145"/>
      <c r="V107" s="145"/>
      <c r="W107" s="145"/>
      <c r="X107" s="145"/>
      <c r="Y107" s="145"/>
      <c r="Z107" s="145"/>
      <c r="AA107" s="145"/>
      <c r="AB107" s="145"/>
      <c r="AC107" s="145"/>
      <c r="AD107" s="145"/>
      <c r="AE107" s="145"/>
      <c r="AF107" s="145"/>
      <c r="AG107" s="145"/>
      <c r="AH107" s="145"/>
      <c r="AI107" s="145"/>
      <c r="AJ107" s="145"/>
      <c r="AK107" s="145"/>
      <c r="AL107" s="145"/>
      <c r="AM107" s="145"/>
      <c r="AN107" s="145"/>
      <c r="AO107" s="145"/>
      <c r="AP107" s="145"/>
      <c r="AQ107" s="145"/>
      <c r="AR107" s="145"/>
      <c r="AS107" s="145"/>
      <c r="AT107" s="145"/>
      <c r="AU107" s="145"/>
      <c r="AV107" s="145"/>
      <c r="AW107" s="145"/>
      <c r="AX107" s="145"/>
      <c r="AY107" s="145"/>
      <c r="AZ107" s="145"/>
      <c r="BA107" s="145"/>
      <c r="BB107" s="145"/>
      <c r="BC107" s="145"/>
      <c r="BD107" s="145"/>
      <c r="BE107" s="145"/>
      <c r="BF107" s="145"/>
      <c r="BG107" s="145"/>
      <c r="BH107" s="145"/>
      <c r="BI107" s="145"/>
      <c r="BJ107" s="145"/>
      <c r="BK107" s="145"/>
      <c r="BL107" s="145"/>
      <c r="BM107" s="145"/>
      <c r="BN107" s="145"/>
      <c r="BO107" s="145"/>
      <c r="BP107" s="145"/>
      <c r="BQ107" s="145"/>
      <c r="BR107" s="145"/>
      <c r="BS107" s="145"/>
      <c r="BT107" s="145"/>
      <c r="BU107" s="145"/>
      <c r="BV107" s="145"/>
      <c r="BW107" s="145"/>
    </row>
    <row r="108" spans="1:75" ht="20.100000000000001" customHeight="1">
      <c r="A108" s="170" t="str">
        <f>IF(M2S_Eligibility_List!$B95&lt;&gt;"",RIGHT(M2S_Eligibility_List!$B95,LEN(M2S_Eligibility_List!$B95)-LEN(nmADwSP)),0)</f>
        <v>PowerInspect - Premium</v>
      </c>
      <c r="B108" s="170" t="str">
        <f>IF(M2S_Eligibility_List!$B95&lt;&gt;"",RIGHT(M2S_Eligibility_List!$B95,LEN(M2S_Eligibility_List!$B95)-LEN(nmADwSP)),0)</f>
        <v>PowerInspect - Premium</v>
      </c>
      <c r="C108" s="147" t="str">
        <f>SUBSTITUTE(_xlfn.IFNA(INDEX(M2S_Eligibility_List!$C$21:$BV$21,1,MATCH(C$271,$C345:$BW345,0)),""),nmADwSP,"")</f>
        <v>PowerInspect - Premium</v>
      </c>
      <c r="D108" s="147" t="str">
        <f>SUBSTITUTE(_xlfn.IFNA(INDEX(M2S_Eligibility_List!$C$21:$BV$21,1,MATCH(D$271,$C345:$BW345,0)),""),nmADwSP,"")</f>
        <v>PowerInspect - Ultimate</v>
      </c>
      <c r="E108" s="147" t="str">
        <f>SUBSTITUTE(_xlfn.IFNA(INDEX(M2S_Eligibility_List!$C$21:$BV$21,1,MATCH(E$271,$C345:$BW345,0)),""),nmADwSP,"")</f>
        <v/>
      </c>
      <c r="F108" s="147" t="str">
        <f>SUBSTITUTE(_xlfn.IFNA(INDEX(M2S_Eligibility_List!$C$21:$BV$21,1,MATCH(F$271,$C345:$BW345,0)),""),nmADwSP,"")</f>
        <v/>
      </c>
      <c r="G108" s="147" t="str">
        <f>SUBSTITUTE(_xlfn.IFNA(INDEX(M2S_Eligibility_List!$C$21:$BV$21,1,MATCH(G$271,$C345:$BW345,0)),""),nmADwSP,"")</f>
        <v/>
      </c>
      <c r="H108" s="147" t="str">
        <f>SUBSTITUTE(_xlfn.IFNA(INDEX(M2S_Eligibility_List!$C$21:$BV$21,1,MATCH(H$271,$C345:$BW345,0)),""),nmADwSP,"")</f>
        <v/>
      </c>
      <c r="I108" s="147" t="str">
        <f>SUBSTITUTE(_xlfn.IFNA(INDEX(M2S_Eligibility_List!$C$21:$BV$21,1,MATCH(I$271,$C345:$BW345,0)),""),nmADwSP,"")</f>
        <v/>
      </c>
      <c r="J108" s="147" t="str">
        <f>SUBSTITUTE(_xlfn.IFNA(INDEX(M2S_Eligibility_List!$C$21:$BV$21,1,MATCH(J$271,$C345:$BW345,0)),""),nmADwSP,"")</f>
        <v/>
      </c>
      <c r="K108" s="147" t="str">
        <f>SUBSTITUTE(_xlfn.IFNA(INDEX(M2S_Eligibility_List!$C$21:$BV$21,1,MATCH(K$271,$C345:$BW345,0)),""),nmADwSP,"")</f>
        <v/>
      </c>
      <c r="L108" s="147" t="str">
        <f>SUBSTITUTE(_xlfn.IFNA(INDEX(M2S_Eligibility_List!$C$21:$BV$21,1,MATCH(L$271,$C345:$BW345,0)),""),nmADwSP,"")</f>
        <v/>
      </c>
      <c r="M108" s="147" t="str">
        <f>SUBSTITUTE(_xlfn.IFNA(INDEX(M2S_Eligibility_List!$C$21:$BV$21,1,MATCH(M$271,$C345:$BW345,0)),""),nmADwSP,"")</f>
        <v/>
      </c>
      <c r="N108" s="147" t="str">
        <f>SUBSTITUTE(_xlfn.IFNA(INDEX(M2S_Eligibility_List!$C$21:$BV$21,1,MATCH(N$271,$C345:$BW345,0)),""),nmADwSP,"")</f>
        <v/>
      </c>
      <c r="O108" s="145"/>
      <c r="P108" s="145"/>
      <c r="Q108" s="145"/>
      <c r="R108" s="145"/>
      <c r="S108" s="145"/>
      <c r="T108" s="145"/>
      <c r="U108" s="145"/>
      <c r="V108" s="145"/>
      <c r="W108" s="145"/>
      <c r="X108" s="145"/>
      <c r="Y108" s="145"/>
      <c r="Z108" s="145"/>
      <c r="AA108" s="145"/>
      <c r="AB108" s="145"/>
      <c r="AC108" s="145"/>
      <c r="AD108" s="145"/>
      <c r="AE108" s="145"/>
      <c r="AF108" s="145"/>
      <c r="AG108" s="145"/>
      <c r="AH108" s="145"/>
      <c r="AI108" s="145"/>
      <c r="AJ108" s="145"/>
      <c r="AK108" s="145"/>
      <c r="AL108" s="145"/>
      <c r="AM108" s="145"/>
      <c r="AN108" s="145"/>
      <c r="AO108" s="145"/>
      <c r="AP108" s="145"/>
      <c r="AQ108" s="145"/>
      <c r="AR108" s="145"/>
      <c r="AS108" s="145"/>
      <c r="AT108" s="145"/>
      <c r="AU108" s="145"/>
      <c r="AV108" s="145"/>
      <c r="AW108" s="145"/>
      <c r="AX108" s="145"/>
      <c r="AY108" s="145"/>
      <c r="AZ108" s="145"/>
      <c r="BA108" s="145"/>
      <c r="BB108" s="145"/>
      <c r="BC108" s="145"/>
      <c r="BD108" s="145"/>
      <c r="BE108" s="145"/>
      <c r="BF108" s="145"/>
      <c r="BG108" s="145"/>
      <c r="BH108" s="145"/>
      <c r="BI108" s="145"/>
      <c r="BJ108" s="145"/>
      <c r="BK108" s="145"/>
      <c r="BL108" s="145"/>
      <c r="BM108" s="145"/>
      <c r="BN108" s="145"/>
      <c r="BO108" s="145"/>
      <c r="BP108" s="145"/>
      <c r="BQ108" s="145"/>
      <c r="BR108" s="145"/>
      <c r="BS108" s="145"/>
      <c r="BT108" s="145"/>
      <c r="BU108" s="145"/>
      <c r="BV108" s="145"/>
      <c r="BW108" s="145"/>
    </row>
    <row r="109" spans="1:75" ht="20.100000000000001" customHeight="1">
      <c r="A109" s="170" t="str">
        <f>IF(M2S_Eligibility_List!$B96&lt;&gt;"",RIGHT(M2S_Eligibility_List!$B96,LEN(M2S_Eligibility_List!$B96)-LEN(nmADwSP)),0)</f>
        <v xml:space="preserve">PowerInspect - Standard </v>
      </c>
      <c r="B109" s="170" t="str">
        <f>IF(M2S_Eligibility_List!$B96&lt;&gt;"",RIGHT(M2S_Eligibility_List!$B96,LEN(M2S_Eligibility_List!$B96)-LEN(nmADwSP)),0)</f>
        <v xml:space="preserve">PowerInspect - Standard </v>
      </c>
      <c r="C109" s="147" t="str">
        <f>SUBSTITUTE(_xlfn.IFNA(INDEX(M2S_Eligibility_List!$C$21:$BV$21,1,MATCH(C$271,$C346:$BW346,0)),""),nmADwSP,"")</f>
        <v>PowerInspect - Premium</v>
      </c>
      <c r="D109" s="147" t="str">
        <f>SUBSTITUTE(_xlfn.IFNA(INDEX(M2S_Eligibility_List!$C$21:$BV$21,1,MATCH(D$271,$C346:$BW346,0)),""),nmADwSP,"")</f>
        <v xml:space="preserve">PowerInspect - Standard </v>
      </c>
      <c r="E109" s="147" t="str">
        <f>SUBSTITUTE(_xlfn.IFNA(INDEX(M2S_Eligibility_List!$C$21:$BV$21,1,MATCH(E$271,$C346:$BW346,0)),""),nmADwSP,"")</f>
        <v>PowerInspect - Ultimate</v>
      </c>
      <c r="F109" s="147" t="str">
        <f>SUBSTITUTE(_xlfn.IFNA(INDEX(M2S_Eligibility_List!$C$21:$BV$21,1,MATCH(F$271,$C346:$BW346,0)),""),nmADwSP,"")</f>
        <v/>
      </c>
      <c r="G109" s="147" t="str">
        <f>SUBSTITUTE(_xlfn.IFNA(INDEX(M2S_Eligibility_List!$C$21:$BV$21,1,MATCH(G$271,$C346:$BW346,0)),""),nmADwSP,"")</f>
        <v/>
      </c>
      <c r="H109" s="147" t="str">
        <f>SUBSTITUTE(_xlfn.IFNA(INDEX(M2S_Eligibility_List!$C$21:$BV$21,1,MATCH(H$271,$C346:$BW346,0)),""),nmADwSP,"")</f>
        <v/>
      </c>
      <c r="I109" s="147" t="str">
        <f>SUBSTITUTE(_xlfn.IFNA(INDEX(M2S_Eligibility_List!$C$21:$BV$21,1,MATCH(I$271,$C346:$BW346,0)),""),nmADwSP,"")</f>
        <v/>
      </c>
      <c r="J109" s="147" t="str">
        <f>SUBSTITUTE(_xlfn.IFNA(INDEX(M2S_Eligibility_List!$C$21:$BV$21,1,MATCH(J$271,$C346:$BW346,0)),""),nmADwSP,"")</f>
        <v/>
      </c>
      <c r="K109" s="147" t="str">
        <f>SUBSTITUTE(_xlfn.IFNA(INDEX(M2S_Eligibility_List!$C$21:$BV$21,1,MATCH(K$271,$C346:$BW346,0)),""),nmADwSP,"")</f>
        <v/>
      </c>
      <c r="L109" s="147" t="str">
        <f>SUBSTITUTE(_xlfn.IFNA(INDEX(M2S_Eligibility_List!$C$21:$BV$21,1,MATCH(L$271,$C346:$BW346,0)),""),nmADwSP,"")</f>
        <v/>
      </c>
      <c r="M109" s="147" t="str">
        <f>SUBSTITUTE(_xlfn.IFNA(INDEX(M2S_Eligibility_List!$C$21:$BV$21,1,MATCH(M$271,$C346:$BW346,0)),""),nmADwSP,"")</f>
        <v/>
      </c>
      <c r="N109" s="147" t="str">
        <f>SUBSTITUTE(_xlfn.IFNA(INDEX(M2S_Eligibility_List!$C$21:$BV$21,1,MATCH(N$271,$C346:$BW346,0)),""),nmADwSP,"")</f>
        <v/>
      </c>
      <c r="O109" s="145"/>
      <c r="P109" s="145"/>
      <c r="Q109" s="145"/>
      <c r="R109" s="145"/>
      <c r="S109" s="145"/>
      <c r="T109" s="145"/>
      <c r="U109" s="145"/>
      <c r="V109" s="145"/>
      <c r="W109" s="145"/>
      <c r="X109" s="145"/>
      <c r="Y109" s="145"/>
      <c r="Z109" s="145"/>
      <c r="AA109" s="145"/>
      <c r="AB109" s="145"/>
      <c r="AC109" s="145"/>
      <c r="AD109" s="145"/>
      <c r="AE109" s="145"/>
      <c r="AF109" s="145"/>
      <c r="AG109" s="145"/>
      <c r="AH109" s="145"/>
      <c r="AI109" s="145"/>
      <c r="AJ109" s="145"/>
      <c r="AK109" s="145"/>
      <c r="AL109" s="145"/>
      <c r="AM109" s="145"/>
      <c r="AN109" s="145"/>
      <c r="AO109" s="145"/>
      <c r="AP109" s="145"/>
      <c r="AQ109" s="145"/>
      <c r="AR109" s="145"/>
      <c r="AS109" s="145"/>
      <c r="AT109" s="145"/>
      <c r="AU109" s="145"/>
      <c r="AV109" s="145"/>
      <c r="AW109" s="145"/>
      <c r="AX109" s="145"/>
      <c r="AY109" s="145"/>
      <c r="AZ109" s="145"/>
      <c r="BA109" s="145"/>
      <c r="BB109" s="145"/>
      <c r="BC109" s="145"/>
      <c r="BD109" s="145"/>
      <c r="BE109" s="145"/>
      <c r="BF109" s="145"/>
      <c r="BG109" s="145"/>
      <c r="BH109" s="145"/>
      <c r="BI109" s="145"/>
      <c r="BJ109" s="145"/>
      <c r="BK109" s="145"/>
      <c r="BL109" s="145"/>
      <c r="BM109" s="145"/>
      <c r="BN109" s="145"/>
      <c r="BO109" s="145"/>
      <c r="BP109" s="145"/>
      <c r="BQ109" s="145"/>
      <c r="BR109" s="145"/>
      <c r="BS109" s="145"/>
      <c r="BT109" s="145"/>
      <c r="BU109" s="145"/>
      <c r="BV109" s="145"/>
      <c r="BW109" s="145"/>
    </row>
    <row r="110" spans="1:75" ht="20.100000000000001" customHeight="1">
      <c r="A110" s="170" t="str">
        <f>IF(M2S_Eligibility_List!$B97&lt;&gt;"",RIGHT(M2S_Eligibility_List!$B97,LEN(M2S_Eligibility_List!$B97)-LEN(nmADwSP)),0)</f>
        <v>PowerInspect - Ultimate</v>
      </c>
      <c r="B110" s="170" t="str">
        <f>IF(M2S_Eligibility_List!$B97&lt;&gt;"",RIGHT(M2S_Eligibility_List!$B97,LEN(M2S_Eligibility_List!$B97)-LEN(nmADwSP)),0)</f>
        <v>PowerInspect - Ultimate</v>
      </c>
      <c r="C110" s="147" t="str">
        <f>SUBSTITUTE(_xlfn.IFNA(INDEX(M2S_Eligibility_List!$C$21:$BV$21,1,MATCH(C$271,$C347:$BW347,0)),""),nmADwSP,"")</f>
        <v>PowerInspect - Ultimate</v>
      </c>
      <c r="D110" s="147" t="str">
        <f>SUBSTITUTE(_xlfn.IFNA(INDEX(M2S_Eligibility_List!$C$21:$BV$21,1,MATCH(D$271,$C347:$BW347,0)),""),nmADwSP,"")</f>
        <v/>
      </c>
      <c r="E110" s="147" t="str">
        <f>SUBSTITUTE(_xlfn.IFNA(INDEX(M2S_Eligibility_List!$C$21:$BV$21,1,MATCH(E$271,$C347:$BW347,0)),""),nmADwSP,"")</f>
        <v/>
      </c>
      <c r="F110" s="147" t="str">
        <f>SUBSTITUTE(_xlfn.IFNA(INDEX(M2S_Eligibility_List!$C$21:$BV$21,1,MATCH(F$271,$C347:$BW347,0)),""),nmADwSP,"")</f>
        <v/>
      </c>
      <c r="G110" s="147" t="str">
        <f>SUBSTITUTE(_xlfn.IFNA(INDEX(M2S_Eligibility_List!$C$21:$BV$21,1,MATCH(G$271,$C347:$BW347,0)),""),nmADwSP,"")</f>
        <v/>
      </c>
      <c r="H110" s="147" t="str">
        <f>SUBSTITUTE(_xlfn.IFNA(INDEX(M2S_Eligibility_List!$C$21:$BV$21,1,MATCH(H$271,$C347:$BW347,0)),""),nmADwSP,"")</f>
        <v/>
      </c>
      <c r="I110" s="147" t="str">
        <f>SUBSTITUTE(_xlfn.IFNA(INDEX(M2S_Eligibility_List!$C$21:$BV$21,1,MATCH(I$271,$C347:$BW347,0)),""),nmADwSP,"")</f>
        <v/>
      </c>
      <c r="J110" s="147" t="str">
        <f>SUBSTITUTE(_xlfn.IFNA(INDEX(M2S_Eligibility_List!$C$21:$BV$21,1,MATCH(J$271,$C347:$BW347,0)),""),nmADwSP,"")</f>
        <v/>
      </c>
      <c r="K110" s="147" t="str">
        <f>SUBSTITUTE(_xlfn.IFNA(INDEX(M2S_Eligibility_List!$C$21:$BV$21,1,MATCH(K$271,$C347:$BW347,0)),""),nmADwSP,"")</f>
        <v/>
      </c>
      <c r="L110" s="147" t="str">
        <f>SUBSTITUTE(_xlfn.IFNA(INDEX(M2S_Eligibility_List!$C$21:$BV$21,1,MATCH(L$271,$C347:$BW347,0)),""),nmADwSP,"")</f>
        <v/>
      </c>
      <c r="M110" s="147" t="str">
        <f>SUBSTITUTE(_xlfn.IFNA(INDEX(M2S_Eligibility_List!$C$21:$BV$21,1,MATCH(M$271,$C347:$BW347,0)),""),nmADwSP,"")</f>
        <v/>
      </c>
      <c r="N110" s="147" t="str">
        <f>SUBSTITUTE(_xlfn.IFNA(INDEX(M2S_Eligibility_List!$C$21:$BV$21,1,MATCH(N$271,$C347:$BW347,0)),""),nmADwSP,"")</f>
        <v/>
      </c>
      <c r="O110" s="145"/>
      <c r="P110" s="145"/>
      <c r="Q110" s="145"/>
      <c r="R110" s="145"/>
      <c r="S110" s="145"/>
      <c r="T110" s="145"/>
      <c r="U110" s="145"/>
      <c r="V110" s="145"/>
      <c r="W110" s="145"/>
      <c r="X110" s="145"/>
      <c r="Y110" s="145"/>
      <c r="Z110" s="145"/>
      <c r="AA110" s="145"/>
      <c r="AB110" s="145"/>
      <c r="AC110" s="145"/>
      <c r="AD110" s="145"/>
      <c r="AE110" s="145"/>
      <c r="AF110" s="145"/>
      <c r="AG110" s="145"/>
      <c r="AH110" s="145"/>
      <c r="AI110" s="145"/>
      <c r="AJ110" s="145"/>
      <c r="AK110" s="145"/>
      <c r="AL110" s="145"/>
      <c r="AM110" s="145"/>
      <c r="AN110" s="145"/>
      <c r="AO110" s="145"/>
      <c r="AP110" s="145"/>
      <c r="AQ110" s="145"/>
      <c r="AR110" s="145"/>
      <c r="AS110" s="145"/>
      <c r="AT110" s="145"/>
      <c r="AU110" s="145"/>
      <c r="AV110" s="145"/>
      <c r="AW110" s="145"/>
      <c r="AX110" s="145"/>
      <c r="AY110" s="145"/>
      <c r="AZ110" s="145"/>
      <c r="BA110" s="145"/>
      <c r="BB110" s="145"/>
      <c r="BC110" s="145"/>
      <c r="BD110" s="145"/>
      <c r="BE110" s="145"/>
      <c r="BF110" s="145"/>
      <c r="BG110" s="145"/>
      <c r="BH110" s="145"/>
      <c r="BI110" s="145"/>
      <c r="BJ110" s="145"/>
      <c r="BK110" s="145"/>
      <c r="BL110" s="145"/>
      <c r="BM110" s="145"/>
      <c r="BN110" s="145"/>
      <c r="BO110" s="145"/>
      <c r="BP110" s="145"/>
      <c r="BQ110" s="145"/>
      <c r="BR110" s="145"/>
      <c r="BS110" s="145"/>
      <c r="BT110" s="145"/>
      <c r="BU110" s="145"/>
      <c r="BV110" s="145"/>
      <c r="BW110" s="145"/>
    </row>
    <row r="111" spans="1:75" ht="20.100000000000001" customHeight="1">
      <c r="A111" s="170" t="str">
        <f>IF(M2S_Eligibility_List!$B98&lt;&gt;"",RIGHT(M2S_Eligibility_List!$B98,LEN(M2S_Eligibility_List!$B98)-LEN(nmADwSP)),0)</f>
        <v>PowerMill - Premium</v>
      </c>
      <c r="B111" s="170" t="str">
        <f>IF(M2S_Eligibility_List!$B98&lt;&gt;"",RIGHT(M2S_Eligibility_List!$B98,LEN(M2S_Eligibility_List!$B98)-LEN(nmADwSP)),0)</f>
        <v>PowerMill - Premium</v>
      </c>
      <c r="C111" s="147" t="str">
        <f>SUBSTITUTE(_xlfn.IFNA(INDEX(M2S_Eligibility_List!$C$21:$BV$21,1,MATCH(C$271,$C348:$BW348,0)),""),nmADwSP,"")</f>
        <v>PowerMill - Premium</v>
      </c>
      <c r="D111" s="147" t="str">
        <f>SUBSTITUTE(_xlfn.IFNA(INDEX(M2S_Eligibility_List!$C$21:$BV$21,1,MATCH(D$271,$C348:$BW348,0)),""),nmADwSP,"")</f>
        <v>PowerMill - Ultimate</v>
      </c>
      <c r="E111" s="147" t="str">
        <f>SUBSTITUTE(_xlfn.IFNA(INDEX(M2S_Eligibility_List!$C$21:$BV$21,1,MATCH(E$271,$C348:$BW348,0)),""),nmADwSP,"")</f>
        <v/>
      </c>
      <c r="F111" s="147" t="str">
        <f>SUBSTITUTE(_xlfn.IFNA(INDEX(M2S_Eligibility_List!$C$21:$BV$21,1,MATCH(F$271,$C348:$BW348,0)),""),nmADwSP,"")</f>
        <v/>
      </c>
      <c r="G111" s="147" t="str">
        <f>SUBSTITUTE(_xlfn.IFNA(INDEX(M2S_Eligibility_List!$C$21:$BV$21,1,MATCH(G$271,$C348:$BW348,0)),""),nmADwSP,"")</f>
        <v/>
      </c>
      <c r="H111" s="147" t="str">
        <f>SUBSTITUTE(_xlfn.IFNA(INDEX(M2S_Eligibility_List!$C$21:$BV$21,1,MATCH(H$271,$C348:$BW348,0)),""),nmADwSP,"")</f>
        <v/>
      </c>
      <c r="I111" s="147" t="str">
        <f>SUBSTITUTE(_xlfn.IFNA(INDEX(M2S_Eligibility_List!$C$21:$BV$21,1,MATCH(I$271,$C348:$BW348,0)),""),nmADwSP,"")</f>
        <v/>
      </c>
      <c r="J111" s="147" t="str">
        <f>SUBSTITUTE(_xlfn.IFNA(INDEX(M2S_Eligibility_List!$C$21:$BV$21,1,MATCH(J$271,$C348:$BW348,0)),""),nmADwSP,"")</f>
        <v/>
      </c>
      <c r="K111" s="147" t="str">
        <f>SUBSTITUTE(_xlfn.IFNA(INDEX(M2S_Eligibility_List!$C$21:$BV$21,1,MATCH(K$271,$C348:$BW348,0)),""),nmADwSP,"")</f>
        <v/>
      </c>
      <c r="L111" s="147" t="str">
        <f>SUBSTITUTE(_xlfn.IFNA(INDEX(M2S_Eligibility_List!$C$21:$BV$21,1,MATCH(L$271,$C348:$BW348,0)),""),nmADwSP,"")</f>
        <v/>
      </c>
      <c r="M111" s="147" t="str">
        <f>SUBSTITUTE(_xlfn.IFNA(INDEX(M2S_Eligibility_List!$C$21:$BV$21,1,MATCH(M$271,$C348:$BW348,0)),""),nmADwSP,"")</f>
        <v/>
      </c>
      <c r="N111" s="147" t="str">
        <f>SUBSTITUTE(_xlfn.IFNA(INDEX(M2S_Eligibility_List!$C$21:$BV$21,1,MATCH(N$271,$C348:$BW348,0)),""),nmADwSP,"")</f>
        <v/>
      </c>
      <c r="O111" s="145"/>
      <c r="P111" s="145"/>
      <c r="Q111" s="145"/>
      <c r="R111" s="145"/>
      <c r="S111" s="145"/>
      <c r="T111" s="145"/>
      <c r="U111" s="145"/>
      <c r="V111" s="145"/>
      <c r="W111" s="145"/>
      <c r="X111" s="145"/>
      <c r="Y111" s="145"/>
      <c r="Z111" s="145"/>
      <c r="AA111" s="145"/>
      <c r="AB111" s="145"/>
      <c r="AC111" s="145"/>
      <c r="AD111" s="145"/>
      <c r="AE111" s="145"/>
      <c r="AF111" s="145"/>
      <c r="AG111" s="145"/>
      <c r="AH111" s="145"/>
      <c r="AI111" s="145"/>
      <c r="AJ111" s="145"/>
      <c r="AK111" s="145"/>
      <c r="AL111" s="145"/>
      <c r="AM111" s="145"/>
      <c r="AN111" s="145"/>
      <c r="AO111" s="145"/>
      <c r="AP111" s="145"/>
      <c r="AQ111" s="145"/>
      <c r="AR111" s="145"/>
      <c r="AS111" s="145"/>
      <c r="AT111" s="145"/>
      <c r="AU111" s="145"/>
      <c r="AV111" s="145"/>
      <c r="AW111" s="145"/>
      <c r="AX111" s="145"/>
      <c r="AY111" s="145"/>
      <c r="AZ111" s="145"/>
      <c r="BA111" s="145"/>
      <c r="BB111" s="145"/>
      <c r="BC111" s="145"/>
      <c r="BD111" s="145"/>
      <c r="BE111" s="145"/>
      <c r="BF111" s="145"/>
      <c r="BG111" s="145"/>
      <c r="BH111" s="145"/>
      <c r="BI111" s="145"/>
      <c r="BJ111" s="145"/>
      <c r="BK111" s="145"/>
      <c r="BL111" s="145"/>
      <c r="BM111" s="145"/>
      <c r="BN111" s="145"/>
      <c r="BO111" s="145"/>
      <c r="BP111" s="145"/>
      <c r="BQ111" s="145"/>
      <c r="BR111" s="145"/>
      <c r="BS111" s="145"/>
      <c r="BT111" s="145"/>
      <c r="BU111" s="145"/>
      <c r="BV111" s="145"/>
      <c r="BW111" s="145"/>
    </row>
    <row r="112" spans="1:75" ht="20.100000000000001" customHeight="1">
      <c r="A112" s="170" t="str">
        <f>IF(M2S_Eligibility_List!$B99&lt;&gt;"",RIGHT(M2S_Eligibility_List!$B99,LEN(M2S_Eligibility_List!$B99)-LEN(nmADwSP)),0)</f>
        <v>PowerMill - Standard</v>
      </c>
      <c r="B112" s="170" t="str">
        <f>IF(M2S_Eligibility_List!$B99&lt;&gt;"",RIGHT(M2S_Eligibility_List!$B99,LEN(M2S_Eligibility_List!$B99)-LEN(nmADwSP)),0)</f>
        <v>PowerMill - Standard</v>
      </c>
      <c r="C112" s="147" t="str">
        <f>SUBSTITUTE(_xlfn.IFNA(INDEX(M2S_Eligibility_List!$C$21:$BV$21,1,MATCH(C$271,$C349:$BW349,0)),""),nmADwSP,"")</f>
        <v>PowerMill - Premium</v>
      </c>
      <c r="D112" s="147" t="str">
        <f>SUBSTITUTE(_xlfn.IFNA(INDEX(M2S_Eligibility_List!$C$21:$BV$21,1,MATCH(D$271,$C349:$BW349,0)),""),nmADwSP,"")</f>
        <v>PowerMill - Standard</v>
      </c>
      <c r="E112" s="147" t="str">
        <f>SUBSTITUTE(_xlfn.IFNA(INDEX(M2S_Eligibility_List!$C$21:$BV$21,1,MATCH(E$271,$C349:$BW349,0)),""),nmADwSP,"")</f>
        <v>PowerMill - Ultimate</v>
      </c>
      <c r="F112" s="147" t="str">
        <f>SUBSTITUTE(_xlfn.IFNA(INDEX(M2S_Eligibility_List!$C$21:$BV$21,1,MATCH(F$271,$C349:$BW349,0)),""),nmADwSP,"")</f>
        <v/>
      </c>
      <c r="G112" s="147" t="str">
        <f>SUBSTITUTE(_xlfn.IFNA(INDEX(M2S_Eligibility_List!$C$21:$BV$21,1,MATCH(G$271,$C349:$BW349,0)),""),nmADwSP,"")</f>
        <v/>
      </c>
      <c r="H112" s="147" t="str">
        <f>SUBSTITUTE(_xlfn.IFNA(INDEX(M2S_Eligibility_List!$C$21:$BV$21,1,MATCH(H$271,$C349:$BW349,0)),""),nmADwSP,"")</f>
        <v/>
      </c>
      <c r="I112" s="147" t="str">
        <f>SUBSTITUTE(_xlfn.IFNA(INDEX(M2S_Eligibility_List!$C$21:$BV$21,1,MATCH(I$271,$C349:$BW349,0)),""),nmADwSP,"")</f>
        <v/>
      </c>
      <c r="J112" s="147" t="str">
        <f>SUBSTITUTE(_xlfn.IFNA(INDEX(M2S_Eligibility_List!$C$21:$BV$21,1,MATCH(J$271,$C349:$BW349,0)),""),nmADwSP,"")</f>
        <v/>
      </c>
      <c r="K112" s="147" t="str">
        <f>SUBSTITUTE(_xlfn.IFNA(INDEX(M2S_Eligibility_List!$C$21:$BV$21,1,MATCH(K$271,$C349:$BW349,0)),""),nmADwSP,"")</f>
        <v/>
      </c>
      <c r="L112" s="147" t="str">
        <f>SUBSTITUTE(_xlfn.IFNA(INDEX(M2S_Eligibility_List!$C$21:$BV$21,1,MATCH(L$271,$C349:$BW349,0)),""),nmADwSP,"")</f>
        <v/>
      </c>
      <c r="M112" s="147" t="str">
        <f>SUBSTITUTE(_xlfn.IFNA(INDEX(M2S_Eligibility_List!$C$21:$BV$21,1,MATCH(M$271,$C349:$BW349,0)),""),nmADwSP,"")</f>
        <v/>
      </c>
      <c r="N112" s="147" t="str">
        <f>SUBSTITUTE(_xlfn.IFNA(INDEX(M2S_Eligibility_List!$C$21:$BV$21,1,MATCH(N$271,$C349:$BW349,0)),""),nmADwSP,"")</f>
        <v/>
      </c>
      <c r="O112" s="145"/>
      <c r="P112" s="145"/>
      <c r="Q112" s="145"/>
      <c r="R112" s="145"/>
      <c r="S112" s="145"/>
      <c r="T112" s="145"/>
      <c r="U112" s="145"/>
      <c r="V112" s="145"/>
      <c r="W112" s="145"/>
      <c r="X112" s="145"/>
      <c r="Y112" s="145"/>
      <c r="Z112" s="145"/>
      <c r="AA112" s="145"/>
      <c r="AB112" s="145"/>
      <c r="AC112" s="145"/>
      <c r="AD112" s="145"/>
      <c r="AE112" s="145"/>
      <c r="AF112" s="145"/>
      <c r="AG112" s="145"/>
      <c r="AH112" s="145"/>
      <c r="AI112" s="145"/>
      <c r="AJ112" s="145"/>
      <c r="AK112" s="145"/>
      <c r="AL112" s="145"/>
      <c r="AM112" s="145"/>
      <c r="AN112" s="145"/>
      <c r="AO112" s="145"/>
      <c r="AP112" s="145"/>
      <c r="AQ112" s="145"/>
      <c r="AR112" s="145"/>
      <c r="AS112" s="145"/>
      <c r="AT112" s="145"/>
      <c r="AU112" s="145"/>
      <c r="AV112" s="145"/>
      <c r="AW112" s="145"/>
      <c r="AX112" s="145"/>
      <c r="AY112" s="145"/>
      <c r="AZ112" s="145"/>
      <c r="BA112" s="145"/>
      <c r="BB112" s="145"/>
      <c r="BC112" s="145"/>
      <c r="BD112" s="145"/>
      <c r="BE112" s="145"/>
      <c r="BF112" s="145"/>
      <c r="BG112" s="145"/>
      <c r="BH112" s="145"/>
      <c r="BI112" s="145"/>
      <c r="BJ112" s="145"/>
      <c r="BK112" s="145"/>
      <c r="BL112" s="145"/>
      <c r="BM112" s="145"/>
      <c r="BN112" s="145"/>
      <c r="BO112" s="145"/>
      <c r="BP112" s="145"/>
      <c r="BQ112" s="145"/>
      <c r="BR112" s="145"/>
      <c r="BS112" s="145"/>
      <c r="BT112" s="145"/>
      <c r="BU112" s="145"/>
      <c r="BV112" s="145"/>
      <c r="BW112" s="145"/>
    </row>
    <row r="113" spans="1:75" ht="20.100000000000001" customHeight="1">
      <c r="A113" s="170" t="str">
        <f>IF(M2S_Eligibility_List!$B100&lt;&gt;"",RIGHT(M2S_Eligibility_List!$B100,LEN(M2S_Eligibility_List!$B100)-LEN(nmADwSP)),0)</f>
        <v>PowerMill - Ultimate</v>
      </c>
      <c r="B113" s="170" t="str">
        <f>IF(M2S_Eligibility_List!$B100&lt;&gt;"",RIGHT(M2S_Eligibility_List!$B100,LEN(M2S_Eligibility_List!$B100)-LEN(nmADwSP)),0)</f>
        <v>PowerMill - Ultimate</v>
      </c>
      <c r="C113" s="147" t="str">
        <f>SUBSTITUTE(_xlfn.IFNA(INDEX(M2S_Eligibility_List!$C$21:$BV$21,1,MATCH(C$271,$C350:$BW350,0)),""),nmADwSP,"")</f>
        <v>PowerMill - Ultimate</v>
      </c>
      <c r="D113" s="147" t="str">
        <f>SUBSTITUTE(_xlfn.IFNA(INDEX(M2S_Eligibility_List!$C$21:$BV$21,1,MATCH(D$271,$C350:$BW350,0)),""),nmADwSP,"")</f>
        <v/>
      </c>
      <c r="E113" s="147" t="str">
        <f>SUBSTITUTE(_xlfn.IFNA(INDEX(M2S_Eligibility_List!$C$21:$BV$21,1,MATCH(E$271,$C350:$BW350,0)),""),nmADwSP,"")</f>
        <v/>
      </c>
      <c r="F113" s="147" t="str">
        <f>SUBSTITUTE(_xlfn.IFNA(INDEX(M2S_Eligibility_List!$C$21:$BV$21,1,MATCH(F$271,$C350:$BW350,0)),""),nmADwSP,"")</f>
        <v/>
      </c>
      <c r="G113" s="147" t="str">
        <f>SUBSTITUTE(_xlfn.IFNA(INDEX(M2S_Eligibility_List!$C$21:$BV$21,1,MATCH(G$271,$C350:$BW350,0)),""),nmADwSP,"")</f>
        <v/>
      </c>
      <c r="H113" s="147" t="str">
        <f>SUBSTITUTE(_xlfn.IFNA(INDEX(M2S_Eligibility_List!$C$21:$BV$21,1,MATCH(H$271,$C350:$BW350,0)),""),nmADwSP,"")</f>
        <v/>
      </c>
      <c r="I113" s="147" t="str">
        <f>SUBSTITUTE(_xlfn.IFNA(INDEX(M2S_Eligibility_List!$C$21:$BV$21,1,MATCH(I$271,$C350:$BW350,0)),""),nmADwSP,"")</f>
        <v/>
      </c>
      <c r="J113" s="147" t="str">
        <f>SUBSTITUTE(_xlfn.IFNA(INDEX(M2S_Eligibility_List!$C$21:$BV$21,1,MATCH(J$271,$C350:$BW350,0)),""),nmADwSP,"")</f>
        <v/>
      </c>
      <c r="K113" s="147" t="str">
        <f>SUBSTITUTE(_xlfn.IFNA(INDEX(M2S_Eligibility_List!$C$21:$BV$21,1,MATCH(K$271,$C350:$BW350,0)),""),nmADwSP,"")</f>
        <v/>
      </c>
      <c r="L113" s="147" t="str">
        <f>SUBSTITUTE(_xlfn.IFNA(INDEX(M2S_Eligibility_List!$C$21:$BV$21,1,MATCH(L$271,$C350:$BW350,0)),""),nmADwSP,"")</f>
        <v/>
      </c>
      <c r="M113" s="147" t="str">
        <f>SUBSTITUTE(_xlfn.IFNA(INDEX(M2S_Eligibility_List!$C$21:$BV$21,1,MATCH(M$271,$C350:$BW350,0)),""),nmADwSP,"")</f>
        <v/>
      </c>
      <c r="N113" s="147" t="str">
        <f>SUBSTITUTE(_xlfn.IFNA(INDEX(M2S_Eligibility_List!$C$21:$BV$21,1,MATCH(N$271,$C350:$BW350,0)),""),nmADwSP,"")</f>
        <v/>
      </c>
      <c r="O113" s="145"/>
      <c r="P113" s="145"/>
      <c r="Q113" s="145"/>
      <c r="R113" s="145"/>
      <c r="S113" s="145"/>
      <c r="T113" s="145"/>
      <c r="U113" s="145"/>
      <c r="V113" s="145"/>
      <c r="W113" s="145"/>
      <c r="X113" s="145"/>
      <c r="Y113" s="145"/>
      <c r="Z113" s="145"/>
      <c r="AA113" s="145"/>
      <c r="AB113" s="145"/>
      <c r="AC113" s="145"/>
      <c r="AD113" s="145"/>
      <c r="AE113" s="145"/>
      <c r="AF113" s="145"/>
      <c r="AG113" s="145"/>
      <c r="AH113" s="145"/>
      <c r="AI113" s="145"/>
      <c r="AJ113" s="145"/>
      <c r="AK113" s="145"/>
      <c r="AL113" s="145"/>
      <c r="AM113" s="145"/>
      <c r="AN113" s="145"/>
      <c r="AO113" s="145"/>
      <c r="AP113" s="145"/>
      <c r="AQ113" s="145"/>
      <c r="AR113" s="145"/>
      <c r="AS113" s="145"/>
      <c r="AT113" s="145"/>
      <c r="AU113" s="145"/>
      <c r="AV113" s="145"/>
      <c r="AW113" s="145"/>
      <c r="AX113" s="145"/>
      <c r="AY113" s="145"/>
      <c r="AZ113" s="145"/>
      <c r="BA113" s="145"/>
      <c r="BB113" s="145"/>
      <c r="BC113" s="145"/>
      <c r="BD113" s="145"/>
      <c r="BE113" s="145"/>
      <c r="BF113" s="145"/>
      <c r="BG113" s="145"/>
      <c r="BH113" s="145"/>
      <c r="BI113" s="145"/>
      <c r="BJ113" s="145"/>
      <c r="BK113" s="145"/>
      <c r="BL113" s="145"/>
      <c r="BM113" s="145"/>
      <c r="BN113" s="145"/>
      <c r="BO113" s="145"/>
      <c r="BP113" s="145"/>
      <c r="BQ113" s="145"/>
      <c r="BR113" s="145"/>
      <c r="BS113" s="145"/>
      <c r="BT113" s="145"/>
      <c r="BU113" s="145"/>
      <c r="BV113" s="145"/>
      <c r="BW113" s="145"/>
    </row>
    <row r="114" spans="1:75" ht="20.100000000000001" customHeight="1">
      <c r="A114" s="170" t="str">
        <f>IF(M2S_Eligibility_List!$B101&lt;&gt;"",RIGHT(M2S_Eligibility_List!$B101,LEN(M2S_Eligibility_List!$B101)-LEN(nmADwSP)),0)</f>
        <v>PowerShape - Premium</v>
      </c>
      <c r="B114" s="170" t="str">
        <f>IF(M2S_Eligibility_List!$B101&lt;&gt;"",RIGHT(M2S_Eligibility_List!$B101,LEN(M2S_Eligibility_List!$B101)-LEN(nmADwSP)),0)</f>
        <v>PowerShape - Premium</v>
      </c>
      <c r="C114" s="147" t="str">
        <f>SUBSTITUTE(_xlfn.IFNA(INDEX(M2S_Eligibility_List!$C$21:$BV$21,1,MATCH(C$271,$C351:$BW351,0)),""),nmADwSP,"")</f>
        <v>PowerShape - Premium</v>
      </c>
      <c r="D114" s="147" t="str">
        <f>SUBSTITUTE(_xlfn.IFNA(INDEX(M2S_Eligibility_List!$C$21:$BV$21,1,MATCH(D$271,$C351:$BW351,0)),""),nmADwSP,"")</f>
        <v>PowerShape - Ultimate</v>
      </c>
      <c r="E114" s="147" t="str">
        <f>SUBSTITUTE(_xlfn.IFNA(INDEX(M2S_Eligibility_List!$C$21:$BV$21,1,MATCH(E$271,$C351:$BW351,0)),""),nmADwSP,"")</f>
        <v/>
      </c>
      <c r="F114" s="147" t="str">
        <f>SUBSTITUTE(_xlfn.IFNA(INDEX(M2S_Eligibility_List!$C$21:$BV$21,1,MATCH(F$271,$C351:$BW351,0)),""),nmADwSP,"")</f>
        <v/>
      </c>
      <c r="G114" s="147" t="str">
        <f>SUBSTITUTE(_xlfn.IFNA(INDEX(M2S_Eligibility_List!$C$21:$BV$21,1,MATCH(G$271,$C351:$BW351,0)),""),nmADwSP,"")</f>
        <v/>
      </c>
      <c r="H114" s="147" t="str">
        <f>SUBSTITUTE(_xlfn.IFNA(INDEX(M2S_Eligibility_List!$C$21:$BV$21,1,MATCH(H$271,$C351:$BW351,0)),""),nmADwSP,"")</f>
        <v/>
      </c>
      <c r="I114" s="147" t="str">
        <f>SUBSTITUTE(_xlfn.IFNA(INDEX(M2S_Eligibility_List!$C$21:$BV$21,1,MATCH(I$271,$C351:$BW351,0)),""),nmADwSP,"")</f>
        <v/>
      </c>
      <c r="J114" s="147" t="str">
        <f>SUBSTITUTE(_xlfn.IFNA(INDEX(M2S_Eligibility_List!$C$21:$BV$21,1,MATCH(J$271,$C351:$BW351,0)),""),nmADwSP,"")</f>
        <v/>
      </c>
      <c r="K114" s="147" t="str">
        <f>SUBSTITUTE(_xlfn.IFNA(INDEX(M2S_Eligibility_List!$C$21:$BV$21,1,MATCH(K$271,$C351:$BW351,0)),""),nmADwSP,"")</f>
        <v/>
      </c>
      <c r="L114" s="147" t="str">
        <f>SUBSTITUTE(_xlfn.IFNA(INDEX(M2S_Eligibility_List!$C$21:$BV$21,1,MATCH(L$271,$C351:$BW351,0)),""),nmADwSP,"")</f>
        <v/>
      </c>
      <c r="M114" s="147" t="str">
        <f>SUBSTITUTE(_xlfn.IFNA(INDEX(M2S_Eligibility_List!$C$21:$BV$21,1,MATCH(M$271,$C351:$BW351,0)),""),nmADwSP,"")</f>
        <v/>
      </c>
      <c r="N114" s="147" t="str">
        <f>SUBSTITUTE(_xlfn.IFNA(INDEX(M2S_Eligibility_List!$C$21:$BV$21,1,MATCH(N$271,$C351:$BW351,0)),""),nmADwSP,"")</f>
        <v/>
      </c>
      <c r="O114" s="145"/>
      <c r="P114" s="145"/>
      <c r="Q114" s="145"/>
      <c r="R114" s="145"/>
      <c r="S114" s="145"/>
      <c r="T114" s="145"/>
      <c r="U114" s="145"/>
      <c r="V114" s="145"/>
      <c r="W114" s="145"/>
      <c r="X114" s="145"/>
      <c r="Y114" s="145"/>
      <c r="Z114" s="145"/>
      <c r="AA114" s="145"/>
      <c r="AB114" s="145"/>
      <c r="AC114" s="145"/>
      <c r="AD114" s="145"/>
      <c r="AE114" s="145"/>
      <c r="AF114" s="145"/>
      <c r="AG114" s="145"/>
      <c r="AH114" s="145"/>
      <c r="AI114" s="145"/>
      <c r="AJ114" s="145"/>
      <c r="AK114" s="145"/>
      <c r="AL114" s="145"/>
      <c r="AM114" s="145"/>
      <c r="AN114" s="145"/>
      <c r="AO114" s="145"/>
      <c r="AP114" s="145"/>
      <c r="AQ114" s="145"/>
      <c r="AR114" s="145"/>
      <c r="AS114" s="145"/>
      <c r="AT114" s="145"/>
      <c r="AU114" s="145"/>
      <c r="AV114" s="145"/>
      <c r="AW114" s="145"/>
      <c r="AX114" s="145"/>
      <c r="AY114" s="145"/>
      <c r="AZ114" s="145"/>
      <c r="BA114" s="145"/>
      <c r="BB114" s="145"/>
      <c r="BC114" s="145"/>
      <c r="BD114" s="145"/>
      <c r="BE114" s="145"/>
      <c r="BF114" s="145"/>
      <c r="BG114" s="145"/>
      <c r="BH114" s="145"/>
      <c r="BI114" s="145"/>
      <c r="BJ114" s="145"/>
      <c r="BK114" s="145"/>
      <c r="BL114" s="145"/>
      <c r="BM114" s="145"/>
      <c r="BN114" s="145"/>
      <c r="BO114" s="145"/>
      <c r="BP114" s="145"/>
      <c r="BQ114" s="145"/>
      <c r="BR114" s="145"/>
      <c r="BS114" s="145"/>
      <c r="BT114" s="145"/>
      <c r="BU114" s="145"/>
      <c r="BV114" s="145"/>
      <c r="BW114" s="145"/>
    </row>
    <row r="115" spans="1:75" ht="20.100000000000001" customHeight="1">
      <c r="A115" s="170" t="str">
        <f>IF(M2S_Eligibility_List!$B102&lt;&gt;"",RIGHT(M2S_Eligibility_List!$B102,LEN(M2S_Eligibility_List!$B102)-LEN(nmADwSP)),0)</f>
        <v>PowerShape - Standard</v>
      </c>
      <c r="B115" s="170" t="str">
        <f>IF(M2S_Eligibility_List!$B102&lt;&gt;"",RIGHT(M2S_Eligibility_List!$B102,LEN(M2S_Eligibility_List!$B102)-LEN(nmADwSP)),0)</f>
        <v>PowerShape - Standard</v>
      </c>
      <c r="C115" s="147" t="str">
        <f>SUBSTITUTE(_xlfn.IFNA(INDEX(M2S_Eligibility_List!$C$21:$BV$21,1,MATCH(C$271,$C352:$BW352,0)),""),nmADwSP,"")</f>
        <v>PowerShape - Premium</v>
      </c>
      <c r="D115" s="147" t="str">
        <f>SUBSTITUTE(_xlfn.IFNA(INDEX(M2S_Eligibility_List!$C$21:$BV$21,1,MATCH(D$271,$C352:$BW352,0)),""),nmADwSP,"")</f>
        <v>PowerShape - Standard</v>
      </c>
      <c r="E115" s="147" t="str">
        <f>SUBSTITUTE(_xlfn.IFNA(INDEX(M2S_Eligibility_List!$C$21:$BV$21,1,MATCH(E$271,$C352:$BW352,0)),""),nmADwSP,"")</f>
        <v>PowerShape - Ultimate</v>
      </c>
      <c r="F115" s="147" t="str">
        <f>SUBSTITUTE(_xlfn.IFNA(INDEX(M2S_Eligibility_List!$C$21:$BV$21,1,MATCH(F$271,$C352:$BW352,0)),""),nmADwSP,"")</f>
        <v/>
      </c>
      <c r="G115" s="147" t="str">
        <f>SUBSTITUTE(_xlfn.IFNA(INDEX(M2S_Eligibility_List!$C$21:$BV$21,1,MATCH(G$271,$C352:$BW352,0)),""),nmADwSP,"")</f>
        <v/>
      </c>
      <c r="H115" s="147" t="str">
        <f>SUBSTITUTE(_xlfn.IFNA(INDEX(M2S_Eligibility_List!$C$21:$BV$21,1,MATCH(H$271,$C352:$BW352,0)),""),nmADwSP,"")</f>
        <v/>
      </c>
      <c r="I115" s="147" t="str">
        <f>SUBSTITUTE(_xlfn.IFNA(INDEX(M2S_Eligibility_List!$C$21:$BV$21,1,MATCH(I$271,$C352:$BW352,0)),""),nmADwSP,"")</f>
        <v/>
      </c>
      <c r="J115" s="147" t="str">
        <f>SUBSTITUTE(_xlfn.IFNA(INDEX(M2S_Eligibility_List!$C$21:$BV$21,1,MATCH(J$271,$C352:$BW352,0)),""),nmADwSP,"")</f>
        <v/>
      </c>
      <c r="K115" s="147" t="str">
        <f>SUBSTITUTE(_xlfn.IFNA(INDEX(M2S_Eligibility_List!$C$21:$BV$21,1,MATCH(K$271,$C352:$BW352,0)),""),nmADwSP,"")</f>
        <v/>
      </c>
      <c r="L115" s="147" t="str">
        <f>SUBSTITUTE(_xlfn.IFNA(INDEX(M2S_Eligibility_List!$C$21:$BV$21,1,MATCH(L$271,$C352:$BW352,0)),""),nmADwSP,"")</f>
        <v/>
      </c>
      <c r="M115" s="147" t="str">
        <f>SUBSTITUTE(_xlfn.IFNA(INDEX(M2S_Eligibility_List!$C$21:$BV$21,1,MATCH(M$271,$C352:$BW352,0)),""),nmADwSP,"")</f>
        <v/>
      </c>
      <c r="N115" s="147" t="str">
        <f>SUBSTITUTE(_xlfn.IFNA(INDEX(M2S_Eligibility_List!$C$21:$BV$21,1,MATCH(N$271,$C352:$BW352,0)),""),nmADwSP,"")</f>
        <v/>
      </c>
      <c r="O115" s="145"/>
      <c r="P115" s="145"/>
      <c r="Q115" s="145"/>
      <c r="R115" s="145"/>
      <c r="S115" s="145"/>
      <c r="T115" s="145"/>
      <c r="U115" s="145"/>
      <c r="V115" s="145"/>
      <c r="W115" s="145"/>
      <c r="X115" s="145"/>
      <c r="Y115" s="145"/>
      <c r="Z115" s="145"/>
      <c r="AA115" s="145"/>
      <c r="AB115" s="145"/>
      <c r="AC115" s="145"/>
      <c r="AD115" s="145"/>
      <c r="AE115" s="145"/>
      <c r="AF115" s="145"/>
      <c r="AG115" s="145"/>
      <c r="AH115" s="145"/>
      <c r="AI115" s="145"/>
      <c r="AJ115" s="145"/>
      <c r="AK115" s="145"/>
      <c r="AL115" s="145"/>
      <c r="AM115" s="145"/>
      <c r="AN115" s="145"/>
      <c r="AO115" s="145"/>
      <c r="AP115" s="145"/>
      <c r="AQ115" s="145"/>
      <c r="AR115" s="145"/>
      <c r="AS115" s="145"/>
      <c r="AT115" s="145"/>
      <c r="AU115" s="145"/>
      <c r="AV115" s="145"/>
      <c r="AW115" s="145"/>
      <c r="AX115" s="145"/>
      <c r="AY115" s="145"/>
      <c r="AZ115" s="145"/>
      <c r="BA115" s="145"/>
      <c r="BB115" s="145"/>
      <c r="BC115" s="145"/>
      <c r="BD115" s="145"/>
      <c r="BE115" s="145"/>
      <c r="BF115" s="145"/>
      <c r="BG115" s="145"/>
      <c r="BH115" s="145"/>
      <c r="BI115" s="145"/>
      <c r="BJ115" s="145"/>
      <c r="BK115" s="145"/>
      <c r="BL115" s="145"/>
      <c r="BM115" s="145"/>
      <c r="BN115" s="145"/>
      <c r="BO115" s="145"/>
      <c r="BP115" s="145"/>
      <c r="BQ115" s="145"/>
      <c r="BR115" s="145"/>
      <c r="BS115" s="145"/>
      <c r="BT115" s="145"/>
      <c r="BU115" s="145"/>
      <c r="BV115" s="145"/>
      <c r="BW115" s="145"/>
    </row>
    <row r="116" spans="1:75" ht="20.100000000000001" customHeight="1">
      <c r="A116" s="170" t="str">
        <f>IF(M2S_Eligibility_List!$B103&lt;&gt;"",RIGHT(M2S_Eligibility_List!$B103,LEN(M2S_Eligibility_List!$B103)-LEN(nmADwSP)),0)</f>
        <v>PowerShape - Ultimate</v>
      </c>
      <c r="B116" s="170" t="str">
        <f>IF(M2S_Eligibility_List!$B103&lt;&gt;"",RIGHT(M2S_Eligibility_List!$B103,LEN(M2S_Eligibility_List!$B103)-LEN(nmADwSP)),0)</f>
        <v>PowerShape - Ultimate</v>
      </c>
      <c r="C116" s="147" t="str">
        <f>SUBSTITUTE(_xlfn.IFNA(INDEX(M2S_Eligibility_List!$C$21:$BV$21,1,MATCH(C$271,$C353:$BW353,0)),""),nmADwSP,"")</f>
        <v>PowerShape - Ultimate</v>
      </c>
      <c r="D116" s="147" t="str">
        <f>SUBSTITUTE(_xlfn.IFNA(INDEX(M2S_Eligibility_List!$C$21:$BV$21,1,MATCH(D$271,$C353:$BW353,0)),""),nmADwSP,"")</f>
        <v/>
      </c>
      <c r="E116" s="147" t="str">
        <f>SUBSTITUTE(_xlfn.IFNA(INDEX(M2S_Eligibility_List!$C$21:$BV$21,1,MATCH(E$271,$C353:$BW353,0)),""),nmADwSP,"")</f>
        <v/>
      </c>
      <c r="F116" s="147" t="str">
        <f>SUBSTITUTE(_xlfn.IFNA(INDEX(M2S_Eligibility_List!$C$21:$BV$21,1,MATCH(F$271,$C353:$BW353,0)),""),nmADwSP,"")</f>
        <v/>
      </c>
      <c r="G116" s="147" t="str">
        <f>SUBSTITUTE(_xlfn.IFNA(INDEX(M2S_Eligibility_List!$C$21:$BV$21,1,MATCH(G$271,$C353:$BW353,0)),""),nmADwSP,"")</f>
        <v/>
      </c>
      <c r="H116" s="147" t="str">
        <f>SUBSTITUTE(_xlfn.IFNA(INDEX(M2S_Eligibility_List!$C$21:$BV$21,1,MATCH(H$271,$C353:$BW353,0)),""),nmADwSP,"")</f>
        <v/>
      </c>
      <c r="I116" s="147" t="str">
        <f>SUBSTITUTE(_xlfn.IFNA(INDEX(M2S_Eligibility_List!$C$21:$BV$21,1,MATCH(I$271,$C353:$BW353,0)),""),nmADwSP,"")</f>
        <v/>
      </c>
      <c r="J116" s="147" t="str">
        <f>SUBSTITUTE(_xlfn.IFNA(INDEX(M2S_Eligibility_List!$C$21:$BV$21,1,MATCH(J$271,$C353:$BW353,0)),""),nmADwSP,"")</f>
        <v/>
      </c>
      <c r="K116" s="147" t="str">
        <f>SUBSTITUTE(_xlfn.IFNA(INDEX(M2S_Eligibility_List!$C$21:$BV$21,1,MATCH(K$271,$C353:$BW353,0)),""),nmADwSP,"")</f>
        <v/>
      </c>
      <c r="L116" s="147" t="str">
        <f>SUBSTITUTE(_xlfn.IFNA(INDEX(M2S_Eligibility_List!$C$21:$BV$21,1,MATCH(L$271,$C353:$BW353,0)),""),nmADwSP,"")</f>
        <v/>
      </c>
      <c r="M116" s="147" t="str">
        <f>SUBSTITUTE(_xlfn.IFNA(INDEX(M2S_Eligibility_List!$C$21:$BV$21,1,MATCH(M$271,$C353:$BW353,0)),""),nmADwSP,"")</f>
        <v/>
      </c>
      <c r="N116" s="147" t="str">
        <f>SUBSTITUTE(_xlfn.IFNA(INDEX(M2S_Eligibility_List!$C$21:$BV$21,1,MATCH(N$271,$C353:$BW353,0)),""),nmADwSP,"")</f>
        <v/>
      </c>
      <c r="O116" s="145"/>
      <c r="P116" s="145"/>
      <c r="Q116" s="145"/>
      <c r="R116" s="145"/>
      <c r="S116" s="145"/>
      <c r="T116" s="145"/>
      <c r="U116" s="145"/>
      <c r="V116" s="145"/>
      <c r="W116" s="145"/>
      <c r="X116" s="145"/>
      <c r="Y116" s="145"/>
      <c r="Z116" s="145"/>
      <c r="AA116" s="145"/>
      <c r="AB116" s="145"/>
      <c r="AC116" s="145"/>
      <c r="AD116" s="145"/>
      <c r="AE116" s="145"/>
      <c r="AF116" s="145"/>
      <c r="AG116" s="145"/>
      <c r="AH116" s="145"/>
      <c r="AI116" s="145"/>
      <c r="AJ116" s="145"/>
      <c r="AK116" s="145"/>
      <c r="AL116" s="145"/>
      <c r="AM116" s="145"/>
      <c r="AN116" s="145"/>
      <c r="AO116" s="145"/>
      <c r="AP116" s="145"/>
      <c r="AQ116" s="145"/>
      <c r="AR116" s="145"/>
      <c r="AS116" s="145"/>
      <c r="AT116" s="145"/>
      <c r="AU116" s="145"/>
      <c r="AV116" s="145"/>
      <c r="AW116" s="145"/>
      <c r="AX116" s="145"/>
      <c r="AY116" s="145"/>
      <c r="AZ116" s="145"/>
      <c r="BA116" s="145"/>
      <c r="BB116" s="145"/>
      <c r="BC116" s="145"/>
      <c r="BD116" s="145"/>
      <c r="BE116" s="145"/>
      <c r="BF116" s="145"/>
      <c r="BG116" s="145"/>
      <c r="BH116" s="145"/>
      <c r="BI116" s="145"/>
      <c r="BJ116" s="145"/>
      <c r="BK116" s="145"/>
      <c r="BL116" s="145"/>
      <c r="BM116" s="145"/>
      <c r="BN116" s="145"/>
      <c r="BO116" s="145"/>
      <c r="BP116" s="145"/>
      <c r="BQ116" s="145"/>
      <c r="BR116" s="145"/>
      <c r="BS116" s="145"/>
      <c r="BT116" s="145"/>
      <c r="BU116" s="145"/>
      <c r="BV116" s="145"/>
      <c r="BW116" s="145"/>
    </row>
    <row r="117" spans="1:75" ht="20.100000000000001" customHeight="1">
      <c r="A117" s="170" t="str">
        <f>IF(M2S_Eligibility_List!$B104&lt;&gt;"",RIGHT(M2S_Eligibility_List!$B104,LEN(M2S_Eligibility_List!$B104)-LEN(nmADwSP)),0)</f>
        <v>Product Design Suite Premium</v>
      </c>
      <c r="B117" s="170" t="str">
        <f>IF(M2S_Eligibility_List!$B104&lt;&gt;"",RIGHT(M2S_Eligibility_List!$B104,LEN(M2S_Eligibility_List!$B104)-LEN(nmADwSP)),0)</f>
        <v>Product Design Suite Premium</v>
      </c>
      <c r="C117" s="147" t="str">
        <f>SUBSTITUTE(_xlfn.IFNA(INDEX(M2S_Eligibility_List!$C$21:$BV$21,1,MATCH(C$271,$C354:$BW354,0)),""),nmADwSP,"")</f>
        <v>Architecture Engineering Construction Collection</v>
      </c>
      <c r="D117" s="147" t="str">
        <f>SUBSTITUTE(_xlfn.IFNA(INDEX(M2S_Eligibility_List!$C$21:$BV$21,1,MATCH(D$271,$C354:$BW354,0)),""),nmADwSP,"")</f>
        <v>Product Design &amp; Manufacturing Collection</v>
      </c>
      <c r="E117" s="147" t="str">
        <f>SUBSTITUTE(_xlfn.IFNA(INDEX(M2S_Eligibility_List!$C$21:$BV$21,1,MATCH(E$271,$C354:$BW354,0)),""),nmADwSP,"")</f>
        <v/>
      </c>
      <c r="F117" s="147" t="str">
        <f>SUBSTITUTE(_xlfn.IFNA(INDEX(M2S_Eligibility_List!$C$21:$BV$21,1,MATCH(F$271,$C354:$BW354,0)),""),nmADwSP,"")</f>
        <v/>
      </c>
      <c r="G117" s="147" t="str">
        <f>SUBSTITUTE(_xlfn.IFNA(INDEX(M2S_Eligibility_List!$C$21:$BV$21,1,MATCH(G$271,$C354:$BW354,0)),""),nmADwSP,"")</f>
        <v/>
      </c>
      <c r="H117" s="147" t="str">
        <f>SUBSTITUTE(_xlfn.IFNA(INDEX(M2S_Eligibility_List!$C$21:$BV$21,1,MATCH(H$271,$C354:$BW354,0)),""),nmADwSP,"")</f>
        <v/>
      </c>
      <c r="I117" s="147" t="str">
        <f>SUBSTITUTE(_xlfn.IFNA(INDEX(M2S_Eligibility_List!$C$21:$BV$21,1,MATCH(I$271,$C354:$BW354,0)),""),nmADwSP,"")</f>
        <v/>
      </c>
      <c r="J117" s="147" t="str">
        <f>SUBSTITUTE(_xlfn.IFNA(INDEX(M2S_Eligibility_List!$C$21:$BV$21,1,MATCH(J$271,$C354:$BW354,0)),""),nmADwSP,"")</f>
        <v/>
      </c>
      <c r="K117" s="147" t="str">
        <f>SUBSTITUTE(_xlfn.IFNA(INDEX(M2S_Eligibility_List!$C$21:$BV$21,1,MATCH(K$271,$C354:$BW354,0)),""),nmADwSP,"")</f>
        <v/>
      </c>
      <c r="L117" s="147" t="str">
        <f>SUBSTITUTE(_xlfn.IFNA(INDEX(M2S_Eligibility_List!$C$21:$BV$21,1,MATCH(L$271,$C354:$BW354,0)),""),nmADwSP,"")</f>
        <v/>
      </c>
      <c r="M117" s="147" t="str">
        <f>SUBSTITUTE(_xlfn.IFNA(INDEX(M2S_Eligibility_List!$C$21:$BV$21,1,MATCH(M$271,$C354:$BW354,0)),""),nmADwSP,"")</f>
        <v/>
      </c>
      <c r="N117" s="147" t="str">
        <f>SUBSTITUTE(_xlfn.IFNA(INDEX(M2S_Eligibility_List!$C$21:$BV$21,1,MATCH(N$271,$C354:$BW354,0)),""),nmADwSP,"")</f>
        <v/>
      </c>
      <c r="O117" s="145"/>
      <c r="P117" s="145"/>
      <c r="Q117" s="145"/>
      <c r="R117" s="145"/>
      <c r="S117" s="145"/>
      <c r="T117" s="145"/>
      <c r="U117" s="145"/>
      <c r="V117" s="145"/>
      <c r="W117" s="145"/>
      <c r="X117" s="145"/>
      <c r="Y117" s="145"/>
      <c r="Z117" s="145"/>
      <c r="AA117" s="145"/>
      <c r="AB117" s="145"/>
      <c r="AC117" s="145"/>
      <c r="AD117" s="145"/>
      <c r="AE117" s="145"/>
      <c r="AF117" s="145"/>
      <c r="AG117" s="145"/>
      <c r="AH117" s="145"/>
      <c r="AI117" s="145"/>
      <c r="AJ117" s="145"/>
      <c r="AK117" s="145"/>
      <c r="AL117" s="145"/>
      <c r="AM117" s="145"/>
      <c r="AN117" s="145"/>
      <c r="AO117" s="145"/>
      <c r="AP117" s="145"/>
      <c r="AQ117" s="145"/>
      <c r="AR117" s="145"/>
      <c r="AS117" s="145"/>
      <c r="AT117" s="145"/>
      <c r="AU117" s="145"/>
      <c r="AV117" s="145"/>
      <c r="AW117" s="145"/>
      <c r="AX117" s="145"/>
      <c r="AY117" s="145"/>
      <c r="AZ117" s="145"/>
      <c r="BA117" s="145"/>
      <c r="BB117" s="145"/>
      <c r="BC117" s="145"/>
      <c r="BD117" s="145"/>
      <c r="BE117" s="145"/>
      <c r="BF117" s="145"/>
      <c r="BG117" s="145"/>
      <c r="BH117" s="145"/>
      <c r="BI117" s="145"/>
      <c r="BJ117" s="145"/>
      <c r="BK117" s="145"/>
      <c r="BL117" s="145"/>
      <c r="BM117" s="145"/>
      <c r="BN117" s="145"/>
      <c r="BO117" s="145"/>
      <c r="BP117" s="145"/>
      <c r="BQ117" s="145"/>
      <c r="BR117" s="145"/>
      <c r="BS117" s="145"/>
      <c r="BT117" s="145"/>
      <c r="BU117" s="145"/>
      <c r="BV117" s="145"/>
      <c r="BW117" s="145"/>
    </row>
    <row r="118" spans="1:75" ht="20.100000000000001" customHeight="1">
      <c r="A118" s="170" t="str">
        <f>IF(M2S_Eligibility_List!$B105&lt;&gt;"",RIGHT(M2S_Eligibility_List!$B105,LEN(M2S_Eligibility_List!$B105)-LEN(nmADwSP)),0)</f>
        <v>Product Design Suite Ultimate</v>
      </c>
      <c r="B118" s="170" t="str">
        <f>IF(M2S_Eligibility_List!$B105&lt;&gt;"",RIGHT(M2S_Eligibility_List!$B105,LEN(M2S_Eligibility_List!$B105)-LEN(nmADwSP)),0)</f>
        <v>Product Design Suite Ultimate</v>
      </c>
      <c r="C118" s="147" t="str">
        <f>SUBSTITUTE(_xlfn.IFNA(INDEX(M2S_Eligibility_List!$C$21:$BV$21,1,MATCH(C$271,$C355:$BW355,0)),""),nmADwSP,"")</f>
        <v>Architecture Engineering Construction Collection</v>
      </c>
      <c r="D118" s="147" t="str">
        <f>SUBSTITUTE(_xlfn.IFNA(INDEX(M2S_Eligibility_List!$C$21:$BV$21,1,MATCH(D$271,$C355:$BW355,0)),""),nmADwSP,"")</f>
        <v>Product Design &amp; Manufacturing Collection</v>
      </c>
      <c r="E118" s="147" t="str">
        <f>SUBSTITUTE(_xlfn.IFNA(INDEX(M2S_Eligibility_List!$C$21:$BV$21,1,MATCH(E$271,$C355:$BW355,0)),""),nmADwSP,"")</f>
        <v/>
      </c>
      <c r="F118" s="147" t="str">
        <f>SUBSTITUTE(_xlfn.IFNA(INDEX(M2S_Eligibility_List!$C$21:$BV$21,1,MATCH(F$271,$C355:$BW355,0)),""),nmADwSP,"")</f>
        <v/>
      </c>
      <c r="G118" s="147" t="str">
        <f>SUBSTITUTE(_xlfn.IFNA(INDEX(M2S_Eligibility_List!$C$21:$BV$21,1,MATCH(G$271,$C355:$BW355,0)),""),nmADwSP,"")</f>
        <v/>
      </c>
      <c r="H118" s="147" t="str">
        <f>SUBSTITUTE(_xlfn.IFNA(INDEX(M2S_Eligibility_List!$C$21:$BV$21,1,MATCH(H$271,$C355:$BW355,0)),""),nmADwSP,"")</f>
        <v/>
      </c>
      <c r="I118" s="147" t="str">
        <f>SUBSTITUTE(_xlfn.IFNA(INDEX(M2S_Eligibility_List!$C$21:$BV$21,1,MATCH(I$271,$C355:$BW355,0)),""),nmADwSP,"")</f>
        <v/>
      </c>
      <c r="J118" s="147" t="str">
        <f>SUBSTITUTE(_xlfn.IFNA(INDEX(M2S_Eligibility_List!$C$21:$BV$21,1,MATCH(J$271,$C355:$BW355,0)),""),nmADwSP,"")</f>
        <v/>
      </c>
      <c r="K118" s="147" t="str">
        <f>SUBSTITUTE(_xlfn.IFNA(INDEX(M2S_Eligibility_List!$C$21:$BV$21,1,MATCH(K$271,$C355:$BW355,0)),""),nmADwSP,"")</f>
        <v/>
      </c>
      <c r="L118" s="147" t="str">
        <f>SUBSTITUTE(_xlfn.IFNA(INDEX(M2S_Eligibility_List!$C$21:$BV$21,1,MATCH(L$271,$C355:$BW355,0)),""),nmADwSP,"")</f>
        <v/>
      </c>
      <c r="M118" s="147" t="str">
        <f>SUBSTITUTE(_xlfn.IFNA(INDEX(M2S_Eligibility_List!$C$21:$BV$21,1,MATCH(M$271,$C355:$BW355,0)),""),nmADwSP,"")</f>
        <v/>
      </c>
      <c r="N118" s="147" t="str">
        <f>SUBSTITUTE(_xlfn.IFNA(INDEX(M2S_Eligibility_List!$C$21:$BV$21,1,MATCH(N$271,$C355:$BW355,0)),""),nmADwSP,"")</f>
        <v/>
      </c>
      <c r="O118" s="145"/>
      <c r="P118" s="145"/>
      <c r="Q118" s="145"/>
      <c r="R118" s="145"/>
      <c r="S118" s="145"/>
      <c r="T118" s="145"/>
      <c r="U118" s="145"/>
      <c r="V118" s="145"/>
      <c r="W118" s="145"/>
      <c r="X118" s="145"/>
      <c r="Y118" s="145"/>
      <c r="Z118" s="145"/>
      <c r="AA118" s="145"/>
      <c r="AB118" s="145"/>
      <c r="AC118" s="145"/>
      <c r="AD118" s="145"/>
      <c r="AE118" s="145"/>
      <c r="AF118" s="145"/>
      <c r="AG118" s="145"/>
      <c r="AH118" s="145"/>
      <c r="AI118" s="145"/>
      <c r="AJ118" s="145"/>
      <c r="AK118" s="145"/>
      <c r="AL118" s="145"/>
      <c r="AM118" s="145"/>
      <c r="AN118" s="145"/>
      <c r="AO118" s="145"/>
      <c r="AP118" s="145"/>
      <c r="AQ118" s="145"/>
      <c r="AR118" s="145"/>
      <c r="AS118" s="145"/>
      <c r="AT118" s="145"/>
      <c r="AU118" s="145"/>
      <c r="AV118" s="145"/>
      <c r="AW118" s="145"/>
      <c r="AX118" s="145"/>
      <c r="AY118" s="145"/>
      <c r="AZ118" s="145"/>
      <c r="BA118" s="145"/>
      <c r="BB118" s="145"/>
      <c r="BC118" s="145"/>
      <c r="BD118" s="145"/>
      <c r="BE118" s="145"/>
      <c r="BF118" s="145"/>
      <c r="BG118" s="145"/>
      <c r="BH118" s="145"/>
      <c r="BI118" s="145"/>
      <c r="BJ118" s="145"/>
      <c r="BK118" s="145"/>
      <c r="BL118" s="145"/>
      <c r="BM118" s="145"/>
      <c r="BN118" s="145"/>
      <c r="BO118" s="145"/>
      <c r="BP118" s="145"/>
      <c r="BQ118" s="145"/>
      <c r="BR118" s="145"/>
      <c r="BS118" s="145"/>
      <c r="BT118" s="145"/>
      <c r="BU118" s="145"/>
      <c r="BV118" s="145"/>
      <c r="BW118" s="145"/>
    </row>
    <row r="119" spans="1:75" ht="20.100000000000001" customHeight="1">
      <c r="A119" s="170" t="str">
        <f>IF(M2S_Eligibility_List!$B106&lt;&gt;"",RIGHT(M2S_Eligibility_List!$B106,LEN(M2S_Eligibility_List!$B106)-LEN(nmADwSP)),0)</f>
        <v>Quantity Take Off</v>
      </c>
      <c r="B119" s="367" t="str">
        <f>IF(decCurrency=nmJPY,"",IF(M2S_Eligibility_List!$B106&lt;&gt;"",RIGHT(M2S_Eligibility_List!$B106,LEN(M2S_Eligibility_List!$B106)-LEN(nmADwSP)),0))</f>
        <v>Quantity Take Off</v>
      </c>
      <c r="C119" s="367" t="str">
        <f>IF(decCurrency=nmJPY,"",SUBSTITUTE(_xlfn.IFNA(INDEX(M2S_Eligibility_List!$C$21:$BV$21,1,MATCH(C$271,$C356:$BW356,0)),""),nmADwSP,""))</f>
        <v>Architecture Engineering Construction Collection</v>
      </c>
      <c r="D119" s="367" t="str">
        <f>IF(decCurrency=nmJPY,"",SUBSTITUTE(_xlfn.IFNA(INDEX(M2S_Eligibility_List!$C$21:$BV$21,1,MATCH(D$271,$C356:$BW356,0)),""),nmADwSP,""))</f>
        <v>Navisworks Manage*</v>
      </c>
      <c r="E119" s="367" t="str">
        <f>IF(decCurrency=nmJPY,"",SUBSTITUTE(_xlfn.IFNA(INDEX(M2S_Eligibility_List!$C$21:$BV$21,1,MATCH(E$271,$C356:$BW356,0)),""),nmADwSP,""))</f>
        <v>Navisworks Simulate</v>
      </c>
      <c r="F119" s="147" t="str">
        <f>SUBSTITUTE(_xlfn.IFNA(INDEX(M2S_Eligibility_List!$C$21:$BV$21,1,MATCH(F$271,$C356:$BW356,0)),""),nmADwSP,"")</f>
        <v/>
      </c>
      <c r="G119" s="147" t="str">
        <f>SUBSTITUTE(_xlfn.IFNA(INDEX(M2S_Eligibility_List!$C$21:$BV$21,1,MATCH(G$271,$C356:$BW356,0)),""),nmADwSP,"")</f>
        <v/>
      </c>
      <c r="H119" s="147" t="str">
        <f>SUBSTITUTE(_xlfn.IFNA(INDEX(M2S_Eligibility_List!$C$21:$BV$21,1,MATCH(H$271,$C356:$BW356,0)),""),nmADwSP,"")</f>
        <v/>
      </c>
      <c r="I119" s="147" t="str">
        <f>SUBSTITUTE(_xlfn.IFNA(INDEX(M2S_Eligibility_List!$C$21:$BV$21,1,MATCH(I$271,$C356:$BW356,0)),""),nmADwSP,"")</f>
        <v/>
      </c>
      <c r="J119" s="147" t="str">
        <f>SUBSTITUTE(_xlfn.IFNA(INDEX(M2S_Eligibility_List!$C$21:$BV$21,1,MATCH(J$271,$C356:$BW356,0)),""),nmADwSP,"")</f>
        <v/>
      </c>
      <c r="K119" s="147" t="str">
        <f>SUBSTITUTE(_xlfn.IFNA(INDEX(M2S_Eligibility_List!$C$21:$BV$21,1,MATCH(K$271,$C356:$BW356,0)),""),nmADwSP,"")</f>
        <v/>
      </c>
      <c r="L119" s="147" t="str">
        <f>SUBSTITUTE(_xlfn.IFNA(INDEX(M2S_Eligibility_List!$C$21:$BV$21,1,MATCH(L$271,$C356:$BW356,0)),""),nmADwSP,"")</f>
        <v/>
      </c>
      <c r="M119" s="147" t="str">
        <f>SUBSTITUTE(_xlfn.IFNA(INDEX(M2S_Eligibility_List!$C$21:$BV$21,1,MATCH(M$271,$C356:$BW356,0)),""),nmADwSP,"")</f>
        <v/>
      </c>
      <c r="N119" s="147" t="str">
        <f>SUBSTITUTE(_xlfn.IFNA(INDEX(M2S_Eligibility_List!$C$21:$BV$21,1,MATCH(N$271,$C356:$BW356,0)),""),nmADwSP,"")</f>
        <v/>
      </c>
      <c r="O119" s="145"/>
      <c r="P119" s="145"/>
      <c r="Q119" s="145"/>
      <c r="R119" s="145"/>
      <c r="S119" s="145"/>
      <c r="T119" s="145"/>
      <c r="U119" s="145"/>
      <c r="V119" s="145"/>
      <c r="W119" s="145"/>
      <c r="X119" s="145"/>
      <c r="Y119" s="145"/>
      <c r="Z119" s="145"/>
      <c r="AA119" s="145"/>
      <c r="AB119" s="145"/>
      <c r="AC119" s="145"/>
      <c r="AD119" s="145"/>
      <c r="AE119" s="145"/>
      <c r="AF119" s="145"/>
      <c r="AG119" s="145"/>
      <c r="AH119" s="145"/>
      <c r="AI119" s="145"/>
      <c r="AJ119" s="145"/>
      <c r="AK119" s="145"/>
      <c r="AL119" s="145"/>
      <c r="AM119" s="145"/>
      <c r="AN119" s="145"/>
      <c r="AO119" s="145"/>
      <c r="AP119" s="145"/>
      <c r="AQ119" s="145"/>
      <c r="AR119" s="145"/>
      <c r="AS119" s="145"/>
      <c r="AT119" s="145"/>
      <c r="AU119" s="145"/>
      <c r="AV119" s="145"/>
      <c r="AW119" s="145"/>
      <c r="AX119" s="145"/>
      <c r="AY119" s="145"/>
      <c r="AZ119" s="145"/>
      <c r="BA119" s="145"/>
      <c r="BB119" s="145"/>
      <c r="BC119" s="145"/>
      <c r="BD119" s="145"/>
      <c r="BE119" s="145"/>
      <c r="BF119" s="145"/>
      <c r="BG119" s="145"/>
      <c r="BH119" s="145"/>
      <c r="BI119" s="145"/>
      <c r="BJ119" s="145"/>
      <c r="BK119" s="145"/>
      <c r="BL119" s="145"/>
      <c r="BM119" s="145"/>
      <c r="BN119" s="145"/>
      <c r="BO119" s="145"/>
      <c r="BP119" s="145"/>
      <c r="BQ119" s="145"/>
      <c r="BR119" s="145"/>
      <c r="BS119" s="145"/>
      <c r="BT119" s="145"/>
      <c r="BU119" s="145"/>
      <c r="BV119" s="145"/>
      <c r="BW119" s="145"/>
    </row>
    <row r="120" spans="1:75" ht="20.100000000000001" customHeight="1">
      <c r="A120" s="170" t="str">
        <f>IF(M2S_Eligibility_List!$B107&lt;&gt;"",RIGHT(M2S_Eligibility_List!$B107,LEN(M2S_Eligibility_List!$B107)-LEN(nmADwSP)),0)</f>
        <v>Revit</v>
      </c>
      <c r="B120" s="170" t="str">
        <f>IF(M2S_Eligibility_List!$B107&lt;&gt;"",RIGHT(M2S_Eligibility_List!$B107,LEN(M2S_Eligibility_List!$B107)-LEN(nmADwSP)),0)</f>
        <v>Revit</v>
      </c>
      <c r="C120" s="147" t="str">
        <f>SUBSTITUTE(_xlfn.IFNA(INDEX(M2S_Eligibility_List!$C$21:$BV$21,1,MATCH(C$271,$C357:$BW357,0)),""),nmADwSP,"")</f>
        <v>Architecture Engineering Construction Collection</v>
      </c>
      <c r="D120" s="147" t="str">
        <f>SUBSTITUTE(_xlfn.IFNA(INDEX(M2S_Eligibility_List!$C$21:$BV$21,1,MATCH(D$271,$C357:$BW357,0)),""),nmADwSP,"")</f>
        <v>Revit</v>
      </c>
      <c r="E120" s="147" t="str">
        <f>SUBSTITUTE(_xlfn.IFNA(INDEX(M2S_Eligibility_List!$C$21:$BV$21,1,MATCH(E$271,$C357:$BW357,0)),""),nmADwSP,"")</f>
        <v/>
      </c>
      <c r="F120" s="147" t="str">
        <f>SUBSTITUTE(_xlfn.IFNA(INDEX(M2S_Eligibility_List!$C$21:$BV$21,1,MATCH(F$271,$C357:$BW357,0)),""),nmADwSP,"")</f>
        <v/>
      </c>
      <c r="G120" s="147" t="str">
        <f>SUBSTITUTE(_xlfn.IFNA(INDEX(M2S_Eligibility_List!$C$21:$BV$21,1,MATCH(G$271,$C357:$BW357,0)),""),nmADwSP,"")</f>
        <v/>
      </c>
      <c r="H120" s="147" t="str">
        <f>SUBSTITUTE(_xlfn.IFNA(INDEX(M2S_Eligibility_List!$C$21:$BV$21,1,MATCH(H$271,$C357:$BW357,0)),""),nmADwSP,"")</f>
        <v/>
      </c>
      <c r="I120" s="147" t="str">
        <f>SUBSTITUTE(_xlfn.IFNA(INDEX(M2S_Eligibility_List!$C$21:$BV$21,1,MATCH(I$271,$C357:$BW357,0)),""),nmADwSP,"")</f>
        <v/>
      </c>
      <c r="J120" s="147" t="str">
        <f>SUBSTITUTE(_xlfn.IFNA(INDEX(M2S_Eligibility_List!$C$21:$BV$21,1,MATCH(J$271,$C357:$BW357,0)),""),nmADwSP,"")</f>
        <v/>
      </c>
      <c r="K120" s="147" t="str">
        <f>SUBSTITUTE(_xlfn.IFNA(INDEX(M2S_Eligibility_List!$C$21:$BV$21,1,MATCH(K$271,$C357:$BW357,0)),""),nmADwSP,"")</f>
        <v/>
      </c>
      <c r="L120" s="147" t="str">
        <f>SUBSTITUTE(_xlfn.IFNA(INDEX(M2S_Eligibility_List!$C$21:$BV$21,1,MATCH(L$271,$C357:$BW357,0)),""),nmADwSP,"")</f>
        <v/>
      </c>
      <c r="M120" s="147" t="str">
        <f>SUBSTITUTE(_xlfn.IFNA(INDEX(M2S_Eligibility_List!$C$21:$BV$21,1,MATCH(M$271,$C357:$BW357,0)),""),nmADwSP,"")</f>
        <v/>
      </c>
      <c r="N120" s="147" t="str">
        <f>SUBSTITUTE(_xlfn.IFNA(INDEX(M2S_Eligibility_List!$C$21:$BV$21,1,MATCH(N$271,$C357:$BW357,0)),""),nmADwSP,"")</f>
        <v/>
      </c>
      <c r="O120" s="145"/>
      <c r="P120" s="145"/>
      <c r="Q120" s="145"/>
      <c r="R120" s="145"/>
      <c r="S120" s="145"/>
      <c r="T120" s="145"/>
      <c r="U120" s="145"/>
      <c r="V120" s="145"/>
      <c r="W120" s="145"/>
      <c r="X120" s="145"/>
      <c r="Y120" s="145"/>
      <c r="Z120" s="145"/>
      <c r="AA120" s="145"/>
      <c r="AB120" s="145"/>
      <c r="AC120" s="145"/>
      <c r="AD120" s="145"/>
      <c r="AE120" s="145"/>
      <c r="AF120" s="145"/>
      <c r="AG120" s="145"/>
      <c r="AH120" s="145"/>
      <c r="AI120" s="145"/>
      <c r="AJ120" s="145"/>
      <c r="AK120" s="145"/>
      <c r="AL120" s="145"/>
      <c r="AM120" s="145"/>
      <c r="AN120" s="145"/>
      <c r="AO120" s="145"/>
      <c r="AP120" s="145"/>
      <c r="AQ120" s="145"/>
      <c r="AR120" s="145"/>
      <c r="AS120" s="145"/>
      <c r="AT120" s="145"/>
      <c r="AU120" s="145"/>
      <c r="AV120" s="145"/>
      <c r="AW120" s="145"/>
      <c r="AX120" s="145"/>
      <c r="AY120" s="145"/>
      <c r="AZ120" s="145"/>
      <c r="BA120" s="145"/>
      <c r="BB120" s="145"/>
      <c r="BC120" s="145"/>
      <c r="BD120" s="145"/>
      <c r="BE120" s="145"/>
      <c r="BF120" s="145"/>
      <c r="BG120" s="145"/>
      <c r="BH120" s="145"/>
      <c r="BI120" s="145"/>
      <c r="BJ120" s="145"/>
      <c r="BK120" s="145"/>
      <c r="BL120" s="145"/>
      <c r="BM120" s="145"/>
      <c r="BN120" s="145"/>
      <c r="BO120" s="145"/>
      <c r="BP120" s="145"/>
      <c r="BQ120" s="145"/>
      <c r="BR120" s="145"/>
      <c r="BS120" s="145"/>
      <c r="BT120" s="145"/>
      <c r="BU120" s="145"/>
      <c r="BV120" s="145"/>
      <c r="BW120" s="145"/>
    </row>
    <row r="121" spans="1:75" ht="20.100000000000001" customHeight="1">
      <c r="A121" s="170" t="str">
        <f>IF(M2S_Eligibility_List!$B108&lt;&gt;"",RIGHT(M2S_Eligibility_List!$B108,LEN(M2S_Eligibility_List!$B108)-LEN(nmADwSP)),0)</f>
        <v>Revit Architecture</v>
      </c>
      <c r="B121" s="170" t="str">
        <f>IF(M2S_Eligibility_List!$B108&lt;&gt;"",RIGHT(M2S_Eligibility_List!$B108,LEN(M2S_Eligibility_List!$B108)-LEN(nmADwSP)),0)</f>
        <v>Revit Architecture</v>
      </c>
      <c r="C121" s="147" t="str">
        <f>SUBSTITUTE(_xlfn.IFNA(INDEX(M2S_Eligibility_List!$C$21:$BV$21,1,MATCH(C$271,$C358:$BW358,0)),""),nmADwSP,"")</f>
        <v>Architecture Engineering Construction Collection</v>
      </c>
      <c r="D121" s="147" t="str">
        <f>SUBSTITUTE(_xlfn.IFNA(INDEX(M2S_Eligibility_List!$C$21:$BV$21,1,MATCH(D$271,$C358:$BW358,0)),""),nmADwSP,"")</f>
        <v>Revit</v>
      </c>
      <c r="E121" s="147" t="str">
        <f>SUBSTITUTE(_xlfn.IFNA(INDEX(M2S_Eligibility_List!$C$21:$BV$21,1,MATCH(E$271,$C358:$BW358,0)),""),nmADwSP,"")</f>
        <v/>
      </c>
      <c r="F121" s="147" t="str">
        <f>SUBSTITUTE(_xlfn.IFNA(INDEX(M2S_Eligibility_List!$C$21:$BV$21,1,MATCH(F$271,$C358:$BW358,0)),""),nmADwSP,"")</f>
        <v/>
      </c>
      <c r="G121" s="147" t="str">
        <f>SUBSTITUTE(_xlfn.IFNA(INDEX(M2S_Eligibility_List!$C$21:$BV$21,1,MATCH(G$271,$C358:$BW358,0)),""),nmADwSP,"")</f>
        <v/>
      </c>
      <c r="H121" s="147" t="str">
        <f>SUBSTITUTE(_xlfn.IFNA(INDEX(M2S_Eligibility_List!$C$21:$BV$21,1,MATCH(H$271,$C358:$BW358,0)),""),nmADwSP,"")</f>
        <v/>
      </c>
      <c r="I121" s="147" t="str">
        <f>SUBSTITUTE(_xlfn.IFNA(INDEX(M2S_Eligibility_List!$C$21:$BV$21,1,MATCH(I$271,$C358:$BW358,0)),""),nmADwSP,"")</f>
        <v/>
      </c>
      <c r="J121" s="147" t="str">
        <f>SUBSTITUTE(_xlfn.IFNA(INDEX(M2S_Eligibility_List!$C$21:$BV$21,1,MATCH(J$271,$C358:$BW358,0)),""),nmADwSP,"")</f>
        <v/>
      </c>
      <c r="K121" s="147" t="str">
        <f>SUBSTITUTE(_xlfn.IFNA(INDEX(M2S_Eligibility_List!$C$21:$BV$21,1,MATCH(K$271,$C358:$BW358,0)),""),nmADwSP,"")</f>
        <v/>
      </c>
      <c r="L121" s="147" t="str">
        <f>SUBSTITUTE(_xlfn.IFNA(INDEX(M2S_Eligibility_List!$C$21:$BV$21,1,MATCH(L$271,$C358:$BW358,0)),""),nmADwSP,"")</f>
        <v/>
      </c>
      <c r="M121" s="147" t="str">
        <f>SUBSTITUTE(_xlfn.IFNA(INDEX(M2S_Eligibility_List!$C$21:$BV$21,1,MATCH(M$271,$C358:$BW358,0)),""),nmADwSP,"")</f>
        <v/>
      </c>
      <c r="N121" s="147" t="str">
        <f>SUBSTITUTE(_xlfn.IFNA(INDEX(M2S_Eligibility_List!$C$21:$BV$21,1,MATCH(N$271,$C358:$BW358,0)),""),nmADwSP,"")</f>
        <v/>
      </c>
      <c r="O121" s="145"/>
      <c r="P121" s="145"/>
      <c r="Q121" s="145"/>
      <c r="R121" s="145"/>
      <c r="S121" s="145"/>
      <c r="T121" s="145"/>
      <c r="U121" s="145"/>
      <c r="V121" s="145"/>
      <c r="W121" s="145"/>
      <c r="X121" s="145"/>
      <c r="Y121" s="145"/>
      <c r="Z121" s="145"/>
      <c r="AA121" s="145"/>
      <c r="AB121" s="145"/>
      <c r="AC121" s="145"/>
      <c r="AD121" s="145"/>
      <c r="AE121" s="145"/>
      <c r="AF121" s="145"/>
      <c r="AG121" s="145"/>
      <c r="AH121" s="145"/>
      <c r="AI121" s="145"/>
      <c r="AJ121" s="145"/>
      <c r="AK121" s="145"/>
      <c r="AL121" s="145"/>
      <c r="AM121" s="145"/>
      <c r="AN121" s="145"/>
      <c r="AO121" s="145"/>
      <c r="AP121" s="145"/>
      <c r="AQ121" s="145"/>
      <c r="AR121" s="145"/>
      <c r="AS121" s="145"/>
      <c r="AT121" s="145"/>
      <c r="AU121" s="145"/>
      <c r="AV121" s="145"/>
      <c r="AW121" s="145"/>
      <c r="AX121" s="145"/>
      <c r="AY121" s="145"/>
      <c r="AZ121" s="145"/>
      <c r="BA121" s="145"/>
      <c r="BB121" s="145"/>
      <c r="BC121" s="145"/>
      <c r="BD121" s="145"/>
      <c r="BE121" s="145"/>
      <c r="BF121" s="145"/>
      <c r="BG121" s="145"/>
      <c r="BH121" s="145"/>
      <c r="BI121" s="145"/>
      <c r="BJ121" s="145"/>
      <c r="BK121" s="145"/>
      <c r="BL121" s="145"/>
      <c r="BM121" s="145"/>
      <c r="BN121" s="145"/>
      <c r="BO121" s="145"/>
      <c r="BP121" s="145"/>
      <c r="BQ121" s="145"/>
      <c r="BR121" s="145"/>
      <c r="BS121" s="145"/>
      <c r="BT121" s="145"/>
      <c r="BU121" s="145"/>
      <c r="BV121" s="145"/>
      <c r="BW121" s="145"/>
    </row>
    <row r="122" spans="1:75" ht="20.100000000000001" customHeight="1">
      <c r="A122" s="170" t="str">
        <f>IF(M2S_Eligibility_List!$B109&lt;&gt;"",RIGHT(M2S_Eligibility_List!$B109,LEN(M2S_Eligibility_List!$B109)-LEN(nmADwSP)),0)</f>
        <v>Revit LT</v>
      </c>
      <c r="B122" s="170" t="str">
        <f>IF(M2S_Eligibility_List!$B109&lt;&gt;"",RIGHT(M2S_Eligibility_List!$B109,LEN(M2S_Eligibility_List!$B109)-LEN(nmADwSP)),0)</f>
        <v>Revit LT</v>
      </c>
      <c r="C122" s="147" t="str">
        <f>SUBSTITUTE(_xlfn.IFNA(INDEX(M2S_Eligibility_List!$C$21:$BV$21,1,MATCH(C$271,$C359:$BW359,0)),""),nmADwSP,"")</f>
        <v>Revit LT</v>
      </c>
      <c r="D122" s="147" t="str">
        <f>SUBSTITUTE(_xlfn.IFNA(INDEX(M2S_Eligibility_List!$C$21:$BV$21,1,MATCH(D$271,$C359:$BW359,0)),""),nmADwSP,"")</f>
        <v>AutoCAD Revit LT Suite</v>
      </c>
      <c r="E122" s="147" t="str">
        <f>SUBSTITUTE(_xlfn.IFNA(INDEX(M2S_Eligibility_List!$C$21:$BV$21,1,MATCH(E$271,$C359:$BW359,0)),""),nmADwSP,"")</f>
        <v/>
      </c>
      <c r="F122" s="147" t="str">
        <f>SUBSTITUTE(_xlfn.IFNA(INDEX(M2S_Eligibility_List!$C$21:$BV$21,1,MATCH(F$271,$C359:$BW359,0)),""),nmADwSP,"")</f>
        <v/>
      </c>
      <c r="G122" s="147" t="str">
        <f>SUBSTITUTE(_xlfn.IFNA(INDEX(M2S_Eligibility_List!$C$21:$BV$21,1,MATCH(G$271,$C359:$BW359,0)),""),nmADwSP,"")</f>
        <v/>
      </c>
      <c r="H122" s="147" t="str">
        <f>SUBSTITUTE(_xlfn.IFNA(INDEX(M2S_Eligibility_List!$C$21:$BV$21,1,MATCH(H$271,$C359:$BW359,0)),""),nmADwSP,"")</f>
        <v/>
      </c>
      <c r="I122" s="147" t="str">
        <f>SUBSTITUTE(_xlfn.IFNA(INDEX(M2S_Eligibility_List!$C$21:$BV$21,1,MATCH(I$271,$C359:$BW359,0)),""),nmADwSP,"")</f>
        <v/>
      </c>
      <c r="J122" s="147" t="str">
        <f>SUBSTITUTE(_xlfn.IFNA(INDEX(M2S_Eligibility_List!$C$21:$BV$21,1,MATCH(J$271,$C359:$BW359,0)),""),nmADwSP,"")</f>
        <v/>
      </c>
      <c r="K122" s="147" t="str">
        <f>SUBSTITUTE(_xlfn.IFNA(INDEX(M2S_Eligibility_List!$C$21:$BV$21,1,MATCH(K$271,$C359:$BW359,0)),""),nmADwSP,"")</f>
        <v/>
      </c>
      <c r="L122" s="147" t="str">
        <f>SUBSTITUTE(_xlfn.IFNA(INDEX(M2S_Eligibility_List!$C$21:$BV$21,1,MATCH(L$271,$C359:$BW359,0)),""),nmADwSP,"")</f>
        <v/>
      </c>
      <c r="M122" s="147" t="str">
        <f>SUBSTITUTE(_xlfn.IFNA(INDEX(M2S_Eligibility_List!$C$21:$BV$21,1,MATCH(M$271,$C359:$BW359,0)),""),nmADwSP,"")</f>
        <v/>
      </c>
      <c r="N122" s="147" t="str">
        <f>SUBSTITUTE(_xlfn.IFNA(INDEX(M2S_Eligibility_List!$C$21:$BV$21,1,MATCH(N$271,$C359:$BW359,0)),""),nmADwSP,"")</f>
        <v/>
      </c>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c r="BS122" s="145"/>
      <c r="BT122" s="145"/>
      <c r="BU122" s="145"/>
      <c r="BV122" s="145"/>
      <c r="BW122" s="145"/>
    </row>
    <row r="123" spans="1:75" ht="20.100000000000001" customHeight="1">
      <c r="A123" s="170" t="str">
        <f>IF(M2S_Eligibility_List!$B110&lt;&gt;"",RIGHT(M2S_Eligibility_List!$B110,LEN(M2S_Eligibility_List!$B110)-LEN(nmADwSP)),0)</f>
        <v>AutoCAD Revit LT Suite</v>
      </c>
      <c r="B123" s="170" t="str">
        <f>IF(M2S_Eligibility_List!$B110&lt;&gt;"",RIGHT(M2S_Eligibility_List!$B110,LEN(M2S_Eligibility_List!$B110)-LEN(nmADwSP)),0)</f>
        <v>AutoCAD Revit LT Suite</v>
      </c>
      <c r="C123" s="147" t="str">
        <f>SUBSTITUTE(_xlfn.IFNA(INDEX(M2S_Eligibility_List!$C$21:$BV$21,1,MATCH(C$271,$C360:$BW360,0)),""),nmADwSP,"")</f>
        <v>AutoCAD Revit LT Suite</v>
      </c>
      <c r="D123" s="147" t="str">
        <f>SUBSTITUTE(_xlfn.IFNA(INDEX(M2S_Eligibility_List!$C$21:$BV$21,1,MATCH(D$271,$C360:$BW360,0)),""),nmADwSP,"")</f>
        <v/>
      </c>
      <c r="E123" s="147" t="str">
        <f>SUBSTITUTE(_xlfn.IFNA(INDEX(M2S_Eligibility_List!$C$21:$BV$21,1,MATCH(E$271,$C360:$BW360,0)),""),nmADwSP,"")</f>
        <v/>
      </c>
      <c r="F123" s="147" t="str">
        <f>SUBSTITUTE(_xlfn.IFNA(INDEX(M2S_Eligibility_List!$C$21:$BV$21,1,MATCH(F$271,$C360:$BW360,0)),""),nmADwSP,"")</f>
        <v/>
      </c>
      <c r="G123" s="147" t="str">
        <f>SUBSTITUTE(_xlfn.IFNA(INDEX(M2S_Eligibility_List!$C$21:$BV$21,1,MATCH(G$271,$C360:$BW360,0)),""),nmADwSP,"")</f>
        <v/>
      </c>
      <c r="H123" s="147" t="str">
        <f>SUBSTITUTE(_xlfn.IFNA(INDEX(M2S_Eligibility_List!$C$21:$BV$21,1,MATCH(H$271,$C360:$BW360,0)),""),nmADwSP,"")</f>
        <v/>
      </c>
      <c r="I123" s="147" t="str">
        <f>SUBSTITUTE(_xlfn.IFNA(INDEX(M2S_Eligibility_List!$C$21:$BV$21,1,MATCH(I$271,$C360:$BW360,0)),""),nmADwSP,"")</f>
        <v/>
      </c>
      <c r="J123" s="147" t="str">
        <f>SUBSTITUTE(_xlfn.IFNA(INDEX(M2S_Eligibility_List!$C$21:$BV$21,1,MATCH(J$271,$C360:$BW360,0)),""),nmADwSP,"")</f>
        <v/>
      </c>
      <c r="K123" s="147" t="str">
        <f>SUBSTITUTE(_xlfn.IFNA(INDEX(M2S_Eligibility_List!$C$21:$BV$21,1,MATCH(K$271,$C360:$BW360,0)),""),nmADwSP,"")</f>
        <v/>
      </c>
      <c r="L123" s="147" t="str">
        <f>SUBSTITUTE(_xlfn.IFNA(INDEX(M2S_Eligibility_List!$C$21:$BV$21,1,MATCH(L$271,$C360:$BW360,0)),""),nmADwSP,"")</f>
        <v/>
      </c>
      <c r="M123" s="147" t="str">
        <f>SUBSTITUTE(_xlfn.IFNA(INDEX(M2S_Eligibility_List!$C$21:$BV$21,1,MATCH(M$271,$C360:$BW360,0)),""),nmADwSP,"")</f>
        <v/>
      </c>
      <c r="N123" s="147" t="str">
        <f>SUBSTITUTE(_xlfn.IFNA(INDEX(M2S_Eligibility_List!$C$21:$BV$21,1,MATCH(N$271,$C360:$BW360,0)),""),nmADwSP,"")</f>
        <v/>
      </c>
      <c r="O123" s="145"/>
      <c r="P123" s="145"/>
      <c r="Q123" s="145"/>
      <c r="R123" s="145"/>
      <c r="S123" s="145"/>
      <c r="T123" s="145"/>
      <c r="U123" s="145"/>
      <c r="V123" s="145"/>
      <c r="W123" s="145"/>
      <c r="X123" s="145"/>
      <c r="Y123" s="145"/>
      <c r="Z123" s="145"/>
      <c r="AA123" s="145"/>
      <c r="AB123" s="145"/>
      <c r="AC123" s="145"/>
      <c r="AD123" s="145"/>
      <c r="AE123" s="145"/>
      <c r="AF123" s="145"/>
      <c r="AG123" s="145"/>
      <c r="AH123" s="145"/>
      <c r="AI123" s="145"/>
      <c r="AJ123" s="145"/>
      <c r="AK123" s="145"/>
      <c r="AL123" s="145"/>
      <c r="AM123" s="145"/>
      <c r="AN123" s="145"/>
      <c r="AO123" s="145"/>
      <c r="AP123" s="145"/>
      <c r="AQ123" s="145"/>
      <c r="AR123" s="145"/>
      <c r="AS123" s="145"/>
      <c r="AT123" s="145"/>
      <c r="AU123" s="145"/>
      <c r="AV123" s="145"/>
      <c r="AW123" s="145"/>
      <c r="AX123" s="145"/>
      <c r="AY123" s="145"/>
      <c r="AZ123" s="145"/>
      <c r="BA123" s="145"/>
      <c r="BB123" s="145"/>
      <c r="BC123" s="145"/>
      <c r="BD123" s="145"/>
      <c r="BE123" s="145"/>
      <c r="BF123" s="145"/>
      <c r="BG123" s="145"/>
      <c r="BH123" s="145"/>
      <c r="BI123" s="145"/>
      <c r="BJ123" s="145"/>
      <c r="BK123" s="145"/>
      <c r="BL123" s="145"/>
      <c r="BM123" s="145"/>
      <c r="BN123" s="145"/>
      <c r="BO123" s="145"/>
      <c r="BP123" s="145"/>
      <c r="BQ123" s="145"/>
      <c r="BR123" s="145"/>
      <c r="BS123" s="145"/>
      <c r="BT123" s="145"/>
      <c r="BU123" s="145"/>
      <c r="BV123" s="145"/>
      <c r="BW123" s="145"/>
    </row>
    <row r="124" spans="1:75" ht="20.100000000000001" customHeight="1">
      <c r="A124" s="170" t="str">
        <f>IF(M2S_Eligibility_List!$B111&lt;&gt;"",RIGHT(M2S_Eligibility_List!$B111,LEN(M2S_Eligibility_List!$B111)-LEN(nmADwSP)),0)</f>
        <v>Revit MEP</v>
      </c>
      <c r="B124" s="170" t="str">
        <f>IF(M2S_Eligibility_List!$B111&lt;&gt;"",RIGHT(M2S_Eligibility_List!$B111,LEN(M2S_Eligibility_List!$B111)-LEN(nmADwSP)),0)</f>
        <v>Revit MEP</v>
      </c>
      <c r="C124" s="147" t="str">
        <f>SUBSTITUTE(_xlfn.IFNA(INDEX(M2S_Eligibility_List!$C$21:$BV$21,1,MATCH(C$271,$C361:$BW361,0)),""),nmADwSP,"")</f>
        <v>Architecture Engineering Construction Collection</v>
      </c>
      <c r="D124" s="147" t="str">
        <f>SUBSTITUTE(_xlfn.IFNA(INDEX(M2S_Eligibility_List!$C$21:$BV$21,1,MATCH(D$271,$C361:$BW361,0)),""),nmADwSP,"")</f>
        <v>Revit</v>
      </c>
      <c r="E124" s="147" t="str">
        <f>SUBSTITUTE(_xlfn.IFNA(INDEX(M2S_Eligibility_List!$C$21:$BV$21,1,MATCH(E$271,$C361:$BW361,0)),""),nmADwSP,"")</f>
        <v/>
      </c>
      <c r="F124" s="147" t="str">
        <f>SUBSTITUTE(_xlfn.IFNA(INDEX(M2S_Eligibility_List!$C$21:$BV$21,1,MATCH(F$271,$C361:$BW361,0)),""),nmADwSP,"")</f>
        <v/>
      </c>
      <c r="G124" s="147" t="str">
        <f>SUBSTITUTE(_xlfn.IFNA(INDEX(M2S_Eligibility_List!$C$21:$BV$21,1,MATCH(G$271,$C361:$BW361,0)),""),nmADwSP,"")</f>
        <v/>
      </c>
      <c r="H124" s="147" t="str">
        <f>SUBSTITUTE(_xlfn.IFNA(INDEX(M2S_Eligibility_List!$C$21:$BV$21,1,MATCH(H$271,$C361:$BW361,0)),""),nmADwSP,"")</f>
        <v/>
      </c>
      <c r="I124" s="147" t="str">
        <f>SUBSTITUTE(_xlfn.IFNA(INDEX(M2S_Eligibility_List!$C$21:$BV$21,1,MATCH(I$271,$C361:$BW361,0)),""),nmADwSP,"")</f>
        <v/>
      </c>
      <c r="J124" s="147" t="str">
        <f>SUBSTITUTE(_xlfn.IFNA(INDEX(M2S_Eligibility_List!$C$21:$BV$21,1,MATCH(J$271,$C361:$BW361,0)),""),nmADwSP,"")</f>
        <v/>
      </c>
      <c r="K124" s="147" t="str">
        <f>SUBSTITUTE(_xlfn.IFNA(INDEX(M2S_Eligibility_List!$C$21:$BV$21,1,MATCH(K$271,$C361:$BW361,0)),""),nmADwSP,"")</f>
        <v/>
      </c>
      <c r="L124" s="147" t="str">
        <f>SUBSTITUTE(_xlfn.IFNA(INDEX(M2S_Eligibility_List!$C$21:$BV$21,1,MATCH(L$271,$C361:$BW361,0)),""),nmADwSP,"")</f>
        <v/>
      </c>
      <c r="M124" s="147" t="str">
        <f>SUBSTITUTE(_xlfn.IFNA(INDEX(M2S_Eligibility_List!$C$21:$BV$21,1,MATCH(M$271,$C361:$BW361,0)),""),nmADwSP,"")</f>
        <v/>
      </c>
      <c r="N124" s="147" t="str">
        <f>SUBSTITUTE(_xlfn.IFNA(INDEX(M2S_Eligibility_List!$C$21:$BV$21,1,MATCH(N$271,$C361:$BW361,0)),""),nmADwSP,"")</f>
        <v/>
      </c>
      <c r="O124" s="145"/>
      <c r="P124" s="145"/>
      <c r="Q124" s="145"/>
      <c r="R124" s="145"/>
      <c r="S124" s="145"/>
      <c r="T124" s="145"/>
      <c r="U124" s="145"/>
      <c r="V124" s="145"/>
      <c r="W124" s="145"/>
      <c r="X124" s="145"/>
      <c r="Y124" s="145"/>
      <c r="Z124" s="145"/>
      <c r="AA124" s="145"/>
      <c r="AB124" s="145"/>
      <c r="AC124" s="145"/>
      <c r="AD124" s="145"/>
      <c r="AE124" s="145"/>
      <c r="AF124" s="145"/>
      <c r="AG124" s="145"/>
      <c r="AH124" s="145"/>
      <c r="AI124" s="145"/>
      <c r="AJ124" s="145"/>
      <c r="AK124" s="145"/>
      <c r="AL124" s="145"/>
      <c r="AM124" s="145"/>
      <c r="AN124" s="145"/>
      <c r="AO124" s="145"/>
      <c r="AP124" s="145"/>
      <c r="AQ124" s="145"/>
      <c r="AR124" s="145"/>
      <c r="AS124" s="145"/>
      <c r="AT124" s="145"/>
      <c r="AU124" s="145"/>
      <c r="AV124" s="145"/>
      <c r="AW124" s="145"/>
      <c r="AX124" s="145"/>
      <c r="AY124" s="145"/>
      <c r="AZ124" s="145"/>
      <c r="BA124" s="145"/>
      <c r="BB124" s="145"/>
      <c r="BC124" s="145"/>
      <c r="BD124" s="145"/>
      <c r="BE124" s="145"/>
      <c r="BF124" s="145"/>
      <c r="BG124" s="145"/>
      <c r="BH124" s="145"/>
      <c r="BI124" s="145"/>
      <c r="BJ124" s="145"/>
      <c r="BK124" s="145"/>
      <c r="BL124" s="145"/>
      <c r="BM124" s="145"/>
      <c r="BN124" s="145"/>
      <c r="BO124" s="145"/>
      <c r="BP124" s="145"/>
      <c r="BQ124" s="145"/>
      <c r="BR124" s="145"/>
      <c r="BS124" s="145"/>
      <c r="BT124" s="145"/>
      <c r="BU124" s="145"/>
      <c r="BV124" s="145"/>
      <c r="BW124" s="145"/>
    </row>
    <row r="125" spans="1:75" ht="20.100000000000001" customHeight="1">
      <c r="A125" s="170" t="str">
        <f>IF(M2S_Eligibility_List!$B112&lt;&gt;"",RIGHT(M2S_Eligibility_List!$B112,LEN(M2S_Eligibility_List!$B112)-LEN(nmADwSP)),0)</f>
        <v>Revit Structure</v>
      </c>
      <c r="B125" s="170" t="str">
        <f>IF(M2S_Eligibility_List!$B112&lt;&gt;"",RIGHT(M2S_Eligibility_List!$B112,LEN(M2S_Eligibility_List!$B112)-LEN(nmADwSP)),0)</f>
        <v>Revit Structure</v>
      </c>
      <c r="C125" s="147" t="str">
        <f>SUBSTITUTE(_xlfn.IFNA(INDEX(M2S_Eligibility_List!$C$21:$BV$21,1,MATCH(C$271,$C362:$BW362,0)),""),nmADwSP,"")</f>
        <v>Architecture Engineering Construction Collection</v>
      </c>
      <c r="D125" s="147" t="str">
        <f>SUBSTITUTE(_xlfn.IFNA(INDEX(M2S_Eligibility_List!$C$21:$BV$21,1,MATCH(D$271,$C362:$BW362,0)),""),nmADwSP,"")</f>
        <v>Revit</v>
      </c>
      <c r="E125" s="147" t="str">
        <f>SUBSTITUTE(_xlfn.IFNA(INDEX(M2S_Eligibility_List!$C$21:$BV$21,1,MATCH(E$271,$C362:$BW362,0)),""),nmADwSP,"")</f>
        <v/>
      </c>
      <c r="F125" s="147" t="str">
        <f>SUBSTITUTE(_xlfn.IFNA(INDEX(M2S_Eligibility_List!$C$21:$BV$21,1,MATCH(F$271,$C362:$BW362,0)),""),nmADwSP,"")</f>
        <v/>
      </c>
      <c r="G125" s="147" t="str">
        <f>SUBSTITUTE(_xlfn.IFNA(INDEX(M2S_Eligibility_List!$C$21:$BV$21,1,MATCH(G$271,$C362:$BW362,0)),""),nmADwSP,"")</f>
        <v/>
      </c>
      <c r="H125" s="147" t="str">
        <f>SUBSTITUTE(_xlfn.IFNA(INDEX(M2S_Eligibility_List!$C$21:$BV$21,1,MATCH(H$271,$C362:$BW362,0)),""),nmADwSP,"")</f>
        <v/>
      </c>
      <c r="I125" s="147" t="str">
        <f>SUBSTITUTE(_xlfn.IFNA(INDEX(M2S_Eligibility_List!$C$21:$BV$21,1,MATCH(I$271,$C362:$BW362,0)),""),nmADwSP,"")</f>
        <v/>
      </c>
      <c r="J125" s="147" t="str">
        <f>SUBSTITUTE(_xlfn.IFNA(INDEX(M2S_Eligibility_List!$C$21:$BV$21,1,MATCH(J$271,$C362:$BW362,0)),""),nmADwSP,"")</f>
        <v/>
      </c>
      <c r="K125" s="147" t="str">
        <f>SUBSTITUTE(_xlfn.IFNA(INDEX(M2S_Eligibility_List!$C$21:$BV$21,1,MATCH(K$271,$C362:$BW362,0)),""),nmADwSP,"")</f>
        <v/>
      </c>
      <c r="L125" s="147" t="str">
        <f>SUBSTITUTE(_xlfn.IFNA(INDEX(M2S_Eligibility_List!$C$21:$BV$21,1,MATCH(L$271,$C362:$BW362,0)),""),nmADwSP,"")</f>
        <v/>
      </c>
      <c r="M125" s="147" t="str">
        <f>SUBSTITUTE(_xlfn.IFNA(INDEX(M2S_Eligibility_List!$C$21:$BV$21,1,MATCH(M$271,$C362:$BW362,0)),""),nmADwSP,"")</f>
        <v/>
      </c>
      <c r="N125" s="147" t="str">
        <f>SUBSTITUTE(_xlfn.IFNA(INDEX(M2S_Eligibility_List!$C$21:$BV$21,1,MATCH(N$271,$C362:$BW362,0)),""),nmADwSP,"")</f>
        <v/>
      </c>
      <c r="O125" s="145"/>
      <c r="P125" s="145"/>
      <c r="Q125" s="145"/>
      <c r="R125" s="145"/>
      <c r="S125" s="145"/>
      <c r="T125" s="145"/>
      <c r="U125" s="145"/>
      <c r="V125" s="145"/>
      <c r="W125" s="145"/>
      <c r="X125" s="145"/>
      <c r="Y125" s="145"/>
      <c r="Z125" s="145"/>
      <c r="AA125" s="145"/>
      <c r="AB125" s="145"/>
      <c r="AC125" s="145"/>
      <c r="AD125" s="145"/>
      <c r="AE125" s="145"/>
      <c r="AF125" s="145"/>
      <c r="AG125" s="145"/>
      <c r="AH125" s="145"/>
      <c r="AI125" s="145"/>
      <c r="AJ125" s="145"/>
      <c r="AK125" s="145"/>
      <c r="AL125" s="145"/>
      <c r="AM125" s="145"/>
      <c r="AN125" s="145"/>
      <c r="AO125" s="145"/>
      <c r="AP125" s="145"/>
      <c r="AQ125" s="145"/>
      <c r="AR125" s="145"/>
      <c r="AS125" s="145"/>
      <c r="AT125" s="145"/>
      <c r="AU125" s="145"/>
      <c r="AV125" s="145"/>
      <c r="AW125" s="145"/>
      <c r="AX125" s="145"/>
      <c r="AY125" s="145"/>
      <c r="AZ125" s="145"/>
      <c r="BA125" s="145"/>
      <c r="BB125" s="145"/>
      <c r="BC125" s="145"/>
      <c r="BD125" s="145"/>
      <c r="BE125" s="145"/>
      <c r="BF125" s="145"/>
      <c r="BG125" s="145"/>
      <c r="BH125" s="145"/>
      <c r="BI125" s="145"/>
      <c r="BJ125" s="145"/>
      <c r="BK125" s="145"/>
      <c r="BL125" s="145"/>
      <c r="BM125" s="145"/>
      <c r="BN125" s="145"/>
      <c r="BO125" s="145"/>
      <c r="BP125" s="145"/>
      <c r="BQ125" s="145"/>
      <c r="BR125" s="145"/>
      <c r="BS125" s="145"/>
      <c r="BT125" s="145"/>
      <c r="BU125" s="145"/>
      <c r="BV125" s="145"/>
      <c r="BW125" s="145"/>
    </row>
    <row r="126" spans="1:75" ht="20.100000000000001" customHeight="1">
      <c r="A126" s="170" t="str">
        <f>IF(M2S_Eligibility_List!$B113&lt;&gt;"",RIGHT(M2S_Eligibility_List!$B113,LEN(M2S_Eligibility_List!$B113)-LEN(nmADwSP)),0)</f>
        <v>Robot Structural Analysis Professional</v>
      </c>
      <c r="B126" s="170" t="str">
        <f>IF(M2S_Eligibility_List!$B113&lt;&gt;"",RIGHT(M2S_Eligibility_List!$B113,LEN(M2S_Eligibility_List!$B113)-LEN(nmADwSP)),0)</f>
        <v>Robot Structural Analysis Professional</v>
      </c>
      <c r="C126" s="147" t="str">
        <f>SUBSTITUTE(_xlfn.IFNA(INDEX(M2S_Eligibility_List!$C$21:$BV$21,1,MATCH(C$271,$C363:$BW363,0)),""),nmADwSP,"")</f>
        <v>Architecture Engineering Construction Collection</v>
      </c>
      <c r="D126" s="147" t="str">
        <f>SUBSTITUTE(_xlfn.IFNA(INDEX(M2S_Eligibility_List!$C$21:$BV$21,1,MATCH(D$271,$C363:$BW363,0)),""),nmADwSP,"")</f>
        <v/>
      </c>
      <c r="E126" s="147" t="str">
        <f>SUBSTITUTE(_xlfn.IFNA(INDEX(M2S_Eligibility_List!$C$21:$BV$21,1,MATCH(E$271,$C363:$BW363,0)),""),nmADwSP,"")</f>
        <v/>
      </c>
      <c r="F126" s="147" t="str">
        <f>SUBSTITUTE(_xlfn.IFNA(INDEX(M2S_Eligibility_List!$C$21:$BV$21,1,MATCH(F$271,$C363:$BW363,0)),""),nmADwSP,"")</f>
        <v/>
      </c>
      <c r="G126" s="147" t="str">
        <f>SUBSTITUTE(_xlfn.IFNA(INDEX(M2S_Eligibility_List!$C$21:$BV$21,1,MATCH(G$271,$C363:$BW363,0)),""),nmADwSP,"")</f>
        <v/>
      </c>
      <c r="H126" s="147" t="str">
        <f>SUBSTITUTE(_xlfn.IFNA(INDEX(M2S_Eligibility_List!$C$21:$BV$21,1,MATCH(H$271,$C363:$BW363,0)),""),nmADwSP,"")</f>
        <v/>
      </c>
      <c r="I126" s="147" t="str">
        <f>SUBSTITUTE(_xlfn.IFNA(INDEX(M2S_Eligibility_List!$C$21:$BV$21,1,MATCH(I$271,$C363:$BW363,0)),""),nmADwSP,"")</f>
        <v/>
      </c>
      <c r="J126" s="147" t="str">
        <f>SUBSTITUTE(_xlfn.IFNA(INDEX(M2S_Eligibility_List!$C$21:$BV$21,1,MATCH(J$271,$C363:$BW363,0)),""),nmADwSP,"")</f>
        <v/>
      </c>
      <c r="K126" s="147" t="str">
        <f>SUBSTITUTE(_xlfn.IFNA(INDEX(M2S_Eligibility_List!$C$21:$BV$21,1,MATCH(K$271,$C363:$BW363,0)),""),nmADwSP,"")</f>
        <v/>
      </c>
      <c r="L126" s="147" t="str">
        <f>SUBSTITUTE(_xlfn.IFNA(INDEX(M2S_Eligibility_List!$C$21:$BV$21,1,MATCH(L$271,$C363:$BW363,0)),""),nmADwSP,"")</f>
        <v/>
      </c>
      <c r="M126" s="147" t="str">
        <f>SUBSTITUTE(_xlfn.IFNA(INDEX(M2S_Eligibility_List!$C$21:$BV$21,1,MATCH(M$271,$C363:$BW363,0)),""),nmADwSP,"")</f>
        <v/>
      </c>
      <c r="N126" s="147" t="str">
        <f>SUBSTITUTE(_xlfn.IFNA(INDEX(M2S_Eligibility_List!$C$21:$BV$21,1,MATCH(N$271,$C363:$BW363,0)),""),nmADwSP,"")</f>
        <v/>
      </c>
      <c r="O126" s="145"/>
      <c r="P126" s="145"/>
      <c r="Q126" s="145"/>
      <c r="R126" s="145"/>
      <c r="S126" s="145"/>
      <c r="T126" s="145"/>
      <c r="U126" s="145"/>
      <c r="V126" s="145"/>
      <c r="W126" s="145"/>
      <c r="X126" s="145"/>
      <c r="Y126" s="145"/>
      <c r="Z126" s="145"/>
      <c r="AA126" s="145"/>
      <c r="AB126" s="145"/>
      <c r="AC126" s="145"/>
      <c r="AD126" s="145"/>
      <c r="AE126" s="145"/>
      <c r="AF126" s="145"/>
      <c r="AG126" s="145"/>
      <c r="AH126" s="145"/>
      <c r="AI126" s="145"/>
      <c r="AJ126" s="145"/>
      <c r="AK126" s="145"/>
      <c r="AL126" s="145"/>
      <c r="AM126" s="145"/>
      <c r="AN126" s="145"/>
      <c r="AO126" s="145"/>
      <c r="AP126" s="145"/>
      <c r="AQ126" s="145"/>
      <c r="AR126" s="145"/>
      <c r="AS126" s="145"/>
      <c r="AT126" s="145"/>
      <c r="AU126" s="145"/>
      <c r="AV126" s="145"/>
      <c r="AW126" s="145"/>
      <c r="AX126" s="145"/>
      <c r="AY126" s="145"/>
      <c r="AZ126" s="145"/>
      <c r="BA126" s="145"/>
      <c r="BB126" s="145"/>
      <c r="BC126" s="145"/>
      <c r="BD126" s="145"/>
      <c r="BE126" s="145"/>
      <c r="BF126" s="145"/>
      <c r="BG126" s="145"/>
      <c r="BH126" s="145"/>
      <c r="BI126" s="145"/>
      <c r="BJ126" s="145"/>
      <c r="BK126" s="145"/>
      <c r="BL126" s="145"/>
      <c r="BM126" s="145"/>
      <c r="BN126" s="145"/>
      <c r="BO126" s="145"/>
      <c r="BP126" s="145"/>
      <c r="BQ126" s="145"/>
      <c r="BR126" s="145"/>
      <c r="BS126" s="145"/>
      <c r="BT126" s="145"/>
      <c r="BU126" s="145"/>
      <c r="BV126" s="145"/>
      <c r="BW126" s="145"/>
    </row>
    <row r="127" spans="1:75" ht="20.100000000000001" customHeight="1">
      <c r="A127" s="170" t="str">
        <f>IF(M2S_Eligibility_List!$B114&lt;&gt;"",RIGHT(M2S_Eligibility_List!$B114,LEN(M2S_Eligibility_List!$B114)-LEN(nmADwSP)),0)</f>
        <v>Simulation Mechanical</v>
      </c>
      <c r="B127" s="170" t="str">
        <f>IF(M2S_Eligibility_List!$B114&lt;&gt;"",RIGHT(M2S_Eligibility_List!$B114,LEN(M2S_Eligibility_List!$B114)-LEN(nmADwSP)),0)</f>
        <v>Simulation Mechanical</v>
      </c>
      <c r="C127" s="147" t="str">
        <f>SUBSTITUTE(_xlfn.IFNA(INDEX(M2S_Eligibility_List!$C$21:$BV$21,1,MATCH(C$271,$C364:$BW364,0)),""),nmADwSP,"")</f>
        <v>Product Design &amp; Manufacturing Collection</v>
      </c>
      <c r="D127" s="147" t="str">
        <f>SUBSTITUTE(_xlfn.IFNA(INDEX(M2S_Eligibility_List!$C$21:$BV$21,1,MATCH(D$271,$C364:$BW364,0)),""),nmADwSP,"")</f>
        <v/>
      </c>
      <c r="E127" s="147" t="str">
        <f>SUBSTITUTE(_xlfn.IFNA(INDEX(M2S_Eligibility_List!$C$21:$BV$21,1,MATCH(E$271,$C364:$BW364,0)),""),nmADwSP,"")</f>
        <v/>
      </c>
      <c r="F127" s="147" t="str">
        <f>SUBSTITUTE(_xlfn.IFNA(INDEX(M2S_Eligibility_List!$C$21:$BV$21,1,MATCH(F$271,$C364:$BW364,0)),""),nmADwSP,"")</f>
        <v/>
      </c>
      <c r="G127" s="147" t="str">
        <f>SUBSTITUTE(_xlfn.IFNA(INDEX(M2S_Eligibility_List!$C$21:$BV$21,1,MATCH(G$271,$C364:$BW364,0)),""),nmADwSP,"")</f>
        <v/>
      </c>
      <c r="H127" s="147" t="str">
        <f>SUBSTITUTE(_xlfn.IFNA(INDEX(M2S_Eligibility_List!$C$21:$BV$21,1,MATCH(H$271,$C364:$BW364,0)),""),nmADwSP,"")</f>
        <v/>
      </c>
      <c r="I127" s="147" t="str">
        <f>SUBSTITUTE(_xlfn.IFNA(INDEX(M2S_Eligibility_List!$C$21:$BV$21,1,MATCH(I$271,$C364:$BW364,0)),""),nmADwSP,"")</f>
        <v/>
      </c>
      <c r="J127" s="147" t="str">
        <f>SUBSTITUTE(_xlfn.IFNA(INDEX(M2S_Eligibility_List!$C$21:$BV$21,1,MATCH(J$271,$C364:$BW364,0)),""),nmADwSP,"")</f>
        <v/>
      </c>
      <c r="K127" s="147" t="str">
        <f>SUBSTITUTE(_xlfn.IFNA(INDEX(M2S_Eligibility_List!$C$21:$BV$21,1,MATCH(K$271,$C364:$BW364,0)),""),nmADwSP,"")</f>
        <v/>
      </c>
      <c r="L127" s="147" t="str">
        <f>SUBSTITUTE(_xlfn.IFNA(INDEX(M2S_Eligibility_List!$C$21:$BV$21,1,MATCH(L$271,$C364:$BW364,0)),""),nmADwSP,"")</f>
        <v/>
      </c>
      <c r="M127" s="147" t="str">
        <f>SUBSTITUTE(_xlfn.IFNA(INDEX(M2S_Eligibility_List!$C$21:$BV$21,1,MATCH(M$271,$C364:$BW364,0)),""),nmADwSP,"")</f>
        <v/>
      </c>
      <c r="N127" s="147" t="str">
        <f>SUBSTITUTE(_xlfn.IFNA(INDEX(M2S_Eligibility_List!$C$21:$BV$21,1,MATCH(N$271,$C364:$BW364,0)),""),nmADwSP,"")</f>
        <v/>
      </c>
      <c r="O127" s="145"/>
      <c r="P127" s="145"/>
      <c r="Q127" s="145"/>
      <c r="R127" s="145"/>
      <c r="S127" s="145"/>
      <c r="T127" s="145"/>
      <c r="U127" s="145"/>
      <c r="V127" s="145"/>
      <c r="W127" s="145"/>
      <c r="X127" s="145"/>
      <c r="Y127" s="145"/>
      <c r="Z127" s="145"/>
      <c r="AA127" s="145"/>
      <c r="AB127" s="145"/>
      <c r="AC127" s="145"/>
      <c r="AD127" s="145"/>
      <c r="AE127" s="145"/>
      <c r="AF127" s="145"/>
      <c r="AG127" s="145"/>
      <c r="AH127" s="145"/>
      <c r="AI127" s="145"/>
      <c r="AJ127" s="145"/>
      <c r="AK127" s="145"/>
      <c r="AL127" s="145"/>
      <c r="AM127" s="145"/>
      <c r="AN127" s="145"/>
      <c r="AO127" s="145"/>
      <c r="AP127" s="145"/>
      <c r="AQ127" s="145"/>
      <c r="AR127" s="145"/>
      <c r="AS127" s="145"/>
      <c r="AT127" s="145"/>
      <c r="AU127" s="145"/>
      <c r="AV127" s="145"/>
      <c r="AW127" s="145"/>
      <c r="AX127" s="145"/>
      <c r="AY127" s="145"/>
      <c r="AZ127" s="145"/>
      <c r="BA127" s="145"/>
      <c r="BB127" s="145"/>
      <c r="BC127" s="145"/>
      <c r="BD127" s="145"/>
      <c r="BE127" s="145"/>
      <c r="BF127" s="145"/>
      <c r="BG127" s="145"/>
      <c r="BH127" s="145"/>
      <c r="BI127" s="145"/>
      <c r="BJ127" s="145"/>
      <c r="BK127" s="145"/>
      <c r="BL127" s="145"/>
      <c r="BM127" s="145"/>
      <c r="BN127" s="145"/>
      <c r="BO127" s="145"/>
      <c r="BP127" s="145"/>
      <c r="BQ127" s="145"/>
      <c r="BR127" s="145"/>
      <c r="BS127" s="145"/>
      <c r="BT127" s="145"/>
      <c r="BU127" s="145"/>
      <c r="BV127" s="145"/>
      <c r="BW127" s="145"/>
    </row>
    <row r="128" spans="1:75" ht="20.100000000000001" customHeight="1">
      <c r="A128" s="170" t="str">
        <f>IF(M2S_Eligibility_List!$B115&lt;&gt;"",RIGHT(M2S_Eligibility_List!$B115,LEN(M2S_Eligibility_List!$B115)-LEN(nmADwSP)),0)</f>
        <v>SketchBook - For Enterprise</v>
      </c>
      <c r="B128" s="170" t="str">
        <f>IF(M2S_Eligibility_List!$B115&lt;&gt;"",RIGHT(M2S_Eligibility_List!$B115,LEN(M2S_Eligibility_List!$B115)-LEN(nmADwSP)),0)</f>
        <v>SketchBook - For Enterprise</v>
      </c>
      <c r="C128" s="147" t="str">
        <f>SUBSTITUTE(_xlfn.IFNA(INDEX(M2S_Eligibility_List!$C$21:$BV$21,1,MATCH(C$271,$C365:$BW365,0)),""),nmADwSP,"")</f>
        <v>SketchBook - For Enterprise</v>
      </c>
      <c r="D128" s="147" t="str">
        <f>SUBSTITUTE(_xlfn.IFNA(INDEX(M2S_Eligibility_List!$C$21:$BV$21,1,MATCH(D$271,$C365:$BW365,0)),""),nmADwSP,"")</f>
        <v/>
      </c>
      <c r="E128" s="147" t="str">
        <f>SUBSTITUTE(_xlfn.IFNA(INDEX(M2S_Eligibility_List!$C$21:$BV$21,1,MATCH(E$271,$C365:$BW365,0)),""),nmADwSP,"")</f>
        <v/>
      </c>
      <c r="F128" s="147" t="str">
        <f>SUBSTITUTE(_xlfn.IFNA(INDEX(M2S_Eligibility_List!$C$21:$BV$21,1,MATCH(F$271,$C365:$BW365,0)),""),nmADwSP,"")</f>
        <v/>
      </c>
      <c r="G128" s="147" t="str">
        <f>SUBSTITUTE(_xlfn.IFNA(INDEX(M2S_Eligibility_List!$C$21:$BV$21,1,MATCH(G$271,$C365:$BW365,0)),""),nmADwSP,"")</f>
        <v/>
      </c>
      <c r="H128" s="147" t="str">
        <f>SUBSTITUTE(_xlfn.IFNA(INDEX(M2S_Eligibility_List!$C$21:$BV$21,1,MATCH(H$271,$C365:$BW365,0)),""),nmADwSP,"")</f>
        <v/>
      </c>
      <c r="I128" s="147" t="str">
        <f>SUBSTITUTE(_xlfn.IFNA(INDEX(M2S_Eligibility_List!$C$21:$BV$21,1,MATCH(I$271,$C365:$BW365,0)),""),nmADwSP,"")</f>
        <v/>
      </c>
      <c r="J128" s="147" t="str">
        <f>SUBSTITUTE(_xlfn.IFNA(INDEX(M2S_Eligibility_List!$C$21:$BV$21,1,MATCH(J$271,$C365:$BW365,0)),""),nmADwSP,"")</f>
        <v/>
      </c>
      <c r="K128" s="147" t="str">
        <f>SUBSTITUTE(_xlfn.IFNA(INDEX(M2S_Eligibility_List!$C$21:$BV$21,1,MATCH(K$271,$C365:$BW365,0)),""),nmADwSP,"")</f>
        <v/>
      </c>
      <c r="L128" s="147" t="str">
        <f>SUBSTITUTE(_xlfn.IFNA(INDEX(M2S_Eligibility_List!$C$21:$BV$21,1,MATCH(L$271,$C365:$BW365,0)),""),nmADwSP,"")</f>
        <v/>
      </c>
      <c r="M128" s="147" t="str">
        <f>SUBSTITUTE(_xlfn.IFNA(INDEX(M2S_Eligibility_List!$C$21:$BV$21,1,MATCH(M$271,$C365:$BW365,0)),""),nmADwSP,"")</f>
        <v/>
      </c>
      <c r="N128" s="147" t="str">
        <f>SUBSTITUTE(_xlfn.IFNA(INDEX(M2S_Eligibility_List!$C$21:$BV$21,1,MATCH(N$271,$C365:$BW365,0)),""),nmADwSP,"")</f>
        <v/>
      </c>
      <c r="O128" s="145"/>
      <c r="P128" s="145"/>
      <c r="Q128" s="145"/>
      <c r="R128" s="145"/>
      <c r="S128" s="145"/>
      <c r="T128" s="145"/>
      <c r="U128" s="145"/>
      <c r="V128" s="145"/>
      <c r="W128" s="145"/>
      <c r="X128" s="145"/>
      <c r="Y128" s="145"/>
      <c r="Z128" s="145"/>
      <c r="AA128" s="145"/>
      <c r="AB128" s="145"/>
      <c r="AC128" s="145"/>
      <c r="AD128" s="145"/>
      <c r="AE128" s="145"/>
      <c r="AF128" s="145"/>
      <c r="AG128" s="145"/>
      <c r="AH128" s="145"/>
      <c r="AI128" s="145"/>
      <c r="AJ128" s="145"/>
      <c r="AK128" s="145"/>
      <c r="AL128" s="145"/>
      <c r="AM128" s="145"/>
      <c r="AN128" s="145"/>
      <c r="AO128" s="145"/>
      <c r="AP128" s="145"/>
      <c r="AQ128" s="145"/>
      <c r="AR128" s="145"/>
      <c r="AS128" s="145"/>
      <c r="AT128" s="145"/>
      <c r="AU128" s="145"/>
      <c r="AV128" s="145"/>
      <c r="AW128" s="145"/>
      <c r="AX128" s="145"/>
      <c r="AY128" s="145"/>
      <c r="AZ128" s="145"/>
      <c r="BA128" s="145"/>
      <c r="BB128" s="145"/>
      <c r="BC128" s="145"/>
      <c r="BD128" s="145"/>
      <c r="BE128" s="145"/>
      <c r="BF128" s="145"/>
      <c r="BG128" s="145"/>
      <c r="BH128" s="145"/>
      <c r="BI128" s="145"/>
      <c r="BJ128" s="145"/>
      <c r="BK128" s="145"/>
      <c r="BL128" s="145"/>
      <c r="BM128" s="145"/>
      <c r="BN128" s="145"/>
      <c r="BO128" s="145"/>
      <c r="BP128" s="145"/>
      <c r="BQ128" s="145"/>
      <c r="BR128" s="145"/>
      <c r="BS128" s="145"/>
      <c r="BT128" s="145"/>
      <c r="BU128" s="145"/>
      <c r="BV128" s="145"/>
      <c r="BW128" s="145"/>
    </row>
    <row r="129" spans="1:75" ht="20.100000000000001" customHeight="1">
      <c r="A129" s="170" t="str">
        <f>IF(M2S_Eligibility_List!$B116&lt;&gt;"",RIGHT(M2S_Eligibility_List!$B116,LEN(M2S_Eligibility_List!$B116)-LEN(nmADwSP)),0)</f>
        <v>Structural Bridge Design</v>
      </c>
      <c r="B129" s="367" t="str">
        <f>IF(decCurrency=nmJPY,"",IF(M2S_Eligibility_List!$B116&lt;&gt;"",RIGHT(M2S_Eligibility_List!$B116,LEN(M2S_Eligibility_List!$B116)-LEN(nmADwSP)),0))</f>
        <v>Structural Bridge Design</v>
      </c>
      <c r="C129" s="367" t="str">
        <f>IF(decCurrency=nmJPY,"",SUBSTITUTE(_xlfn.IFNA(INDEX(M2S_Eligibility_List!$C$21:$BV$21,1,MATCH(C$271,$C366:$BW366,0)),""),nmADwSP,""))</f>
        <v>Architecture Engineering Construction Collection</v>
      </c>
      <c r="D129" s="147" t="str">
        <f>SUBSTITUTE(_xlfn.IFNA(INDEX(M2S_Eligibility_List!$C$21:$BV$21,1,MATCH(D$271,$C366:$BW366,0)),""),nmADwSP,"")</f>
        <v/>
      </c>
      <c r="E129" s="147" t="str">
        <f>SUBSTITUTE(_xlfn.IFNA(INDEX(M2S_Eligibility_List!$C$21:$BV$21,1,MATCH(E$271,$C366:$BW366,0)),""),nmADwSP,"")</f>
        <v/>
      </c>
      <c r="F129" s="147" t="str">
        <f>SUBSTITUTE(_xlfn.IFNA(INDEX(M2S_Eligibility_List!$C$21:$BV$21,1,MATCH(F$271,$C366:$BW366,0)),""),nmADwSP,"")</f>
        <v/>
      </c>
      <c r="G129" s="147" t="str">
        <f>SUBSTITUTE(_xlfn.IFNA(INDEX(M2S_Eligibility_List!$C$21:$BV$21,1,MATCH(G$271,$C366:$BW366,0)),""),nmADwSP,"")</f>
        <v/>
      </c>
      <c r="H129" s="147" t="str">
        <f>SUBSTITUTE(_xlfn.IFNA(INDEX(M2S_Eligibility_List!$C$21:$BV$21,1,MATCH(H$271,$C366:$BW366,0)),""),nmADwSP,"")</f>
        <v/>
      </c>
      <c r="I129" s="147" t="str">
        <f>SUBSTITUTE(_xlfn.IFNA(INDEX(M2S_Eligibility_List!$C$21:$BV$21,1,MATCH(I$271,$C366:$BW366,0)),""),nmADwSP,"")</f>
        <v/>
      </c>
      <c r="J129" s="147" t="str">
        <f>SUBSTITUTE(_xlfn.IFNA(INDEX(M2S_Eligibility_List!$C$21:$BV$21,1,MATCH(J$271,$C366:$BW366,0)),""),nmADwSP,"")</f>
        <v/>
      </c>
      <c r="K129" s="147" t="str">
        <f>SUBSTITUTE(_xlfn.IFNA(INDEX(M2S_Eligibility_List!$C$21:$BV$21,1,MATCH(K$271,$C366:$BW366,0)),""),nmADwSP,"")</f>
        <v/>
      </c>
      <c r="L129" s="147" t="str">
        <f>SUBSTITUTE(_xlfn.IFNA(INDEX(M2S_Eligibility_List!$C$21:$BV$21,1,MATCH(L$271,$C366:$BW366,0)),""),nmADwSP,"")</f>
        <v/>
      </c>
      <c r="M129" s="147" t="str">
        <f>SUBSTITUTE(_xlfn.IFNA(INDEX(M2S_Eligibility_List!$C$21:$BV$21,1,MATCH(M$271,$C366:$BW366,0)),""),nmADwSP,"")</f>
        <v/>
      </c>
      <c r="N129" s="147" t="str">
        <f>SUBSTITUTE(_xlfn.IFNA(INDEX(M2S_Eligibility_List!$C$21:$BV$21,1,MATCH(N$271,$C366:$BW366,0)),""),nmADwSP,"")</f>
        <v/>
      </c>
      <c r="O129" s="145"/>
      <c r="P129" s="145"/>
      <c r="Q129" s="145"/>
      <c r="R129" s="145"/>
      <c r="S129" s="145"/>
      <c r="T129" s="145"/>
      <c r="U129" s="145"/>
      <c r="V129" s="145"/>
      <c r="W129" s="145"/>
      <c r="X129" s="145"/>
      <c r="Y129" s="145"/>
      <c r="Z129" s="145"/>
      <c r="AA129" s="145"/>
      <c r="AB129" s="145"/>
      <c r="AC129" s="145"/>
      <c r="AD129" s="145"/>
      <c r="AE129" s="145"/>
      <c r="AF129" s="145"/>
      <c r="AG129" s="145"/>
      <c r="AH129" s="145"/>
      <c r="AI129" s="145"/>
      <c r="AJ129" s="145"/>
      <c r="AK129" s="145"/>
      <c r="AL129" s="145"/>
      <c r="AM129" s="145"/>
      <c r="AN129" s="145"/>
      <c r="AO129" s="145"/>
      <c r="AP129" s="145"/>
      <c r="AQ129" s="145"/>
      <c r="AR129" s="145"/>
      <c r="AS129" s="145"/>
      <c r="AT129" s="145"/>
      <c r="AU129" s="145"/>
      <c r="AV129" s="145"/>
      <c r="AW129" s="145"/>
      <c r="AX129" s="145"/>
      <c r="AY129" s="145"/>
      <c r="AZ129" s="145"/>
      <c r="BA129" s="145"/>
      <c r="BB129" s="145"/>
      <c r="BC129" s="145"/>
      <c r="BD129" s="145"/>
      <c r="BE129" s="145"/>
      <c r="BF129" s="145"/>
      <c r="BG129" s="145"/>
      <c r="BH129" s="145"/>
      <c r="BI129" s="145"/>
      <c r="BJ129" s="145"/>
      <c r="BK129" s="145"/>
      <c r="BL129" s="145"/>
      <c r="BM129" s="145"/>
      <c r="BN129" s="145"/>
      <c r="BO129" s="145"/>
      <c r="BP129" s="145"/>
      <c r="BQ129" s="145"/>
      <c r="BR129" s="145"/>
      <c r="BS129" s="145"/>
      <c r="BT129" s="145"/>
      <c r="BU129" s="145"/>
      <c r="BV129" s="145"/>
      <c r="BW129" s="145"/>
    </row>
    <row r="130" spans="1:75" ht="20.100000000000001" customHeight="1">
      <c r="A130" s="170" t="str">
        <f>IF(M2S_Eligibility_List!$B117&lt;&gt;"",RIGHT(M2S_Eligibility_List!$B117,LEN(M2S_Eligibility_List!$B117)-LEN(nmADwSP)),0)</f>
        <v>TruComp</v>
      </c>
      <c r="B130" s="170" t="str">
        <f>IF(M2S_Eligibility_List!$B117&lt;&gt;"",RIGHT(M2S_Eligibility_List!$B117,LEN(M2S_Eligibility_List!$B117)-LEN(nmADwSP)),0)</f>
        <v>TruComp</v>
      </c>
      <c r="C130" s="147" t="str">
        <f>SUBSTITUTE(_xlfn.IFNA(INDEX(M2S_Eligibility_List!$C$21:$BV$21,1,MATCH(C$271,$C367:$BW367,0)),""),nmADwSP,"")</f>
        <v>TruComp</v>
      </c>
      <c r="D130" s="147" t="str">
        <f>SUBSTITUTE(_xlfn.IFNA(INDEX(M2S_Eligibility_List!$C$21:$BV$21,1,MATCH(D$271,$C367:$BW367,0)),""),nmADwSP,"")</f>
        <v/>
      </c>
      <c r="E130" s="147" t="str">
        <f>SUBSTITUTE(_xlfn.IFNA(INDEX(M2S_Eligibility_List!$C$21:$BV$21,1,MATCH(E$271,$C367:$BW367,0)),""),nmADwSP,"")</f>
        <v/>
      </c>
      <c r="F130" s="147" t="str">
        <f>SUBSTITUTE(_xlfn.IFNA(INDEX(M2S_Eligibility_List!$C$21:$BV$21,1,MATCH(F$271,$C367:$BW367,0)),""),nmADwSP,"")</f>
        <v/>
      </c>
      <c r="G130" s="147" t="str">
        <f>SUBSTITUTE(_xlfn.IFNA(INDEX(M2S_Eligibility_List!$C$21:$BV$21,1,MATCH(G$271,$C367:$BW367,0)),""),nmADwSP,"")</f>
        <v/>
      </c>
      <c r="H130" s="147" t="str">
        <f>SUBSTITUTE(_xlfn.IFNA(INDEX(M2S_Eligibility_List!$C$21:$BV$21,1,MATCH(H$271,$C367:$BW367,0)),""),nmADwSP,"")</f>
        <v/>
      </c>
      <c r="I130" s="147" t="str">
        <f>SUBSTITUTE(_xlfn.IFNA(INDEX(M2S_Eligibility_List!$C$21:$BV$21,1,MATCH(I$271,$C367:$BW367,0)),""),nmADwSP,"")</f>
        <v/>
      </c>
      <c r="J130" s="147" t="str">
        <f>SUBSTITUTE(_xlfn.IFNA(INDEX(M2S_Eligibility_List!$C$21:$BV$21,1,MATCH(J$271,$C367:$BW367,0)),""),nmADwSP,"")</f>
        <v/>
      </c>
      <c r="K130" s="147" t="str">
        <f>SUBSTITUTE(_xlfn.IFNA(INDEX(M2S_Eligibility_List!$C$21:$BV$21,1,MATCH(K$271,$C367:$BW367,0)),""),nmADwSP,"")</f>
        <v/>
      </c>
      <c r="L130" s="147" t="str">
        <f>SUBSTITUTE(_xlfn.IFNA(INDEX(M2S_Eligibility_List!$C$21:$BV$21,1,MATCH(L$271,$C367:$BW367,0)),""),nmADwSP,"")</f>
        <v/>
      </c>
      <c r="M130" s="147" t="str">
        <f>SUBSTITUTE(_xlfn.IFNA(INDEX(M2S_Eligibility_List!$C$21:$BV$21,1,MATCH(M$271,$C367:$BW367,0)),""),nmADwSP,"")</f>
        <v/>
      </c>
      <c r="N130" s="147" t="str">
        <f>SUBSTITUTE(_xlfn.IFNA(INDEX(M2S_Eligibility_List!$C$21:$BV$21,1,MATCH(N$271,$C367:$BW367,0)),""),nmADwSP,"")</f>
        <v/>
      </c>
      <c r="O130" s="145"/>
      <c r="P130" s="145"/>
      <c r="Q130" s="145"/>
      <c r="R130" s="145"/>
      <c r="S130" s="145"/>
      <c r="T130" s="145"/>
      <c r="U130" s="145"/>
      <c r="V130" s="145"/>
      <c r="W130" s="145"/>
      <c r="X130" s="145"/>
      <c r="Y130" s="145"/>
      <c r="Z130" s="145"/>
      <c r="AA130" s="145"/>
      <c r="AB130" s="145"/>
      <c r="AC130" s="145"/>
      <c r="AD130" s="145"/>
      <c r="AE130" s="145"/>
      <c r="AF130" s="145"/>
      <c r="AG130" s="145"/>
      <c r="AH130" s="145"/>
      <c r="AI130" s="145"/>
      <c r="AJ130" s="145"/>
      <c r="AK130" s="145"/>
      <c r="AL130" s="145"/>
      <c r="AM130" s="145"/>
      <c r="AN130" s="145"/>
      <c r="AO130" s="145"/>
      <c r="AP130" s="145"/>
      <c r="AQ130" s="145"/>
      <c r="AR130" s="145"/>
      <c r="AS130" s="145"/>
      <c r="AT130" s="145"/>
      <c r="AU130" s="145"/>
      <c r="AV130" s="145"/>
      <c r="AW130" s="145"/>
      <c r="AX130" s="145"/>
      <c r="AY130" s="145"/>
      <c r="AZ130" s="145"/>
      <c r="BA130" s="145"/>
      <c r="BB130" s="145"/>
      <c r="BC130" s="145"/>
      <c r="BD130" s="145"/>
      <c r="BE130" s="145"/>
      <c r="BF130" s="145"/>
      <c r="BG130" s="145"/>
      <c r="BH130" s="145"/>
      <c r="BI130" s="145"/>
      <c r="BJ130" s="145"/>
      <c r="BK130" s="145"/>
      <c r="BL130" s="145"/>
      <c r="BM130" s="145"/>
      <c r="BN130" s="145"/>
      <c r="BO130" s="145"/>
      <c r="BP130" s="145"/>
      <c r="BQ130" s="145"/>
      <c r="BR130" s="145"/>
      <c r="BS130" s="145"/>
      <c r="BT130" s="145"/>
      <c r="BU130" s="145"/>
      <c r="BV130" s="145"/>
      <c r="BW130" s="145"/>
    </row>
    <row r="131" spans="1:75" ht="20.100000000000001" customHeight="1">
      <c r="A131" s="170" t="str">
        <f>IF(M2S_Eligibility_List!$B118&lt;&gt;"",RIGHT(M2S_Eligibility_List!$B118,LEN(M2S_Eligibility_List!$B118)-LEN(nmADwSP)),0)</f>
        <v>TruLaser</v>
      </c>
      <c r="B131" s="170" t="str">
        <f>IF(M2S_Eligibility_List!$B118&lt;&gt;"",RIGHT(M2S_Eligibility_List!$B118,LEN(M2S_Eligibility_List!$B118)-LEN(nmADwSP)),0)</f>
        <v>TruLaser</v>
      </c>
      <c r="C131" s="147" t="str">
        <f>SUBSTITUTE(_xlfn.IFNA(INDEX(M2S_Eligibility_List!$C$21:$BV$21,1,MATCH(C$271,$C368:$BW368,0)),""),nmADwSP,"")</f>
        <v>TruLaser</v>
      </c>
      <c r="D131" s="147" t="str">
        <f>SUBSTITUTE(_xlfn.IFNA(INDEX(M2S_Eligibility_List!$C$21:$BV$21,1,MATCH(D$271,$C368:$BW368,0)),""),nmADwSP,"")</f>
        <v/>
      </c>
      <c r="E131" s="147" t="str">
        <f>SUBSTITUTE(_xlfn.IFNA(INDEX(M2S_Eligibility_List!$C$21:$BV$21,1,MATCH(E$271,$C368:$BW368,0)),""),nmADwSP,"")</f>
        <v/>
      </c>
      <c r="F131" s="147" t="str">
        <f>SUBSTITUTE(_xlfn.IFNA(INDEX(M2S_Eligibility_List!$C$21:$BV$21,1,MATCH(F$271,$C368:$BW368,0)),""),nmADwSP,"")</f>
        <v/>
      </c>
      <c r="G131" s="147" t="str">
        <f>SUBSTITUTE(_xlfn.IFNA(INDEX(M2S_Eligibility_List!$C$21:$BV$21,1,MATCH(G$271,$C368:$BW368,0)),""),nmADwSP,"")</f>
        <v/>
      </c>
      <c r="H131" s="147" t="str">
        <f>SUBSTITUTE(_xlfn.IFNA(INDEX(M2S_Eligibility_List!$C$21:$BV$21,1,MATCH(H$271,$C368:$BW368,0)),""),nmADwSP,"")</f>
        <v/>
      </c>
      <c r="I131" s="147" t="str">
        <f>SUBSTITUTE(_xlfn.IFNA(INDEX(M2S_Eligibility_List!$C$21:$BV$21,1,MATCH(I$271,$C368:$BW368,0)),""),nmADwSP,"")</f>
        <v/>
      </c>
      <c r="J131" s="147" t="str">
        <f>SUBSTITUTE(_xlfn.IFNA(INDEX(M2S_Eligibility_List!$C$21:$BV$21,1,MATCH(J$271,$C368:$BW368,0)),""),nmADwSP,"")</f>
        <v/>
      </c>
      <c r="K131" s="147" t="str">
        <f>SUBSTITUTE(_xlfn.IFNA(INDEX(M2S_Eligibility_List!$C$21:$BV$21,1,MATCH(K$271,$C368:$BW368,0)),""),nmADwSP,"")</f>
        <v/>
      </c>
      <c r="L131" s="147" t="str">
        <f>SUBSTITUTE(_xlfn.IFNA(INDEX(M2S_Eligibility_List!$C$21:$BV$21,1,MATCH(L$271,$C368:$BW368,0)),""),nmADwSP,"")</f>
        <v/>
      </c>
      <c r="M131" s="147" t="str">
        <f>SUBSTITUTE(_xlfn.IFNA(INDEX(M2S_Eligibility_List!$C$21:$BV$21,1,MATCH(M$271,$C368:$BW368,0)),""),nmADwSP,"")</f>
        <v/>
      </c>
      <c r="N131" s="147" t="str">
        <f>SUBSTITUTE(_xlfn.IFNA(INDEX(M2S_Eligibility_List!$C$21:$BV$21,1,MATCH(N$271,$C368:$BW368,0)),""),nmADwSP,"")</f>
        <v/>
      </c>
      <c r="O131" s="145"/>
      <c r="P131" s="145"/>
      <c r="Q131" s="145"/>
      <c r="R131" s="145"/>
      <c r="S131" s="145"/>
      <c r="T131" s="145"/>
      <c r="U131" s="145"/>
      <c r="V131" s="145"/>
      <c r="W131" s="145"/>
      <c r="X131" s="145"/>
      <c r="Y131" s="145"/>
      <c r="Z131" s="145"/>
      <c r="AA131" s="145"/>
      <c r="AB131" s="145"/>
      <c r="AC131" s="145"/>
      <c r="AD131" s="145"/>
      <c r="AE131" s="145"/>
      <c r="AF131" s="145"/>
      <c r="AG131" s="145"/>
      <c r="AH131" s="145"/>
      <c r="AI131" s="145"/>
      <c r="AJ131" s="145"/>
      <c r="AK131" s="145"/>
      <c r="AL131" s="145"/>
      <c r="AM131" s="145"/>
      <c r="AN131" s="145"/>
      <c r="AO131" s="145"/>
      <c r="AP131" s="145"/>
      <c r="AQ131" s="145"/>
      <c r="AR131" s="145"/>
      <c r="AS131" s="145"/>
      <c r="AT131" s="145"/>
      <c r="AU131" s="145"/>
      <c r="AV131" s="145"/>
      <c r="AW131" s="145"/>
      <c r="AX131" s="145"/>
      <c r="AY131" s="145"/>
      <c r="AZ131" s="145"/>
      <c r="BA131" s="145"/>
      <c r="BB131" s="145"/>
      <c r="BC131" s="145"/>
      <c r="BD131" s="145"/>
      <c r="BE131" s="145"/>
      <c r="BF131" s="145"/>
      <c r="BG131" s="145"/>
      <c r="BH131" s="145"/>
      <c r="BI131" s="145"/>
      <c r="BJ131" s="145"/>
      <c r="BK131" s="145"/>
      <c r="BL131" s="145"/>
      <c r="BM131" s="145"/>
      <c r="BN131" s="145"/>
      <c r="BO131" s="145"/>
      <c r="BP131" s="145"/>
      <c r="BQ131" s="145"/>
      <c r="BR131" s="145"/>
      <c r="BS131" s="145"/>
      <c r="BT131" s="145"/>
      <c r="BU131" s="145"/>
      <c r="BV131" s="145"/>
      <c r="BW131" s="145"/>
    </row>
    <row r="132" spans="1:75" ht="20.100000000000001" customHeight="1">
      <c r="A132" s="170" t="str">
        <f>IF(M2S_Eligibility_List!$B119&lt;&gt;"",RIGHT(M2S_Eligibility_List!$B119,LEN(M2S_Eligibility_List!$B119)-LEN(nmADwSP)),0)</f>
        <v>TruNest Composites</v>
      </c>
      <c r="B132" s="170" t="str">
        <f>IF(M2S_Eligibility_List!$B119&lt;&gt;"",RIGHT(M2S_Eligibility_List!$B119,LEN(M2S_Eligibility_List!$B119)-LEN(nmADwSP)),0)</f>
        <v>TruNest Composites</v>
      </c>
      <c r="C132" s="147" t="str">
        <f>SUBSTITUTE(_xlfn.IFNA(INDEX(M2S_Eligibility_List!$C$21:$BV$21,1,MATCH(C$271,$C369:$BW369,0)),""),nmADwSP,"")</f>
        <v>TruNest Composites</v>
      </c>
      <c r="D132" s="147" t="str">
        <f>SUBSTITUTE(_xlfn.IFNA(INDEX(M2S_Eligibility_List!$C$21:$BV$21,1,MATCH(D$271,$C369:$BW369,0)),""),nmADwSP,"")</f>
        <v/>
      </c>
      <c r="E132" s="147" t="str">
        <f>SUBSTITUTE(_xlfn.IFNA(INDEX(M2S_Eligibility_List!$C$21:$BV$21,1,MATCH(E$271,$C369:$BW369,0)),""),nmADwSP,"")</f>
        <v/>
      </c>
      <c r="F132" s="147" t="str">
        <f>SUBSTITUTE(_xlfn.IFNA(INDEX(M2S_Eligibility_List!$C$21:$BV$21,1,MATCH(F$271,$C369:$BW369,0)),""),nmADwSP,"")</f>
        <v/>
      </c>
      <c r="G132" s="147" t="str">
        <f>SUBSTITUTE(_xlfn.IFNA(INDEX(M2S_Eligibility_List!$C$21:$BV$21,1,MATCH(G$271,$C369:$BW369,0)),""),nmADwSP,"")</f>
        <v/>
      </c>
      <c r="H132" s="147" t="str">
        <f>SUBSTITUTE(_xlfn.IFNA(INDEX(M2S_Eligibility_List!$C$21:$BV$21,1,MATCH(H$271,$C369:$BW369,0)),""),nmADwSP,"")</f>
        <v/>
      </c>
      <c r="I132" s="147" t="str">
        <f>SUBSTITUTE(_xlfn.IFNA(INDEX(M2S_Eligibility_List!$C$21:$BV$21,1,MATCH(I$271,$C369:$BW369,0)),""),nmADwSP,"")</f>
        <v/>
      </c>
      <c r="J132" s="147" t="str">
        <f>SUBSTITUTE(_xlfn.IFNA(INDEX(M2S_Eligibility_List!$C$21:$BV$21,1,MATCH(J$271,$C369:$BW369,0)),""),nmADwSP,"")</f>
        <v/>
      </c>
      <c r="K132" s="147" t="str">
        <f>SUBSTITUTE(_xlfn.IFNA(INDEX(M2S_Eligibility_List!$C$21:$BV$21,1,MATCH(K$271,$C369:$BW369,0)),""),nmADwSP,"")</f>
        <v/>
      </c>
      <c r="L132" s="147" t="str">
        <f>SUBSTITUTE(_xlfn.IFNA(INDEX(M2S_Eligibility_List!$C$21:$BV$21,1,MATCH(L$271,$C369:$BW369,0)),""),nmADwSP,"")</f>
        <v/>
      </c>
      <c r="M132" s="147" t="str">
        <f>SUBSTITUTE(_xlfn.IFNA(INDEX(M2S_Eligibility_List!$C$21:$BV$21,1,MATCH(M$271,$C369:$BW369,0)),""),nmADwSP,"")</f>
        <v/>
      </c>
      <c r="N132" s="147" t="str">
        <f>SUBSTITUTE(_xlfn.IFNA(INDEX(M2S_Eligibility_List!$C$21:$BV$21,1,MATCH(N$271,$C369:$BW369,0)),""),nmADwSP,"")</f>
        <v/>
      </c>
      <c r="O132" s="145"/>
      <c r="P132" s="145"/>
      <c r="Q132" s="145"/>
      <c r="R132" s="145"/>
      <c r="S132" s="145"/>
      <c r="T132" s="145"/>
      <c r="U132" s="145"/>
      <c r="V132" s="145"/>
      <c r="W132" s="145"/>
      <c r="X132" s="145"/>
      <c r="Y132" s="145"/>
      <c r="Z132" s="145"/>
      <c r="AA132" s="145"/>
      <c r="AB132" s="145"/>
      <c r="AC132" s="145"/>
      <c r="AD132" s="145"/>
      <c r="AE132" s="145"/>
      <c r="AF132" s="145"/>
      <c r="AG132" s="145"/>
      <c r="AH132" s="145"/>
      <c r="AI132" s="145"/>
      <c r="AJ132" s="145"/>
      <c r="AK132" s="145"/>
      <c r="AL132" s="145"/>
      <c r="AM132" s="145"/>
      <c r="AN132" s="145"/>
      <c r="AO132" s="145"/>
      <c r="AP132" s="145"/>
      <c r="AQ132" s="145"/>
      <c r="AR132" s="145"/>
      <c r="AS132" s="145"/>
      <c r="AT132" s="145"/>
      <c r="AU132" s="145"/>
      <c r="AV132" s="145"/>
      <c r="AW132" s="145"/>
      <c r="AX132" s="145"/>
      <c r="AY132" s="145"/>
      <c r="AZ132" s="145"/>
      <c r="BA132" s="145"/>
      <c r="BB132" s="145"/>
      <c r="BC132" s="145"/>
      <c r="BD132" s="145"/>
      <c r="BE132" s="145"/>
      <c r="BF132" s="145"/>
      <c r="BG132" s="145"/>
      <c r="BH132" s="145"/>
      <c r="BI132" s="145"/>
      <c r="BJ132" s="145"/>
      <c r="BK132" s="145"/>
      <c r="BL132" s="145"/>
      <c r="BM132" s="145"/>
      <c r="BN132" s="145"/>
      <c r="BO132" s="145"/>
      <c r="BP132" s="145"/>
      <c r="BQ132" s="145"/>
      <c r="BR132" s="145"/>
      <c r="BS132" s="145"/>
      <c r="BT132" s="145"/>
      <c r="BU132" s="145"/>
      <c r="BV132" s="145"/>
      <c r="BW132" s="145"/>
    </row>
    <row r="133" spans="1:75" ht="20.100000000000001" customHeight="1">
      <c r="A133" s="170" t="str">
        <f>IF(M2S_Eligibility_List!$B120&lt;&gt;"",RIGHT(M2S_Eligibility_List!$B120,LEN(M2S_Eligibility_List!$B120)-LEN(nmADwSP)),0)</f>
        <v>TruNest Contour</v>
      </c>
      <c r="B133" s="170" t="str">
        <f>IF(M2S_Eligibility_List!$B120&lt;&gt;"",RIGHT(M2S_Eligibility_List!$B120,LEN(M2S_Eligibility_List!$B120)-LEN(nmADwSP)),0)</f>
        <v>TruNest Contour</v>
      </c>
      <c r="C133" s="147" t="str">
        <f>SUBSTITUTE(_xlfn.IFNA(INDEX(M2S_Eligibility_List!$C$21:$BV$21,1,MATCH(C$271,$C370:$BW370,0)),""),nmADwSP,"")</f>
        <v>TruNest Contour</v>
      </c>
      <c r="D133" s="147" t="str">
        <f>SUBSTITUTE(_xlfn.IFNA(INDEX(M2S_Eligibility_List!$C$21:$BV$21,1,MATCH(D$271,$C370:$BW370,0)),""),nmADwSP,"")</f>
        <v/>
      </c>
      <c r="E133" s="147" t="str">
        <f>SUBSTITUTE(_xlfn.IFNA(INDEX(M2S_Eligibility_List!$C$21:$BV$21,1,MATCH(E$271,$C370:$BW370,0)),""),nmADwSP,"")</f>
        <v/>
      </c>
      <c r="F133" s="147" t="str">
        <f>SUBSTITUTE(_xlfn.IFNA(INDEX(M2S_Eligibility_List!$C$21:$BV$21,1,MATCH(F$271,$C370:$BW370,0)),""),nmADwSP,"")</f>
        <v/>
      </c>
      <c r="G133" s="147" t="str">
        <f>SUBSTITUTE(_xlfn.IFNA(INDEX(M2S_Eligibility_List!$C$21:$BV$21,1,MATCH(G$271,$C370:$BW370,0)),""),nmADwSP,"")</f>
        <v/>
      </c>
      <c r="H133" s="147" t="str">
        <f>SUBSTITUTE(_xlfn.IFNA(INDEX(M2S_Eligibility_List!$C$21:$BV$21,1,MATCH(H$271,$C370:$BW370,0)),""),nmADwSP,"")</f>
        <v/>
      </c>
      <c r="I133" s="147" t="str">
        <f>SUBSTITUTE(_xlfn.IFNA(INDEX(M2S_Eligibility_List!$C$21:$BV$21,1,MATCH(I$271,$C370:$BW370,0)),""),nmADwSP,"")</f>
        <v/>
      </c>
      <c r="J133" s="147" t="str">
        <f>SUBSTITUTE(_xlfn.IFNA(INDEX(M2S_Eligibility_List!$C$21:$BV$21,1,MATCH(J$271,$C370:$BW370,0)),""),nmADwSP,"")</f>
        <v/>
      </c>
      <c r="K133" s="147" t="str">
        <f>SUBSTITUTE(_xlfn.IFNA(INDEX(M2S_Eligibility_List!$C$21:$BV$21,1,MATCH(K$271,$C370:$BW370,0)),""),nmADwSP,"")</f>
        <v/>
      </c>
      <c r="L133" s="147" t="str">
        <f>SUBSTITUTE(_xlfn.IFNA(INDEX(M2S_Eligibility_List!$C$21:$BV$21,1,MATCH(L$271,$C370:$BW370,0)),""),nmADwSP,"")</f>
        <v/>
      </c>
      <c r="M133" s="147" t="str">
        <f>SUBSTITUTE(_xlfn.IFNA(INDEX(M2S_Eligibility_List!$C$21:$BV$21,1,MATCH(M$271,$C370:$BW370,0)),""),nmADwSP,"")</f>
        <v/>
      </c>
      <c r="N133" s="147" t="str">
        <f>SUBSTITUTE(_xlfn.IFNA(INDEX(M2S_Eligibility_List!$C$21:$BV$21,1,MATCH(N$271,$C370:$BW370,0)),""),nmADwSP,"")</f>
        <v/>
      </c>
      <c r="O133" s="145"/>
      <c r="P133" s="145"/>
      <c r="Q133" s="145"/>
      <c r="R133" s="145"/>
      <c r="S133" s="145"/>
      <c r="T133" s="145"/>
      <c r="U133" s="145"/>
      <c r="V133" s="145"/>
      <c r="W133" s="145"/>
      <c r="X133" s="145"/>
      <c r="Y133" s="145"/>
      <c r="Z133" s="145"/>
      <c r="AA133" s="145"/>
      <c r="AB133" s="145"/>
      <c r="AC133" s="145"/>
      <c r="AD133" s="145"/>
      <c r="AE133" s="145"/>
      <c r="AF133" s="145"/>
      <c r="AG133" s="145"/>
      <c r="AH133" s="145"/>
      <c r="AI133" s="145"/>
      <c r="AJ133" s="145"/>
      <c r="AK133" s="145"/>
      <c r="AL133" s="145"/>
      <c r="AM133" s="145"/>
      <c r="AN133" s="145"/>
      <c r="AO133" s="145"/>
      <c r="AP133" s="145"/>
      <c r="AQ133" s="145"/>
      <c r="AR133" s="145"/>
      <c r="AS133" s="145"/>
      <c r="AT133" s="145"/>
      <c r="AU133" s="145"/>
      <c r="AV133" s="145"/>
      <c r="AW133" s="145"/>
      <c r="AX133" s="145"/>
      <c r="AY133" s="145"/>
      <c r="AZ133" s="145"/>
      <c r="BA133" s="145"/>
      <c r="BB133" s="145"/>
      <c r="BC133" s="145"/>
      <c r="BD133" s="145"/>
      <c r="BE133" s="145"/>
      <c r="BF133" s="145"/>
      <c r="BG133" s="145"/>
      <c r="BH133" s="145"/>
      <c r="BI133" s="145"/>
      <c r="BJ133" s="145"/>
      <c r="BK133" s="145"/>
      <c r="BL133" s="145"/>
      <c r="BM133" s="145"/>
      <c r="BN133" s="145"/>
      <c r="BO133" s="145"/>
      <c r="BP133" s="145"/>
      <c r="BQ133" s="145"/>
      <c r="BR133" s="145"/>
      <c r="BS133" s="145"/>
      <c r="BT133" s="145"/>
      <c r="BU133" s="145"/>
      <c r="BV133" s="145"/>
      <c r="BW133" s="145"/>
    </row>
    <row r="134" spans="1:75" ht="20.100000000000001" customHeight="1">
      <c r="A134" s="170" t="str">
        <f>IF(M2S_Eligibility_List!$B121&lt;&gt;"",RIGHT(M2S_Eligibility_List!$B121,LEN(M2S_Eligibility_List!$B121)-LEN(nmADwSP)),0)</f>
        <v>TruNest Multi-Tool</v>
      </c>
      <c r="B134" s="170" t="str">
        <f>IF(M2S_Eligibility_List!$B121&lt;&gt;"",RIGHT(M2S_Eligibility_List!$B121,LEN(M2S_Eligibility_List!$B121)-LEN(nmADwSP)),0)</f>
        <v>TruNest Multi-Tool</v>
      </c>
      <c r="C134" s="147" t="str">
        <f>SUBSTITUTE(_xlfn.IFNA(INDEX(M2S_Eligibility_List!$C$21:$BV$21,1,MATCH(C$271,$C371:$BW371,0)),""),nmADwSP,"")</f>
        <v>TruNest Multi-Tool</v>
      </c>
      <c r="D134" s="147" t="str">
        <f>SUBSTITUTE(_xlfn.IFNA(INDEX(M2S_Eligibility_List!$C$21:$BV$21,1,MATCH(D$271,$C371:$BW371,0)),""),nmADwSP,"")</f>
        <v/>
      </c>
      <c r="E134" s="147" t="str">
        <f>SUBSTITUTE(_xlfn.IFNA(INDEX(M2S_Eligibility_List!$C$21:$BV$21,1,MATCH(E$271,$C371:$BW371,0)),""),nmADwSP,"")</f>
        <v/>
      </c>
      <c r="F134" s="147" t="str">
        <f>SUBSTITUTE(_xlfn.IFNA(INDEX(M2S_Eligibility_List!$C$21:$BV$21,1,MATCH(F$271,$C371:$BW371,0)),""),nmADwSP,"")</f>
        <v/>
      </c>
      <c r="G134" s="147" t="str">
        <f>SUBSTITUTE(_xlfn.IFNA(INDEX(M2S_Eligibility_List!$C$21:$BV$21,1,MATCH(G$271,$C371:$BW371,0)),""),nmADwSP,"")</f>
        <v/>
      </c>
      <c r="H134" s="147" t="str">
        <f>SUBSTITUTE(_xlfn.IFNA(INDEX(M2S_Eligibility_List!$C$21:$BV$21,1,MATCH(H$271,$C371:$BW371,0)),""),nmADwSP,"")</f>
        <v/>
      </c>
      <c r="I134" s="147" t="str">
        <f>SUBSTITUTE(_xlfn.IFNA(INDEX(M2S_Eligibility_List!$C$21:$BV$21,1,MATCH(I$271,$C371:$BW371,0)),""),nmADwSP,"")</f>
        <v/>
      </c>
      <c r="J134" s="147" t="str">
        <f>SUBSTITUTE(_xlfn.IFNA(INDEX(M2S_Eligibility_List!$C$21:$BV$21,1,MATCH(J$271,$C371:$BW371,0)),""),nmADwSP,"")</f>
        <v/>
      </c>
      <c r="K134" s="147" t="str">
        <f>SUBSTITUTE(_xlfn.IFNA(INDEX(M2S_Eligibility_List!$C$21:$BV$21,1,MATCH(K$271,$C371:$BW371,0)),""),nmADwSP,"")</f>
        <v/>
      </c>
      <c r="L134" s="147" t="str">
        <f>SUBSTITUTE(_xlfn.IFNA(INDEX(M2S_Eligibility_List!$C$21:$BV$21,1,MATCH(L$271,$C371:$BW371,0)),""),nmADwSP,"")</f>
        <v/>
      </c>
      <c r="M134" s="147" t="str">
        <f>SUBSTITUTE(_xlfn.IFNA(INDEX(M2S_Eligibility_List!$C$21:$BV$21,1,MATCH(M$271,$C371:$BW371,0)),""),nmADwSP,"")</f>
        <v/>
      </c>
      <c r="N134" s="147" t="str">
        <f>SUBSTITUTE(_xlfn.IFNA(INDEX(M2S_Eligibility_List!$C$21:$BV$21,1,MATCH(N$271,$C371:$BW371,0)),""),nmADwSP,"")</f>
        <v/>
      </c>
      <c r="O134" s="145"/>
      <c r="P134" s="145"/>
      <c r="Q134" s="145"/>
      <c r="R134" s="145"/>
      <c r="S134" s="145"/>
      <c r="T134" s="145"/>
      <c r="U134" s="145"/>
      <c r="V134" s="145"/>
      <c r="W134" s="145"/>
      <c r="X134" s="145"/>
      <c r="Y134" s="145"/>
      <c r="Z134" s="145"/>
      <c r="AA134" s="145"/>
      <c r="AB134" s="145"/>
      <c r="AC134" s="145"/>
      <c r="AD134" s="145"/>
      <c r="AE134" s="145"/>
      <c r="AF134" s="145"/>
      <c r="AG134" s="145"/>
      <c r="AH134" s="145"/>
      <c r="AI134" s="145"/>
      <c r="AJ134" s="145"/>
      <c r="AK134" s="145"/>
      <c r="AL134" s="145"/>
      <c r="AM134" s="145"/>
      <c r="AN134" s="145"/>
      <c r="AO134" s="145"/>
      <c r="AP134" s="145"/>
      <c r="AQ134" s="145"/>
      <c r="AR134" s="145"/>
      <c r="AS134" s="145"/>
      <c r="AT134" s="145"/>
      <c r="AU134" s="145"/>
      <c r="AV134" s="145"/>
      <c r="AW134" s="145"/>
      <c r="AX134" s="145"/>
      <c r="AY134" s="145"/>
      <c r="AZ134" s="145"/>
      <c r="BA134" s="145"/>
      <c r="BB134" s="145"/>
      <c r="BC134" s="145"/>
      <c r="BD134" s="145"/>
      <c r="BE134" s="145"/>
      <c r="BF134" s="145"/>
      <c r="BG134" s="145"/>
      <c r="BH134" s="145"/>
      <c r="BI134" s="145"/>
      <c r="BJ134" s="145"/>
      <c r="BK134" s="145"/>
      <c r="BL134" s="145"/>
      <c r="BM134" s="145"/>
      <c r="BN134" s="145"/>
      <c r="BO134" s="145"/>
      <c r="BP134" s="145"/>
      <c r="BQ134" s="145"/>
      <c r="BR134" s="145"/>
      <c r="BS134" s="145"/>
      <c r="BT134" s="145"/>
      <c r="BU134" s="145"/>
      <c r="BV134" s="145"/>
      <c r="BW134" s="145"/>
    </row>
    <row r="135" spans="1:75" ht="20.100000000000001" customHeight="1">
      <c r="A135" s="170" t="str">
        <f>IF(M2S_Eligibility_List!$B122&lt;&gt;"",RIGHT(M2S_Eligibility_List!$B122,LEN(M2S_Eligibility_List!$B122)-LEN(nmADwSP)),0)</f>
        <v>Vault Office</v>
      </c>
      <c r="B135" s="170" t="str">
        <f>IF(M2S_Eligibility_List!$B122&lt;&gt;"",RIGHT(M2S_Eligibility_List!$B122,LEN(M2S_Eligibility_List!$B122)-LEN(nmADwSP)),0)</f>
        <v>Vault Office</v>
      </c>
      <c r="C135" s="147" t="str">
        <f>SUBSTITUTE(_xlfn.IFNA(INDEX(M2S_Eligibility_List!$C$21:$BV$21,1,MATCH(C$271,$C372:$BW372,0)),""),nmADwSP,"")</f>
        <v>Vault Office</v>
      </c>
      <c r="D135" s="147" t="str">
        <f>SUBSTITUTE(_xlfn.IFNA(INDEX(M2S_Eligibility_List!$C$21:$BV$21,1,MATCH(D$271,$C372:$BW372,0)),""),nmADwSP,"")</f>
        <v>Vault Professional</v>
      </c>
      <c r="E135" s="147" t="str">
        <f>SUBSTITUTE(_xlfn.IFNA(INDEX(M2S_Eligibility_List!$C$21:$BV$21,1,MATCH(E$271,$C372:$BW372,0)),""),nmADwSP,"")</f>
        <v/>
      </c>
      <c r="F135" s="147" t="str">
        <f>SUBSTITUTE(_xlfn.IFNA(INDEX(M2S_Eligibility_List!$C$21:$BV$21,1,MATCH(F$271,$C372:$BW372,0)),""),nmADwSP,"")</f>
        <v/>
      </c>
      <c r="G135" s="147" t="str">
        <f>SUBSTITUTE(_xlfn.IFNA(INDEX(M2S_Eligibility_List!$C$21:$BV$21,1,MATCH(G$271,$C372:$BW372,0)),""),nmADwSP,"")</f>
        <v/>
      </c>
      <c r="H135" s="147" t="str">
        <f>SUBSTITUTE(_xlfn.IFNA(INDEX(M2S_Eligibility_List!$C$21:$BV$21,1,MATCH(H$271,$C372:$BW372,0)),""),nmADwSP,"")</f>
        <v/>
      </c>
      <c r="I135" s="147" t="str">
        <f>SUBSTITUTE(_xlfn.IFNA(INDEX(M2S_Eligibility_List!$C$21:$BV$21,1,MATCH(I$271,$C372:$BW372,0)),""),nmADwSP,"")</f>
        <v/>
      </c>
      <c r="J135" s="147" t="str">
        <f>SUBSTITUTE(_xlfn.IFNA(INDEX(M2S_Eligibility_List!$C$21:$BV$21,1,MATCH(J$271,$C372:$BW372,0)),""),nmADwSP,"")</f>
        <v/>
      </c>
      <c r="K135" s="147" t="str">
        <f>SUBSTITUTE(_xlfn.IFNA(INDEX(M2S_Eligibility_List!$C$21:$BV$21,1,MATCH(K$271,$C372:$BW372,0)),""),nmADwSP,"")</f>
        <v/>
      </c>
      <c r="L135" s="147" t="str">
        <f>SUBSTITUTE(_xlfn.IFNA(INDEX(M2S_Eligibility_List!$C$21:$BV$21,1,MATCH(L$271,$C372:$BW372,0)),""),nmADwSP,"")</f>
        <v/>
      </c>
      <c r="M135" s="147" t="str">
        <f>SUBSTITUTE(_xlfn.IFNA(INDEX(M2S_Eligibility_List!$C$21:$BV$21,1,MATCH(M$271,$C372:$BW372,0)),""),nmADwSP,"")</f>
        <v/>
      </c>
      <c r="N135" s="147" t="str">
        <f>SUBSTITUTE(_xlfn.IFNA(INDEX(M2S_Eligibility_List!$C$21:$BV$21,1,MATCH(N$271,$C372:$BW372,0)),""),nmADwSP,"")</f>
        <v/>
      </c>
      <c r="O135" s="145"/>
      <c r="P135" s="145"/>
      <c r="Q135" s="145"/>
      <c r="R135" s="145"/>
      <c r="S135" s="145"/>
      <c r="T135" s="145"/>
      <c r="U135" s="145"/>
      <c r="V135" s="145"/>
      <c r="W135" s="145"/>
      <c r="X135" s="145"/>
      <c r="Y135" s="145"/>
      <c r="Z135" s="145"/>
      <c r="AA135" s="145"/>
      <c r="AB135" s="145"/>
      <c r="AC135" s="145"/>
      <c r="AD135" s="145"/>
      <c r="AE135" s="145"/>
      <c r="AF135" s="145"/>
      <c r="AG135" s="145"/>
      <c r="AH135" s="145"/>
      <c r="AI135" s="145"/>
      <c r="AJ135" s="145"/>
      <c r="AK135" s="145"/>
      <c r="AL135" s="145"/>
      <c r="AM135" s="145"/>
      <c r="AN135" s="145"/>
      <c r="AO135" s="145"/>
      <c r="AP135" s="145"/>
      <c r="AQ135" s="145"/>
      <c r="AR135" s="145"/>
      <c r="AS135" s="145"/>
      <c r="AT135" s="145"/>
      <c r="AU135" s="145"/>
      <c r="AV135" s="145"/>
      <c r="AW135" s="145"/>
      <c r="AX135" s="145"/>
      <c r="AY135" s="145"/>
      <c r="AZ135" s="145"/>
      <c r="BA135" s="145"/>
      <c r="BB135" s="145"/>
      <c r="BC135" s="145"/>
      <c r="BD135" s="145"/>
      <c r="BE135" s="145"/>
      <c r="BF135" s="145"/>
      <c r="BG135" s="145"/>
      <c r="BH135" s="145"/>
      <c r="BI135" s="145"/>
      <c r="BJ135" s="145"/>
      <c r="BK135" s="145"/>
      <c r="BL135" s="145"/>
      <c r="BM135" s="145"/>
      <c r="BN135" s="145"/>
      <c r="BO135" s="145"/>
      <c r="BP135" s="145"/>
      <c r="BQ135" s="145"/>
      <c r="BR135" s="145"/>
      <c r="BS135" s="145"/>
      <c r="BT135" s="145"/>
      <c r="BU135" s="145"/>
      <c r="BV135" s="145"/>
      <c r="BW135" s="145"/>
    </row>
    <row r="136" spans="1:75" ht="20.100000000000001" customHeight="1">
      <c r="A136" s="170" t="str">
        <f>IF(M2S_Eligibility_List!$B123&lt;&gt;"",RIGHT(M2S_Eligibility_List!$B123,LEN(M2S_Eligibility_List!$B123)-LEN(nmADwSP)),0)</f>
        <v>Vault Professional</v>
      </c>
      <c r="B136" s="170" t="str">
        <f>IF(M2S_Eligibility_List!$B123&lt;&gt;"",RIGHT(M2S_Eligibility_List!$B123,LEN(M2S_Eligibility_List!$B123)-LEN(nmADwSP)),0)</f>
        <v>Vault Professional</v>
      </c>
      <c r="C136" s="147" t="str">
        <f>SUBSTITUTE(_xlfn.IFNA(INDEX(M2S_Eligibility_List!$C$21:$BV$21,1,MATCH(C$271,$C373:$BW373,0)),""),nmADwSP,"")</f>
        <v>Vault Professional</v>
      </c>
      <c r="D136" s="147" t="str">
        <f>SUBSTITUTE(_xlfn.IFNA(INDEX(M2S_Eligibility_List!$C$21:$BV$21,1,MATCH(D$271,$C373:$BW373,0)),""),nmADwSP,"")</f>
        <v/>
      </c>
      <c r="E136" s="147" t="str">
        <f>SUBSTITUTE(_xlfn.IFNA(INDEX(M2S_Eligibility_List!$C$21:$BV$21,1,MATCH(E$271,$C373:$BW373,0)),""),nmADwSP,"")</f>
        <v/>
      </c>
      <c r="F136" s="147" t="str">
        <f>SUBSTITUTE(_xlfn.IFNA(INDEX(M2S_Eligibility_List!$C$21:$BV$21,1,MATCH(F$271,$C373:$BW373,0)),""),nmADwSP,"")</f>
        <v/>
      </c>
      <c r="G136" s="147" t="str">
        <f>SUBSTITUTE(_xlfn.IFNA(INDEX(M2S_Eligibility_List!$C$21:$BV$21,1,MATCH(G$271,$C373:$BW373,0)),""),nmADwSP,"")</f>
        <v/>
      </c>
      <c r="H136" s="147" t="str">
        <f>SUBSTITUTE(_xlfn.IFNA(INDEX(M2S_Eligibility_List!$C$21:$BV$21,1,MATCH(H$271,$C373:$BW373,0)),""),nmADwSP,"")</f>
        <v/>
      </c>
      <c r="I136" s="147" t="str">
        <f>SUBSTITUTE(_xlfn.IFNA(INDEX(M2S_Eligibility_List!$C$21:$BV$21,1,MATCH(I$271,$C373:$BW373,0)),""),nmADwSP,"")</f>
        <v/>
      </c>
      <c r="J136" s="147" t="str">
        <f>SUBSTITUTE(_xlfn.IFNA(INDEX(M2S_Eligibility_List!$C$21:$BV$21,1,MATCH(J$271,$C373:$BW373,0)),""),nmADwSP,"")</f>
        <v/>
      </c>
      <c r="K136" s="147" t="str">
        <f>SUBSTITUTE(_xlfn.IFNA(INDEX(M2S_Eligibility_List!$C$21:$BV$21,1,MATCH(K$271,$C373:$BW373,0)),""),nmADwSP,"")</f>
        <v/>
      </c>
      <c r="L136" s="147" t="str">
        <f>SUBSTITUTE(_xlfn.IFNA(INDEX(M2S_Eligibility_List!$C$21:$BV$21,1,MATCH(L$271,$C373:$BW373,0)),""),nmADwSP,"")</f>
        <v/>
      </c>
      <c r="M136" s="147" t="str">
        <f>SUBSTITUTE(_xlfn.IFNA(INDEX(M2S_Eligibility_List!$C$21:$BV$21,1,MATCH(M$271,$C373:$BW373,0)),""),nmADwSP,"")</f>
        <v/>
      </c>
      <c r="N136" s="147" t="str">
        <f>SUBSTITUTE(_xlfn.IFNA(INDEX(M2S_Eligibility_List!$C$21:$BV$21,1,MATCH(N$271,$C373:$BW373,0)),""),nmADwSP,"")</f>
        <v/>
      </c>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s="145"/>
      <c r="AT136" s="145"/>
      <c r="AU136" s="145"/>
      <c r="AV136" s="145"/>
      <c r="AW136" s="145"/>
      <c r="AX136" s="145"/>
      <c r="AY136" s="145"/>
      <c r="AZ136" s="145"/>
      <c r="BA136" s="145"/>
      <c r="BB136" s="145"/>
      <c r="BC136" s="145"/>
      <c r="BD136" s="145"/>
      <c r="BE136" s="145"/>
      <c r="BF136" s="145"/>
      <c r="BG136" s="145"/>
      <c r="BH136" s="145"/>
      <c r="BI136" s="145"/>
      <c r="BJ136" s="145"/>
      <c r="BK136" s="145"/>
      <c r="BL136" s="145"/>
      <c r="BM136" s="145"/>
      <c r="BN136" s="145"/>
      <c r="BO136" s="145"/>
      <c r="BP136" s="145"/>
      <c r="BQ136" s="145"/>
      <c r="BR136" s="145"/>
      <c r="BS136" s="145"/>
      <c r="BT136" s="145"/>
      <c r="BU136" s="145"/>
      <c r="BV136" s="145"/>
      <c r="BW136" s="145"/>
    </row>
    <row r="137" spans="1:75" ht="20.100000000000001" customHeight="1">
      <c r="A137" s="170" t="str">
        <f>IF(M2S_Eligibility_List!$B124&lt;&gt;"",RIGHT(M2S_Eligibility_List!$B124,LEN(M2S_Eligibility_List!$B124)-LEN(nmADwSP)),0)</f>
        <v>Vault Workgroup</v>
      </c>
      <c r="B137" s="170" t="str">
        <f>IF(M2S_Eligibility_List!$B124&lt;&gt;"",RIGHT(M2S_Eligibility_List!$B124,LEN(M2S_Eligibility_List!$B124)-LEN(nmADwSP)),0)</f>
        <v>Vault Workgroup</v>
      </c>
      <c r="C137" s="147" t="str">
        <f>SUBSTITUTE(_xlfn.IFNA(INDEX(M2S_Eligibility_List!$C$21:$BV$21,1,MATCH(C$271,$C374:$BW374,0)),""),nmADwSP,"")</f>
        <v>Vault Professional</v>
      </c>
      <c r="D137" s="147" t="str">
        <f>SUBSTITUTE(_xlfn.IFNA(INDEX(M2S_Eligibility_List!$C$21:$BV$21,1,MATCH(D$271,$C374:$BW374,0)),""),nmADwSP,"")</f>
        <v>Vault Workgroup</v>
      </c>
      <c r="E137" s="147" t="str">
        <f>SUBSTITUTE(_xlfn.IFNA(INDEX(M2S_Eligibility_List!$C$21:$BV$21,1,MATCH(E$271,$C374:$BW374,0)),""),nmADwSP,"")</f>
        <v/>
      </c>
      <c r="F137" s="147" t="str">
        <f>SUBSTITUTE(_xlfn.IFNA(INDEX(M2S_Eligibility_List!$C$21:$BV$21,1,MATCH(F$271,$C374:$BW374,0)),""),nmADwSP,"")</f>
        <v/>
      </c>
      <c r="G137" s="147" t="str">
        <f>SUBSTITUTE(_xlfn.IFNA(INDEX(M2S_Eligibility_List!$C$21:$BV$21,1,MATCH(G$271,$C374:$BW374,0)),""),nmADwSP,"")</f>
        <v/>
      </c>
      <c r="H137" s="147" t="str">
        <f>SUBSTITUTE(_xlfn.IFNA(INDEX(M2S_Eligibility_List!$C$21:$BV$21,1,MATCH(H$271,$C374:$BW374,0)),""),nmADwSP,"")</f>
        <v/>
      </c>
      <c r="I137" s="147" t="str">
        <f>SUBSTITUTE(_xlfn.IFNA(INDEX(M2S_Eligibility_List!$C$21:$BV$21,1,MATCH(I$271,$C374:$BW374,0)),""),nmADwSP,"")</f>
        <v/>
      </c>
      <c r="J137" s="147" t="str">
        <f>SUBSTITUTE(_xlfn.IFNA(INDEX(M2S_Eligibility_List!$C$21:$BV$21,1,MATCH(J$271,$C374:$BW374,0)),""),nmADwSP,"")</f>
        <v/>
      </c>
      <c r="K137" s="147" t="str">
        <f>SUBSTITUTE(_xlfn.IFNA(INDEX(M2S_Eligibility_List!$C$21:$BV$21,1,MATCH(K$271,$C374:$BW374,0)),""),nmADwSP,"")</f>
        <v/>
      </c>
      <c r="L137" s="147" t="str">
        <f>SUBSTITUTE(_xlfn.IFNA(INDEX(M2S_Eligibility_List!$C$21:$BV$21,1,MATCH(L$271,$C374:$BW374,0)),""),nmADwSP,"")</f>
        <v/>
      </c>
      <c r="M137" s="147" t="str">
        <f>SUBSTITUTE(_xlfn.IFNA(INDEX(M2S_Eligibility_List!$C$21:$BV$21,1,MATCH(M$271,$C374:$BW374,0)),""),nmADwSP,"")</f>
        <v/>
      </c>
      <c r="N137" s="147" t="str">
        <f>SUBSTITUTE(_xlfn.IFNA(INDEX(M2S_Eligibility_List!$C$21:$BV$21,1,MATCH(N$271,$C374:$BW374,0)),""),nmADwSP,"")</f>
        <v/>
      </c>
      <c r="O137" s="145"/>
      <c r="P137" s="145"/>
      <c r="Q137" s="145"/>
      <c r="R137" s="145"/>
      <c r="S137" s="145"/>
      <c r="T137" s="145"/>
      <c r="U137" s="145"/>
      <c r="V137" s="145"/>
      <c r="W137" s="145"/>
      <c r="X137" s="145"/>
      <c r="Y137" s="145"/>
      <c r="Z137" s="145"/>
      <c r="AA137" s="145"/>
      <c r="AB137" s="145"/>
      <c r="AC137" s="145"/>
      <c r="AD137" s="145"/>
      <c r="AE137" s="145"/>
      <c r="AF137" s="145"/>
      <c r="AG137" s="145"/>
      <c r="AH137" s="145"/>
      <c r="AI137" s="145"/>
      <c r="AJ137" s="145"/>
      <c r="AK137" s="145"/>
      <c r="AL137" s="145"/>
      <c r="AM137" s="145"/>
      <c r="AN137" s="145"/>
      <c r="AO137" s="145"/>
      <c r="AP137" s="145"/>
      <c r="AQ137" s="145"/>
      <c r="AR137" s="145"/>
      <c r="AS137" s="145"/>
      <c r="AT137" s="145"/>
      <c r="AU137" s="145"/>
      <c r="AV137" s="145"/>
      <c r="AW137" s="145"/>
      <c r="AX137" s="145"/>
      <c r="AY137" s="145"/>
      <c r="AZ137" s="145"/>
      <c r="BA137" s="145"/>
      <c r="BB137" s="145"/>
      <c r="BC137" s="145"/>
      <c r="BD137" s="145"/>
      <c r="BE137" s="145"/>
      <c r="BF137" s="145"/>
      <c r="BG137" s="145"/>
      <c r="BH137" s="145"/>
      <c r="BI137" s="145"/>
      <c r="BJ137" s="145"/>
      <c r="BK137" s="145"/>
      <c r="BL137" s="145"/>
      <c r="BM137" s="145"/>
      <c r="BN137" s="145"/>
      <c r="BO137" s="145"/>
      <c r="BP137" s="145"/>
      <c r="BQ137" s="145"/>
      <c r="BR137" s="145"/>
      <c r="BS137" s="145"/>
      <c r="BT137" s="145"/>
      <c r="BU137" s="145"/>
      <c r="BV137" s="145"/>
      <c r="BW137" s="145"/>
    </row>
    <row r="138" spans="1:75" ht="20.100000000000001" customHeight="1">
      <c r="A138" s="170" t="str">
        <f>IF(M2S_Eligibility_List!$B125&lt;&gt;"",RIGHT(M2S_Eligibility_List!$B125,LEN(M2S_Eligibility_List!$B125)-LEN(nmADwSP)),0)</f>
        <v>Vehicle Tracking</v>
      </c>
      <c r="B138" s="170" t="str">
        <f>IF(M2S_Eligibility_List!$B125&lt;&gt;"",RIGHT(M2S_Eligibility_List!$B125,LEN(M2S_Eligibility_List!$B125)-LEN(nmADwSP)),0)</f>
        <v>Vehicle Tracking</v>
      </c>
      <c r="C138" s="147" t="str">
        <f>SUBSTITUTE(_xlfn.IFNA(INDEX(M2S_Eligibility_List!$C$21:$BV$21,1,MATCH(C$271,$C375:$BW375,0)),""),nmADwSP,"")</f>
        <v>Architecture Engineering Construction Collection</v>
      </c>
      <c r="D138" s="147" t="str">
        <f>SUBSTITUTE(_xlfn.IFNA(INDEX(M2S_Eligibility_List!$C$21:$BV$21,1,MATCH(D$271,$C375:$BW375,0)),""),nmADwSP,"")</f>
        <v/>
      </c>
      <c r="E138" s="147" t="str">
        <f>SUBSTITUTE(_xlfn.IFNA(INDEX(M2S_Eligibility_List!$C$21:$BV$21,1,MATCH(E$271,$C375:$BW375,0)),""),nmADwSP,"")</f>
        <v/>
      </c>
      <c r="F138" s="147" t="str">
        <f>SUBSTITUTE(_xlfn.IFNA(INDEX(M2S_Eligibility_List!$C$21:$BV$21,1,MATCH(F$271,$C375:$BW375,0)),""),nmADwSP,"")</f>
        <v/>
      </c>
      <c r="G138" s="147" t="str">
        <f>SUBSTITUTE(_xlfn.IFNA(INDEX(M2S_Eligibility_List!$C$21:$BV$21,1,MATCH(G$271,$C375:$BW375,0)),""),nmADwSP,"")</f>
        <v/>
      </c>
      <c r="H138" s="147" t="str">
        <f>SUBSTITUTE(_xlfn.IFNA(INDEX(M2S_Eligibility_List!$C$21:$BV$21,1,MATCH(H$271,$C375:$BW375,0)),""),nmADwSP,"")</f>
        <v/>
      </c>
      <c r="I138" s="147" t="str">
        <f>SUBSTITUTE(_xlfn.IFNA(INDEX(M2S_Eligibility_List!$C$21:$BV$21,1,MATCH(I$271,$C375:$BW375,0)),""),nmADwSP,"")</f>
        <v/>
      </c>
      <c r="J138" s="147" t="str">
        <f>SUBSTITUTE(_xlfn.IFNA(INDEX(M2S_Eligibility_List!$C$21:$BV$21,1,MATCH(J$271,$C375:$BW375,0)),""),nmADwSP,"")</f>
        <v/>
      </c>
      <c r="K138" s="147" t="str">
        <f>SUBSTITUTE(_xlfn.IFNA(INDEX(M2S_Eligibility_List!$C$21:$BV$21,1,MATCH(K$271,$C375:$BW375,0)),""),nmADwSP,"")</f>
        <v/>
      </c>
      <c r="L138" s="147" t="str">
        <f>SUBSTITUTE(_xlfn.IFNA(INDEX(M2S_Eligibility_List!$C$21:$BV$21,1,MATCH(L$271,$C375:$BW375,0)),""),nmADwSP,"")</f>
        <v/>
      </c>
      <c r="M138" s="147" t="str">
        <f>SUBSTITUTE(_xlfn.IFNA(INDEX(M2S_Eligibility_List!$C$21:$BV$21,1,MATCH(M$271,$C375:$BW375,0)),""),nmADwSP,"")</f>
        <v/>
      </c>
      <c r="N138" s="147" t="str">
        <f>SUBSTITUTE(_xlfn.IFNA(INDEX(M2S_Eligibility_List!$C$21:$BV$21,1,MATCH(N$271,$C375:$BW375,0)),""),nmADwSP,"")</f>
        <v/>
      </c>
      <c r="O138" s="145"/>
      <c r="P138" s="145"/>
      <c r="Q138" s="145"/>
      <c r="R138" s="145"/>
      <c r="S138" s="145"/>
      <c r="T138" s="145"/>
      <c r="U138" s="145"/>
      <c r="V138" s="145"/>
      <c r="W138" s="145"/>
      <c r="X138" s="145"/>
      <c r="Y138" s="145"/>
      <c r="Z138" s="145"/>
      <c r="AA138" s="145"/>
      <c r="AB138" s="145"/>
      <c r="AC138" s="145"/>
      <c r="AD138" s="145"/>
      <c r="AE138" s="145"/>
      <c r="AF138" s="145"/>
      <c r="AG138" s="145"/>
      <c r="AH138" s="145"/>
      <c r="AI138" s="145"/>
      <c r="AJ138" s="145"/>
      <c r="AK138" s="145"/>
      <c r="AL138" s="145"/>
      <c r="AM138" s="145"/>
      <c r="AN138" s="145"/>
      <c r="AO138" s="145"/>
      <c r="AP138" s="145"/>
      <c r="AQ138" s="145"/>
      <c r="AR138" s="145"/>
      <c r="AS138" s="145"/>
      <c r="AT138" s="145"/>
      <c r="AU138" s="145"/>
      <c r="AV138" s="145"/>
      <c r="AW138" s="145"/>
      <c r="AX138" s="145"/>
      <c r="AY138" s="145"/>
      <c r="AZ138" s="145"/>
      <c r="BA138" s="145"/>
      <c r="BB138" s="145"/>
      <c r="BC138" s="145"/>
      <c r="BD138" s="145"/>
      <c r="BE138" s="145"/>
      <c r="BF138" s="145"/>
      <c r="BG138" s="145"/>
      <c r="BH138" s="145"/>
      <c r="BI138" s="145"/>
      <c r="BJ138" s="145"/>
      <c r="BK138" s="145"/>
      <c r="BL138" s="145"/>
      <c r="BM138" s="145"/>
      <c r="BN138" s="145"/>
      <c r="BO138" s="145"/>
      <c r="BP138" s="145"/>
      <c r="BQ138" s="145"/>
      <c r="BR138" s="145"/>
      <c r="BS138" s="145"/>
      <c r="BT138" s="145"/>
      <c r="BU138" s="145"/>
      <c r="BV138" s="145"/>
      <c r="BW138" s="145"/>
    </row>
    <row r="139" spans="1:75" ht="20.100000000000001" customHeight="1">
      <c r="A139" s="170" t="str">
        <f>IF(M2S_Eligibility_List!$B126&lt;&gt;"",RIGHT(M2S_Eligibility_List!$B126,LEN(M2S_Eligibility_List!$B126)-LEN(nmADwSP)),0)</f>
        <v>VRED</v>
      </c>
      <c r="B139" s="170" t="str">
        <f>IF(M2S_Eligibility_List!$B126&lt;&gt;"",RIGHT(M2S_Eligibility_List!$B126,LEN(M2S_Eligibility_List!$B126)-LEN(nmADwSP)),0)</f>
        <v>VRED</v>
      </c>
      <c r="C139" s="147" t="str">
        <f>SUBSTITUTE(_xlfn.IFNA(INDEX(M2S_Eligibility_List!$C$21:$BV$21,1,MATCH(C$271,$C376:$BW376,0)),""),nmADwSP,"")</f>
        <v>VRED</v>
      </c>
      <c r="D139" s="147" t="str">
        <f>SUBSTITUTE(_xlfn.IFNA(INDEX(M2S_Eligibility_List!$C$21:$BV$21,1,MATCH(D$271,$C376:$BW376,0)),""),nmADwSP,"")</f>
        <v/>
      </c>
      <c r="E139" s="147" t="str">
        <f>SUBSTITUTE(_xlfn.IFNA(INDEX(M2S_Eligibility_List!$C$21:$BV$21,1,MATCH(E$271,$C376:$BW376,0)),""),nmADwSP,"")</f>
        <v/>
      </c>
      <c r="F139" s="147" t="str">
        <f>SUBSTITUTE(_xlfn.IFNA(INDEX(M2S_Eligibility_List!$C$21:$BV$21,1,MATCH(F$271,$C376:$BW376,0)),""),nmADwSP,"")</f>
        <v/>
      </c>
      <c r="G139" s="147" t="str">
        <f>SUBSTITUTE(_xlfn.IFNA(INDEX(M2S_Eligibility_List!$C$21:$BV$21,1,MATCH(G$271,$C376:$BW376,0)),""),nmADwSP,"")</f>
        <v/>
      </c>
      <c r="H139" s="147" t="str">
        <f>SUBSTITUTE(_xlfn.IFNA(INDEX(M2S_Eligibility_List!$C$21:$BV$21,1,MATCH(H$271,$C376:$BW376,0)),""),nmADwSP,"")</f>
        <v/>
      </c>
      <c r="I139" s="147" t="str">
        <f>SUBSTITUTE(_xlfn.IFNA(INDEX(M2S_Eligibility_List!$C$21:$BV$21,1,MATCH(I$271,$C376:$BW376,0)),""),nmADwSP,"")</f>
        <v/>
      </c>
      <c r="J139" s="147" t="str">
        <f>SUBSTITUTE(_xlfn.IFNA(INDEX(M2S_Eligibility_List!$C$21:$BV$21,1,MATCH(J$271,$C376:$BW376,0)),""),nmADwSP,"")</f>
        <v/>
      </c>
      <c r="K139" s="147" t="str">
        <f>SUBSTITUTE(_xlfn.IFNA(INDEX(M2S_Eligibility_List!$C$21:$BV$21,1,MATCH(K$271,$C376:$BW376,0)),""),nmADwSP,"")</f>
        <v/>
      </c>
      <c r="L139" s="147" t="str">
        <f>SUBSTITUTE(_xlfn.IFNA(INDEX(M2S_Eligibility_List!$C$21:$BV$21,1,MATCH(L$271,$C376:$BW376,0)),""),nmADwSP,"")</f>
        <v/>
      </c>
      <c r="M139" s="147" t="str">
        <f>SUBSTITUTE(_xlfn.IFNA(INDEX(M2S_Eligibility_List!$C$21:$BV$21,1,MATCH(M$271,$C376:$BW376,0)),""),nmADwSP,"")</f>
        <v/>
      </c>
      <c r="N139" s="147" t="str">
        <f>SUBSTITUTE(_xlfn.IFNA(INDEX(M2S_Eligibility_List!$C$21:$BV$21,1,MATCH(N$271,$C376:$BW376,0)),""),nmADwSP,"")</f>
        <v/>
      </c>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c r="BS139" s="145"/>
      <c r="BT139" s="145"/>
      <c r="BU139" s="145"/>
      <c r="BV139" s="145"/>
      <c r="BW139" s="145"/>
    </row>
    <row r="140" spans="1:75" ht="20.100000000000001" customHeight="1">
      <c r="A140" s="170" t="str">
        <f>IF(M2S_Eligibility_List!$B127&lt;&gt;"",RIGHT(M2S_Eligibility_List!$B127,LEN(M2S_Eligibility_List!$B127)-LEN(nmADwSP)),0)</f>
        <v>VRED Design</v>
      </c>
      <c r="B140" s="170" t="str">
        <f>IF(M2S_Eligibility_List!$B127&lt;&gt;"",RIGHT(M2S_Eligibility_List!$B127,LEN(M2S_Eligibility_List!$B127)-LEN(nmADwSP)),0)</f>
        <v>VRED Design</v>
      </c>
      <c r="C140" s="147" t="str">
        <f>SUBSTITUTE(_xlfn.IFNA(INDEX(M2S_Eligibility_List!$C$21:$BV$21,1,MATCH(C$271,$C377:$BW377,0)),""),nmADwSP,"")</f>
        <v>VRED Design</v>
      </c>
      <c r="D140" s="147" t="str">
        <f>SUBSTITUTE(_xlfn.IFNA(INDEX(M2S_Eligibility_List!$C$21:$BV$21,1,MATCH(D$271,$C377:$BW377,0)),""),nmADwSP,"")</f>
        <v/>
      </c>
      <c r="E140" s="147" t="str">
        <f>SUBSTITUTE(_xlfn.IFNA(INDEX(M2S_Eligibility_List!$C$21:$BV$21,1,MATCH(E$271,$C377:$BW377,0)),""),nmADwSP,"")</f>
        <v/>
      </c>
      <c r="F140" s="147" t="str">
        <f>SUBSTITUTE(_xlfn.IFNA(INDEX(M2S_Eligibility_List!$C$21:$BV$21,1,MATCH(F$271,$C377:$BW377,0)),""),nmADwSP,"")</f>
        <v/>
      </c>
      <c r="G140" s="147" t="str">
        <f>SUBSTITUTE(_xlfn.IFNA(INDEX(M2S_Eligibility_List!$C$21:$BV$21,1,MATCH(G$271,$C377:$BW377,0)),""),nmADwSP,"")</f>
        <v/>
      </c>
      <c r="H140" s="147" t="str">
        <f>SUBSTITUTE(_xlfn.IFNA(INDEX(M2S_Eligibility_List!$C$21:$BV$21,1,MATCH(H$271,$C377:$BW377,0)),""),nmADwSP,"")</f>
        <v/>
      </c>
      <c r="I140" s="147" t="str">
        <f>SUBSTITUTE(_xlfn.IFNA(INDEX(M2S_Eligibility_List!$C$21:$BV$21,1,MATCH(I$271,$C377:$BW377,0)),""),nmADwSP,"")</f>
        <v/>
      </c>
      <c r="J140" s="147" t="str">
        <f>SUBSTITUTE(_xlfn.IFNA(INDEX(M2S_Eligibility_List!$C$21:$BV$21,1,MATCH(J$271,$C377:$BW377,0)),""),nmADwSP,"")</f>
        <v/>
      </c>
      <c r="K140" s="147" t="str">
        <f>SUBSTITUTE(_xlfn.IFNA(INDEX(M2S_Eligibility_List!$C$21:$BV$21,1,MATCH(K$271,$C377:$BW377,0)),""),nmADwSP,"")</f>
        <v/>
      </c>
      <c r="L140" s="147" t="str">
        <f>SUBSTITUTE(_xlfn.IFNA(INDEX(M2S_Eligibility_List!$C$21:$BV$21,1,MATCH(L$271,$C377:$BW377,0)),""),nmADwSP,"")</f>
        <v/>
      </c>
      <c r="M140" s="147" t="str">
        <f>SUBSTITUTE(_xlfn.IFNA(INDEX(M2S_Eligibility_List!$C$21:$BV$21,1,MATCH(M$271,$C377:$BW377,0)),""),nmADwSP,"")</f>
        <v/>
      </c>
      <c r="N140" s="147" t="str">
        <f>SUBSTITUTE(_xlfn.IFNA(INDEX(M2S_Eligibility_List!$C$21:$BV$21,1,MATCH(N$271,$C377:$BW377,0)),""),nmADwSP,"")</f>
        <v/>
      </c>
      <c r="O140" s="145"/>
      <c r="P140" s="145"/>
      <c r="Q140" s="145"/>
      <c r="R140" s="145"/>
      <c r="S140" s="145"/>
      <c r="T140" s="145"/>
      <c r="U140" s="145"/>
      <c r="V140" s="145"/>
      <c r="W140" s="145"/>
      <c r="X140" s="145"/>
      <c r="Y140" s="145"/>
      <c r="Z140" s="145"/>
      <c r="AA140" s="145"/>
      <c r="AB140" s="145"/>
      <c r="AC140" s="145"/>
      <c r="AD140" s="145"/>
      <c r="AE140" s="145"/>
      <c r="AF140" s="145"/>
      <c r="AG140" s="145"/>
      <c r="AH140" s="145"/>
      <c r="AI140" s="145"/>
      <c r="AJ140" s="145"/>
      <c r="AK140" s="145"/>
      <c r="AL140" s="145"/>
      <c r="AM140" s="145"/>
      <c r="AN140" s="145"/>
      <c r="AO140" s="145"/>
      <c r="AP140" s="145"/>
      <c r="AQ140" s="145"/>
      <c r="AR140" s="145"/>
      <c r="AS140" s="145"/>
      <c r="AT140" s="145"/>
      <c r="AU140" s="145"/>
      <c r="AV140" s="145"/>
      <c r="AW140" s="145"/>
      <c r="AX140" s="145"/>
      <c r="AY140" s="145"/>
      <c r="AZ140" s="145"/>
      <c r="BA140" s="145"/>
      <c r="BB140" s="145"/>
      <c r="BC140" s="145"/>
      <c r="BD140" s="145"/>
      <c r="BE140" s="145"/>
      <c r="BF140" s="145"/>
      <c r="BG140" s="145"/>
      <c r="BH140" s="145"/>
      <c r="BI140" s="145"/>
      <c r="BJ140" s="145"/>
      <c r="BK140" s="145"/>
      <c r="BL140" s="145"/>
      <c r="BM140" s="145"/>
      <c r="BN140" s="145"/>
      <c r="BO140" s="145"/>
      <c r="BP140" s="145"/>
      <c r="BQ140" s="145"/>
      <c r="BR140" s="145"/>
      <c r="BS140" s="145"/>
      <c r="BT140" s="145"/>
      <c r="BU140" s="145"/>
      <c r="BV140" s="145"/>
      <c r="BW140" s="145"/>
    </row>
    <row r="141" spans="1:75" ht="20.100000000000001" customHeight="1">
      <c r="A141" s="170" t="str">
        <f>IF(M2S_Eligibility_List!$B128&lt;&gt;"",RIGHT(M2S_Eligibility_List!$B128,LEN(M2S_Eligibility_List!$B128)-LEN(nmADwSP)),0)</f>
        <v>VRED Presenter</v>
      </c>
      <c r="B141" s="170" t="str">
        <f>IF(M2S_Eligibility_List!$B128&lt;&gt;"",RIGHT(M2S_Eligibility_List!$B128,LEN(M2S_Eligibility_List!$B128)-LEN(nmADwSP)),0)</f>
        <v>VRED Presenter</v>
      </c>
      <c r="C141" s="147" t="str">
        <f>SUBSTITUTE(_xlfn.IFNA(INDEX(M2S_Eligibility_List!$C$21:$BV$21,1,MATCH(C$271,$C378:$BW378,0)),""),nmADwSP,"")</f>
        <v>VRED Presenter</v>
      </c>
      <c r="D141" s="147" t="str">
        <f>SUBSTITUTE(_xlfn.IFNA(INDEX(M2S_Eligibility_List!$C$21:$BV$21,1,MATCH(D$271,$C378:$BW378,0)),""),nmADwSP,"")</f>
        <v/>
      </c>
      <c r="E141" s="147" t="str">
        <f>SUBSTITUTE(_xlfn.IFNA(INDEX(M2S_Eligibility_List!$C$21:$BV$21,1,MATCH(E$271,$C378:$BW378,0)),""),nmADwSP,"")</f>
        <v/>
      </c>
      <c r="F141" s="147" t="str">
        <f>SUBSTITUTE(_xlfn.IFNA(INDEX(M2S_Eligibility_List!$C$21:$BV$21,1,MATCH(F$271,$C378:$BW378,0)),""),nmADwSP,"")</f>
        <v/>
      </c>
      <c r="G141" s="147" t="str">
        <f>SUBSTITUTE(_xlfn.IFNA(INDEX(M2S_Eligibility_List!$C$21:$BV$21,1,MATCH(G$271,$C378:$BW378,0)),""),nmADwSP,"")</f>
        <v/>
      </c>
      <c r="H141" s="147" t="str">
        <f>SUBSTITUTE(_xlfn.IFNA(INDEX(M2S_Eligibility_List!$C$21:$BV$21,1,MATCH(H$271,$C378:$BW378,0)),""),nmADwSP,"")</f>
        <v/>
      </c>
      <c r="I141" s="147" t="str">
        <f>SUBSTITUTE(_xlfn.IFNA(INDEX(M2S_Eligibility_List!$C$21:$BV$21,1,MATCH(I$271,$C378:$BW378,0)),""),nmADwSP,"")</f>
        <v/>
      </c>
      <c r="J141" s="147" t="str">
        <f>SUBSTITUTE(_xlfn.IFNA(INDEX(M2S_Eligibility_List!$C$21:$BV$21,1,MATCH(J$271,$C378:$BW378,0)),""),nmADwSP,"")</f>
        <v/>
      </c>
      <c r="K141" s="147" t="str">
        <f>SUBSTITUTE(_xlfn.IFNA(INDEX(M2S_Eligibility_List!$C$21:$BV$21,1,MATCH(K$271,$C378:$BW378,0)),""),nmADwSP,"")</f>
        <v/>
      </c>
      <c r="L141" s="147" t="str">
        <f>SUBSTITUTE(_xlfn.IFNA(INDEX(M2S_Eligibility_List!$C$21:$BV$21,1,MATCH(L$271,$C378:$BW378,0)),""),nmADwSP,"")</f>
        <v/>
      </c>
      <c r="M141" s="147" t="str">
        <f>SUBSTITUTE(_xlfn.IFNA(INDEX(M2S_Eligibility_List!$C$21:$BV$21,1,MATCH(M$271,$C378:$BW378,0)),""),nmADwSP,"")</f>
        <v/>
      </c>
      <c r="N141" s="147" t="str">
        <f>SUBSTITUTE(_xlfn.IFNA(INDEX(M2S_Eligibility_List!$C$21:$BV$21,1,MATCH(N$271,$C378:$BW378,0)),""),nmADwSP,"")</f>
        <v/>
      </c>
      <c r="O141" s="145"/>
      <c r="P141" s="145"/>
      <c r="Q141" s="145"/>
      <c r="R141" s="145"/>
      <c r="S141" s="145"/>
      <c r="T141" s="145"/>
      <c r="U141" s="145"/>
      <c r="V141" s="145"/>
      <c r="W141" s="145"/>
      <c r="X141" s="145"/>
      <c r="Y141" s="145"/>
      <c r="Z141" s="145"/>
      <c r="AA141" s="145"/>
      <c r="AB141" s="145"/>
      <c r="AC141" s="145"/>
      <c r="AD141" s="145"/>
      <c r="AE141" s="145"/>
      <c r="AF141" s="145"/>
      <c r="AG141" s="145"/>
      <c r="AH141" s="145"/>
      <c r="AI141" s="145"/>
      <c r="AJ141" s="145"/>
      <c r="AK141" s="145"/>
      <c r="AL141" s="145"/>
      <c r="AM141" s="145"/>
      <c r="AN141" s="145"/>
      <c r="AO141" s="145"/>
      <c r="AP141" s="145"/>
      <c r="AQ141" s="145"/>
      <c r="AR141" s="145"/>
      <c r="AS141" s="145"/>
      <c r="AT141" s="145"/>
      <c r="AU141" s="145"/>
      <c r="AV141" s="145"/>
      <c r="AW141" s="145"/>
      <c r="AX141" s="145"/>
      <c r="AY141" s="145"/>
      <c r="AZ141" s="145"/>
      <c r="BA141" s="145"/>
      <c r="BB141" s="145"/>
      <c r="BC141" s="145"/>
      <c r="BD141" s="145"/>
      <c r="BE141" s="145"/>
      <c r="BF141" s="145"/>
      <c r="BG141" s="145"/>
      <c r="BH141" s="145"/>
      <c r="BI141" s="145"/>
      <c r="BJ141" s="145"/>
      <c r="BK141" s="145"/>
      <c r="BL141" s="145"/>
      <c r="BM141" s="145"/>
      <c r="BN141" s="145"/>
      <c r="BO141" s="145"/>
      <c r="BP141" s="145"/>
      <c r="BQ141" s="145"/>
      <c r="BR141" s="145"/>
      <c r="BS141" s="145"/>
      <c r="BT141" s="145"/>
      <c r="BU141" s="145"/>
      <c r="BV141" s="145"/>
      <c r="BW141" s="145"/>
    </row>
    <row r="142" spans="1:75" ht="20.100000000000001" customHeight="1">
      <c r="A142" s="170" t="str">
        <f>IF(M2S_Eligibility_List!$B129&lt;&gt;"",RIGHT(M2S_Eligibility_List!$B129,LEN(M2S_Eligibility_List!$B129)-LEN(nmADwSP)),0)</f>
        <v>VRED Professional</v>
      </c>
      <c r="B142" s="170" t="str">
        <f>IF(M2S_Eligibility_List!$B129&lt;&gt;"",RIGHT(M2S_Eligibility_List!$B129,LEN(M2S_Eligibility_List!$B129)-LEN(nmADwSP)),0)</f>
        <v>VRED Professional</v>
      </c>
      <c r="C142" s="147" t="str">
        <f>SUBSTITUTE(_xlfn.IFNA(INDEX(M2S_Eligibility_List!$C$21:$BV$21,1,MATCH(C$271,$C379:$BW379,0)),""),nmADwSP,"")</f>
        <v>VRED Professional</v>
      </c>
      <c r="D142" s="147" t="str">
        <f>SUBSTITUTE(_xlfn.IFNA(INDEX(M2S_Eligibility_List!$C$21:$BV$21,1,MATCH(D$271,$C379:$BW379,0)),""),nmADwSP,"")</f>
        <v/>
      </c>
      <c r="E142" s="147" t="str">
        <f>SUBSTITUTE(_xlfn.IFNA(INDEX(M2S_Eligibility_List!$C$21:$BV$21,1,MATCH(E$271,$C379:$BW379,0)),""),nmADwSP,"")</f>
        <v/>
      </c>
      <c r="F142" s="147" t="str">
        <f>SUBSTITUTE(_xlfn.IFNA(INDEX(M2S_Eligibility_List!$C$21:$BV$21,1,MATCH(F$271,$C379:$BW379,0)),""),nmADwSP,"")</f>
        <v/>
      </c>
      <c r="G142" s="147" t="str">
        <f>SUBSTITUTE(_xlfn.IFNA(INDEX(M2S_Eligibility_List!$C$21:$BV$21,1,MATCH(G$271,$C379:$BW379,0)),""),nmADwSP,"")</f>
        <v/>
      </c>
      <c r="H142" s="147" t="str">
        <f>SUBSTITUTE(_xlfn.IFNA(INDEX(M2S_Eligibility_List!$C$21:$BV$21,1,MATCH(H$271,$C379:$BW379,0)),""),nmADwSP,"")</f>
        <v/>
      </c>
      <c r="I142" s="147" t="str">
        <f>SUBSTITUTE(_xlfn.IFNA(INDEX(M2S_Eligibility_List!$C$21:$BV$21,1,MATCH(I$271,$C379:$BW379,0)),""),nmADwSP,"")</f>
        <v/>
      </c>
      <c r="J142" s="147" t="str">
        <f>SUBSTITUTE(_xlfn.IFNA(INDEX(M2S_Eligibility_List!$C$21:$BV$21,1,MATCH(J$271,$C379:$BW379,0)),""),nmADwSP,"")</f>
        <v/>
      </c>
      <c r="K142" s="147" t="str">
        <f>SUBSTITUTE(_xlfn.IFNA(INDEX(M2S_Eligibility_List!$C$21:$BV$21,1,MATCH(K$271,$C379:$BW379,0)),""),nmADwSP,"")</f>
        <v/>
      </c>
      <c r="L142" s="147" t="str">
        <f>SUBSTITUTE(_xlfn.IFNA(INDEX(M2S_Eligibility_List!$C$21:$BV$21,1,MATCH(L$271,$C379:$BW379,0)),""),nmADwSP,"")</f>
        <v/>
      </c>
      <c r="M142" s="147" t="str">
        <f>SUBSTITUTE(_xlfn.IFNA(INDEX(M2S_Eligibility_List!$C$21:$BV$21,1,MATCH(M$271,$C379:$BW379,0)),""),nmADwSP,"")</f>
        <v/>
      </c>
      <c r="N142" s="147" t="str">
        <f>SUBSTITUTE(_xlfn.IFNA(INDEX(M2S_Eligibility_List!$C$21:$BV$21,1,MATCH(N$271,$C379:$BW379,0)),""),nmADwSP,"")</f>
        <v/>
      </c>
      <c r="O142" s="145"/>
      <c r="P142" s="145"/>
      <c r="Q142" s="145"/>
      <c r="R142" s="145"/>
      <c r="S142" s="145"/>
      <c r="T142" s="145"/>
      <c r="U142" s="145"/>
      <c r="V142" s="145"/>
      <c r="W142" s="145"/>
      <c r="X142" s="145"/>
      <c r="Y142" s="145"/>
      <c r="Z142" s="145"/>
      <c r="AA142" s="145"/>
      <c r="AB142" s="145"/>
      <c r="AC142" s="145"/>
      <c r="AD142" s="145"/>
      <c r="AE142" s="145"/>
      <c r="AF142" s="145"/>
      <c r="AG142" s="145"/>
      <c r="AH142" s="145"/>
      <c r="AI142" s="145"/>
      <c r="AJ142" s="145"/>
      <c r="AK142" s="145"/>
      <c r="AL142" s="145"/>
      <c r="AM142" s="145"/>
      <c r="AN142" s="145"/>
      <c r="AO142" s="145"/>
      <c r="AP142" s="145"/>
      <c r="AQ142" s="145"/>
      <c r="AR142" s="145"/>
      <c r="AS142" s="145"/>
      <c r="AT142" s="145"/>
      <c r="AU142" s="145"/>
      <c r="AV142" s="145"/>
      <c r="AW142" s="145"/>
      <c r="AX142" s="145"/>
      <c r="AY142" s="145"/>
      <c r="AZ142" s="145"/>
      <c r="BA142" s="145"/>
      <c r="BB142" s="145"/>
      <c r="BC142" s="145"/>
      <c r="BD142" s="145"/>
      <c r="BE142" s="145"/>
      <c r="BF142" s="145"/>
      <c r="BG142" s="145"/>
      <c r="BH142" s="145"/>
      <c r="BI142" s="145"/>
      <c r="BJ142" s="145"/>
      <c r="BK142" s="145"/>
      <c r="BL142" s="145"/>
      <c r="BM142" s="145"/>
      <c r="BN142" s="145"/>
      <c r="BO142" s="145"/>
      <c r="BP142" s="145"/>
      <c r="BQ142" s="145"/>
      <c r="BR142" s="145"/>
      <c r="BS142" s="145"/>
      <c r="BT142" s="145"/>
      <c r="BU142" s="145"/>
      <c r="BV142" s="145"/>
      <c r="BW142" s="145"/>
    </row>
    <row r="143" spans="1:75" ht="20.100000000000001" customHeight="1">
      <c r="A143" s="170" t="str">
        <f>IF(M2S_Eligibility_List!$B130&lt;&gt;"",RIGHT(M2S_Eligibility_List!$B130,LEN(M2S_Eligibility_List!$B130)-LEN(nmADwSP)),0)</f>
        <v>VRED Render Node</v>
      </c>
      <c r="B143" s="170" t="str">
        <f>IF(M2S_Eligibility_List!$B130&lt;&gt;"",RIGHT(M2S_Eligibility_List!$B130,LEN(M2S_Eligibility_List!$B130)-LEN(nmADwSP)),0)</f>
        <v>VRED Render Node</v>
      </c>
      <c r="C143" s="147" t="str">
        <f>SUBSTITUTE(_xlfn.IFNA(INDEX(M2S_Eligibility_List!$C$21:$BV$21,1,MATCH(C$271,$C380:$BW380,0)),""),nmADwSP,"")</f>
        <v>VRED Render Node</v>
      </c>
      <c r="D143" s="147" t="str">
        <f>SUBSTITUTE(_xlfn.IFNA(INDEX(M2S_Eligibility_List!$C$21:$BV$21,1,MATCH(D$271,$C380:$BW380,0)),""),nmADwSP,"")</f>
        <v/>
      </c>
      <c r="E143" s="147" t="str">
        <f>SUBSTITUTE(_xlfn.IFNA(INDEX(M2S_Eligibility_List!$C$21:$BV$21,1,MATCH(E$271,$C380:$BW380,0)),""),nmADwSP,"")</f>
        <v/>
      </c>
      <c r="F143" s="147" t="str">
        <f>SUBSTITUTE(_xlfn.IFNA(INDEX(M2S_Eligibility_List!$C$21:$BV$21,1,MATCH(F$271,$C380:$BW380,0)),""),nmADwSP,"")</f>
        <v/>
      </c>
      <c r="G143" s="147" t="str">
        <f>SUBSTITUTE(_xlfn.IFNA(INDEX(M2S_Eligibility_List!$C$21:$BV$21,1,MATCH(G$271,$C380:$BW380,0)),""),nmADwSP,"")</f>
        <v/>
      </c>
      <c r="H143" s="147" t="str">
        <f>SUBSTITUTE(_xlfn.IFNA(INDEX(M2S_Eligibility_List!$C$21:$BV$21,1,MATCH(H$271,$C380:$BW380,0)),""),nmADwSP,"")</f>
        <v/>
      </c>
      <c r="I143" s="147" t="str">
        <f>SUBSTITUTE(_xlfn.IFNA(INDEX(M2S_Eligibility_List!$C$21:$BV$21,1,MATCH(I$271,$C380:$BW380,0)),""),nmADwSP,"")</f>
        <v/>
      </c>
      <c r="J143" s="147" t="str">
        <f>SUBSTITUTE(_xlfn.IFNA(INDEX(M2S_Eligibility_List!$C$21:$BV$21,1,MATCH(J$271,$C380:$BW380,0)),""),nmADwSP,"")</f>
        <v/>
      </c>
      <c r="K143" s="147" t="str">
        <f>SUBSTITUTE(_xlfn.IFNA(INDEX(M2S_Eligibility_List!$C$21:$BV$21,1,MATCH(K$271,$C380:$BW380,0)),""),nmADwSP,"")</f>
        <v/>
      </c>
      <c r="L143" s="147" t="str">
        <f>SUBSTITUTE(_xlfn.IFNA(INDEX(M2S_Eligibility_List!$C$21:$BV$21,1,MATCH(L$271,$C380:$BW380,0)),""),nmADwSP,"")</f>
        <v/>
      </c>
      <c r="M143" s="147" t="str">
        <f>SUBSTITUTE(_xlfn.IFNA(INDEX(M2S_Eligibility_List!$C$21:$BV$21,1,MATCH(M$271,$C380:$BW380,0)),""),nmADwSP,"")</f>
        <v/>
      </c>
      <c r="N143" s="147" t="str">
        <f>SUBSTITUTE(_xlfn.IFNA(INDEX(M2S_Eligibility_List!$C$21:$BV$21,1,MATCH(N$271,$C380:$BW380,0)),""),nmADwSP,"")</f>
        <v/>
      </c>
      <c r="O143" s="145"/>
      <c r="P143" s="145"/>
      <c r="Q143" s="145"/>
      <c r="R143" s="145"/>
      <c r="S143" s="145"/>
      <c r="T143" s="145"/>
      <c r="U143" s="145"/>
      <c r="V143" s="145"/>
      <c r="W143" s="145"/>
      <c r="X143" s="145"/>
      <c r="Y143" s="145"/>
      <c r="Z143" s="145"/>
      <c r="AA143" s="145"/>
      <c r="AB143" s="145"/>
      <c r="AC143" s="145"/>
      <c r="AD143" s="145"/>
      <c r="AE143" s="145"/>
      <c r="AF143" s="145"/>
      <c r="AG143" s="145"/>
      <c r="AH143" s="145"/>
      <c r="AI143" s="145"/>
      <c r="AJ143" s="145"/>
      <c r="AK143" s="145"/>
      <c r="AL143" s="145"/>
      <c r="AM143" s="145"/>
      <c r="AN143" s="145"/>
      <c r="AO143" s="145"/>
      <c r="AP143" s="145"/>
      <c r="AQ143" s="145"/>
      <c r="AR143" s="145"/>
      <c r="AS143" s="145"/>
      <c r="AT143" s="145"/>
      <c r="AU143" s="145"/>
      <c r="AV143" s="145"/>
      <c r="AW143" s="145"/>
      <c r="AX143" s="145"/>
      <c r="AY143" s="145"/>
      <c r="AZ143" s="145"/>
      <c r="BA143" s="145"/>
      <c r="BB143" s="145"/>
      <c r="BC143" s="145"/>
      <c r="BD143" s="145"/>
      <c r="BE143" s="145"/>
      <c r="BF143" s="145"/>
      <c r="BG143" s="145"/>
      <c r="BH143" s="145"/>
      <c r="BI143" s="145"/>
      <c r="BJ143" s="145"/>
      <c r="BK143" s="145"/>
      <c r="BL143" s="145"/>
      <c r="BM143" s="145"/>
      <c r="BN143" s="145"/>
      <c r="BO143" s="145"/>
      <c r="BP143" s="145"/>
      <c r="BQ143" s="145"/>
      <c r="BR143" s="145"/>
      <c r="BS143" s="145"/>
      <c r="BT143" s="145"/>
      <c r="BU143" s="145"/>
      <c r="BV143" s="145"/>
      <c r="BW143" s="145"/>
    </row>
    <row r="144" spans="1:75" ht="20.100000000000001" customHeight="1">
      <c r="A144" s="170" t="str">
        <f>IF(M2S_Eligibility_List!$B131&lt;&gt;"",RIGHT(M2S_Eligibility_List!$B131,LEN(M2S_Eligibility_List!$B131)-LEN(nmADwSP)),0)</f>
        <v>VRED Server</v>
      </c>
      <c r="B144" s="170" t="str">
        <f>IF(M2S_Eligibility_List!$B131&lt;&gt;"",RIGHT(M2S_Eligibility_List!$B131,LEN(M2S_Eligibility_List!$B131)-LEN(nmADwSP)),0)</f>
        <v>VRED Server</v>
      </c>
      <c r="C144" s="147" t="str">
        <f>SUBSTITUTE(_xlfn.IFNA(INDEX(M2S_Eligibility_List!$C$21:$BV$21,1,MATCH(C$271,$C381:$BW381,0)),""),nmADwSP,"")</f>
        <v>VRED Server</v>
      </c>
      <c r="D144" s="147" t="str">
        <f>SUBSTITUTE(_xlfn.IFNA(INDEX(M2S_Eligibility_List!$C$21:$BV$21,1,MATCH(D$271,$C381:$BW381,0)),""),nmADwSP,"")</f>
        <v/>
      </c>
      <c r="E144" s="147" t="str">
        <f>SUBSTITUTE(_xlfn.IFNA(INDEX(M2S_Eligibility_List!$C$21:$BV$21,1,MATCH(E$271,$C381:$BW381,0)),""),nmADwSP,"")</f>
        <v/>
      </c>
      <c r="F144" s="147" t="str">
        <f>SUBSTITUTE(_xlfn.IFNA(INDEX(M2S_Eligibility_List!$C$21:$BV$21,1,MATCH(F$271,$C381:$BW381,0)),""),nmADwSP,"")</f>
        <v/>
      </c>
      <c r="G144" s="147" t="str">
        <f>SUBSTITUTE(_xlfn.IFNA(INDEX(M2S_Eligibility_List!$C$21:$BV$21,1,MATCH(G$271,$C381:$BW381,0)),""),nmADwSP,"")</f>
        <v/>
      </c>
      <c r="H144" s="147" t="str">
        <f>SUBSTITUTE(_xlfn.IFNA(INDEX(M2S_Eligibility_List!$C$21:$BV$21,1,MATCH(H$271,$C381:$BW381,0)),""),nmADwSP,"")</f>
        <v/>
      </c>
      <c r="I144" s="147" t="str">
        <f>SUBSTITUTE(_xlfn.IFNA(INDEX(M2S_Eligibility_List!$C$21:$BV$21,1,MATCH(I$271,$C381:$BW381,0)),""),nmADwSP,"")</f>
        <v/>
      </c>
      <c r="J144" s="147" t="str">
        <f>SUBSTITUTE(_xlfn.IFNA(INDEX(M2S_Eligibility_List!$C$21:$BV$21,1,MATCH(J$271,$C381:$BW381,0)),""),nmADwSP,"")</f>
        <v/>
      </c>
      <c r="K144" s="147" t="str">
        <f>SUBSTITUTE(_xlfn.IFNA(INDEX(M2S_Eligibility_List!$C$21:$BV$21,1,MATCH(K$271,$C381:$BW381,0)),""),nmADwSP,"")</f>
        <v/>
      </c>
      <c r="L144" s="147" t="str">
        <f>SUBSTITUTE(_xlfn.IFNA(INDEX(M2S_Eligibility_List!$C$21:$BV$21,1,MATCH(L$271,$C381:$BW381,0)),""),nmADwSP,"")</f>
        <v/>
      </c>
      <c r="M144" s="147" t="str">
        <f>SUBSTITUTE(_xlfn.IFNA(INDEX(M2S_Eligibility_List!$C$21:$BV$21,1,MATCH(M$271,$C381:$BW381,0)),""),nmADwSP,"")</f>
        <v/>
      </c>
      <c r="N144" s="147" t="str">
        <f>SUBSTITUTE(_xlfn.IFNA(INDEX(M2S_Eligibility_List!$C$21:$BV$21,1,MATCH(N$271,$C381:$BW381,0)),""),nmADwSP,"")</f>
        <v/>
      </c>
      <c r="O144" s="145"/>
      <c r="P144" s="145"/>
      <c r="Q144" s="145"/>
      <c r="R144" s="145"/>
      <c r="S144" s="145"/>
      <c r="T144" s="145"/>
      <c r="U144" s="145"/>
      <c r="V144" s="145"/>
      <c r="W144" s="145"/>
      <c r="X144" s="145"/>
      <c r="Y144" s="145"/>
      <c r="Z144" s="145"/>
      <c r="AA144" s="145"/>
      <c r="AB144" s="145"/>
      <c r="AC144" s="145"/>
      <c r="AD144" s="145"/>
      <c r="AE144" s="145"/>
      <c r="AF144" s="145"/>
      <c r="AG144" s="145"/>
      <c r="AH144" s="145"/>
      <c r="AI144" s="145"/>
      <c r="AJ144" s="145"/>
      <c r="AK144" s="145"/>
      <c r="AL144" s="145"/>
      <c r="AM144" s="145"/>
      <c r="AN144" s="145"/>
      <c r="AO144" s="145"/>
      <c r="AP144" s="145"/>
      <c r="AQ144" s="145"/>
      <c r="AR144" s="145"/>
      <c r="AS144" s="145"/>
      <c r="AT144" s="145"/>
      <c r="AU144" s="145"/>
      <c r="AV144" s="145"/>
      <c r="AW144" s="145"/>
      <c r="AX144" s="145"/>
      <c r="AY144" s="145"/>
      <c r="AZ144" s="145"/>
      <c r="BA144" s="145"/>
      <c r="BB144" s="145"/>
      <c r="BC144" s="145"/>
      <c r="BD144" s="145"/>
      <c r="BE144" s="145"/>
      <c r="BF144" s="145"/>
      <c r="BG144" s="145"/>
      <c r="BH144" s="145"/>
      <c r="BI144" s="145"/>
      <c r="BJ144" s="145"/>
      <c r="BK144" s="145"/>
      <c r="BL144" s="145"/>
      <c r="BM144" s="145"/>
      <c r="BN144" s="145"/>
      <c r="BO144" s="145"/>
      <c r="BP144" s="145"/>
      <c r="BQ144" s="145"/>
      <c r="BR144" s="145"/>
      <c r="BS144" s="145"/>
      <c r="BT144" s="145"/>
      <c r="BU144" s="145"/>
      <c r="BV144" s="145"/>
      <c r="BW144" s="145"/>
    </row>
    <row r="145" spans="1:75" ht="20.100000000000001" customHeight="1">
      <c r="A145" s="145" t="s">
        <v>1723</v>
      </c>
      <c r="B145" s="145" t="s">
        <v>312</v>
      </c>
      <c r="C145" s="145" t="s">
        <v>315</v>
      </c>
      <c r="D145" s="145"/>
      <c r="E145" s="145"/>
      <c r="F145" s="145"/>
      <c r="G145" s="145"/>
      <c r="H145" s="145"/>
      <c r="I145" s="145"/>
      <c r="J145" s="145"/>
      <c r="K145" s="145"/>
      <c r="L145" s="145"/>
      <c r="M145" s="145"/>
      <c r="N145" s="145"/>
      <c r="O145" s="145"/>
      <c r="P145" s="145"/>
      <c r="Q145" s="145"/>
      <c r="R145" s="145"/>
      <c r="S145" s="145"/>
      <c r="T145" s="145"/>
      <c r="U145" s="145"/>
      <c r="V145" s="145"/>
      <c r="W145" s="145"/>
      <c r="X145" s="145"/>
      <c r="Y145" s="145"/>
      <c r="Z145" s="145"/>
      <c r="AA145" s="145"/>
      <c r="AB145" s="145"/>
      <c r="AC145" s="145"/>
      <c r="AD145" s="145"/>
      <c r="AE145" s="145"/>
      <c r="AF145" s="145"/>
      <c r="AG145" s="145"/>
      <c r="AH145" s="145"/>
      <c r="AI145" s="145"/>
      <c r="AJ145" s="145"/>
      <c r="AK145" s="145"/>
      <c r="AL145" s="145"/>
      <c r="AM145" s="145"/>
      <c r="AN145" s="145"/>
      <c r="AO145" s="145"/>
      <c r="AP145" s="145"/>
      <c r="AQ145" s="145"/>
      <c r="AR145" s="145"/>
      <c r="AS145" s="145"/>
      <c r="AT145" s="145"/>
      <c r="AU145" s="145"/>
      <c r="AV145" s="145"/>
      <c r="AW145" s="145"/>
      <c r="AX145" s="145"/>
      <c r="AY145" s="145"/>
      <c r="AZ145" s="145"/>
      <c r="BA145" s="145"/>
      <c r="BB145" s="145"/>
      <c r="BC145" s="145"/>
      <c r="BD145" s="145"/>
      <c r="BE145" s="145"/>
      <c r="BF145" s="145"/>
      <c r="BG145" s="145"/>
      <c r="BH145" s="145"/>
      <c r="BI145" s="145"/>
      <c r="BJ145" s="145"/>
      <c r="BK145" s="145"/>
      <c r="BL145" s="145"/>
      <c r="BM145" s="145"/>
      <c r="BN145" s="145"/>
      <c r="BO145" s="145"/>
      <c r="BP145" s="145"/>
      <c r="BQ145" s="145"/>
      <c r="BR145" s="145"/>
      <c r="BS145" s="145"/>
      <c r="BT145" s="145"/>
      <c r="BU145" s="145"/>
      <c r="BV145" s="145"/>
      <c r="BW145" s="145"/>
    </row>
    <row r="146" spans="1:75" ht="20.100000000000001" customHeight="1">
      <c r="A146" s="145"/>
      <c r="B146" s="145" t="s">
        <v>692</v>
      </c>
      <c r="C146" s="145"/>
      <c r="D146" s="145"/>
      <c r="E146" s="145"/>
      <c r="F146" s="145"/>
      <c r="G146" s="145"/>
      <c r="H146" s="145"/>
      <c r="I146" s="145"/>
      <c r="J146" s="145"/>
      <c r="K146" s="145"/>
      <c r="L146" s="145"/>
      <c r="M146" s="145"/>
      <c r="N146" s="145"/>
      <c r="O146" s="145"/>
      <c r="P146" s="145"/>
      <c r="Q146" s="145"/>
      <c r="R146" s="145"/>
      <c r="S146" s="145"/>
      <c r="T146" s="145"/>
      <c r="U146" s="145"/>
      <c r="V146" s="145"/>
      <c r="W146" s="145"/>
      <c r="X146" s="145"/>
      <c r="Y146" s="145"/>
      <c r="Z146" s="145"/>
      <c r="AA146" s="145"/>
      <c r="AB146" s="145"/>
      <c r="AC146" s="145"/>
      <c r="AD146" s="145"/>
      <c r="AE146" s="145"/>
      <c r="AF146" s="145"/>
      <c r="AG146" s="145"/>
      <c r="AH146" s="145"/>
      <c r="AI146" s="145"/>
      <c r="AJ146" s="145"/>
      <c r="AK146" s="145"/>
      <c r="AL146" s="145"/>
      <c r="AM146" s="145"/>
      <c r="AN146" s="145"/>
      <c r="AO146" s="145"/>
      <c r="AP146" s="145"/>
      <c r="AQ146" s="145"/>
      <c r="AR146" s="145"/>
      <c r="AS146" s="145"/>
      <c r="AT146" s="145"/>
      <c r="AU146" s="145"/>
      <c r="AV146" s="145"/>
      <c r="AW146" s="145"/>
      <c r="AX146" s="145"/>
      <c r="AY146" s="145"/>
      <c r="AZ146" s="145"/>
      <c r="BA146" s="145"/>
      <c r="BB146" s="145"/>
      <c r="BC146" s="145"/>
      <c r="BD146" s="145"/>
      <c r="BE146" s="145"/>
      <c r="BF146" s="145"/>
      <c r="BG146" s="145"/>
      <c r="BH146" s="145"/>
      <c r="BI146" s="145"/>
      <c r="BJ146" s="145"/>
      <c r="BK146" s="145"/>
      <c r="BL146" s="145"/>
      <c r="BM146" s="145"/>
      <c r="BN146" s="145"/>
      <c r="BO146" s="145"/>
      <c r="BP146" s="145"/>
      <c r="BQ146" s="145"/>
      <c r="BR146" s="145"/>
      <c r="BS146" s="145"/>
      <c r="BT146" s="145"/>
      <c r="BU146" s="145"/>
      <c r="BV146" s="145"/>
      <c r="BW146" s="145"/>
    </row>
    <row r="147" spans="1:75" ht="20.100000000000001" customHeight="1">
      <c r="A147" s="145"/>
      <c r="B147" s="145"/>
      <c r="C147" s="145"/>
      <c r="D147" s="145"/>
      <c r="E147" s="145"/>
      <c r="F147" s="145"/>
      <c r="G147" s="145"/>
      <c r="H147" s="145"/>
      <c r="I147" s="145"/>
      <c r="J147" s="145"/>
      <c r="K147" s="145"/>
      <c r="L147" s="145"/>
      <c r="M147" s="145"/>
      <c r="N147" s="145"/>
      <c r="O147" s="145"/>
      <c r="P147" s="145"/>
      <c r="Q147" s="145"/>
      <c r="R147" s="145"/>
      <c r="S147" s="145"/>
      <c r="T147" s="145"/>
      <c r="U147" s="145"/>
      <c r="V147" s="145"/>
      <c r="W147" s="145"/>
      <c r="X147" s="145"/>
      <c r="Y147" s="145"/>
      <c r="Z147" s="145"/>
      <c r="AA147" s="145"/>
      <c r="AB147" s="145"/>
      <c r="AC147" s="145"/>
      <c r="AD147" s="145"/>
      <c r="AE147" s="145"/>
      <c r="AF147" s="145"/>
      <c r="AG147" s="145"/>
      <c r="AH147" s="145"/>
      <c r="AI147" s="145"/>
      <c r="AJ147" s="145"/>
      <c r="AK147" s="145"/>
      <c r="AL147" s="145"/>
      <c r="AM147" s="145"/>
      <c r="AN147" s="145"/>
      <c r="AO147" s="145"/>
      <c r="AP147" s="145"/>
      <c r="AQ147" s="145"/>
      <c r="AR147" s="145"/>
      <c r="AS147" s="145"/>
      <c r="AT147" s="145"/>
      <c r="AU147" s="145"/>
      <c r="AV147" s="145"/>
      <c r="AW147" s="145"/>
      <c r="AX147" s="145"/>
      <c r="AY147" s="145"/>
      <c r="AZ147" s="145"/>
      <c r="BA147" s="145"/>
      <c r="BB147" s="145"/>
      <c r="BC147" s="145"/>
      <c r="BD147" s="145"/>
      <c r="BE147" s="145"/>
      <c r="BF147" s="145"/>
      <c r="BG147" s="145"/>
      <c r="BH147" s="145"/>
      <c r="BI147" s="145"/>
      <c r="BJ147" s="145"/>
      <c r="BK147" s="145"/>
      <c r="BL147" s="145"/>
      <c r="BM147" s="145"/>
      <c r="BN147" s="145"/>
      <c r="BO147" s="145"/>
      <c r="BP147" s="145"/>
      <c r="BQ147" s="145"/>
      <c r="BR147" s="145"/>
      <c r="BS147" s="145"/>
      <c r="BT147" s="145"/>
      <c r="BU147" s="145"/>
      <c r="BV147" s="145"/>
      <c r="BW147" s="145"/>
    </row>
    <row r="148" spans="1:75" ht="20.100000000000001" customHeight="1">
      <c r="A148" s="413" t="s">
        <v>1909</v>
      </c>
      <c r="B148" s="149" t="s">
        <v>313</v>
      </c>
      <c r="C148" s="149"/>
      <c r="D148" s="149"/>
      <c r="E148" s="149"/>
      <c r="F148" s="149"/>
      <c r="G148" s="70"/>
      <c r="H148" s="70"/>
      <c r="I148" s="70"/>
      <c r="J148" s="70"/>
      <c r="K148" s="70"/>
      <c r="L148" s="70"/>
      <c r="M148" s="70"/>
      <c r="N148" s="70"/>
      <c r="O148" s="70"/>
      <c r="P148" s="70"/>
      <c r="Q148" s="149"/>
      <c r="R148" s="149"/>
      <c r="S148" s="149"/>
      <c r="T148" s="149"/>
      <c r="U148" s="149"/>
      <c r="V148" s="149"/>
      <c r="W148" s="149"/>
      <c r="X148" s="149"/>
      <c r="Y148" s="149"/>
      <c r="Z148" s="149"/>
      <c r="AA148" s="149"/>
      <c r="AB148" s="149"/>
      <c r="AC148" s="149"/>
      <c r="AD148" s="149"/>
      <c r="AE148" s="149"/>
      <c r="AF148" s="149"/>
      <c r="AG148" s="149"/>
      <c r="AH148" s="149"/>
      <c r="AI148" s="149"/>
      <c r="AJ148" s="149"/>
      <c r="AK148" s="149"/>
      <c r="AL148" s="149"/>
      <c r="AM148" s="149"/>
      <c r="AN148" s="149"/>
      <c r="AO148" s="149"/>
      <c r="AP148" s="149"/>
      <c r="AQ148" s="149"/>
      <c r="AR148" s="149"/>
      <c r="AS148" s="149"/>
      <c r="AT148" s="149"/>
      <c r="AU148" s="149"/>
      <c r="AV148" s="149"/>
      <c r="AW148" s="149"/>
      <c r="AX148" s="149"/>
      <c r="AY148" s="149"/>
      <c r="AZ148" s="149"/>
      <c r="BA148" s="149"/>
      <c r="BB148" s="149"/>
      <c r="BC148" s="149"/>
      <c r="BD148" s="149"/>
      <c r="BE148" s="149"/>
      <c r="BF148" s="149"/>
      <c r="BG148" s="149"/>
      <c r="BH148" s="149"/>
      <c r="BI148" s="149"/>
      <c r="BJ148" s="149"/>
      <c r="BK148" s="149"/>
      <c r="BL148" s="149"/>
      <c r="BM148" s="149"/>
      <c r="BN148" s="149"/>
      <c r="BO148" s="149"/>
      <c r="BP148" s="149"/>
      <c r="BQ148" s="149"/>
      <c r="BR148" s="149"/>
      <c r="BS148" s="149"/>
      <c r="BT148" s="149"/>
      <c r="BU148" s="149"/>
      <c r="BV148" s="149"/>
      <c r="BW148" s="149"/>
    </row>
    <row r="149" spans="1:75" ht="20.100000000000001" customHeight="1">
      <c r="A149" s="145"/>
      <c r="B149" s="145"/>
      <c r="C149" s="145"/>
      <c r="D149" s="145"/>
      <c r="E149" s="145"/>
      <c r="F149" s="145"/>
      <c r="G149" s="145"/>
      <c r="H149" s="145"/>
      <c r="I149" s="145"/>
      <c r="J149" s="145"/>
      <c r="K149" s="145"/>
      <c r="L149" s="145"/>
      <c r="M149" s="145"/>
      <c r="N149" s="145"/>
      <c r="O149" s="145"/>
      <c r="P149" s="145"/>
      <c r="Q149" s="145"/>
      <c r="R149" s="145"/>
      <c r="S149" s="145"/>
      <c r="T149" s="145"/>
      <c r="U149" s="145"/>
      <c r="V149" s="145"/>
      <c r="W149" s="145"/>
      <c r="X149" s="145"/>
      <c r="Y149" s="145"/>
      <c r="Z149" s="145"/>
      <c r="AA149" s="145"/>
      <c r="AB149" s="145"/>
      <c r="AC149" s="145"/>
      <c r="AD149" s="145"/>
      <c r="AE149" s="145"/>
      <c r="AF149" s="145"/>
      <c r="AG149" s="145"/>
      <c r="AH149" s="145"/>
      <c r="AI149" s="145"/>
      <c r="AJ149" s="145"/>
      <c r="AK149" s="145"/>
      <c r="AL149" s="145"/>
      <c r="AM149" s="145"/>
      <c r="AN149" s="145"/>
      <c r="AO149" s="145"/>
      <c r="AP149" s="145"/>
      <c r="AQ149" s="145"/>
      <c r="AR149" s="145"/>
      <c r="AS149" s="145"/>
      <c r="AT149" s="145"/>
      <c r="AU149" s="145"/>
      <c r="AV149" s="145"/>
      <c r="AW149" s="145"/>
      <c r="AX149" s="145"/>
      <c r="AY149" s="145"/>
      <c r="AZ149" s="145"/>
      <c r="BA149" s="145"/>
      <c r="BB149" s="145"/>
      <c r="BC149" s="145"/>
      <c r="BD149" s="145"/>
      <c r="BE149" s="145"/>
      <c r="BF149" s="145"/>
      <c r="BG149" s="145"/>
      <c r="BH149" s="145"/>
      <c r="BI149" s="145"/>
      <c r="BJ149" s="145"/>
      <c r="BK149" s="145"/>
      <c r="BL149" s="145"/>
      <c r="BM149" s="145"/>
      <c r="BN149" s="145"/>
      <c r="BO149" s="145"/>
      <c r="BP149" s="145"/>
      <c r="BQ149" s="145"/>
      <c r="BR149" s="145"/>
      <c r="BS149" s="145"/>
      <c r="BT149" s="145"/>
      <c r="BU149" s="145"/>
      <c r="BV149" s="145"/>
      <c r="BW149" s="145"/>
    </row>
    <row r="150" spans="1:75" ht="20.100000000000001" customHeight="1">
      <c r="A150" s="146" t="str">
        <f>nmProdMT</f>
        <v>Product on Maintenance</v>
      </c>
      <c r="B150" s="146" t="str">
        <f>nmProdMT&amp;" (Currency Adjusted)"</f>
        <v>Product on Maintenance (Currency Adjusted)</v>
      </c>
      <c r="C150" s="146" t="str">
        <f t="shared" ref="C150:N150" si="2">C33</f>
        <v>Path Option 1</v>
      </c>
      <c r="D150" s="146" t="str">
        <f t="shared" si="2"/>
        <v>Path Option 2</v>
      </c>
      <c r="E150" s="146" t="str">
        <f t="shared" si="2"/>
        <v>Path Option 3</v>
      </c>
      <c r="F150" s="146" t="str">
        <f t="shared" si="2"/>
        <v>Path Option 4</v>
      </c>
      <c r="G150" s="146" t="str">
        <f t="shared" si="2"/>
        <v>Path Option 5</v>
      </c>
      <c r="H150" s="146" t="str">
        <f t="shared" si="2"/>
        <v>Path Option 6</v>
      </c>
      <c r="I150" s="146" t="str">
        <f t="shared" si="2"/>
        <v>Path Option 7</v>
      </c>
      <c r="J150" s="146" t="str">
        <f t="shared" si="2"/>
        <v>Path Option 8</v>
      </c>
      <c r="K150" s="146" t="str">
        <f t="shared" si="2"/>
        <v>Path Option 9</v>
      </c>
      <c r="L150" s="146" t="str">
        <f t="shared" si="2"/>
        <v>Path Option 10</v>
      </c>
      <c r="M150" s="146" t="str">
        <f t="shared" si="2"/>
        <v>Path Option 11</v>
      </c>
      <c r="N150" s="146" t="str">
        <f t="shared" si="2"/>
        <v>Path Option 12</v>
      </c>
      <c r="O150" s="145"/>
      <c r="P150" s="145"/>
      <c r="Q150" s="145"/>
      <c r="R150" s="145"/>
      <c r="S150" s="145"/>
      <c r="T150" s="145"/>
      <c r="U150" s="145"/>
      <c r="V150" s="145"/>
      <c r="W150" s="145"/>
      <c r="X150" s="145"/>
      <c r="Y150" s="145"/>
      <c r="Z150" s="145"/>
      <c r="AA150" s="145"/>
      <c r="AB150" s="145"/>
      <c r="AC150" s="145"/>
      <c r="AD150" s="145"/>
      <c r="AE150" s="145"/>
      <c r="AF150" s="145"/>
      <c r="AG150" s="145"/>
      <c r="AH150" s="145"/>
      <c r="AI150" s="145"/>
      <c r="AJ150" s="145"/>
      <c r="AK150" s="145"/>
      <c r="AL150" s="145"/>
      <c r="AM150" s="145"/>
      <c r="AN150" s="145"/>
      <c r="AO150" s="145"/>
      <c r="AP150" s="145"/>
      <c r="AQ150" s="145"/>
      <c r="AR150" s="145"/>
      <c r="AS150" s="145"/>
      <c r="AT150" s="145"/>
      <c r="AU150" s="145"/>
      <c r="AV150" s="145"/>
      <c r="AW150" s="145"/>
      <c r="AX150" s="145"/>
      <c r="AY150" s="145"/>
      <c r="AZ150" s="145"/>
      <c r="BA150" s="145"/>
      <c r="BB150" s="145"/>
      <c r="BC150" s="145"/>
      <c r="BD150" s="145"/>
      <c r="BE150" s="145"/>
      <c r="BF150" s="145"/>
      <c r="BG150" s="145"/>
      <c r="BH150" s="145"/>
      <c r="BI150" s="145"/>
      <c r="BJ150" s="145"/>
      <c r="BK150" s="145"/>
      <c r="BL150" s="145"/>
      <c r="BM150" s="145"/>
      <c r="BN150" s="145"/>
      <c r="BO150" s="145"/>
      <c r="BP150" s="145"/>
      <c r="BQ150" s="145"/>
      <c r="BR150" s="145"/>
      <c r="BS150" s="145"/>
      <c r="BT150" s="145"/>
      <c r="BU150" s="145"/>
      <c r="BV150" s="145"/>
      <c r="BW150" s="145"/>
    </row>
    <row r="151" spans="1:75" ht="20.100000000000001" customHeight="1">
      <c r="A151" s="145"/>
      <c r="B151" s="170" t="str">
        <f t="shared" ref="B151:B182" si="3">B34</f>
        <v>Please Select</v>
      </c>
      <c r="C151" s="146"/>
      <c r="D151" s="146"/>
      <c r="E151" s="146"/>
      <c r="F151" s="146"/>
      <c r="G151" s="146"/>
      <c r="H151" s="146"/>
      <c r="I151" s="146"/>
      <c r="J151" s="146"/>
      <c r="K151" s="146"/>
      <c r="L151" s="146"/>
      <c r="M151" s="146"/>
      <c r="N151" s="146"/>
      <c r="O151" s="145"/>
      <c r="P151" s="145"/>
      <c r="Q151" s="145"/>
      <c r="R151" s="145"/>
      <c r="S151" s="145"/>
      <c r="T151" s="145"/>
      <c r="U151" s="145"/>
      <c r="V151" s="145"/>
      <c r="W151" s="145"/>
      <c r="X151" s="145"/>
      <c r="Y151" s="145"/>
      <c r="Z151" s="145"/>
      <c r="AA151" s="145"/>
      <c r="AB151" s="145"/>
      <c r="AC151" s="145"/>
      <c r="AD151" s="145"/>
      <c r="AE151" s="145"/>
      <c r="AF151" s="145"/>
      <c r="AG151" s="145"/>
      <c r="AH151" s="145"/>
      <c r="AI151" s="145"/>
      <c r="AJ151" s="145"/>
      <c r="AK151" s="145"/>
      <c r="AL151" s="145"/>
      <c r="AM151" s="145"/>
      <c r="AN151" s="145"/>
      <c r="AO151" s="145"/>
      <c r="AP151" s="145"/>
      <c r="AQ151" s="145"/>
      <c r="AR151" s="145"/>
      <c r="AS151" s="145"/>
      <c r="AT151" s="145"/>
      <c r="AU151" s="145"/>
      <c r="AV151" s="145"/>
      <c r="AW151" s="145"/>
      <c r="AX151" s="145"/>
      <c r="AY151" s="145"/>
      <c r="AZ151" s="145"/>
      <c r="BA151" s="145"/>
      <c r="BB151" s="145"/>
      <c r="BC151" s="145"/>
      <c r="BD151" s="145"/>
      <c r="BE151" s="145"/>
      <c r="BF151" s="145"/>
      <c r="BG151" s="145"/>
      <c r="BH151" s="145"/>
      <c r="BI151" s="145"/>
      <c r="BJ151" s="145"/>
      <c r="BK151" s="145"/>
      <c r="BL151" s="145"/>
      <c r="BM151" s="145"/>
      <c r="BN151" s="145"/>
      <c r="BO151" s="145"/>
      <c r="BP151" s="145"/>
      <c r="BQ151" s="145"/>
      <c r="BR151" s="145"/>
      <c r="BS151" s="145"/>
      <c r="BT151" s="145"/>
      <c r="BU151" s="145"/>
      <c r="BV151" s="145"/>
      <c r="BW151" s="145"/>
    </row>
    <row r="152" spans="1:75" ht="20.100000000000001" customHeight="1">
      <c r="A152" s="170" t="str">
        <f t="shared" ref="A152:A182" si="4">A35</f>
        <v>3ds Max</v>
      </c>
      <c r="B152" s="170" t="str">
        <f t="shared" si="3"/>
        <v>3ds Max</v>
      </c>
      <c r="C152" s="147" t="str">
        <f t="shared" ref="C152:N152" si="5">C35</f>
        <v>Architecture Engineering Construction Collection</v>
      </c>
      <c r="D152" s="147" t="str">
        <f t="shared" si="5"/>
        <v>Product Design &amp; Manufacturing Collection</v>
      </c>
      <c r="E152" s="147" t="str">
        <f t="shared" si="5"/>
        <v>Media and Entertainment Collection</v>
      </c>
      <c r="F152" s="147" t="str">
        <f t="shared" si="5"/>
        <v>3ds Max</v>
      </c>
      <c r="G152" s="147" t="str">
        <f t="shared" si="5"/>
        <v/>
      </c>
      <c r="H152" s="147" t="str">
        <f t="shared" si="5"/>
        <v/>
      </c>
      <c r="I152" s="147" t="str">
        <f t="shared" si="5"/>
        <v/>
      </c>
      <c r="J152" s="147" t="str">
        <f t="shared" si="5"/>
        <v/>
      </c>
      <c r="K152" s="147" t="str">
        <f t="shared" si="5"/>
        <v/>
      </c>
      <c r="L152" s="147" t="str">
        <f t="shared" si="5"/>
        <v/>
      </c>
      <c r="M152" s="147" t="str">
        <f t="shared" si="5"/>
        <v/>
      </c>
      <c r="N152" s="147" t="str">
        <f t="shared" si="5"/>
        <v/>
      </c>
      <c r="O152" s="145"/>
      <c r="P152" s="145"/>
      <c r="Q152" s="145"/>
      <c r="R152" s="145"/>
      <c r="S152" s="145"/>
      <c r="T152" s="145"/>
      <c r="U152" s="145"/>
      <c r="V152" s="145"/>
      <c r="W152" s="145"/>
      <c r="X152" s="145"/>
      <c r="Y152" s="145"/>
      <c r="Z152" s="145"/>
      <c r="AA152" s="145"/>
      <c r="AB152" s="145"/>
      <c r="AC152" s="145"/>
      <c r="AD152" s="145"/>
      <c r="AE152" s="145"/>
      <c r="AF152" s="145"/>
      <c r="AG152" s="145"/>
      <c r="AH152" s="145"/>
      <c r="AI152" s="145"/>
      <c r="AJ152" s="145"/>
      <c r="AK152" s="145"/>
      <c r="AL152" s="145"/>
      <c r="AM152" s="145"/>
      <c r="AN152" s="145"/>
      <c r="AO152" s="145"/>
      <c r="AP152" s="145"/>
      <c r="AQ152" s="145"/>
      <c r="AR152" s="145"/>
      <c r="AS152" s="145"/>
      <c r="AT152" s="145"/>
      <c r="AU152" s="145"/>
      <c r="AV152" s="145"/>
      <c r="AW152" s="145"/>
      <c r="AX152" s="145"/>
      <c r="AY152" s="145"/>
      <c r="AZ152" s="145"/>
      <c r="BA152" s="145"/>
      <c r="BB152" s="145"/>
      <c r="BC152" s="145"/>
      <c r="BD152" s="145"/>
      <c r="BE152" s="145"/>
      <c r="BF152" s="145"/>
      <c r="BG152" s="145"/>
      <c r="BH152" s="145"/>
      <c r="BI152" s="145"/>
      <c r="BJ152" s="145"/>
      <c r="BK152" s="145"/>
      <c r="BL152" s="145"/>
      <c r="BM152" s="145"/>
      <c r="BN152" s="145"/>
      <c r="BO152" s="145"/>
      <c r="BP152" s="145"/>
      <c r="BQ152" s="145"/>
      <c r="BR152" s="145"/>
      <c r="BS152" s="145"/>
      <c r="BT152" s="145"/>
      <c r="BU152" s="145"/>
      <c r="BV152" s="145"/>
      <c r="BW152" s="145"/>
    </row>
    <row r="153" spans="1:75" ht="20.100000000000001" customHeight="1">
      <c r="A153" s="170" t="str">
        <f t="shared" si="4"/>
        <v>3ds Max with Softimage</v>
      </c>
      <c r="B153" s="170" t="str">
        <f t="shared" si="3"/>
        <v>3ds Max with Softimage</v>
      </c>
      <c r="C153" s="147" t="str">
        <f t="shared" ref="C153:N153" si="6">C36</f>
        <v>Media and Entertainment Collection</v>
      </c>
      <c r="D153" s="147" t="str">
        <f t="shared" si="6"/>
        <v>3ds Max</v>
      </c>
      <c r="E153" s="147" t="str">
        <f t="shared" si="6"/>
        <v/>
      </c>
      <c r="F153" s="147" t="str">
        <f t="shared" si="6"/>
        <v/>
      </c>
      <c r="G153" s="147" t="str">
        <f t="shared" si="6"/>
        <v/>
      </c>
      <c r="H153" s="147" t="str">
        <f t="shared" si="6"/>
        <v/>
      </c>
      <c r="I153" s="147" t="str">
        <f t="shared" si="6"/>
        <v/>
      </c>
      <c r="J153" s="147" t="str">
        <f t="shared" si="6"/>
        <v/>
      </c>
      <c r="K153" s="147" t="str">
        <f t="shared" si="6"/>
        <v/>
      </c>
      <c r="L153" s="147" t="str">
        <f t="shared" si="6"/>
        <v/>
      </c>
      <c r="M153" s="147" t="str">
        <f t="shared" si="6"/>
        <v/>
      </c>
      <c r="N153" s="147" t="str">
        <f t="shared" si="6"/>
        <v/>
      </c>
      <c r="O153" s="145"/>
      <c r="P153" s="145"/>
      <c r="Q153" s="145"/>
      <c r="R153" s="145"/>
      <c r="S153" s="145"/>
      <c r="T153" s="145"/>
      <c r="U153" s="145"/>
      <c r="V153" s="145"/>
      <c r="W153" s="145"/>
      <c r="X153" s="145"/>
      <c r="Y153" s="145"/>
      <c r="Z153" s="145"/>
      <c r="AA153" s="145"/>
      <c r="AB153" s="145"/>
      <c r="AC153" s="145"/>
      <c r="AD153" s="145"/>
      <c r="AE153" s="145"/>
      <c r="AF153" s="145"/>
      <c r="AG153" s="145"/>
      <c r="AH153" s="145"/>
      <c r="AI153" s="145"/>
      <c r="AJ153" s="145"/>
      <c r="AK153" s="145"/>
      <c r="AL153" s="145"/>
      <c r="AM153" s="145"/>
      <c r="AN153" s="145"/>
      <c r="AO153" s="145"/>
      <c r="AP153" s="145"/>
      <c r="AQ153" s="145"/>
      <c r="AR153" s="145"/>
      <c r="AS153" s="145"/>
      <c r="AT153" s="145"/>
      <c r="AU153" s="145"/>
      <c r="AV153" s="145"/>
      <c r="AW153" s="145"/>
      <c r="AX153" s="145"/>
      <c r="AY153" s="145"/>
      <c r="AZ153" s="145"/>
      <c r="BA153" s="145"/>
      <c r="BB153" s="145"/>
      <c r="BC153" s="145"/>
      <c r="BD153" s="145"/>
      <c r="BE153" s="145"/>
      <c r="BF153" s="145"/>
      <c r="BG153" s="145"/>
      <c r="BH153" s="145"/>
      <c r="BI153" s="145"/>
      <c r="BJ153" s="145"/>
      <c r="BK153" s="145"/>
      <c r="BL153" s="145"/>
      <c r="BM153" s="145"/>
      <c r="BN153" s="145"/>
      <c r="BO153" s="145"/>
      <c r="BP153" s="145"/>
      <c r="BQ153" s="145"/>
      <c r="BR153" s="145"/>
      <c r="BS153" s="145"/>
      <c r="BT153" s="145"/>
      <c r="BU153" s="145"/>
      <c r="BV153" s="145"/>
      <c r="BW153" s="145"/>
    </row>
    <row r="154" spans="1:75" ht="20.100000000000001" customHeight="1">
      <c r="A154" s="170" t="str">
        <f t="shared" si="4"/>
        <v>3ds Max Entertainment Creation Suite Standard</v>
      </c>
      <c r="B154" s="170" t="str">
        <f t="shared" si="3"/>
        <v>3ds Max Entertainment Creation Suite Standard</v>
      </c>
      <c r="C154" s="147" t="str">
        <f t="shared" ref="C154:N154" si="7">C37</f>
        <v>Media and Entertainment Collection</v>
      </c>
      <c r="D154" s="147" t="str">
        <f t="shared" si="7"/>
        <v>3ds Max</v>
      </c>
      <c r="E154" s="147" t="str">
        <f t="shared" si="7"/>
        <v/>
      </c>
      <c r="F154" s="147" t="str">
        <f t="shared" si="7"/>
        <v/>
      </c>
      <c r="G154" s="147" t="str">
        <f t="shared" si="7"/>
        <v/>
      </c>
      <c r="H154" s="147" t="str">
        <f t="shared" si="7"/>
        <v/>
      </c>
      <c r="I154" s="147" t="str">
        <f t="shared" si="7"/>
        <v/>
      </c>
      <c r="J154" s="147" t="str">
        <f t="shared" si="7"/>
        <v/>
      </c>
      <c r="K154" s="147" t="str">
        <f t="shared" si="7"/>
        <v/>
      </c>
      <c r="L154" s="147" t="str">
        <f t="shared" si="7"/>
        <v/>
      </c>
      <c r="M154" s="147" t="str">
        <f t="shared" si="7"/>
        <v/>
      </c>
      <c r="N154" s="147" t="str">
        <f t="shared" si="7"/>
        <v/>
      </c>
      <c r="O154" s="145"/>
      <c r="P154" s="145"/>
      <c r="Q154" s="145"/>
      <c r="R154" s="145"/>
      <c r="S154" s="145"/>
      <c r="T154" s="145"/>
      <c r="U154" s="145"/>
      <c r="V154" s="145"/>
      <c r="W154" s="145"/>
      <c r="X154" s="145"/>
      <c r="Y154" s="145"/>
      <c r="Z154" s="145"/>
      <c r="AA154" s="145"/>
      <c r="AB154" s="145"/>
      <c r="AC154" s="145"/>
      <c r="AD154" s="145"/>
      <c r="AE154" s="145"/>
      <c r="AF154" s="145"/>
      <c r="AG154" s="145"/>
      <c r="AH154" s="145"/>
      <c r="AI154" s="145"/>
      <c r="AJ154" s="145"/>
      <c r="AK154" s="145"/>
      <c r="AL154" s="145"/>
      <c r="AM154" s="145"/>
      <c r="AN154" s="145"/>
      <c r="AO154" s="145"/>
      <c r="AP154" s="145"/>
      <c r="AQ154" s="145"/>
      <c r="AR154" s="145"/>
      <c r="AS154" s="145"/>
      <c r="AT154" s="145"/>
      <c r="AU154" s="145"/>
      <c r="AV154" s="145"/>
      <c r="AW154" s="145"/>
      <c r="AX154" s="145"/>
      <c r="AY154" s="145"/>
      <c r="AZ154" s="145"/>
      <c r="BA154" s="145"/>
      <c r="BB154" s="145"/>
      <c r="BC154" s="145"/>
      <c r="BD154" s="145"/>
      <c r="BE154" s="145"/>
      <c r="BF154" s="145"/>
      <c r="BG154" s="145"/>
      <c r="BH154" s="145"/>
      <c r="BI154" s="145"/>
      <c r="BJ154" s="145"/>
      <c r="BK154" s="145"/>
      <c r="BL154" s="145"/>
      <c r="BM154" s="145"/>
      <c r="BN154" s="145"/>
      <c r="BO154" s="145"/>
      <c r="BP154" s="145"/>
      <c r="BQ154" s="145"/>
      <c r="BR154" s="145"/>
      <c r="BS154" s="145"/>
      <c r="BT154" s="145"/>
      <c r="BU154" s="145"/>
      <c r="BV154" s="145"/>
      <c r="BW154" s="145"/>
    </row>
    <row r="155" spans="1:75" ht="20.100000000000001" customHeight="1">
      <c r="A155" s="170" t="str">
        <f t="shared" si="4"/>
        <v>Advance Steel</v>
      </c>
      <c r="B155" s="170" t="str">
        <f t="shared" si="3"/>
        <v>Advance Steel</v>
      </c>
      <c r="C155" s="147" t="str">
        <f t="shared" ref="C155:N155" si="8">C38</f>
        <v>Architecture Engineering Construction Collection</v>
      </c>
      <c r="D155" s="147" t="str">
        <f t="shared" si="8"/>
        <v>Advance Steel</v>
      </c>
      <c r="E155" s="147" t="str">
        <f t="shared" si="8"/>
        <v/>
      </c>
      <c r="F155" s="147" t="str">
        <f t="shared" si="8"/>
        <v/>
      </c>
      <c r="G155" s="147" t="str">
        <f t="shared" si="8"/>
        <v/>
      </c>
      <c r="H155" s="147" t="str">
        <f t="shared" si="8"/>
        <v/>
      </c>
      <c r="I155" s="147" t="str">
        <f t="shared" si="8"/>
        <v/>
      </c>
      <c r="J155" s="147" t="str">
        <f t="shared" si="8"/>
        <v/>
      </c>
      <c r="K155" s="147" t="str">
        <f t="shared" si="8"/>
        <v/>
      </c>
      <c r="L155" s="147" t="str">
        <f t="shared" si="8"/>
        <v/>
      </c>
      <c r="M155" s="147" t="str">
        <f t="shared" si="8"/>
        <v/>
      </c>
      <c r="N155" s="147" t="str">
        <f t="shared" si="8"/>
        <v/>
      </c>
      <c r="O155" s="145"/>
      <c r="P155" s="145"/>
      <c r="Q155" s="145"/>
      <c r="R155" s="145"/>
      <c r="S155" s="145"/>
      <c r="T155" s="145"/>
      <c r="U155" s="145"/>
      <c r="V155" s="145"/>
      <c r="W155" s="145"/>
      <c r="X155" s="145"/>
      <c r="Y155" s="145"/>
      <c r="Z155" s="145"/>
      <c r="AA155" s="145"/>
      <c r="AB155" s="145"/>
      <c r="AC155" s="145"/>
      <c r="AD155" s="145"/>
      <c r="AE155" s="145"/>
      <c r="AF155" s="145"/>
      <c r="AG155" s="145"/>
      <c r="AH155" s="145"/>
      <c r="AI155" s="145"/>
      <c r="AJ155" s="145"/>
      <c r="AK155" s="145"/>
      <c r="AL155" s="145"/>
      <c r="AM155" s="145"/>
      <c r="AN155" s="145"/>
      <c r="AO155" s="145"/>
      <c r="AP155" s="145"/>
      <c r="AQ155" s="145"/>
      <c r="AR155" s="145"/>
      <c r="AS155" s="145"/>
      <c r="AT155" s="145"/>
      <c r="AU155" s="145"/>
      <c r="AV155" s="145"/>
      <c r="AW155" s="145"/>
      <c r="AX155" s="145"/>
      <c r="AY155" s="145"/>
      <c r="AZ155" s="145"/>
      <c r="BA155" s="145"/>
      <c r="BB155" s="145"/>
      <c r="BC155" s="145"/>
      <c r="BD155" s="145"/>
      <c r="BE155" s="145"/>
      <c r="BF155" s="145"/>
      <c r="BG155" s="145"/>
      <c r="BH155" s="145"/>
      <c r="BI155" s="145"/>
      <c r="BJ155" s="145"/>
      <c r="BK155" s="145"/>
      <c r="BL155" s="145"/>
      <c r="BM155" s="145"/>
      <c r="BN155" s="145"/>
      <c r="BO155" s="145"/>
      <c r="BP155" s="145"/>
      <c r="BQ155" s="145"/>
      <c r="BR155" s="145"/>
      <c r="BS155" s="145"/>
      <c r="BT155" s="145"/>
      <c r="BU155" s="145"/>
      <c r="BV155" s="145"/>
      <c r="BW155" s="145"/>
    </row>
    <row r="156" spans="1:75" ht="20.100000000000001" customHeight="1">
      <c r="A156" s="170" t="str">
        <f t="shared" si="4"/>
        <v>Alias AutoStudio</v>
      </c>
      <c r="B156" s="170" t="str">
        <f t="shared" si="3"/>
        <v>Alias AutoStudio</v>
      </c>
      <c r="C156" s="147" t="str">
        <f t="shared" ref="C156:N156" si="9">C39</f>
        <v>Alias AutoStudio</v>
      </c>
      <c r="D156" s="147" t="str">
        <f t="shared" si="9"/>
        <v/>
      </c>
      <c r="E156" s="147" t="str">
        <f t="shared" si="9"/>
        <v/>
      </c>
      <c r="F156" s="147" t="str">
        <f t="shared" si="9"/>
        <v/>
      </c>
      <c r="G156" s="147" t="str">
        <f t="shared" si="9"/>
        <v/>
      </c>
      <c r="H156" s="147" t="str">
        <f t="shared" si="9"/>
        <v/>
      </c>
      <c r="I156" s="147" t="str">
        <f t="shared" si="9"/>
        <v/>
      </c>
      <c r="J156" s="147" t="str">
        <f t="shared" si="9"/>
        <v/>
      </c>
      <c r="K156" s="147" t="str">
        <f t="shared" si="9"/>
        <v/>
      </c>
      <c r="L156" s="147" t="str">
        <f t="shared" si="9"/>
        <v/>
      </c>
      <c r="M156" s="147" t="str">
        <f t="shared" si="9"/>
        <v/>
      </c>
      <c r="N156" s="147" t="str">
        <f t="shared" si="9"/>
        <v/>
      </c>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c r="BS156" s="145"/>
      <c r="BT156" s="145"/>
      <c r="BU156" s="145"/>
      <c r="BV156" s="145"/>
      <c r="BW156" s="145"/>
    </row>
    <row r="157" spans="1:75" ht="20.100000000000001" customHeight="1">
      <c r="A157" s="170" t="str">
        <f t="shared" si="4"/>
        <v>Alias Concept</v>
      </c>
      <c r="B157" s="170" t="str">
        <f t="shared" si="3"/>
        <v>Alias Concept</v>
      </c>
      <c r="C157" s="147" t="str">
        <f t="shared" ref="C157:N157" si="10">C40</f>
        <v>Alias Concept</v>
      </c>
      <c r="D157" s="147" t="str">
        <f t="shared" si="10"/>
        <v/>
      </c>
      <c r="E157" s="147" t="str">
        <f t="shared" si="10"/>
        <v/>
      </c>
      <c r="F157" s="147" t="str">
        <f t="shared" si="10"/>
        <v/>
      </c>
      <c r="G157" s="147" t="str">
        <f t="shared" si="10"/>
        <v/>
      </c>
      <c r="H157" s="147" t="str">
        <f t="shared" si="10"/>
        <v/>
      </c>
      <c r="I157" s="147" t="str">
        <f t="shared" si="10"/>
        <v/>
      </c>
      <c r="J157" s="147" t="str">
        <f t="shared" si="10"/>
        <v/>
      </c>
      <c r="K157" s="147" t="str">
        <f t="shared" si="10"/>
        <v/>
      </c>
      <c r="L157" s="147" t="str">
        <f t="shared" si="10"/>
        <v/>
      </c>
      <c r="M157" s="147" t="str">
        <f t="shared" si="10"/>
        <v/>
      </c>
      <c r="N157" s="147" t="str">
        <f t="shared" si="10"/>
        <v/>
      </c>
      <c r="O157" s="145"/>
      <c r="P157" s="145"/>
      <c r="Q157" s="145"/>
      <c r="R157" s="145"/>
      <c r="S157" s="145"/>
      <c r="T157" s="145"/>
      <c r="U157" s="145"/>
      <c r="V157" s="145"/>
      <c r="W157" s="145"/>
      <c r="X157" s="145"/>
      <c r="Y157" s="145"/>
      <c r="Z157" s="145"/>
      <c r="AA157" s="145"/>
      <c r="AB157" s="145"/>
      <c r="AC157" s="145"/>
      <c r="AD157" s="145"/>
      <c r="AE157" s="145"/>
      <c r="AF157" s="145"/>
      <c r="AG157" s="145"/>
      <c r="AH157" s="145"/>
      <c r="AI157" s="145"/>
      <c r="AJ157" s="145"/>
      <c r="AK157" s="145"/>
      <c r="AL157" s="145"/>
      <c r="AM157" s="145"/>
      <c r="AN157" s="145"/>
      <c r="AO157" s="145"/>
      <c r="AP157" s="145"/>
      <c r="AQ157" s="145"/>
      <c r="AR157" s="145"/>
      <c r="AS157" s="145"/>
      <c r="AT157" s="145"/>
      <c r="AU157" s="145"/>
      <c r="AV157" s="145"/>
      <c r="AW157" s="145"/>
      <c r="AX157" s="145"/>
      <c r="AY157" s="145"/>
      <c r="AZ157" s="145"/>
      <c r="BA157" s="145"/>
      <c r="BB157" s="145"/>
      <c r="BC157" s="145"/>
      <c r="BD157" s="145"/>
      <c r="BE157" s="145"/>
      <c r="BF157" s="145"/>
      <c r="BG157" s="145"/>
      <c r="BH157" s="145"/>
      <c r="BI157" s="145"/>
      <c r="BJ157" s="145"/>
      <c r="BK157" s="145"/>
      <c r="BL157" s="145"/>
      <c r="BM157" s="145"/>
      <c r="BN157" s="145"/>
      <c r="BO157" s="145"/>
      <c r="BP157" s="145"/>
      <c r="BQ157" s="145"/>
      <c r="BR157" s="145"/>
      <c r="BS157" s="145"/>
      <c r="BT157" s="145"/>
      <c r="BU157" s="145"/>
      <c r="BV157" s="145"/>
      <c r="BW157" s="145"/>
    </row>
    <row r="158" spans="1:75" ht="20.100000000000001" customHeight="1">
      <c r="A158" s="170" t="str">
        <f t="shared" si="4"/>
        <v>Alias Design</v>
      </c>
      <c r="B158" s="170" t="str">
        <f t="shared" si="3"/>
        <v>Alias Design</v>
      </c>
      <c r="C158" s="147" t="str">
        <f t="shared" ref="C158:N158" si="11">C41</f>
        <v>Alias Design</v>
      </c>
      <c r="D158" s="147" t="str">
        <f t="shared" si="11"/>
        <v/>
      </c>
      <c r="E158" s="147" t="str">
        <f t="shared" si="11"/>
        <v/>
      </c>
      <c r="F158" s="147" t="str">
        <f t="shared" si="11"/>
        <v/>
      </c>
      <c r="G158" s="147" t="str">
        <f t="shared" si="11"/>
        <v/>
      </c>
      <c r="H158" s="147" t="str">
        <f t="shared" si="11"/>
        <v/>
      </c>
      <c r="I158" s="147" t="str">
        <f t="shared" si="11"/>
        <v/>
      </c>
      <c r="J158" s="147" t="str">
        <f t="shared" si="11"/>
        <v/>
      </c>
      <c r="K158" s="147" t="str">
        <f t="shared" si="11"/>
        <v/>
      </c>
      <c r="L158" s="147" t="str">
        <f t="shared" si="11"/>
        <v/>
      </c>
      <c r="M158" s="147" t="str">
        <f t="shared" si="11"/>
        <v/>
      </c>
      <c r="N158" s="147" t="str">
        <f t="shared" si="11"/>
        <v/>
      </c>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5"/>
      <c r="AM158" s="145"/>
      <c r="AN158" s="145"/>
      <c r="AO158" s="145"/>
      <c r="AP158" s="145"/>
      <c r="AQ158" s="145"/>
      <c r="AR158" s="145"/>
      <c r="AS158" s="145"/>
      <c r="AT158" s="145"/>
      <c r="AU158" s="145"/>
      <c r="AV158" s="145"/>
      <c r="AW158" s="145"/>
      <c r="AX158" s="145"/>
      <c r="AY158" s="145"/>
      <c r="AZ158" s="145"/>
      <c r="BA158" s="145"/>
      <c r="BB158" s="145"/>
      <c r="BC158" s="145"/>
      <c r="BD158" s="145"/>
      <c r="BE158" s="145"/>
      <c r="BF158" s="145"/>
      <c r="BG158" s="145"/>
      <c r="BH158" s="145"/>
      <c r="BI158" s="145"/>
      <c r="BJ158" s="145"/>
      <c r="BK158" s="145"/>
      <c r="BL158" s="145"/>
      <c r="BM158" s="145"/>
      <c r="BN158" s="145"/>
      <c r="BO158" s="145"/>
      <c r="BP158" s="145"/>
      <c r="BQ158" s="145"/>
      <c r="BR158" s="145"/>
      <c r="BS158" s="145"/>
      <c r="BT158" s="145"/>
      <c r="BU158" s="145"/>
      <c r="BV158" s="145"/>
      <c r="BW158" s="145"/>
    </row>
    <row r="159" spans="1:75" ht="20.100000000000001" customHeight="1">
      <c r="A159" s="170" t="str">
        <f t="shared" si="4"/>
        <v>Alias SpeedForm</v>
      </c>
      <c r="B159" s="170" t="str">
        <f t="shared" si="3"/>
        <v>Alias SpeedForm</v>
      </c>
      <c r="C159" s="147" t="str">
        <f t="shared" ref="C159:N159" si="12">C42</f>
        <v>Alias SpeedForm</v>
      </c>
      <c r="D159" s="147" t="str">
        <f t="shared" si="12"/>
        <v/>
      </c>
      <c r="E159" s="147" t="str">
        <f t="shared" si="12"/>
        <v/>
      </c>
      <c r="F159" s="147" t="str">
        <f t="shared" si="12"/>
        <v/>
      </c>
      <c r="G159" s="147" t="str">
        <f t="shared" si="12"/>
        <v/>
      </c>
      <c r="H159" s="147" t="str">
        <f t="shared" si="12"/>
        <v/>
      </c>
      <c r="I159" s="147" t="str">
        <f t="shared" si="12"/>
        <v/>
      </c>
      <c r="J159" s="147" t="str">
        <f t="shared" si="12"/>
        <v/>
      </c>
      <c r="K159" s="147" t="str">
        <f t="shared" si="12"/>
        <v/>
      </c>
      <c r="L159" s="147" t="str">
        <f t="shared" si="12"/>
        <v/>
      </c>
      <c r="M159" s="147" t="str">
        <f t="shared" si="12"/>
        <v/>
      </c>
      <c r="N159" s="147" t="str">
        <f t="shared" si="12"/>
        <v/>
      </c>
      <c r="O159" s="145"/>
      <c r="P159" s="145"/>
      <c r="Q159" s="145"/>
      <c r="R159" s="145"/>
      <c r="S159" s="145"/>
      <c r="T159" s="145"/>
      <c r="U159" s="145"/>
      <c r="V159" s="145"/>
      <c r="W159" s="145"/>
      <c r="X159" s="145"/>
      <c r="Y159" s="145"/>
      <c r="Z159" s="145"/>
      <c r="AA159" s="145"/>
      <c r="AB159" s="145"/>
      <c r="AC159" s="145"/>
      <c r="AD159" s="145"/>
      <c r="AE159" s="145"/>
      <c r="AF159" s="145"/>
      <c r="AG159" s="145"/>
      <c r="AH159" s="145"/>
      <c r="AI159" s="145"/>
      <c r="AJ159" s="145"/>
      <c r="AK159" s="145"/>
      <c r="AL159" s="145"/>
      <c r="AM159" s="145"/>
      <c r="AN159" s="145"/>
      <c r="AO159" s="145"/>
      <c r="AP159" s="145"/>
      <c r="AQ159" s="145"/>
      <c r="AR159" s="145"/>
      <c r="AS159" s="145"/>
      <c r="AT159" s="145"/>
      <c r="AU159" s="145"/>
      <c r="AV159" s="145"/>
      <c r="AW159" s="145"/>
      <c r="AX159" s="145"/>
      <c r="AY159" s="145"/>
      <c r="AZ159" s="145"/>
      <c r="BA159" s="145"/>
      <c r="BB159" s="145"/>
      <c r="BC159" s="145"/>
      <c r="BD159" s="145"/>
      <c r="BE159" s="145"/>
      <c r="BF159" s="145"/>
      <c r="BG159" s="145"/>
      <c r="BH159" s="145"/>
      <c r="BI159" s="145"/>
      <c r="BJ159" s="145"/>
      <c r="BK159" s="145"/>
      <c r="BL159" s="145"/>
      <c r="BM159" s="145"/>
      <c r="BN159" s="145"/>
      <c r="BO159" s="145"/>
      <c r="BP159" s="145"/>
      <c r="BQ159" s="145"/>
      <c r="BR159" s="145"/>
      <c r="BS159" s="145"/>
      <c r="BT159" s="145"/>
      <c r="BU159" s="145"/>
      <c r="BV159" s="145"/>
      <c r="BW159" s="145"/>
    </row>
    <row r="160" spans="1:75" ht="20.100000000000001" customHeight="1">
      <c r="A160" s="170" t="str">
        <f t="shared" si="4"/>
        <v>Alias Surface</v>
      </c>
      <c r="B160" s="170" t="str">
        <f t="shared" si="3"/>
        <v>Alias Surface</v>
      </c>
      <c r="C160" s="147" t="str">
        <f t="shared" ref="C160:N160" si="13">C43</f>
        <v>Alias Surface</v>
      </c>
      <c r="D160" s="147" t="str">
        <f t="shared" si="13"/>
        <v/>
      </c>
      <c r="E160" s="147" t="str">
        <f t="shared" si="13"/>
        <v/>
      </c>
      <c r="F160" s="147" t="str">
        <f t="shared" si="13"/>
        <v/>
      </c>
      <c r="G160" s="147" t="str">
        <f t="shared" si="13"/>
        <v/>
      </c>
      <c r="H160" s="147" t="str">
        <f t="shared" si="13"/>
        <v/>
      </c>
      <c r="I160" s="147" t="str">
        <f t="shared" si="13"/>
        <v/>
      </c>
      <c r="J160" s="147" t="str">
        <f t="shared" si="13"/>
        <v/>
      </c>
      <c r="K160" s="147" t="str">
        <f t="shared" si="13"/>
        <v/>
      </c>
      <c r="L160" s="147" t="str">
        <f t="shared" si="13"/>
        <v/>
      </c>
      <c r="M160" s="147" t="str">
        <f t="shared" si="13"/>
        <v/>
      </c>
      <c r="N160" s="147" t="str">
        <f t="shared" si="13"/>
        <v/>
      </c>
      <c r="O160" s="145"/>
      <c r="P160" s="145"/>
      <c r="Q160" s="145"/>
      <c r="R160" s="145"/>
      <c r="S160" s="145"/>
      <c r="T160" s="145"/>
      <c r="U160" s="145"/>
      <c r="V160" s="145"/>
      <c r="W160" s="145"/>
      <c r="X160" s="145"/>
      <c r="Y160" s="145"/>
      <c r="Z160" s="145"/>
      <c r="AA160" s="145"/>
      <c r="AB160" s="145"/>
      <c r="AC160" s="145"/>
      <c r="AD160" s="145"/>
      <c r="AE160" s="145"/>
      <c r="AF160" s="145"/>
      <c r="AG160" s="145"/>
      <c r="AH160" s="145"/>
      <c r="AI160" s="145"/>
      <c r="AJ160" s="145"/>
      <c r="AK160" s="145"/>
      <c r="AL160" s="145"/>
      <c r="AM160" s="145"/>
      <c r="AN160" s="145"/>
      <c r="AO160" s="145"/>
      <c r="AP160" s="145"/>
      <c r="AQ160" s="145"/>
      <c r="AR160" s="145"/>
      <c r="AS160" s="145"/>
      <c r="AT160" s="145"/>
      <c r="AU160" s="145"/>
      <c r="AV160" s="145"/>
      <c r="AW160" s="145"/>
      <c r="AX160" s="145"/>
      <c r="AY160" s="145"/>
      <c r="AZ160" s="145"/>
      <c r="BA160" s="145"/>
      <c r="BB160" s="145"/>
      <c r="BC160" s="145"/>
      <c r="BD160" s="145"/>
      <c r="BE160" s="145"/>
      <c r="BF160" s="145"/>
      <c r="BG160" s="145"/>
      <c r="BH160" s="145"/>
      <c r="BI160" s="145"/>
      <c r="BJ160" s="145"/>
      <c r="BK160" s="145"/>
      <c r="BL160" s="145"/>
      <c r="BM160" s="145"/>
      <c r="BN160" s="145"/>
      <c r="BO160" s="145"/>
      <c r="BP160" s="145"/>
      <c r="BQ160" s="145"/>
      <c r="BR160" s="145"/>
      <c r="BS160" s="145"/>
      <c r="BT160" s="145"/>
      <c r="BU160" s="145"/>
      <c r="BV160" s="145"/>
      <c r="BW160" s="145"/>
    </row>
    <row r="161" spans="1:75" ht="20.100000000000001" customHeight="1">
      <c r="A161" s="170" t="str">
        <f t="shared" si="4"/>
        <v>Arnold</v>
      </c>
      <c r="B161" s="170" t="str">
        <f t="shared" si="3"/>
        <v>Arnold</v>
      </c>
      <c r="C161" s="147" t="str">
        <f t="shared" ref="C161:N161" si="14">C44</f>
        <v>Arnold</v>
      </c>
      <c r="D161" s="147" t="str">
        <f t="shared" si="14"/>
        <v/>
      </c>
      <c r="E161" s="147" t="str">
        <f t="shared" si="14"/>
        <v/>
      </c>
      <c r="F161" s="147" t="str">
        <f t="shared" si="14"/>
        <v/>
      </c>
      <c r="G161" s="147" t="str">
        <f t="shared" si="14"/>
        <v/>
      </c>
      <c r="H161" s="147" t="str">
        <f t="shared" si="14"/>
        <v/>
      </c>
      <c r="I161" s="147" t="str">
        <f t="shared" si="14"/>
        <v/>
      </c>
      <c r="J161" s="147" t="str">
        <f t="shared" si="14"/>
        <v/>
      </c>
      <c r="K161" s="147" t="str">
        <f t="shared" si="14"/>
        <v/>
      </c>
      <c r="L161" s="147" t="str">
        <f t="shared" si="14"/>
        <v/>
      </c>
      <c r="M161" s="147" t="str">
        <f t="shared" si="14"/>
        <v/>
      </c>
      <c r="N161" s="147" t="str">
        <f t="shared" si="14"/>
        <v/>
      </c>
      <c r="O161" s="145"/>
      <c r="P161" s="145"/>
      <c r="Q161" s="145"/>
      <c r="R161" s="145"/>
      <c r="S161" s="145"/>
      <c r="T161" s="145"/>
      <c r="U161" s="145"/>
      <c r="V161" s="145"/>
      <c r="W161" s="145"/>
      <c r="X161" s="145"/>
      <c r="Y161" s="145"/>
      <c r="Z161" s="145"/>
      <c r="AA161" s="145"/>
      <c r="AB161" s="145"/>
      <c r="AC161" s="145"/>
      <c r="AD161" s="145"/>
      <c r="AE161" s="145"/>
      <c r="AF161" s="145"/>
      <c r="AG161" s="145"/>
      <c r="AH161" s="145"/>
      <c r="AI161" s="145"/>
      <c r="AJ161" s="145"/>
      <c r="AK161" s="145"/>
      <c r="AL161" s="145"/>
      <c r="AM161" s="145"/>
      <c r="AN161" s="145"/>
      <c r="AO161" s="145"/>
      <c r="AP161" s="145"/>
      <c r="AQ161" s="145"/>
      <c r="AR161" s="145"/>
      <c r="AS161" s="145"/>
      <c r="AT161" s="145"/>
      <c r="AU161" s="145"/>
      <c r="AV161" s="145"/>
      <c r="AW161" s="145"/>
      <c r="AX161" s="145"/>
      <c r="AY161" s="145"/>
      <c r="AZ161" s="145"/>
      <c r="BA161" s="145"/>
      <c r="BB161" s="145"/>
      <c r="BC161" s="145"/>
      <c r="BD161" s="145"/>
      <c r="BE161" s="145"/>
      <c r="BF161" s="145"/>
      <c r="BG161" s="145"/>
      <c r="BH161" s="145"/>
      <c r="BI161" s="145"/>
      <c r="BJ161" s="145"/>
      <c r="BK161" s="145"/>
      <c r="BL161" s="145"/>
      <c r="BM161" s="145"/>
      <c r="BN161" s="145"/>
      <c r="BO161" s="145"/>
      <c r="BP161" s="145"/>
      <c r="BQ161" s="145"/>
      <c r="BR161" s="145"/>
      <c r="BS161" s="145"/>
      <c r="BT161" s="145"/>
      <c r="BU161" s="145"/>
      <c r="BV161" s="145"/>
      <c r="BW161" s="145"/>
    </row>
    <row r="162" spans="1:75" ht="20.100000000000001" customHeight="1">
      <c r="A162" s="170" t="str">
        <f t="shared" si="4"/>
        <v>AutoCAD</v>
      </c>
      <c r="B162" s="170" t="str">
        <f t="shared" si="3"/>
        <v>AutoCAD</v>
      </c>
      <c r="C162" s="147" t="str">
        <f t="shared" ref="C162:N162" si="15">C45</f>
        <v>Architecture Engineering Construction Collection</v>
      </c>
      <c r="D162" s="147" t="str">
        <f t="shared" si="15"/>
        <v>Product Design &amp; Manufacturing Collection</v>
      </c>
      <c r="E162" s="147" t="str">
        <f t="shared" si="15"/>
        <v>Advance Steel</v>
      </c>
      <c r="F162" s="147" t="str">
        <f t="shared" si="15"/>
        <v>AutoCAD - including specialized toolsets</v>
      </c>
      <c r="G162" s="147" t="str">
        <f t="shared" si="15"/>
        <v>Civil 3D*</v>
      </c>
      <c r="H162" s="147" t="str">
        <f t="shared" si="15"/>
        <v/>
      </c>
      <c r="I162" s="147" t="str">
        <f t="shared" si="15"/>
        <v/>
      </c>
      <c r="J162" s="147" t="str">
        <f t="shared" si="15"/>
        <v/>
      </c>
      <c r="K162" s="147" t="str">
        <f t="shared" si="15"/>
        <v/>
      </c>
      <c r="L162" s="147" t="str">
        <f t="shared" si="15"/>
        <v/>
      </c>
      <c r="M162" s="147" t="str">
        <f t="shared" si="15"/>
        <v/>
      </c>
      <c r="N162" s="147" t="str">
        <f t="shared" si="15"/>
        <v/>
      </c>
      <c r="O162" s="145"/>
      <c r="P162" s="145"/>
      <c r="Q162" s="145"/>
      <c r="R162" s="145"/>
      <c r="S162" s="145"/>
      <c r="T162" s="145"/>
      <c r="U162" s="145"/>
      <c r="V162" s="145"/>
      <c r="W162" s="145"/>
      <c r="X162" s="145"/>
      <c r="Y162" s="145"/>
      <c r="Z162" s="145"/>
      <c r="AA162" s="145"/>
      <c r="AB162" s="145"/>
      <c r="AC162" s="145"/>
      <c r="AD162" s="145"/>
      <c r="AE162" s="145"/>
      <c r="AF162" s="145"/>
      <c r="AG162" s="145"/>
      <c r="AH162" s="145"/>
      <c r="AI162" s="145"/>
      <c r="AJ162" s="145"/>
      <c r="AK162" s="145"/>
      <c r="AL162" s="145"/>
      <c r="AM162" s="145"/>
      <c r="AN162" s="145"/>
      <c r="AO162" s="145"/>
      <c r="AP162" s="145"/>
      <c r="AQ162" s="145"/>
      <c r="AR162" s="145"/>
      <c r="AS162" s="145"/>
      <c r="AT162" s="145"/>
      <c r="AU162" s="145"/>
      <c r="AV162" s="145"/>
      <c r="AW162" s="145"/>
      <c r="AX162" s="145"/>
      <c r="AY162" s="145"/>
      <c r="AZ162" s="145"/>
      <c r="BA162" s="145"/>
      <c r="BB162" s="145"/>
      <c r="BC162" s="145"/>
      <c r="BD162" s="145"/>
      <c r="BE162" s="145"/>
      <c r="BF162" s="145"/>
      <c r="BG162" s="145"/>
      <c r="BH162" s="145"/>
      <c r="BI162" s="145"/>
      <c r="BJ162" s="145"/>
      <c r="BK162" s="145"/>
      <c r="BL162" s="145"/>
      <c r="BM162" s="145"/>
      <c r="BN162" s="145"/>
      <c r="BO162" s="145"/>
      <c r="BP162" s="145"/>
      <c r="BQ162" s="145"/>
      <c r="BR162" s="145"/>
      <c r="BS162" s="145"/>
      <c r="BT162" s="145"/>
      <c r="BU162" s="145"/>
      <c r="BV162" s="145"/>
      <c r="BW162" s="145"/>
    </row>
    <row r="163" spans="1:75" ht="20.100000000000001" customHeight="1">
      <c r="A163" s="170" t="str">
        <f t="shared" si="4"/>
        <v>AutoCAD Architecture</v>
      </c>
      <c r="B163" s="170" t="str">
        <f t="shared" si="3"/>
        <v>AutoCAD Architecture</v>
      </c>
      <c r="C163" s="147" t="str">
        <f t="shared" ref="C163:N163" si="16">C46</f>
        <v>Architecture Engineering Construction Collection</v>
      </c>
      <c r="D163" s="147" t="str">
        <f t="shared" si="16"/>
        <v>Product Design &amp; Manufacturing Collection</v>
      </c>
      <c r="E163" s="147" t="str">
        <f t="shared" si="16"/>
        <v>AutoCAD - including specialized toolsets</v>
      </c>
      <c r="F163" s="147" t="str">
        <f t="shared" si="16"/>
        <v/>
      </c>
      <c r="G163" s="147" t="str">
        <f t="shared" si="16"/>
        <v/>
      </c>
      <c r="H163" s="147" t="str">
        <f t="shared" si="16"/>
        <v/>
      </c>
      <c r="I163" s="147" t="str">
        <f t="shared" si="16"/>
        <v/>
      </c>
      <c r="J163" s="147" t="str">
        <f t="shared" si="16"/>
        <v/>
      </c>
      <c r="K163" s="147" t="str">
        <f t="shared" si="16"/>
        <v/>
      </c>
      <c r="L163" s="147" t="str">
        <f t="shared" si="16"/>
        <v/>
      </c>
      <c r="M163" s="147" t="str">
        <f t="shared" si="16"/>
        <v/>
      </c>
      <c r="N163" s="147" t="str">
        <f t="shared" si="16"/>
        <v/>
      </c>
      <c r="O163" s="145"/>
      <c r="P163" s="145"/>
      <c r="Q163" s="145"/>
      <c r="R163" s="145"/>
      <c r="S163" s="145"/>
      <c r="T163" s="145"/>
      <c r="U163" s="145"/>
      <c r="V163" s="145"/>
      <c r="W163" s="145"/>
      <c r="X163" s="145"/>
      <c r="Y163" s="145"/>
      <c r="Z163" s="145"/>
      <c r="AA163" s="145"/>
      <c r="AB163" s="145"/>
      <c r="AC163" s="145"/>
      <c r="AD163" s="145"/>
      <c r="AE163" s="145"/>
      <c r="AF163" s="145"/>
      <c r="AG163" s="145"/>
      <c r="AH163" s="145"/>
      <c r="AI163" s="145"/>
      <c r="AJ163" s="145"/>
      <c r="AK163" s="145"/>
      <c r="AL163" s="145"/>
      <c r="AM163" s="145"/>
      <c r="AN163" s="145"/>
      <c r="AO163" s="145"/>
      <c r="AP163" s="145"/>
      <c r="AQ163" s="145"/>
      <c r="AR163" s="145"/>
      <c r="AS163" s="145"/>
      <c r="AT163" s="145"/>
      <c r="AU163" s="145"/>
      <c r="AV163" s="145"/>
      <c r="AW163" s="145"/>
      <c r="AX163" s="145"/>
      <c r="AY163" s="145"/>
      <c r="AZ163" s="145"/>
      <c r="BA163" s="145"/>
      <c r="BB163" s="145"/>
      <c r="BC163" s="145"/>
      <c r="BD163" s="145"/>
      <c r="BE163" s="145"/>
      <c r="BF163" s="145"/>
      <c r="BG163" s="145"/>
      <c r="BH163" s="145"/>
      <c r="BI163" s="145"/>
      <c r="BJ163" s="145"/>
      <c r="BK163" s="145"/>
      <c r="BL163" s="145"/>
      <c r="BM163" s="145"/>
      <c r="BN163" s="145"/>
      <c r="BO163" s="145"/>
      <c r="BP163" s="145"/>
      <c r="BQ163" s="145"/>
      <c r="BR163" s="145"/>
      <c r="BS163" s="145"/>
      <c r="BT163" s="145"/>
      <c r="BU163" s="145"/>
      <c r="BV163" s="145"/>
      <c r="BW163" s="145"/>
    </row>
    <row r="164" spans="1:75" ht="20.100000000000001" customHeight="1">
      <c r="A164" s="170" t="str">
        <f t="shared" si="4"/>
        <v>AutoCAD Civil 3D*</v>
      </c>
      <c r="B164" s="170" t="str">
        <f t="shared" si="3"/>
        <v>AutoCAD Civil 3D*</v>
      </c>
      <c r="C164" s="147" t="str">
        <f t="shared" ref="C164:C182" si="17">C47</f>
        <v>Architecture Engineering Construction Collection</v>
      </c>
      <c r="D164" s="412" t="str">
        <f>""</f>
        <v/>
      </c>
      <c r="E164" s="147" t="str">
        <f t="shared" ref="E164:N164" si="18">E47</f>
        <v/>
      </c>
      <c r="F164" s="147" t="str">
        <f t="shared" si="18"/>
        <v/>
      </c>
      <c r="G164" s="147" t="str">
        <f t="shared" si="18"/>
        <v/>
      </c>
      <c r="H164" s="147" t="str">
        <f t="shared" si="18"/>
        <v/>
      </c>
      <c r="I164" s="147" t="str">
        <f t="shared" si="18"/>
        <v/>
      </c>
      <c r="J164" s="147" t="str">
        <f t="shared" si="18"/>
        <v/>
      </c>
      <c r="K164" s="147" t="str">
        <f t="shared" si="18"/>
        <v/>
      </c>
      <c r="L164" s="147" t="str">
        <f t="shared" si="18"/>
        <v/>
      </c>
      <c r="M164" s="147" t="str">
        <f t="shared" si="18"/>
        <v/>
      </c>
      <c r="N164" s="147" t="str">
        <f t="shared" si="18"/>
        <v/>
      </c>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5"/>
      <c r="AM164" s="145"/>
      <c r="AN164" s="145"/>
      <c r="AO164" s="145"/>
      <c r="AP164" s="145"/>
      <c r="AQ164" s="145"/>
      <c r="AR164" s="145"/>
      <c r="AS164" s="145"/>
      <c r="AT164" s="145"/>
      <c r="AU164" s="145"/>
      <c r="AV164" s="145"/>
      <c r="AW164" s="145"/>
      <c r="AX164" s="145"/>
      <c r="AY164" s="145"/>
      <c r="AZ164" s="145"/>
      <c r="BA164" s="145"/>
      <c r="BB164" s="145"/>
      <c r="BC164" s="145"/>
      <c r="BD164" s="145"/>
      <c r="BE164" s="145"/>
      <c r="BF164" s="145"/>
      <c r="BG164" s="145"/>
      <c r="BH164" s="145"/>
      <c r="BI164" s="145"/>
      <c r="BJ164" s="145"/>
      <c r="BK164" s="145"/>
      <c r="BL164" s="145"/>
      <c r="BM164" s="145"/>
      <c r="BN164" s="145"/>
      <c r="BO164" s="145"/>
      <c r="BP164" s="145"/>
      <c r="BQ164" s="145"/>
      <c r="BR164" s="145"/>
      <c r="BS164" s="145"/>
      <c r="BT164" s="145"/>
      <c r="BU164" s="145"/>
      <c r="BV164" s="145"/>
      <c r="BW164" s="145"/>
    </row>
    <row r="165" spans="1:75" ht="20.100000000000001" customHeight="1">
      <c r="A165" s="170" t="str">
        <f t="shared" si="4"/>
        <v>AutoCAD Design Suite Premium</v>
      </c>
      <c r="B165" s="170" t="str">
        <f t="shared" si="3"/>
        <v>AutoCAD Design Suite Premium</v>
      </c>
      <c r="C165" s="147" t="str">
        <f t="shared" si="17"/>
        <v>Architecture Engineering Construction Collection</v>
      </c>
      <c r="D165" s="147" t="str">
        <f t="shared" ref="D165:D182" si="19">D48</f>
        <v>Product Design &amp; Manufacturing Collection</v>
      </c>
      <c r="E165" s="147" t="str">
        <f t="shared" ref="E165:N165" si="20">E48</f>
        <v/>
      </c>
      <c r="F165" s="147" t="str">
        <f t="shared" si="20"/>
        <v/>
      </c>
      <c r="G165" s="147" t="str">
        <f t="shared" si="20"/>
        <v/>
      </c>
      <c r="H165" s="147" t="str">
        <f t="shared" si="20"/>
        <v/>
      </c>
      <c r="I165" s="147" t="str">
        <f t="shared" si="20"/>
        <v/>
      </c>
      <c r="J165" s="147" t="str">
        <f t="shared" si="20"/>
        <v/>
      </c>
      <c r="K165" s="147" t="str">
        <f t="shared" si="20"/>
        <v/>
      </c>
      <c r="L165" s="147" t="str">
        <f t="shared" si="20"/>
        <v/>
      </c>
      <c r="M165" s="147" t="str">
        <f t="shared" si="20"/>
        <v/>
      </c>
      <c r="N165" s="147" t="str">
        <f t="shared" si="20"/>
        <v/>
      </c>
      <c r="O165" s="145"/>
      <c r="P165" s="145"/>
      <c r="Q165" s="145"/>
      <c r="R165" s="145"/>
      <c r="S165" s="145"/>
      <c r="T165" s="145"/>
      <c r="U165" s="145"/>
      <c r="V165" s="145"/>
      <c r="W165" s="145"/>
      <c r="X165" s="145"/>
      <c r="Y165" s="145"/>
      <c r="Z165" s="145"/>
      <c r="AA165" s="145"/>
      <c r="AB165" s="145"/>
      <c r="AC165" s="145"/>
      <c r="AD165" s="145"/>
      <c r="AE165" s="145"/>
      <c r="AF165" s="145"/>
      <c r="AG165" s="145"/>
      <c r="AH165" s="145"/>
      <c r="AI165" s="145"/>
      <c r="AJ165" s="145"/>
      <c r="AK165" s="145"/>
      <c r="AL165" s="145"/>
      <c r="AM165" s="145"/>
      <c r="AN165" s="145"/>
      <c r="AO165" s="145"/>
      <c r="AP165" s="145"/>
      <c r="AQ165" s="145"/>
      <c r="AR165" s="145"/>
      <c r="AS165" s="145"/>
      <c r="AT165" s="145"/>
      <c r="AU165" s="145"/>
      <c r="AV165" s="145"/>
      <c r="AW165" s="145"/>
      <c r="AX165" s="145"/>
      <c r="AY165" s="145"/>
      <c r="AZ165" s="145"/>
      <c r="BA165" s="145"/>
      <c r="BB165" s="145"/>
      <c r="BC165" s="145"/>
      <c r="BD165" s="145"/>
      <c r="BE165" s="145"/>
      <c r="BF165" s="145"/>
      <c r="BG165" s="145"/>
      <c r="BH165" s="145"/>
      <c r="BI165" s="145"/>
      <c r="BJ165" s="145"/>
      <c r="BK165" s="145"/>
      <c r="BL165" s="145"/>
      <c r="BM165" s="145"/>
      <c r="BN165" s="145"/>
      <c r="BO165" s="145"/>
      <c r="BP165" s="145"/>
      <c r="BQ165" s="145"/>
      <c r="BR165" s="145"/>
      <c r="BS165" s="145"/>
      <c r="BT165" s="145"/>
      <c r="BU165" s="145"/>
      <c r="BV165" s="145"/>
      <c r="BW165" s="145"/>
    </row>
    <row r="166" spans="1:75" ht="20.100000000000001" customHeight="1">
      <c r="A166" s="170" t="str">
        <f t="shared" si="4"/>
        <v>AutoCAD Design Suite Standard</v>
      </c>
      <c r="B166" s="170" t="str">
        <f t="shared" si="3"/>
        <v>AutoCAD Design Suite Standard</v>
      </c>
      <c r="C166" s="147" t="str">
        <f t="shared" si="17"/>
        <v>Architecture Engineering Construction Collection</v>
      </c>
      <c r="D166" s="147" t="str">
        <f t="shared" si="19"/>
        <v>Product Design &amp; Manufacturing Collection</v>
      </c>
      <c r="E166" s="147" t="str">
        <f t="shared" ref="E166:N166" si="21">E49</f>
        <v>AutoCAD - including specialized toolsets</v>
      </c>
      <c r="F166" s="147" t="str">
        <f t="shared" si="21"/>
        <v/>
      </c>
      <c r="G166" s="147" t="str">
        <f t="shared" si="21"/>
        <v/>
      </c>
      <c r="H166" s="147" t="str">
        <f t="shared" si="21"/>
        <v/>
      </c>
      <c r="I166" s="147" t="str">
        <f t="shared" si="21"/>
        <v/>
      </c>
      <c r="J166" s="147" t="str">
        <f t="shared" si="21"/>
        <v/>
      </c>
      <c r="K166" s="147" t="str">
        <f t="shared" si="21"/>
        <v/>
      </c>
      <c r="L166" s="147" t="str">
        <f t="shared" si="21"/>
        <v/>
      </c>
      <c r="M166" s="147" t="str">
        <f t="shared" si="21"/>
        <v/>
      </c>
      <c r="N166" s="147" t="str">
        <f t="shared" si="21"/>
        <v/>
      </c>
      <c r="O166" s="145"/>
      <c r="P166" s="145"/>
      <c r="Q166" s="145"/>
      <c r="R166" s="145"/>
      <c r="S166" s="145"/>
      <c r="T166" s="145"/>
      <c r="U166" s="145"/>
      <c r="V166" s="145"/>
      <c r="W166" s="145"/>
      <c r="X166" s="145"/>
      <c r="Y166" s="145"/>
      <c r="Z166" s="145"/>
      <c r="AA166" s="145"/>
      <c r="AB166" s="145"/>
      <c r="AC166" s="145"/>
      <c r="AD166" s="145"/>
      <c r="AE166" s="145"/>
      <c r="AF166" s="145"/>
      <c r="AG166" s="145"/>
      <c r="AH166" s="145"/>
      <c r="AI166" s="145"/>
      <c r="AJ166" s="145"/>
      <c r="AK166" s="145"/>
      <c r="AL166" s="145"/>
      <c r="AM166" s="145"/>
      <c r="AN166" s="145"/>
      <c r="AO166" s="145"/>
      <c r="AP166" s="145"/>
      <c r="AQ166" s="145"/>
      <c r="AR166" s="145"/>
      <c r="AS166" s="145"/>
      <c r="AT166" s="145"/>
      <c r="AU166" s="145"/>
      <c r="AV166" s="145"/>
      <c r="AW166" s="145"/>
      <c r="AX166" s="145"/>
      <c r="AY166" s="145"/>
      <c r="AZ166" s="145"/>
      <c r="BA166" s="145"/>
      <c r="BB166" s="145"/>
      <c r="BC166" s="145"/>
      <c r="BD166" s="145"/>
      <c r="BE166" s="145"/>
      <c r="BF166" s="145"/>
      <c r="BG166" s="145"/>
      <c r="BH166" s="145"/>
      <c r="BI166" s="145"/>
      <c r="BJ166" s="145"/>
      <c r="BK166" s="145"/>
      <c r="BL166" s="145"/>
      <c r="BM166" s="145"/>
      <c r="BN166" s="145"/>
      <c r="BO166" s="145"/>
      <c r="BP166" s="145"/>
      <c r="BQ166" s="145"/>
      <c r="BR166" s="145"/>
      <c r="BS166" s="145"/>
      <c r="BT166" s="145"/>
      <c r="BU166" s="145"/>
      <c r="BV166" s="145"/>
      <c r="BW166" s="145"/>
    </row>
    <row r="167" spans="1:75" ht="20.100000000000001" customHeight="1">
      <c r="A167" s="170" t="str">
        <f t="shared" si="4"/>
        <v>AutoCAD Design Suite Ultimate</v>
      </c>
      <c r="B167" s="170" t="str">
        <f t="shared" si="3"/>
        <v>AutoCAD Design Suite Ultimate</v>
      </c>
      <c r="C167" s="147" t="str">
        <f t="shared" si="17"/>
        <v>Architecture Engineering Construction Collection</v>
      </c>
      <c r="D167" s="147" t="str">
        <f t="shared" si="19"/>
        <v>Product Design &amp; Manufacturing Collection</v>
      </c>
      <c r="E167" s="147" t="str">
        <f t="shared" ref="E167:N167" si="22">E50</f>
        <v/>
      </c>
      <c r="F167" s="147" t="str">
        <f t="shared" si="22"/>
        <v/>
      </c>
      <c r="G167" s="147" t="str">
        <f t="shared" si="22"/>
        <v/>
      </c>
      <c r="H167" s="147" t="str">
        <f t="shared" si="22"/>
        <v/>
      </c>
      <c r="I167" s="147" t="str">
        <f t="shared" si="22"/>
        <v/>
      </c>
      <c r="J167" s="147" t="str">
        <f t="shared" si="22"/>
        <v/>
      </c>
      <c r="K167" s="147" t="str">
        <f t="shared" si="22"/>
        <v/>
      </c>
      <c r="L167" s="147" t="str">
        <f t="shared" si="22"/>
        <v/>
      </c>
      <c r="M167" s="147" t="str">
        <f t="shared" si="22"/>
        <v/>
      </c>
      <c r="N167" s="147" t="str">
        <f t="shared" si="22"/>
        <v/>
      </c>
      <c r="O167" s="145"/>
      <c r="P167" s="145"/>
      <c r="Q167" s="145"/>
      <c r="R167" s="145"/>
      <c r="S167" s="145"/>
      <c r="T167" s="145"/>
      <c r="U167" s="145"/>
      <c r="V167" s="145"/>
      <c r="W167" s="145"/>
      <c r="X167" s="145"/>
      <c r="Y167" s="145"/>
      <c r="Z167" s="145"/>
      <c r="AA167" s="145"/>
      <c r="AB167" s="145"/>
      <c r="AC167" s="145"/>
      <c r="AD167" s="145"/>
      <c r="AE167" s="145"/>
      <c r="AF167" s="145"/>
      <c r="AG167" s="145"/>
      <c r="AH167" s="145"/>
      <c r="AI167" s="145"/>
      <c r="AJ167" s="145"/>
      <c r="AK167" s="145"/>
      <c r="AL167" s="145"/>
      <c r="AM167" s="145"/>
      <c r="AN167" s="145"/>
      <c r="AO167" s="145"/>
      <c r="AP167" s="145"/>
      <c r="AQ167" s="145"/>
      <c r="AR167" s="145"/>
      <c r="AS167" s="145"/>
      <c r="AT167" s="145"/>
      <c r="AU167" s="145"/>
      <c r="AV167" s="145"/>
      <c r="AW167" s="145"/>
      <c r="AX167" s="145"/>
      <c r="AY167" s="145"/>
      <c r="AZ167" s="145"/>
      <c r="BA167" s="145"/>
      <c r="BB167" s="145"/>
      <c r="BC167" s="145"/>
      <c r="BD167" s="145"/>
      <c r="BE167" s="145"/>
      <c r="BF167" s="145"/>
      <c r="BG167" s="145"/>
      <c r="BH167" s="145"/>
      <c r="BI167" s="145"/>
      <c r="BJ167" s="145"/>
      <c r="BK167" s="145"/>
      <c r="BL167" s="145"/>
      <c r="BM167" s="145"/>
      <c r="BN167" s="145"/>
      <c r="BO167" s="145"/>
      <c r="BP167" s="145"/>
      <c r="BQ167" s="145"/>
      <c r="BR167" s="145"/>
      <c r="BS167" s="145"/>
      <c r="BT167" s="145"/>
      <c r="BU167" s="145"/>
      <c r="BV167" s="145"/>
      <c r="BW167" s="145"/>
    </row>
    <row r="168" spans="1:75" ht="20.100000000000001" customHeight="1">
      <c r="A168" s="170" t="str">
        <f t="shared" si="4"/>
        <v>AutoCAD Electrical*</v>
      </c>
      <c r="B168" s="170" t="str">
        <f t="shared" si="3"/>
        <v>AutoCAD Electrical*</v>
      </c>
      <c r="C168" s="147" t="str">
        <f t="shared" si="17"/>
        <v>Architecture Engineering Construction Collection</v>
      </c>
      <c r="D168" s="147" t="str">
        <f t="shared" si="19"/>
        <v>Product Design &amp; Manufacturing Collection</v>
      </c>
      <c r="E168" s="147" t="str">
        <f t="shared" ref="E168:N168" si="23">E51</f>
        <v>AutoCAD - including specialized toolsets</v>
      </c>
      <c r="F168" s="147" t="str">
        <f t="shared" si="23"/>
        <v/>
      </c>
      <c r="G168" s="147" t="str">
        <f t="shared" si="23"/>
        <v/>
      </c>
      <c r="H168" s="147" t="str">
        <f t="shared" si="23"/>
        <v/>
      </c>
      <c r="I168" s="147" t="str">
        <f t="shared" si="23"/>
        <v/>
      </c>
      <c r="J168" s="147" t="str">
        <f t="shared" si="23"/>
        <v/>
      </c>
      <c r="K168" s="147" t="str">
        <f t="shared" si="23"/>
        <v/>
      </c>
      <c r="L168" s="147" t="str">
        <f t="shared" si="23"/>
        <v/>
      </c>
      <c r="M168" s="147" t="str">
        <f t="shared" si="23"/>
        <v/>
      </c>
      <c r="N168" s="147" t="str">
        <f t="shared" si="23"/>
        <v/>
      </c>
      <c r="O168" s="145"/>
      <c r="P168" s="145"/>
      <c r="Q168" s="145"/>
      <c r="R168" s="145"/>
      <c r="S168" s="145"/>
      <c r="T168" s="145"/>
      <c r="U168" s="145"/>
      <c r="V168" s="145"/>
      <c r="W168" s="145"/>
      <c r="X168" s="145"/>
      <c r="Y168" s="145"/>
      <c r="Z168" s="145"/>
      <c r="AA168" s="145"/>
      <c r="AB168" s="145"/>
      <c r="AC168" s="145"/>
      <c r="AD168" s="145"/>
      <c r="AE168" s="145"/>
      <c r="AF168" s="145"/>
      <c r="AG168" s="145"/>
      <c r="AH168" s="145"/>
      <c r="AI168" s="145"/>
      <c r="AJ168" s="145"/>
      <c r="AK168" s="145"/>
      <c r="AL168" s="145"/>
      <c r="AM168" s="145"/>
      <c r="AN168" s="145"/>
      <c r="AO168" s="145"/>
      <c r="AP168" s="145"/>
      <c r="AQ168" s="145"/>
      <c r="AR168" s="145"/>
      <c r="AS168" s="145"/>
      <c r="AT168" s="145"/>
      <c r="AU168" s="145"/>
      <c r="AV168" s="145"/>
      <c r="AW168" s="145"/>
      <c r="AX168" s="145"/>
      <c r="AY168" s="145"/>
      <c r="AZ168" s="145"/>
      <c r="BA168" s="145"/>
      <c r="BB168" s="145"/>
      <c r="BC168" s="145"/>
      <c r="BD168" s="145"/>
      <c r="BE168" s="145"/>
      <c r="BF168" s="145"/>
      <c r="BG168" s="145"/>
      <c r="BH168" s="145"/>
      <c r="BI168" s="145"/>
      <c r="BJ168" s="145"/>
      <c r="BK168" s="145"/>
      <c r="BL168" s="145"/>
      <c r="BM168" s="145"/>
      <c r="BN168" s="145"/>
      <c r="BO168" s="145"/>
      <c r="BP168" s="145"/>
      <c r="BQ168" s="145"/>
      <c r="BR168" s="145"/>
      <c r="BS168" s="145"/>
      <c r="BT168" s="145"/>
      <c r="BU168" s="145"/>
      <c r="BV168" s="145"/>
      <c r="BW168" s="145"/>
    </row>
    <row r="169" spans="1:75" ht="20.100000000000001" customHeight="1">
      <c r="A169" s="170" t="str">
        <f t="shared" si="4"/>
        <v>AutoCAD LT</v>
      </c>
      <c r="B169" s="170" t="str">
        <f t="shared" si="3"/>
        <v>AutoCAD LT</v>
      </c>
      <c r="C169" s="147" t="str">
        <f t="shared" si="17"/>
        <v>AutoCAD LT</v>
      </c>
      <c r="D169" s="147" t="str">
        <f t="shared" si="19"/>
        <v>AutoCAD Inventor LT Suite</v>
      </c>
      <c r="E169" s="147" t="str">
        <f t="shared" ref="E169:N169" si="24">E52</f>
        <v>AutoCAD Revit LT Suite</v>
      </c>
      <c r="F169" s="147" t="str">
        <f t="shared" si="24"/>
        <v/>
      </c>
      <c r="G169" s="147" t="str">
        <f t="shared" si="24"/>
        <v/>
      </c>
      <c r="H169" s="147" t="str">
        <f t="shared" si="24"/>
        <v/>
      </c>
      <c r="I169" s="147" t="str">
        <f t="shared" si="24"/>
        <v/>
      </c>
      <c r="J169" s="147" t="str">
        <f t="shared" si="24"/>
        <v/>
      </c>
      <c r="K169" s="147" t="str">
        <f t="shared" si="24"/>
        <v/>
      </c>
      <c r="L169" s="147" t="str">
        <f t="shared" si="24"/>
        <v/>
      </c>
      <c r="M169" s="147" t="str">
        <f t="shared" si="24"/>
        <v/>
      </c>
      <c r="N169" s="147" t="str">
        <f t="shared" si="24"/>
        <v/>
      </c>
      <c r="O169" s="145"/>
      <c r="P169" s="145"/>
      <c r="Q169" s="145"/>
      <c r="R169" s="145"/>
      <c r="S169" s="145"/>
      <c r="T169" s="145"/>
      <c r="U169" s="145"/>
      <c r="V169" s="145"/>
      <c r="W169" s="145"/>
      <c r="X169" s="145"/>
      <c r="Y169" s="145"/>
      <c r="Z169" s="145"/>
      <c r="AA169" s="145"/>
      <c r="AB169" s="145"/>
      <c r="AC169" s="145"/>
      <c r="AD169" s="145"/>
      <c r="AE169" s="145"/>
      <c r="AF169" s="145"/>
      <c r="AG169" s="145"/>
      <c r="AH169" s="145"/>
      <c r="AI169" s="145"/>
      <c r="AJ169" s="145"/>
      <c r="AK169" s="145"/>
      <c r="AL169" s="145"/>
      <c r="AM169" s="145"/>
      <c r="AN169" s="145"/>
      <c r="AO169" s="145"/>
      <c r="AP169" s="145"/>
      <c r="AQ169" s="145"/>
      <c r="AR169" s="145"/>
      <c r="AS169" s="145"/>
      <c r="AT169" s="145"/>
      <c r="AU169" s="145"/>
      <c r="AV169" s="145"/>
      <c r="AW169" s="145"/>
      <c r="AX169" s="145"/>
      <c r="AY169" s="145"/>
      <c r="AZ169" s="145"/>
      <c r="BA169" s="145"/>
      <c r="BB169" s="145"/>
      <c r="BC169" s="145"/>
      <c r="BD169" s="145"/>
      <c r="BE169" s="145"/>
      <c r="BF169" s="145"/>
      <c r="BG169" s="145"/>
      <c r="BH169" s="145"/>
      <c r="BI169" s="145"/>
      <c r="BJ169" s="145"/>
      <c r="BK169" s="145"/>
      <c r="BL169" s="145"/>
      <c r="BM169" s="145"/>
      <c r="BN169" s="145"/>
      <c r="BO169" s="145"/>
      <c r="BP169" s="145"/>
      <c r="BQ169" s="145"/>
      <c r="BR169" s="145"/>
      <c r="BS169" s="145"/>
      <c r="BT169" s="145"/>
      <c r="BU169" s="145"/>
      <c r="BV169" s="145"/>
      <c r="BW169" s="145"/>
    </row>
    <row r="170" spans="1:75" ht="20.100000000000001" customHeight="1">
      <c r="A170" s="170" t="str">
        <f t="shared" si="4"/>
        <v>AutoCAD LT with CALS Tools</v>
      </c>
      <c r="B170" s="367" t="str">
        <f t="shared" si="3"/>
        <v/>
      </c>
      <c r="C170" s="367" t="str">
        <f t="shared" si="17"/>
        <v/>
      </c>
      <c r="D170" s="147" t="str">
        <f t="shared" si="19"/>
        <v/>
      </c>
      <c r="E170" s="147" t="str">
        <f t="shared" ref="E170:N170" si="25">E53</f>
        <v/>
      </c>
      <c r="F170" s="147" t="str">
        <f t="shared" si="25"/>
        <v/>
      </c>
      <c r="G170" s="147" t="str">
        <f t="shared" si="25"/>
        <v/>
      </c>
      <c r="H170" s="147" t="str">
        <f t="shared" si="25"/>
        <v/>
      </c>
      <c r="I170" s="147" t="str">
        <f t="shared" si="25"/>
        <v/>
      </c>
      <c r="J170" s="147" t="str">
        <f t="shared" si="25"/>
        <v/>
      </c>
      <c r="K170" s="147" t="str">
        <f t="shared" si="25"/>
        <v/>
      </c>
      <c r="L170" s="147" t="str">
        <f t="shared" si="25"/>
        <v/>
      </c>
      <c r="M170" s="147" t="str">
        <f t="shared" si="25"/>
        <v/>
      </c>
      <c r="N170" s="147" t="str">
        <f t="shared" si="25"/>
        <v/>
      </c>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5"/>
      <c r="AM170" s="145"/>
      <c r="AN170" s="145"/>
      <c r="AO170" s="145"/>
      <c r="AP170" s="145"/>
      <c r="AQ170" s="145"/>
      <c r="AR170" s="145"/>
      <c r="AS170" s="145"/>
      <c r="AT170" s="145"/>
      <c r="AU170" s="145"/>
      <c r="AV170" s="145"/>
      <c r="AW170" s="145"/>
      <c r="AX170" s="145"/>
      <c r="AY170" s="145"/>
      <c r="AZ170" s="145"/>
      <c r="BA170" s="145"/>
      <c r="BB170" s="145"/>
      <c r="BC170" s="145"/>
      <c r="BD170" s="145"/>
      <c r="BE170" s="145"/>
      <c r="BF170" s="145"/>
      <c r="BG170" s="145"/>
      <c r="BH170" s="145"/>
      <c r="BI170" s="145"/>
      <c r="BJ170" s="145"/>
      <c r="BK170" s="145"/>
      <c r="BL170" s="145"/>
      <c r="BM170" s="145"/>
      <c r="BN170" s="145"/>
      <c r="BO170" s="145"/>
      <c r="BP170" s="145"/>
      <c r="BQ170" s="145"/>
      <c r="BR170" s="145"/>
      <c r="BS170" s="145"/>
      <c r="BT170" s="145"/>
      <c r="BU170" s="145"/>
      <c r="BV170" s="145"/>
      <c r="BW170" s="145"/>
    </row>
    <row r="171" spans="1:75" ht="20.100000000000001" customHeight="1">
      <c r="A171" s="170" t="str">
        <f t="shared" si="4"/>
        <v>AutoCAD Map 3D</v>
      </c>
      <c r="B171" s="170" t="str">
        <f t="shared" si="3"/>
        <v>AutoCAD Map 3D</v>
      </c>
      <c r="C171" s="147" t="str">
        <f t="shared" si="17"/>
        <v>Architecture Engineering Construction Collection</v>
      </c>
      <c r="D171" s="147" t="str">
        <f t="shared" si="19"/>
        <v>Product Design &amp; Manufacturing Collection</v>
      </c>
      <c r="E171" s="147" t="str">
        <f t="shared" ref="E171:N171" si="26">E54</f>
        <v>AutoCAD - including specialized toolsets</v>
      </c>
      <c r="F171" s="147" t="str">
        <f t="shared" si="26"/>
        <v/>
      </c>
      <c r="G171" s="147" t="str">
        <f t="shared" si="26"/>
        <v/>
      </c>
      <c r="H171" s="147" t="str">
        <f t="shared" si="26"/>
        <v/>
      </c>
      <c r="I171" s="147" t="str">
        <f t="shared" si="26"/>
        <v/>
      </c>
      <c r="J171" s="147" t="str">
        <f t="shared" si="26"/>
        <v/>
      </c>
      <c r="K171" s="147" t="str">
        <f t="shared" si="26"/>
        <v/>
      </c>
      <c r="L171" s="147" t="str">
        <f t="shared" si="26"/>
        <v/>
      </c>
      <c r="M171" s="147" t="str">
        <f t="shared" si="26"/>
        <v/>
      </c>
      <c r="N171" s="147" t="str">
        <f t="shared" si="26"/>
        <v/>
      </c>
      <c r="O171" s="145"/>
      <c r="P171" s="145"/>
      <c r="Q171" s="145"/>
      <c r="R171" s="145"/>
      <c r="S171" s="145"/>
      <c r="T171" s="145"/>
      <c r="U171" s="145"/>
      <c r="V171" s="145"/>
      <c r="W171" s="145"/>
      <c r="X171" s="145"/>
      <c r="Y171" s="145"/>
      <c r="Z171" s="145"/>
      <c r="AA171" s="145"/>
      <c r="AB171" s="145"/>
      <c r="AC171" s="145"/>
      <c r="AD171" s="145"/>
      <c r="AE171" s="145"/>
      <c r="AF171" s="145"/>
      <c r="AG171" s="145"/>
      <c r="AH171" s="145"/>
      <c r="AI171" s="145"/>
      <c r="AJ171" s="145"/>
      <c r="AK171" s="145"/>
      <c r="AL171" s="145"/>
      <c r="AM171" s="145"/>
      <c r="AN171" s="145"/>
      <c r="AO171" s="145"/>
      <c r="AP171" s="145"/>
      <c r="AQ171" s="145"/>
      <c r="AR171" s="145"/>
      <c r="AS171" s="145"/>
      <c r="AT171" s="145"/>
      <c r="AU171" s="145"/>
      <c r="AV171" s="145"/>
      <c r="AW171" s="145"/>
      <c r="AX171" s="145"/>
      <c r="AY171" s="145"/>
      <c r="AZ171" s="145"/>
      <c r="BA171" s="145"/>
      <c r="BB171" s="145"/>
      <c r="BC171" s="145"/>
      <c r="BD171" s="145"/>
      <c r="BE171" s="145"/>
      <c r="BF171" s="145"/>
      <c r="BG171" s="145"/>
      <c r="BH171" s="145"/>
      <c r="BI171" s="145"/>
      <c r="BJ171" s="145"/>
      <c r="BK171" s="145"/>
      <c r="BL171" s="145"/>
      <c r="BM171" s="145"/>
      <c r="BN171" s="145"/>
      <c r="BO171" s="145"/>
      <c r="BP171" s="145"/>
      <c r="BQ171" s="145"/>
      <c r="BR171" s="145"/>
      <c r="BS171" s="145"/>
      <c r="BT171" s="145"/>
      <c r="BU171" s="145"/>
      <c r="BV171" s="145"/>
      <c r="BW171" s="145"/>
    </row>
    <row r="172" spans="1:75" ht="20.100000000000001" customHeight="1">
      <c r="A172" s="170" t="str">
        <f t="shared" si="4"/>
        <v>AutoCAD Mechanical</v>
      </c>
      <c r="B172" s="170" t="str">
        <f t="shared" si="3"/>
        <v>AutoCAD Mechanical</v>
      </c>
      <c r="C172" s="147" t="str">
        <f t="shared" si="17"/>
        <v>Architecture Engineering Construction Collection</v>
      </c>
      <c r="D172" s="147" t="str">
        <f t="shared" si="19"/>
        <v>Product Design &amp; Manufacturing Collection</v>
      </c>
      <c r="E172" s="147" t="str">
        <f t="shared" ref="E172:N172" si="27">E55</f>
        <v>AutoCAD - including specialized toolsets</v>
      </c>
      <c r="F172" s="147" t="str">
        <f t="shared" si="27"/>
        <v/>
      </c>
      <c r="G172" s="147" t="str">
        <f t="shared" si="27"/>
        <v/>
      </c>
      <c r="H172" s="147" t="str">
        <f t="shared" si="27"/>
        <v/>
      </c>
      <c r="I172" s="147" t="str">
        <f t="shared" si="27"/>
        <v/>
      </c>
      <c r="J172" s="147" t="str">
        <f t="shared" si="27"/>
        <v/>
      </c>
      <c r="K172" s="147" t="str">
        <f t="shared" si="27"/>
        <v/>
      </c>
      <c r="L172" s="147" t="str">
        <f t="shared" si="27"/>
        <v/>
      </c>
      <c r="M172" s="147" t="str">
        <f t="shared" si="27"/>
        <v/>
      </c>
      <c r="N172" s="147" t="str">
        <f t="shared" si="27"/>
        <v/>
      </c>
      <c r="O172" s="145"/>
      <c r="P172" s="145"/>
      <c r="Q172" s="145"/>
      <c r="R172" s="145"/>
      <c r="S172" s="145"/>
      <c r="T172" s="145"/>
      <c r="U172" s="145"/>
      <c r="V172" s="145"/>
      <c r="W172" s="145"/>
      <c r="X172" s="145"/>
      <c r="Y172" s="145"/>
      <c r="Z172" s="145"/>
      <c r="AA172" s="145"/>
      <c r="AB172" s="145"/>
      <c r="AC172" s="145"/>
      <c r="AD172" s="145"/>
      <c r="AE172" s="145"/>
      <c r="AF172" s="145"/>
      <c r="AG172" s="145"/>
      <c r="AH172" s="145"/>
      <c r="AI172" s="145"/>
      <c r="AJ172" s="145"/>
      <c r="AK172" s="145"/>
      <c r="AL172" s="145"/>
      <c r="AM172" s="145"/>
      <c r="AN172" s="145"/>
      <c r="AO172" s="145"/>
      <c r="AP172" s="145"/>
      <c r="AQ172" s="145"/>
      <c r="AR172" s="145"/>
      <c r="AS172" s="145"/>
      <c r="AT172" s="145"/>
      <c r="AU172" s="145"/>
      <c r="AV172" s="145"/>
      <c r="AW172" s="145"/>
      <c r="AX172" s="145"/>
      <c r="AY172" s="145"/>
      <c r="AZ172" s="145"/>
      <c r="BA172" s="145"/>
      <c r="BB172" s="145"/>
      <c r="BC172" s="145"/>
      <c r="BD172" s="145"/>
      <c r="BE172" s="145"/>
      <c r="BF172" s="145"/>
      <c r="BG172" s="145"/>
      <c r="BH172" s="145"/>
      <c r="BI172" s="145"/>
      <c r="BJ172" s="145"/>
      <c r="BK172" s="145"/>
      <c r="BL172" s="145"/>
      <c r="BM172" s="145"/>
      <c r="BN172" s="145"/>
      <c r="BO172" s="145"/>
      <c r="BP172" s="145"/>
      <c r="BQ172" s="145"/>
      <c r="BR172" s="145"/>
      <c r="BS172" s="145"/>
      <c r="BT172" s="145"/>
      <c r="BU172" s="145"/>
      <c r="BV172" s="145"/>
      <c r="BW172" s="145"/>
    </row>
    <row r="173" spans="1:75" ht="20.100000000000001" customHeight="1">
      <c r="A173" s="170" t="str">
        <f t="shared" si="4"/>
        <v>AutoCAD MEP</v>
      </c>
      <c r="B173" s="367" t="str">
        <f t="shared" si="3"/>
        <v>AutoCAD MEP</v>
      </c>
      <c r="C173" s="367" t="str">
        <f t="shared" si="17"/>
        <v>Architecture Engineering Construction Collection</v>
      </c>
      <c r="D173" s="367" t="str">
        <f t="shared" si="19"/>
        <v>Product Design &amp; Manufacturing Collection</v>
      </c>
      <c r="E173" s="147" t="str">
        <f t="shared" ref="E173:N173" si="28">E56</f>
        <v>AutoCAD - including specialized toolsets</v>
      </c>
      <c r="F173" s="147" t="str">
        <f t="shared" si="28"/>
        <v/>
      </c>
      <c r="G173" s="147" t="str">
        <f t="shared" si="28"/>
        <v/>
      </c>
      <c r="H173" s="147" t="str">
        <f t="shared" si="28"/>
        <v/>
      </c>
      <c r="I173" s="147" t="str">
        <f t="shared" si="28"/>
        <v/>
      </c>
      <c r="J173" s="147" t="str">
        <f t="shared" si="28"/>
        <v/>
      </c>
      <c r="K173" s="147" t="str">
        <f t="shared" si="28"/>
        <v/>
      </c>
      <c r="L173" s="147" t="str">
        <f t="shared" si="28"/>
        <v/>
      </c>
      <c r="M173" s="147" t="str">
        <f t="shared" si="28"/>
        <v/>
      </c>
      <c r="N173" s="147" t="str">
        <f t="shared" si="28"/>
        <v/>
      </c>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c r="BS173" s="145"/>
      <c r="BT173" s="145"/>
      <c r="BU173" s="145"/>
      <c r="BV173" s="145"/>
      <c r="BW173" s="145"/>
    </row>
    <row r="174" spans="1:75" ht="20.100000000000001" customHeight="1">
      <c r="A174" s="170" t="str">
        <f t="shared" si="4"/>
        <v>AutoCAD P&amp;ID</v>
      </c>
      <c r="B174" s="170" t="str">
        <f t="shared" si="3"/>
        <v>AutoCAD P&amp;ID</v>
      </c>
      <c r="C174" s="147" t="str">
        <f t="shared" si="17"/>
        <v>Architecture Engineering Construction Collection</v>
      </c>
      <c r="D174" s="147" t="str">
        <f t="shared" si="19"/>
        <v>Product Design &amp; Manufacturing Collection</v>
      </c>
      <c r="E174" s="147" t="str">
        <f t="shared" ref="E174:N174" si="29">E57</f>
        <v/>
      </c>
      <c r="F174" s="147" t="str">
        <f t="shared" si="29"/>
        <v/>
      </c>
      <c r="G174" s="147" t="str">
        <f t="shared" si="29"/>
        <v/>
      </c>
      <c r="H174" s="147" t="str">
        <f t="shared" si="29"/>
        <v/>
      </c>
      <c r="I174" s="147" t="str">
        <f t="shared" si="29"/>
        <v/>
      </c>
      <c r="J174" s="147" t="str">
        <f t="shared" si="29"/>
        <v/>
      </c>
      <c r="K174" s="147" t="str">
        <f t="shared" si="29"/>
        <v/>
      </c>
      <c r="L174" s="147" t="str">
        <f t="shared" si="29"/>
        <v/>
      </c>
      <c r="M174" s="147" t="str">
        <f t="shared" si="29"/>
        <v/>
      </c>
      <c r="N174" s="147" t="str">
        <f t="shared" si="29"/>
        <v/>
      </c>
      <c r="O174" s="145"/>
      <c r="P174" s="145"/>
      <c r="Q174" s="145"/>
      <c r="R174" s="145"/>
      <c r="S174" s="145"/>
      <c r="T174" s="145"/>
      <c r="U174" s="145"/>
      <c r="V174" s="145"/>
      <c r="W174" s="145"/>
      <c r="X174" s="145"/>
      <c r="Y174" s="145"/>
      <c r="Z174" s="145"/>
      <c r="AA174" s="145"/>
      <c r="AB174" s="145"/>
      <c r="AC174" s="145"/>
      <c r="AD174" s="145"/>
      <c r="AE174" s="145"/>
      <c r="AF174" s="145"/>
      <c r="AG174" s="145"/>
      <c r="AH174" s="145"/>
      <c r="AI174" s="145"/>
      <c r="AJ174" s="145"/>
      <c r="AK174" s="145"/>
      <c r="AL174" s="145"/>
      <c r="AM174" s="145"/>
      <c r="AN174" s="145"/>
      <c r="AO174" s="145"/>
      <c r="AP174" s="145"/>
      <c r="AQ174" s="145"/>
      <c r="AR174" s="145"/>
      <c r="AS174" s="145"/>
      <c r="AT174" s="145"/>
      <c r="AU174" s="145"/>
      <c r="AV174" s="145"/>
      <c r="AW174" s="145"/>
      <c r="AX174" s="145"/>
      <c r="AY174" s="145"/>
      <c r="AZ174" s="145"/>
      <c r="BA174" s="145"/>
      <c r="BB174" s="145"/>
      <c r="BC174" s="145"/>
      <c r="BD174" s="145"/>
      <c r="BE174" s="145"/>
      <c r="BF174" s="145"/>
      <c r="BG174" s="145"/>
      <c r="BH174" s="145"/>
      <c r="BI174" s="145"/>
      <c r="BJ174" s="145"/>
      <c r="BK174" s="145"/>
      <c r="BL174" s="145"/>
      <c r="BM174" s="145"/>
      <c r="BN174" s="145"/>
      <c r="BO174" s="145"/>
      <c r="BP174" s="145"/>
      <c r="BQ174" s="145"/>
      <c r="BR174" s="145"/>
      <c r="BS174" s="145"/>
      <c r="BT174" s="145"/>
      <c r="BU174" s="145"/>
      <c r="BV174" s="145"/>
      <c r="BW174" s="145"/>
    </row>
    <row r="175" spans="1:75" ht="20.100000000000001" customHeight="1">
      <c r="A175" s="170" t="str">
        <f t="shared" si="4"/>
        <v>AutoCAD Plant 3D*</v>
      </c>
      <c r="B175" s="170" t="str">
        <f t="shared" si="3"/>
        <v>AutoCAD Plant 3D*</v>
      </c>
      <c r="C175" s="147" t="str">
        <f t="shared" si="17"/>
        <v>Architecture Engineering Construction Collection</v>
      </c>
      <c r="D175" s="147" t="str">
        <f t="shared" si="19"/>
        <v>Product Design &amp; Manufacturing Collection</v>
      </c>
      <c r="E175" s="147" t="str">
        <f t="shared" ref="E175:N175" si="30">E58</f>
        <v>AutoCAD - including specialized toolsets</v>
      </c>
      <c r="F175" s="147" t="str">
        <f t="shared" si="30"/>
        <v/>
      </c>
      <c r="G175" s="147" t="str">
        <f t="shared" si="30"/>
        <v/>
      </c>
      <c r="H175" s="147" t="str">
        <f t="shared" si="30"/>
        <v/>
      </c>
      <c r="I175" s="147" t="str">
        <f t="shared" si="30"/>
        <v/>
      </c>
      <c r="J175" s="147" t="str">
        <f t="shared" si="30"/>
        <v/>
      </c>
      <c r="K175" s="147" t="str">
        <f t="shared" si="30"/>
        <v/>
      </c>
      <c r="L175" s="147" t="str">
        <f t="shared" si="30"/>
        <v/>
      </c>
      <c r="M175" s="147" t="str">
        <f t="shared" si="30"/>
        <v/>
      </c>
      <c r="N175" s="147" t="str">
        <f t="shared" si="30"/>
        <v/>
      </c>
      <c r="O175" s="145"/>
      <c r="P175" s="145"/>
      <c r="Q175" s="145"/>
      <c r="R175" s="145"/>
      <c r="S175" s="145"/>
      <c r="T175" s="145"/>
      <c r="U175" s="145"/>
      <c r="V175" s="145"/>
      <c r="W175" s="145"/>
      <c r="X175" s="145"/>
      <c r="Y175" s="145"/>
      <c r="Z175" s="145"/>
      <c r="AA175" s="145"/>
      <c r="AB175" s="145"/>
      <c r="AC175" s="145"/>
      <c r="AD175" s="145"/>
      <c r="AE175" s="145"/>
      <c r="AF175" s="145"/>
      <c r="AG175" s="145"/>
      <c r="AH175" s="145"/>
      <c r="AI175" s="145"/>
      <c r="AJ175" s="145"/>
      <c r="AK175" s="145"/>
      <c r="AL175" s="145"/>
      <c r="AM175" s="145"/>
      <c r="AN175" s="145"/>
      <c r="AO175" s="145"/>
      <c r="AP175" s="145"/>
      <c r="AQ175" s="145"/>
      <c r="AR175" s="145"/>
      <c r="AS175" s="145"/>
      <c r="AT175" s="145"/>
      <c r="AU175" s="145"/>
      <c r="AV175" s="145"/>
      <c r="AW175" s="145"/>
      <c r="AX175" s="145"/>
      <c r="AY175" s="145"/>
      <c r="AZ175" s="145"/>
      <c r="BA175" s="145"/>
      <c r="BB175" s="145"/>
      <c r="BC175" s="145"/>
      <c r="BD175" s="145"/>
      <c r="BE175" s="145"/>
      <c r="BF175" s="145"/>
      <c r="BG175" s="145"/>
      <c r="BH175" s="145"/>
      <c r="BI175" s="145"/>
      <c r="BJ175" s="145"/>
      <c r="BK175" s="145"/>
      <c r="BL175" s="145"/>
      <c r="BM175" s="145"/>
      <c r="BN175" s="145"/>
      <c r="BO175" s="145"/>
      <c r="BP175" s="145"/>
      <c r="BQ175" s="145"/>
      <c r="BR175" s="145"/>
      <c r="BS175" s="145"/>
      <c r="BT175" s="145"/>
      <c r="BU175" s="145"/>
      <c r="BV175" s="145"/>
      <c r="BW175" s="145"/>
    </row>
    <row r="176" spans="1:75" ht="20.100000000000001" customHeight="1">
      <c r="A176" s="170" t="str">
        <f t="shared" si="4"/>
        <v>AutoCAD Raster Design</v>
      </c>
      <c r="B176" s="170" t="str">
        <f t="shared" si="3"/>
        <v>AutoCAD Raster Design</v>
      </c>
      <c r="C176" s="147" t="str">
        <f t="shared" si="17"/>
        <v>Architecture Engineering Construction Collection</v>
      </c>
      <c r="D176" s="147" t="str">
        <f t="shared" si="19"/>
        <v>Product Design &amp; Manufacturing Collection</v>
      </c>
      <c r="E176" s="147" t="str">
        <f t="shared" ref="E176:N176" si="31">E59</f>
        <v>AutoCAD - including specialized toolsets</v>
      </c>
      <c r="F176" s="147" t="str">
        <f t="shared" si="31"/>
        <v/>
      </c>
      <c r="G176" s="147" t="str">
        <f t="shared" si="31"/>
        <v/>
      </c>
      <c r="H176" s="147" t="str">
        <f t="shared" si="31"/>
        <v/>
      </c>
      <c r="I176" s="147" t="str">
        <f t="shared" si="31"/>
        <v/>
      </c>
      <c r="J176" s="147" t="str">
        <f t="shared" si="31"/>
        <v/>
      </c>
      <c r="K176" s="147" t="str">
        <f t="shared" si="31"/>
        <v/>
      </c>
      <c r="L176" s="147" t="str">
        <f t="shared" si="31"/>
        <v/>
      </c>
      <c r="M176" s="147" t="str">
        <f t="shared" si="31"/>
        <v/>
      </c>
      <c r="N176" s="147" t="str">
        <f t="shared" si="31"/>
        <v/>
      </c>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5"/>
      <c r="AM176" s="145"/>
      <c r="AN176" s="145"/>
      <c r="AO176" s="145"/>
      <c r="AP176" s="145"/>
      <c r="AQ176" s="145"/>
      <c r="AR176" s="145"/>
      <c r="AS176" s="145"/>
      <c r="AT176" s="145"/>
      <c r="AU176" s="145"/>
      <c r="AV176" s="145"/>
      <c r="AW176" s="145"/>
      <c r="AX176" s="145"/>
      <c r="AY176" s="145"/>
      <c r="AZ176" s="145"/>
      <c r="BA176" s="145"/>
      <c r="BB176" s="145"/>
      <c r="BC176" s="145"/>
      <c r="BD176" s="145"/>
      <c r="BE176" s="145"/>
      <c r="BF176" s="145"/>
      <c r="BG176" s="145"/>
      <c r="BH176" s="145"/>
      <c r="BI176" s="145"/>
      <c r="BJ176" s="145"/>
      <c r="BK176" s="145"/>
      <c r="BL176" s="145"/>
      <c r="BM176" s="145"/>
      <c r="BN176" s="145"/>
      <c r="BO176" s="145"/>
      <c r="BP176" s="145"/>
      <c r="BQ176" s="145"/>
      <c r="BR176" s="145"/>
      <c r="BS176" s="145"/>
      <c r="BT176" s="145"/>
      <c r="BU176" s="145"/>
      <c r="BV176" s="145"/>
      <c r="BW176" s="145"/>
    </row>
    <row r="177" spans="1:75" ht="20.100000000000001" customHeight="1">
      <c r="A177" s="170" t="str">
        <f t="shared" si="4"/>
        <v>AutoCAD with Advance Steel</v>
      </c>
      <c r="B177" s="170" t="str">
        <f t="shared" si="3"/>
        <v>AutoCAD with Advance Steel</v>
      </c>
      <c r="C177" s="147" t="str">
        <f t="shared" si="17"/>
        <v>Advance Steel</v>
      </c>
      <c r="D177" s="147" t="str">
        <f t="shared" si="19"/>
        <v/>
      </c>
      <c r="E177" s="147" t="str">
        <f t="shared" ref="E177:N177" si="32">E60</f>
        <v/>
      </c>
      <c r="F177" s="147" t="str">
        <f t="shared" si="32"/>
        <v/>
      </c>
      <c r="G177" s="147" t="str">
        <f t="shared" si="32"/>
        <v/>
      </c>
      <c r="H177" s="147" t="str">
        <f t="shared" si="32"/>
        <v/>
      </c>
      <c r="I177" s="147" t="str">
        <f t="shared" si="32"/>
        <v/>
      </c>
      <c r="J177" s="147" t="str">
        <f t="shared" si="32"/>
        <v/>
      </c>
      <c r="K177" s="147" t="str">
        <f t="shared" si="32"/>
        <v/>
      </c>
      <c r="L177" s="147" t="str">
        <f t="shared" si="32"/>
        <v/>
      </c>
      <c r="M177" s="147" t="str">
        <f t="shared" si="32"/>
        <v/>
      </c>
      <c r="N177" s="147" t="str">
        <f t="shared" si="32"/>
        <v/>
      </c>
      <c r="O177" s="145"/>
      <c r="P177" s="145"/>
      <c r="Q177" s="145"/>
      <c r="R177" s="145"/>
      <c r="S177" s="145"/>
      <c r="T177" s="145"/>
      <c r="U177" s="145"/>
      <c r="V177" s="145"/>
      <c r="W177" s="145"/>
      <c r="X177" s="145"/>
      <c r="Y177" s="145"/>
      <c r="Z177" s="145"/>
      <c r="AA177" s="145"/>
      <c r="AB177" s="145"/>
      <c r="AC177" s="145"/>
      <c r="AD177" s="145"/>
      <c r="AE177" s="145"/>
      <c r="AF177" s="145"/>
      <c r="AG177" s="145"/>
      <c r="AH177" s="145"/>
      <c r="AI177" s="145"/>
      <c r="AJ177" s="145"/>
      <c r="AK177" s="145"/>
      <c r="AL177" s="145"/>
      <c r="AM177" s="145"/>
      <c r="AN177" s="145"/>
      <c r="AO177" s="145"/>
      <c r="AP177" s="145"/>
      <c r="AQ177" s="145"/>
      <c r="AR177" s="145"/>
      <c r="AS177" s="145"/>
      <c r="AT177" s="145"/>
      <c r="AU177" s="145"/>
      <c r="AV177" s="145"/>
      <c r="AW177" s="145"/>
      <c r="AX177" s="145"/>
      <c r="AY177" s="145"/>
      <c r="AZ177" s="145"/>
      <c r="BA177" s="145"/>
      <c r="BB177" s="145"/>
      <c r="BC177" s="145"/>
      <c r="BD177" s="145"/>
      <c r="BE177" s="145"/>
      <c r="BF177" s="145"/>
      <c r="BG177" s="145"/>
      <c r="BH177" s="145"/>
      <c r="BI177" s="145"/>
      <c r="BJ177" s="145"/>
      <c r="BK177" s="145"/>
      <c r="BL177" s="145"/>
      <c r="BM177" s="145"/>
      <c r="BN177" s="145"/>
      <c r="BO177" s="145"/>
      <c r="BP177" s="145"/>
      <c r="BQ177" s="145"/>
      <c r="BR177" s="145"/>
      <c r="BS177" s="145"/>
      <c r="BT177" s="145"/>
      <c r="BU177" s="145"/>
      <c r="BV177" s="145"/>
      <c r="BW177" s="145"/>
    </row>
    <row r="178" spans="1:75" ht="20.100000000000001" customHeight="1">
      <c r="A178" s="170" t="str">
        <f t="shared" si="4"/>
        <v>Building Design Suite Premium</v>
      </c>
      <c r="B178" s="170" t="str">
        <f t="shared" si="3"/>
        <v>Building Design Suite Premium</v>
      </c>
      <c r="C178" s="147" t="str">
        <f t="shared" si="17"/>
        <v>Architecture Engineering Construction Collection</v>
      </c>
      <c r="D178" s="147" t="str">
        <f t="shared" si="19"/>
        <v>Product Design &amp; Manufacturing Collection</v>
      </c>
      <c r="E178" s="147" t="str">
        <f t="shared" ref="E178:N178" si="33">E61</f>
        <v/>
      </c>
      <c r="F178" s="147" t="str">
        <f t="shared" si="33"/>
        <v/>
      </c>
      <c r="G178" s="147" t="str">
        <f t="shared" si="33"/>
        <v/>
      </c>
      <c r="H178" s="147" t="str">
        <f t="shared" si="33"/>
        <v/>
      </c>
      <c r="I178" s="147" t="str">
        <f t="shared" si="33"/>
        <v/>
      </c>
      <c r="J178" s="147" t="str">
        <f t="shared" si="33"/>
        <v/>
      </c>
      <c r="K178" s="147" t="str">
        <f t="shared" si="33"/>
        <v/>
      </c>
      <c r="L178" s="147" t="str">
        <f t="shared" si="33"/>
        <v/>
      </c>
      <c r="M178" s="147" t="str">
        <f t="shared" si="33"/>
        <v/>
      </c>
      <c r="N178" s="147" t="str">
        <f t="shared" si="33"/>
        <v/>
      </c>
      <c r="O178" s="145"/>
      <c r="P178" s="145"/>
      <c r="Q178" s="145"/>
      <c r="R178" s="145"/>
      <c r="S178" s="145"/>
      <c r="T178" s="145"/>
      <c r="U178" s="145"/>
      <c r="V178" s="145"/>
      <c r="W178" s="145"/>
      <c r="X178" s="145"/>
      <c r="Y178" s="145"/>
      <c r="Z178" s="145"/>
      <c r="AA178" s="145"/>
      <c r="AB178" s="145"/>
      <c r="AC178" s="145"/>
      <c r="AD178" s="145"/>
      <c r="AE178" s="145"/>
      <c r="AF178" s="145"/>
      <c r="AG178" s="145"/>
      <c r="AH178" s="145"/>
      <c r="AI178" s="145"/>
      <c r="AJ178" s="145"/>
      <c r="AK178" s="145"/>
      <c r="AL178" s="145"/>
      <c r="AM178" s="145"/>
      <c r="AN178" s="145"/>
      <c r="AO178" s="145"/>
      <c r="AP178" s="145"/>
      <c r="AQ178" s="145"/>
      <c r="AR178" s="145"/>
      <c r="AS178" s="145"/>
      <c r="AT178" s="145"/>
      <c r="AU178" s="145"/>
      <c r="AV178" s="145"/>
      <c r="AW178" s="145"/>
      <c r="AX178" s="145"/>
      <c r="AY178" s="145"/>
      <c r="AZ178" s="145"/>
      <c r="BA178" s="145"/>
      <c r="BB178" s="145"/>
      <c r="BC178" s="145"/>
      <c r="BD178" s="145"/>
      <c r="BE178" s="145"/>
      <c r="BF178" s="145"/>
      <c r="BG178" s="145"/>
      <c r="BH178" s="145"/>
      <c r="BI178" s="145"/>
      <c r="BJ178" s="145"/>
      <c r="BK178" s="145"/>
      <c r="BL178" s="145"/>
      <c r="BM178" s="145"/>
      <c r="BN178" s="145"/>
      <c r="BO178" s="145"/>
      <c r="BP178" s="145"/>
      <c r="BQ178" s="145"/>
      <c r="BR178" s="145"/>
      <c r="BS178" s="145"/>
      <c r="BT178" s="145"/>
      <c r="BU178" s="145"/>
      <c r="BV178" s="145"/>
      <c r="BW178" s="145"/>
    </row>
    <row r="179" spans="1:75" ht="20.100000000000001" customHeight="1">
      <c r="A179" s="170" t="str">
        <f t="shared" si="4"/>
        <v>Building Design Suite Standard</v>
      </c>
      <c r="B179" s="170" t="str">
        <f t="shared" si="3"/>
        <v>Building Design Suite Standard</v>
      </c>
      <c r="C179" s="147" t="str">
        <f t="shared" si="17"/>
        <v>Architecture Engineering Construction Collection</v>
      </c>
      <c r="D179" s="147" t="str">
        <f t="shared" si="19"/>
        <v>Product Design &amp; Manufacturing Collection</v>
      </c>
      <c r="E179" s="147" t="str">
        <f t="shared" ref="E179:N179" si="34">E62</f>
        <v>AutoCAD - including specialized toolsets</v>
      </c>
      <c r="F179" s="147" t="str">
        <f t="shared" si="34"/>
        <v/>
      </c>
      <c r="G179" s="147" t="str">
        <f t="shared" si="34"/>
        <v/>
      </c>
      <c r="H179" s="147" t="str">
        <f t="shared" si="34"/>
        <v/>
      </c>
      <c r="I179" s="147" t="str">
        <f t="shared" si="34"/>
        <v/>
      </c>
      <c r="J179" s="147" t="str">
        <f t="shared" si="34"/>
        <v/>
      </c>
      <c r="K179" s="147" t="str">
        <f t="shared" si="34"/>
        <v/>
      </c>
      <c r="L179" s="147" t="str">
        <f t="shared" si="34"/>
        <v/>
      </c>
      <c r="M179" s="147" t="str">
        <f t="shared" si="34"/>
        <v/>
      </c>
      <c r="N179" s="147" t="str">
        <f t="shared" si="34"/>
        <v/>
      </c>
      <c r="O179" s="145"/>
      <c r="P179" s="145"/>
      <c r="Q179" s="145"/>
      <c r="R179" s="145"/>
      <c r="S179" s="145"/>
      <c r="T179" s="145"/>
      <c r="U179" s="145"/>
      <c r="V179" s="145"/>
      <c r="W179" s="145"/>
      <c r="X179" s="145"/>
      <c r="Y179" s="145"/>
      <c r="Z179" s="145"/>
      <c r="AA179" s="145"/>
      <c r="AB179" s="145"/>
      <c r="AC179" s="145"/>
      <c r="AD179" s="145"/>
      <c r="AE179" s="145"/>
      <c r="AF179" s="145"/>
      <c r="AG179" s="145"/>
      <c r="AH179" s="145"/>
      <c r="AI179" s="145"/>
      <c r="AJ179" s="145"/>
      <c r="AK179" s="145"/>
      <c r="AL179" s="145"/>
      <c r="AM179" s="145"/>
      <c r="AN179" s="145"/>
      <c r="AO179" s="145"/>
      <c r="AP179" s="145"/>
      <c r="AQ179" s="145"/>
      <c r="AR179" s="145"/>
      <c r="AS179" s="145"/>
      <c r="AT179" s="145"/>
      <c r="AU179" s="145"/>
      <c r="AV179" s="145"/>
      <c r="AW179" s="145"/>
      <c r="AX179" s="145"/>
      <c r="AY179" s="145"/>
      <c r="AZ179" s="145"/>
      <c r="BA179" s="145"/>
      <c r="BB179" s="145"/>
      <c r="BC179" s="145"/>
      <c r="BD179" s="145"/>
      <c r="BE179" s="145"/>
      <c r="BF179" s="145"/>
      <c r="BG179" s="145"/>
      <c r="BH179" s="145"/>
      <c r="BI179" s="145"/>
      <c r="BJ179" s="145"/>
      <c r="BK179" s="145"/>
      <c r="BL179" s="145"/>
      <c r="BM179" s="145"/>
      <c r="BN179" s="145"/>
      <c r="BO179" s="145"/>
      <c r="BP179" s="145"/>
      <c r="BQ179" s="145"/>
      <c r="BR179" s="145"/>
      <c r="BS179" s="145"/>
      <c r="BT179" s="145"/>
      <c r="BU179" s="145"/>
      <c r="BV179" s="145"/>
      <c r="BW179" s="145"/>
    </row>
    <row r="180" spans="1:75" ht="20.100000000000001" customHeight="1">
      <c r="A180" s="170" t="str">
        <f t="shared" si="4"/>
        <v>Building Design Suite Ultimate</v>
      </c>
      <c r="B180" s="170" t="str">
        <f t="shared" si="3"/>
        <v>Building Design Suite Ultimate</v>
      </c>
      <c r="C180" s="147" t="str">
        <f t="shared" si="17"/>
        <v>Architecture Engineering Construction Collection</v>
      </c>
      <c r="D180" s="147" t="str">
        <f t="shared" si="19"/>
        <v>Product Design &amp; Manufacturing Collection</v>
      </c>
      <c r="E180" s="147" t="str">
        <f t="shared" ref="E180:N180" si="35">E63</f>
        <v/>
      </c>
      <c r="F180" s="147" t="str">
        <f t="shared" si="35"/>
        <v/>
      </c>
      <c r="G180" s="147" t="str">
        <f t="shared" si="35"/>
        <v/>
      </c>
      <c r="H180" s="147" t="str">
        <f t="shared" si="35"/>
        <v/>
      </c>
      <c r="I180" s="147" t="str">
        <f t="shared" si="35"/>
        <v/>
      </c>
      <c r="J180" s="147" t="str">
        <f t="shared" si="35"/>
        <v/>
      </c>
      <c r="K180" s="147" t="str">
        <f t="shared" si="35"/>
        <v/>
      </c>
      <c r="L180" s="147" t="str">
        <f t="shared" si="35"/>
        <v/>
      </c>
      <c r="M180" s="147" t="str">
        <f t="shared" si="35"/>
        <v/>
      </c>
      <c r="N180" s="147" t="str">
        <f t="shared" si="35"/>
        <v/>
      </c>
      <c r="O180" s="145"/>
      <c r="P180" s="145"/>
      <c r="Q180" s="145"/>
      <c r="R180" s="145"/>
      <c r="S180" s="145"/>
      <c r="T180" s="145"/>
      <c r="U180" s="145"/>
      <c r="V180" s="145"/>
      <c r="W180" s="145"/>
      <c r="X180" s="145"/>
      <c r="Y180" s="145"/>
      <c r="Z180" s="145"/>
      <c r="AA180" s="145"/>
      <c r="AB180" s="145"/>
      <c r="AC180" s="145"/>
      <c r="AD180" s="145"/>
      <c r="AE180" s="145"/>
      <c r="AF180" s="145"/>
      <c r="AG180" s="145"/>
      <c r="AH180" s="145"/>
      <c r="AI180" s="145"/>
      <c r="AJ180" s="145"/>
      <c r="AK180" s="145"/>
      <c r="AL180" s="145"/>
      <c r="AM180" s="145"/>
      <c r="AN180" s="145"/>
      <c r="AO180" s="145"/>
      <c r="AP180" s="145"/>
      <c r="AQ180" s="145"/>
      <c r="AR180" s="145"/>
      <c r="AS180" s="145"/>
      <c r="AT180" s="145"/>
      <c r="AU180" s="145"/>
      <c r="AV180" s="145"/>
      <c r="AW180" s="145"/>
      <c r="AX180" s="145"/>
      <c r="AY180" s="145"/>
      <c r="AZ180" s="145"/>
      <c r="BA180" s="145"/>
      <c r="BB180" s="145"/>
      <c r="BC180" s="145"/>
      <c r="BD180" s="145"/>
      <c r="BE180" s="145"/>
      <c r="BF180" s="145"/>
      <c r="BG180" s="145"/>
      <c r="BH180" s="145"/>
      <c r="BI180" s="145"/>
      <c r="BJ180" s="145"/>
      <c r="BK180" s="145"/>
      <c r="BL180" s="145"/>
      <c r="BM180" s="145"/>
      <c r="BN180" s="145"/>
      <c r="BO180" s="145"/>
      <c r="BP180" s="145"/>
      <c r="BQ180" s="145"/>
      <c r="BR180" s="145"/>
      <c r="BS180" s="145"/>
      <c r="BT180" s="145"/>
      <c r="BU180" s="145"/>
      <c r="BV180" s="145"/>
      <c r="BW180" s="145"/>
    </row>
    <row r="181" spans="1:75" ht="20.100000000000001" customHeight="1">
      <c r="A181" s="170" t="str">
        <f t="shared" si="4"/>
        <v>CFD</v>
      </c>
      <c r="B181" s="170" t="str">
        <f t="shared" si="3"/>
        <v>CFD</v>
      </c>
      <c r="C181" s="147" t="str">
        <f t="shared" si="17"/>
        <v>CFD Premium (formerly CFD Advanced)</v>
      </c>
      <c r="D181" s="147" t="str">
        <f t="shared" si="19"/>
        <v>CFD Ultimate (formerly CFD Motion)</v>
      </c>
      <c r="E181" s="147" t="str">
        <f t="shared" ref="E181:N181" si="36">E64</f>
        <v/>
      </c>
      <c r="F181" s="147" t="str">
        <f t="shared" si="36"/>
        <v/>
      </c>
      <c r="G181" s="147" t="str">
        <f t="shared" si="36"/>
        <v/>
      </c>
      <c r="H181" s="147" t="str">
        <f t="shared" si="36"/>
        <v/>
      </c>
      <c r="I181" s="147" t="str">
        <f t="shared" si="36"/>
        <v/>
      </c>
      <c r="J181" s="147" t="str">
        <f t="shared" si="36"/>
        <v/>
      </c>
      <c r="K181" s="147" t="str">
        <f t="shared" si="36"/>
        <v/>
      </c>
      <c r="L181" s="147" t="str">
        <f t="shared" si="36"/>
        <v/>
      </c>
      <c r="M181" s="147" t="str">
        <f t="shared" si="36"/>
        <v/>
      </c>
      <c r="N181" s="147" t="str">
        <f t="shared" si="36"/>
        <v/>
      </c>
      <c r="O181" s="145"/>
      <c r="P181" s="145"/>
      <c r="Q181" s="145"/>
      <c r="R181" s="145"/>
      <c r="S181" s="145"/>
      <c r="T181" s="145"/>
      <c r="U181" s="145"/>
      <c r="V181" s="145"/>
      <c r="W181" s="145"/>
      <c r="X181" s="145"/>
      <c r="Y181" s="145"/>
      <c r="Z181" s="145"/>
      <c r="AA181" s="145"/>
      <c r="AB181" s="145"/>
      <c r="AC181" s="145"/>
      <c r="AD181" s="145"/>
      <c r="AE181" s="145"/>
      <c r="AF181" s="145"/>
      <c r="AG181" s="145"/>
      <c r="AH181" s="145"/>
      <c r="AI181" s="145"/>
      <c r="AJ181" s="145"/>
      <c r="AK181" s="145"/>
      <c r="AL181" s="145"/>
      <c r="AM181" s="145"/>
      <c r="AN181" s="145"/>
      <c r="AO181" s="145"/>
      <c r="AP181" s="145"/>
      <c r="AQ181" s="145"/>
      <c r="AR181" s="145"/>
      <c r="AS181" s="145"/>
      <c r="AT181" s="145"/>
      <c r="AU181" s="145"/>
      <c r="AV181" s="145"/>
      <c r="AW181" s="145"/>
      <c r="AX181" s="145"/>
      <c r="AY181" s="145"/>
      <c r="AZ181" s="145"/>
      <c r="BA181" s="145"/>
      <c r="BB181" s="145"/>
      <c r="BC181" s="145"/>
      <c r="BD181" s="145"/>
      <c r="BE181" s="145"/>
      <c r="BF181" s="145"/>
      <c r="BG181" s="145"/>
      <c r="BH181" s="145"/>
      <c r="BI181" s="145"/>
      <c r="BJ181" s="145"/>
      <c r="BK181" s="145"/>
      <c r="BL181" s="145"/>
      <c r="BM181" s="145"/>
      <c r="BN181" s="145"/>
      <c r="BO181" s="145"/>
      <c r="BP181" s="145"/>
      <c r="BQ181" s="145"/>
      <c r="BR181" s="145"/>
      <c r="BS181" s="145"/>
      <c r="BT181" s="145"/>
      <c r="BU181" s="145"/>
      <c r="BV181" s="145"/>
      <c r="BW181" s="145"/>
    </row>
    <row r="182" spans="1:75" ht="20.100000000000001" customHeight="1">
      <c r="A182" s="170" t="str">
        <f t="shared" si="4"/>
        <v>CFD Premium (formerly CFD Advanced)</v>
      </c>
      <c r="B182" s="170" t="str">
        <f t="shared" si="3"/>
        <v>CFD Premium (formerly CFD Advanced)</v>
      </c>
      <c r="C182" s="147" t="str">
        <f t="shared" si="17"/>
        <v>CFD Premium (formerly CFD Advanced)</v>
      </c>
      <c r="D182" s="147" t="str">
        <f t="shared" si="19"/>
        <v>CFD Ultimate (formerly CFD Motion)</v>
      </c>
      <c r="E182" s="147" t="str">
        <f t="shared" ref="E182:N182" si="37">E65</f>
        <v/>
      </c>
      <c r="F182" s="147" t="str">
        <f t="shared" si="37"/>
        <v/>
      </c>
      <c r="G182" s="147" t="str">
        <f t="shared" si="37"/>
        <v/>
      </c>
      <c r="H182" s="147" t="str">
        <f t="shared" si="37"/>
        <v/>
      </c>
      <c r="I182" s="147" t="str">
        <f t="shared" si="37"/>
        <v/>
      </c>
      <c r="J182" s="147" t="str">
        <f t="shared" si="37"/>
        <v/>
      </c>
      <c r="K182" s="147" t="str">
        <f t="shared" si="37"/>
        <v/>
      </c>
      <c r="L182" s="147" t="str">
        <f t="shared" si="37"/>
        <v/>
      </c>
      <c r="M182" s="147" t="str">
        <f t="shared" si="37"/>
        <v/>
      </c>
      <c r="N182" s="147" t="str">
        <f t="shared" si="37"/>
        <v/>
      </c>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5"/>
      <c r="AM182" s="145"/>
      <c r="AN182" s="145"/>
      <c r="AO182" s="145"/>
      <c r="AP182" s="145"/>
      <c r="AQ182" s="145"/>
      <c r="AR182" s="145"/>
      <c r="AS182" s="145"/>
      <c r="AT182" s="145"/>
      <c r="AU182" s="145"/>
      <c r="AV182" s="145"/>
      <c r="AW182" s="145"/>
      <c r="AX182" s="145"/>
      <c r="AY182" s="145"/>
      <c r="AZ182" s="145"/>
      <c r="BA182" s="145"/>
      <c r="BB182" s="145"/>
      <c r="BC182" s="145"/>
      <c r="BD182" s="145"/>
      <c r="BE182" s="145"/>
      <c r="BF182" s="145"/>
      <c r="BG182" s="145"/>
      <c r="BH182" s="145"/>
      <c r="BI182" s="145"/>
      <c r="BJ182" s="145"/>
      <c r="BK182" s="145"/>
      <c r="BL182" s="145"/>
      <c r="BM182" s="145"/>
      <c r="BN182" s="145"/>
      <c r="BO182" s="145"/>
      <c r="BP182" s="145"/>
      <c r="BQ182" s="145"/>
      <c r="BR182" s="145"/>
      <c r="BS182" s="145"/>
      <c r="BT182" s="145"/>
      <c r="BU182" s="145"/>
      <c r="BV182" s="145"/>
      <c r="BW182" s="145"/>
    </row>
    <row r="183" spans="1:75" ht="20.100000000000001" customHeight="1">
      <c r="A183" s="170" t="str">
        <f t="shared" ref="A183:N183" si="38">A66</f>
        <v>CFD Ultimate (formerly CFD Motion)</v>
      </c>
      <c r="B183" s="170" t="str">
        <f t="shared" si="38"/>
        <v>CFD Ultimate (formerly CFD Motion)</v>
      </c>
      <c r="C183" s="147" t="str">
        <f t="shared" si="38"/>
        <v>CFD Ultimate (formerly CFD Motion)</v>
      </c>
      <c r="D183" s="147" t="str">
        <f t="shared" si="38"/>
        <v/>
      </c>
      <c r="E183" s="147" t="str">
        <f t="shared" si="38"/>
        <v/>
      </c>
      <c r="F183" s="147" t="str">
        <f t="shared" si="38"/>
        <v/>
      </c>
      <c r="G183" s="147" t="str">
        <f t="shared" si="38"/>
        <v/>
      </c>
      <c r="H183" s="147" t="str">
        <f t="shared" si="38"/>
        <v/>
      </c>
      <c r="I183" s="147" t="str">
        <f t="shared" si="38"/>
        <v/>
      </c>
      <c r="J183" s="147" t="str">
        <f t="shared" si="38"/>
        <v/>
      </c>
      <c r="K183" s="147" t="str">
        <f t="shared" si="38"/>
        <v/>
      </c>
      <c r="L183" s="147" t="str">
        <f t="shared" si="38"/>
        <v/>
      </c>
      <c r="M183" s="147" t="str">
        <f t="shared" si="38"/>
        <v/>
      </c>
      <c r="N183" s="147" t="str">
        <f t="shared" si="38"/>
        <v/>
      </c>
      <c r="O183" s="145"/>
      <c r="P183" s="145"/>
      <c r="Q183" s="145"/>
      <c r="R183" s="145"/>
      <c r="S183" s="145"/>
      <c r="T183" s="145"/>
      <c r="U183" s="145"/>
      <c r="V183" s="145"/>
      <c r="W183" s="145"/>
      <c r="X183" s="145"/>
      <c r="Y183" s="145"/>
      <c r="Z183" s="145"/>
      <c r="AA183" s="145"/>
      <c r="AB183" s="145"/>
      <c r="AC183" s="145"/>
      <c r="AD183" s="145"/>
      <c r="AE183" s="145"/>
      <c r="AF183" s="145"/>
      <c r="AG183" s="145"/>
      <c r="AH183" s="145"/>
      <c r="AI183" s="145"/>
      <c r="AJ183" s="145"/>
      <c r="AK183" s="145"/>
      <c r="AL183" s="145"/>
      <c r="AM183" s="145"/>
      <c r="AN183" s="145"/>
      <c r="AO183" s="145"/>
      <c r="AP183" s="145"/>
      <c r="AQ183" s="145"/>
      <c r="AR183" s="145"/>
      <c r="AS183" s="145"/>
      <c r="AT183" s="145"/>
      <c r="AU183" s="145"/>
      <c r="AV183" s="145"/>
      <c r="AW183" s="145"/>
      <c r="AX183" s="145"/>
      <c r="AY183" s="145"/>
      <c r="AZ183" s="145"/>
      <c r="BA183" s="145"/>
      <c r="BB183" s="145"/>
      <c r="BC183" s="145"/>
      <c r="BD183" s="145"/>
      <c r="BE183" s="145"/>
      <c r="BF183" s="145"/>
      <c r="BG183" s="145"/>
      <c r="BH183" s="145"/>
      <c r="BI183" s="145"/>
      <c r="BJ183" s="145"/>
      <c r="BK183" s="145"/>
      <c r="BL183" s="145"/>
      <c r="BM183" s="145"/>
      <c r="BN183" s="145"/>
      <c r="BO183" s="145"/>
      <c r="BP183" s="145"/>
      <c r="BQ183" s="145"/>
      <c r="BR183" s="145"/>
      <c r="BS183" s="145"/>
      <c r="BT183" s="145"/>
      <c r="BU183" s="145"/>
      <c r="BV183" s="145"/>
      <c r="BW183" s="145"/>
    </row>
    <row r="184" spans="1:75" ht="20.100000000000001" customHeight="1">
      <c r="A184" s="170" t="str">
        <f t="shared" ref="A184:N184" si="39">A67</f>
        <v>Entertainment Creation Suite Ultimate</v>
      </c>
      <c r="B184" s="170" t="str">
        <f t="shared" si="39"/>
        <v>Entertainment Creation Suite Ultimate</v>
      </c>
      <c r="C184" s="147" t="str">
        <f t="shared" si="39"/>
        <v>Media and Entertainment Collection</v>
      </c>
      <c r="D184" s="147" t="str">
        <f t="shared" si="39"/>
        <v/>
      </c>
      <c r="E184" s="147" t="str">
        <f t="shared" si="39"/>
        <v/>
      </c>
      <c r="F184" s="147" t="str">
        <f t="shared" si="39"/>
        <v/>
      </c>
      <c r="G184" s="147" t="str">
        <f t="shared" si="39"/>
        <v/>
      </c>
      <c r="H184" s="147" t="str">
        <f t="shared" si="39"/>
        <v/>
      </c>
      <c r="I184" s="147" t="str">
        <f t="shared" si="39"/>
        <v/>
      </c>
      <c r="J184" s="147" t="str">
        <f t="shared" si="39"/>
        <v/>
      </c>
      <c r="K184" s="147" t="str">
        <f t="shared" si="39"/>
        <v/>
      </c>
      <c r="L184" s="147" t="str">
        <f t="shared" si="39"/>
        <v/>
      </c>
      <c r="M184" s="147" t="str">
        <f t="shared" si="39"/>
        <v/>
      </c>
      <c r="N184" s="147" t="str">
        <f t="shared" si="39"/>
        <v/>
      </c>
      <c r="O184" s="145"/>
      <c r="P184" s="145"/>
      <c r="Q184" s="145"/>
      <c r="R184" s="145"/>
      <c r="S184" s="145"/>
      <c r="T184" s="145"/>
      <c r="U184" s="145"/>
      <c r="V184" s="145"/>
      <c r="W184" s="145"/>
      <c r="X184" s="145"/>
      <c r="Y184" s="145"/>
      <c r="Z184" s="145"/>
      <c r="AA184" s="145"/>
      <c r="AB184" s="145"/>
      <c r="AC184" s="145"/>
      <c r="AD184" s="145"/>
      <c r="AE184" s="145"/>
      <c r="AF184" s="145"/>
      <c r="AG184" s="145"/>
      <c r="AH184" s="145"/>
      <c r="AI184" s="145"/>
      <c r="AJ184" s="145"/>
      <c r="AK184" s="145"/>
      <c r="AL184" s="145"/>
      <c r="AM184" s="145"/>
      <c r="AN184" s="145"/>
      <c r="AO184" s="145"/>
      <c r="AP184" s="145"/>
      <c r="AQ184" s="145"/>
      <c r="AR184" s="145"/>
      <c r="AS184" s="145"/>
      <c r="AT184" s="145"/>
      <c r="AU184" s="145"/>
      <c r="AV184" s="145"/>
      <c r="AW184" s="145"/>
      <c r="AX184" s="145"/>
      <c r="AY184" s="145"/>
      <c r="AZ184" s="145"/>
      <c r="BA184" s="145"/>
      <c r="BB184" s="145"/>
      <c r="BC184" s="145"/>
      <c r="BD184" s="145"/>
      <c r="BE184" s="145"/>
      <c r="BF184" s="145"/>
      <c r="BG184" s="145"/>
      <c r="BH184" s="145"/>
      <c r="BI184" s="145"/>
      <c r="BJ184" s="145"/>
      <c r="BK184" s="145"/>
      <c r="BL184" s="145"/>
      <c r="BM184" s="145"/>
      <c r="BN184" s="145"/>
      <c r="BO184" s="145"/>
      <c r="BP184" s="145"/>
      <c r="BQ184" s="145"/>
      <c r="BR184" s="145"/>
      <c r="BS184" s="145"/>
      <c r="BT184" s="145"/>
      <c r="BU184" s="145"/>
      <c r="BV184" s="145"/>
      <c r="BW184" s="145"/>
    </row>
    <row r="185" spans="1:75" ht="20.100000000000001" customHeight="1">
      <c r="A185" s="170" t="str">
        <f t="shared" ref="A185:N185" si="40">A68</f>
        <v>Fabrication CADmep</v>
      </c>
      <c r="B185" s="367" t="str">
        <f t="shared" si="40"/>
        <v>Fabrication CADmep</v>
      </c>
      <c r="C185" s="367" t="str">
        <f t="shared" si="40"/>
        <v>Architecture Engineering Construction Collection</v>
      </c>
      <c r="D185" s="147" t="str">
        <f t="shared" si="40"/>
        <v>Fabrication CADmep</v>
      </c>
      <c r="E185" s="147" t="str">
        <f t="shared" si="40"/>
        <v/>
      </c>
      <c r="F185" s="147" t="str">
        <f t="shared" si="40"/>
        <v/>
      </c>
      <c r="G185" s="147" t="str">
        <f t="shared" si="40"/>
        <v/>
      </c>
      <c r="H185" s="147" t="str">
        <f t="shared" si="40"/>
        <v/>
      </c>
      <c r="I185" s="147" t="str">
        <f t="shared" si="40"/>
        <v/>
      </c>
      <c r="J185" s="147" t="str">
        <f t="shared" si="40"/>
        <v/>
      </c>
      <c r="K185" s="147" t="str">
        <f t="shared" si="40"/>
        <v/>
      </c>
      <c r="L185" s="147" t="str">
        <f t="shared" si="40"/>
        <v/>
      </c>
      <c r="M185" s="147" t="str">
        <f t="shared" si="40"/>
        <v/>
      </c>
      <c r="N185" s="147" t="str">
        <f t="shared" si="40"/>
        <v/>
      </c>
      <c r="O185" s="145"/>
      <c r="P185" s="145"/>
      <c r="Q185" s="145"/>
      <c r="R185" s="145"/>
      <c r="S185" s="145"/>
      <c r="T185" s="145"/>
      <c r="U185" s="145"/>
      <c r="V185" s="145"/>
      <c r="W185" s="145"/>
      <c r="X185" s="145"/>
      <c r="Y185" s="145"/>
      <c r="Z185" s="145"/>
      <c r="AA185" s="145"/>
      <c r="AB185" s="145"/>
      <c r="AC185" s="145"/>
      <c r="AD185" s="145"/>
      <c r="AE185" s="145"/>
      <c r="AF185" s="145"/>
      <c r="AG185" s="145"/>
      <c r="AH185" s="145"/>
      <c r="AI185" s="145"/>
      <c r="AJ185" s="145"/>
      <c r="AK185" s="145"/>
      <c r="AL185" s="145"/>
      <c r="AM185" s="145"/>
      <c r="AN185" s="145"/>
      <c r="AO185" s="145"/>
      <c r="AP185" s="145"/>
      <c r="AQ185" s="145"/>
      <c r="AR185" s="145"/>
      <c r="AS185" s="145"/>
      <c r="AT185" s="145"/>
      <c r="AU185" s="145"/>
      <c r="AV185" s="145"/>
      <c r="AW185" s="145"/>
      <c r="AX185" s="145"/>
      <c r="AY185" s="145"/>
      <c r="AZ185" s="145"/>
      <c r="BA185" s="145"/>
      <c r="BB185" s="145"/>
      <c r="BC185" s="145"/>
      <c r="BD185" s="145"/>
      <c r="BE185" s="145"/>
      <c r="BF185" s="145"/>
      <c r="BG185" s="145"/>
      <c r="BH185" s="145"/>
      <c r="BI185" s="145"/>
      <c r="BJ185" s="145"/>
      <c r="BK185" s="145"/>
      <c r="BL185" s="145"/>
      <c r="BM185" s="145"/>
      <c r="BN185" s="145"/>
      <c r="BO185" s="145"/>
      <c r="BP185" s="145"/>
      <c r="BQ185" s="145"/>
      <c r="BR185" s="145"/>
      <c r="BS185" s="145"/>
      <c r="BT185" s="145"/>
      <c r="BU185" s="145"/>
      <c r="BV185" s="145"/>
      <c r="BW185" s="145"/>
    </row>
    <row r="186" spans="1:75" ht="20.100000000000001" customHeight="1">
      <c r="A186" s="170" t="str">
        <f t="shared" ref="A186:N186" si="41">A69</f>
        <v>Fabrication CAMduct</v>
      </c>
      <c r="B186" s="367" t="str">
        <f t="shared" si="41"/>
        <v>Fabrication CAMduct</v>
      </c>
      <c r="C186" s="367" t="str">
        <f t="shared" si="41"/>
        <v>Fabrication CAMduct</v>
      </c>
      <c r="D186" s="147" t="str">
        <f t="shared" si="41"/>
        <v/>
      </c>
      <c r="E186" s="147" t="str">
        <f t="shared" si="41"/>
        <v/>
      </c>
      <c r="F186" s="147" t="str">
        <f t="shared" si="41"/>
        <v/>
      </c>
      <c r="G186" s="147" t="str">
        <f t="shared" si="41"/>
        <v/>
      </c>
      <c r="H186" s="147" t="str">
        <f t="shared" si="41"/>
        <v/>
      </c>
      <c r="I186" s="147" t="str">
        <f t="shared" si="41"/>
        <v/>
      </c>
      <c r="J186" s="147" t="str">
        <f t="shared" si="41"/>
        <v/>
      </c>
      <c r="K186" s="147" t="str">
        <f t="shared" si="41"/>
        <v/>
      </c>
      <c r="L186" s="147" t="str">
        <f t="shared" si="41"/>
        <v/>
      </c>
      <c r="M186" s="147" t="str">
        <f t="shared" si="41"/>
        <v/>
      </c>
      <c r="N186" s="147" t="str">
        <f t="shared" si="41"/>
        <v/>
      </c>
      <c r="O186" s="145"/>
      <c r="P186" s="145"/>
      <c r="Q186" s="145"/>
      <c r="R186" s="145"/>
      <c r="S186" s="145"/>
      <c r="T186" s="145"/>
      <c r="U186" s="145"/>
      <c r="V186" s="145"/>
      <c r="W186" s="145"/>
      <c r="X186" s="145"/>
      <c r="Y186" s="145"/>
      <c r="Z186" s="145"/>
      <c r="AA186" s="145"/>
      <c r="AB186" s="145"/>
      <c r="AC186" s="145"/>
      <c r="AD186" s="145"/>
      <c r="AE186" s="145"/>
      <c r="AF186" s="145"/>
      <c r="AG186" s="145"/>
      <c r="AH186" s="145"/>
      <c r="AI186" s="145"/>
      <c r="AJ186" s="145"/>
      <c r="AK186" s="145"/>
      <c r="AL186" s="145"/>
      <c r="AM186" s="145"/>
      <c r="AN186" s="145"/>
      <c r="AO186" s="145"/>
      <c r="AP186" s="145"/>
      <c r="AQ186" s="145"/>
      <c r="AR186" s="145"/>
      <c r="AS186" s="145"/>
      <c r="AT186" s="145"/>
      <c r="AU186" s="145"/>
      <c r="AV186" s="145"/>
      <c r="AW186" s="145"/>
      <c r="AX186" s="145"/>
      <c r="AY186" s="145"/>
      <c r="AZ186" s="145"/>
      <c r="BA186" s="145"/>
      <c r="BB186" s="145"/>
      <c r="BC186" s="145"/>
      <c r="BD186" s="145"/>
      <c r="BE186" s="145"/>
      <c r="BF186" s="145"/>
      <c r="BG186" s="145"/>
      <c r="BH186" s="145"/>
      <c r="BI186" s="145"/>
      <c r="BJ186" s="145"/>
      <c r="BK186" s="145"/>
      <c r="BL186" s="145"/>
      <c r="BM186" s="145"/>
      <c r="BN186" s="145"/>
      <c r="BO186" s="145"/>
      <c r="BP186" s="145"/>
      <c r="BQ186" s="145"/>
      <c r="BR186" s="145"/>
      <c r="BS186" s="145"/>
      <c r="BT186" s="145"/>
      <c r="BU186" s="145"/>
      <c r="BV186" s="145"/>
      <c r="BW186" s="145"/>
    </row>
    <row r="187" spans="1:75" ht="20.100000000000001" customHeight="1">
      <c r="A187" s="170" t="str">
        <f t="shared" ref="A187:N187" si="42">A70</f>
        <v>Fabrication ESTmep</v>
      </c>
      <c r="B187" s="367" t="str">
        <f t="shared" si="42"/>
        <v>Fabrication ESTmep</v>
      </c>
      <c r="C187" s="367" t="str">
        <f t="shared" si="42"/>
        <v>Fabrication ESTmep</v>
      </c>
      <c r="D187" s="147" t="str">
        <f t="shared" si="42"/>
        <v/>
      </c>
      <c r="E187" s="147" t="str">
        <f t="shared" si="42"/>
        <v/>
      </c>
      <c r="F187" s="147" t="str">
        <f t="shared" si="42"/>
        <v/>
      </c>
      <c r="G187" s="147" t="str">
        <f t="shared" si="42"/>
        <v/>
      </c>
      <c r="H187" s="147" t="str">
        <f t="shared" si="42"/>
        <v/>
      </c>
      <c r="I187" s="147" t="str">
        <f t="shared" si="42"/>
        <v/>
      </c>
      <c r="J187" s="147" t="str">
        <f t="shared" si="42"/>
        <v/>
      </c>
      <c r="K187" s="147" t="str">
        <f t="shared" si="42"/>
        <v/>
      </c>
      <c r="L187" s="147" t="str">
        <f t="shared" si="42"/>
        <v/>
      </c>
      <c r="M187" s="147" t="str">
        <f t="shared" si="42"/>
        <v/>
      </c>
      <c r="N187" s="147" t="str">
        <f t="shared" si="42"/>
        <v/>
      </c>
      <c r="O187" s="145"/>
      <c r="P187" s="145"/>
      <c r="Q187" s="145"/>
      <c r="R187" s="145"/>
      <c r="S187" s="145"/>
      <c r="T187" s="145"/>
      <c r="U187" s="145"/>
      <c r="V187" s="145"/>
      <c r="W187" s="145"/>
      <c r="X187" s="145"/>
      <c r="Y187" s="145"/>
      <c r="Z187" s="145"/>
      <c r="AA187" s="145"/>
      <c r="AB187" s="145"/>
      <c r="AC187" s="145"/>
      <c r="AD187" s="145"/>
      <c r="AE187" s="145"/>
      <c r="AF187" s="145"/>
      <c r="AG187" s="145"/>
      <c r="AH187" s="145"/>
      <c r="AI187" s="145"/>
      <c r="AJ187" s="145"/>
      <c r="AK187" s="145"/>
      <c r="AL187" s="145"/>
      <c r="AM187" s="145"/>
      <c r="AN187" s="145"/>
      <c r="AO187" s="145"/>
      <c r="AP187" s="145"/>
      <c r="AQ187" s="145"/>
      <c r="AR187" s="145"/>
      <c r="AS187" s="145"/>
      <c r="AT187" s="145"/>
      <c r="AU187" s="145"/>
      <c r="AV187" s="145"/>
      <c r="AW187" s="145"/>
      <c r="AX187" s="145"/>
      <c r="AY187" s="145"/>
      <c r="AZ187" s="145"/>
      <c r="BA187" s="145"/>
      <c r="BB187" s="145"/>
      <c r="BC187" s="145"/>
      <c r="BD187" s="145"/>
      <c r="BE187" s="145"/>
      <c r="BF187" s="145"/>
      <c r="BG187" s="145"/>
      <c r="BH187" s="145"/>
      <c r="BI187" s="145"/>
      <c r="BJ187" s="145"/>
      <c r="BK187" s="145"/>
      <c r="BL187" s="145"/>
      <c r="BM187" s="145"/>
      <c r="BN187" s="145"/>
      <c r="BO187" s="145"/>
      <c r="BP187" s="145"/>
      <c r="BQ187" s="145"/>
      <c r="BR187" s="145"/>
      <c r="BS187" s="145"/>
      <c r="BT187" s="145"/>
      <c r="BU187" s="145"/>
      <c r="BV187" s="145"/>
      <c r="BW187" s="145"/>
    </row>
    <row r="188" spans="1:75" ht="20.100000000000001" customHeight="1">
      <c r="A188" s="170" t="str">
        <f t="shared" ref="A188:N188" si="43">A71</f>
        <v>Factory Design Suite Premium</v>
      </c>
      <c r="B188" s="170" t="str">
        <f t="shared" si="43"/>
        <v>Factory Design Suite Premium</v>
      </c>
      <c r="C188" s="147" t="str">
        <f t="shared" si="43"/>
        <v>Architecture Engineering Construction Collection</v>
      </c>
      <c r="D188" s="147" t="str">
        <f t="shared" si="43"/>
        <v>Product Design &amp; Manufacturing Collection</v>
      </c>
      <c r="E188" s="147" t="str">
        <f t="shared" si="43"/>
        <v/>
      </c>
      <c r="F188" s="147" t="str">
        <f t="shared" si="43"/>
        <v/>
      </c>
      <c r="G188" s="147" t="str">
        <f t="shared" si="43"/>
        <v/>
      </c>
      <c r="H188" s="147" t="str">
        <f t="shared" si="43"/>
        <v/>
      </c>
      <c r="I188" s="147" t="str">
        <f t="shared" si="43"/>
        <v/>
      </c>
      <c r="J188" s="147" t="str">
        <f t="shared" si="43"/>
        <v/>
      </c>
      <c r="K188" s="147" t="str">
        <f t="shared" si="43"/>
        <v/>
      </c>
      <c r="L188" s="147" t="str">
        <f t="shared" si="43"/>
        <v/>
      </c>
      <c r="M188" s="147" t="str">
        <f t="shared" si="43"/>
        <v/>
      </c>
      <c r="N188" s="147" t="str">
        <f t="shared" si="43"/>
        <v/>
      </c>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5"/>
      <c r="AM188" s="145"/>
      <c r="AN188" s="145"/>
      <c r="AO188" s="145"/>
      <c r="AP188" s="145"/>
      <c r="AQ188" s="145"/>
      <c r="AR188" s="145"/>
      <c r="AS188" s="145"/>
      <c r="AT188" s="145"/>
      <c r="AU188" s="145"/>
      <c r="AV188" s="145"/>
      <c r="AW188" s="145"/>
      <c r="AX188" s="145"/>
      <c r="AY188" s="145"/>
      <c r="AZ188" s="145"/>
      <c r="BA188" s="145"/>
      <c r="BB188" s="145"/>
      <c r="BC188" s="145"/>
      <c r="BD188" s="145"/>
      <c r="BE188" s="145"/>
      <c r="BF188" s="145"/>
      <c r="BG188" s="145"/>
      <c r="BH188" s="145"/>
      <c r="BI188" s="145"/>
      <c r="BJ188" s="145"/>
      <c r="BK188" s="145"/>
      <c r="BL188" s="145"/>
      <c r="BM188" s="145"/>
      <c r="BN188" s="145"/>
      <c r="BO188" s="145"/>
      <c r="BP188" s="145"/>
      <c r="BQ188" s="145"/>
      <c r="BR188" s="145"/>
      <c r="BS188" s="145"/>
      <c r="BT188" s="145"/>
      <c r="BU188" s="145"/>
      <c r="BV188" s="145"/>
      <c r="BW188" s="145"/>
    </row>
    <row r="189" spans="1:75" ht="20.100000000000001" customHeight="1">
      <c r="A189" s="170" t="str">
        <f t="shared" ref="A189:N189" si="44">A72</f>
        <v>Factory Design Suite Standard</v>
      </c>
      <c r="B189" s="170" t="str">
        <f t="shared" si="44"/>
        <v>Factory Design Suite Standard</v>
      </c>
      <c r="C189" s="147" t="str">
        <f t="shared" si="44"/>
        <v>Architecture Engineering Construction Collection</v>
      </c>
      <c r="D189" s="147" t="str">
        <f t="shared" si="44"/>
        <v>Product Design &amp; Manufacturing Collection</v>
      </c>
      <c r="E189" s="147" t="str">
        <f t="shared" si="44"/>
        <v>AutoCAD - including specialized toolsets</v>
      </c>
      <c r="F189" s="147" t="str">
        <f t="shared" si="44"/>
        <v/>
      </c>
      <c r="G189" s="147" t="str">
        <f t="shared" si="44"/>
        <v/>
      </c>
      <c r="H189" s="147" t="str">
        <f t="shared" si="44"/>
        <v/>
      </c>
      <c r="I189" s="147" t="str">
        <f t="shared" si="44"/>
        <v/>
      </c>
      <c r="J189" s="147" t="str">
        <f t="shared" si="44"/>
        <v/>
      </c>
      <c r="K189" s="147" t="str">
        <f t="shared" si="44"/>
        <v/>
      </c>
      <c r="L189" s="147" t="str">
        <f t="shared" si="44"/>
        <v/>
      </c>
      <c r="M189" s="147" t="str">
        <f t="shared" si="44"/>
        <v/>
      </c>
      <c r="N189" s="147" t="str">
        <f t="shared" si="44"/>
        <v/>
      </c>
      <c r="O189" s="145"/>
      <c r="P189" s="145"/>
      <c r="Q189" s="145"/>
      <c r="R189" s="145"/>
      <c r="S189" s="145"/>
      <c r="T189" s="145"/>
      <c r="U189" s="145"/>
      <c r="V189" s="145"/>
      <c r="W189" s="145"/>
      <c r="X189" s="145"/>
      <c r="Y189" s="145"/>
      <c r="Z189" s="145"/>
      <c r="AA189" s="145"/>
      <c r="AB189" s="145"/>
      <c r="AC189" s="145"/>
      <c r="AD189" s="145"/>
      <c r="AE189" s="145"/>
      <c r="AF189" s="145"/>
      <c r="AG189" s="145"/>
      <c r="AH189" s="145"/>
      <c r="AI189" s="145"/>
      <c r="AJ189" s="145"/>
      <c r="AK189" s="145"/>
      <c r="AL189" s="145"/>
      <c r="AM189" s="145"/>
      <c r="AN189" s="145"/>
      <c r="AO189" s="145"/>
      <c r="AP189" s="145"/>
      <c r="AQ189" s="145"/>
      <c r="AR189" s="145"/>
      <c r="AS189" s="145"/>
      <c r="AT189" s="145"/>
      <c r="AU189" s="145"/>
      <c r="AV189" s="145"/>
      <c r="AW189" s="145"/>
      <c r="AX189" s="145"/>
      <c r="AY189" s="145"/>
      <c r="AZ189" s="145"/>
      <c r="BA189" s="145"/>
      <c r="BB189" s="145"/>
      <c r="BC189" s="145"/>
      <c r="BD189" s="145"/>
      <c r="BE189" s="145"/>
      <c r="BF189" s="145"/>
      <c r="BG189" s="145"/>
      <c r="BH189" s="145"/>
      <c r="BI189" s="145"/>
      <c r="BJ189" s="145"/>
      <c r="BK189" s="145"/>
      <c r="BL189" s="145"/>
      <c r="BM189" s="145"/>
      <c r="BN189" s="145"/>
      <c r="BO189" s="145"/>
      <c r="BP189" s="145"/>
      <c r="BQ189" s="145"/>
      <c r="BR189" s="145"/>
      <c r="BS189" s="145"/>
      <c r="BT189" s="145"/>
      <c r="BU189" s="145"/>
      <c r="BV189" s="145"/>
      <c r="BW189" s="145"/>
    </row>
    <row r="190" spans="1:75" ht="20.100000000000001" customHeight="1">
      <c r="A190" s="170" t="str">
        <f t="shared" ref="A190:N190" si="45">A73</f>
        <v>Factory Design Suite Ultimate</v>
      </c>
      <c r="B190" s="170" t="str">
        <f t="shared" si="45"/>
        <v>Factory Design Suite Ultimate</v>
      </c>
      <c r="C190" s="147" t="str">
        <f t="shared" si="45"/>
        <v>Architecture Engineering Construction Collection</v>
      </c>
      <c r="D190" s="147" t="str">
        <f t="shared" si="45"/>
        <v>Product Design &amp; Manufacturing Collection</v>
      </c>
      <c r="E190" s="147" t="str">
        <f t="shared" si="45"/>
        <v/>
      </c>
      <c r="F190" s="147" t="str">
        <f t="shared" si="45"/>
        <v/>
      </c>
      <c r="G190" s="147" t="str">
        <f t="shared" si="45"/>
        <v/>
      </c>
      <c r="H190" s="147" t="str">
        <f t="shared" si="45"/>
        <v/>
      </c>
      <c r="I190" s="147" t="str">
        <f t="shared" si="45"/>
        <v/>
      </c>
      <c r="J190" s="147" t="str">
        <f t="shared" si="45"/>
        <v/>
      </c>
      <c r="K190" s="147" t="str">
        <f t="shared" si="45"/>
        <v/>
      </c>
      <c r="L190" s="147" t="str">
        <f t="shared" si="45"/>
        <v/>
      </c>
      <c r="M190" s="147" t="str">
        <f t="shared" si="45"/>
        <v/>
      </c>
      <c r="N190" s="147" t="str">
        <f t="shared" si="45"/>
        <v/>
      </c>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c r="BS190" s="145"/>
      <c r="BT190" s="145"/>
      <c r="BU190" s="145"/>
      <c r="BV190" s="145"/>
      <c r="BW190" s="145"/>
    </row>
    <row r="191" spans="1:75" ht="20.100000000000001" customHeight="1">
      <c r="A191" s="170" t="str">
        <f t="shared" ref="A191:N191" si="46">A74</f>
        <v>FeatureCAM - Premium</v>
      </c>
      <c r="B191" s="170" t="str">
        <f t="shared" si="46"/>
        <v>FeatureCAM - Premium</v>
      </c>
      <c r="C191" s="147" t="str">
        <f t="shared" si="46"/>
        <v>FeatureCAM - Premium</v>
      </c>
      <c r="D191" s="147" t="str">
        <f t="shared" si="46"/>
        <v>FeatureCAM - Ultimate</v>
      </c>
      <c r="E191" s="147" t="str">
        <f t="shared" si="46"/>
        <v/>
      </c>
      <c r="F191" s="147" t="str">
        <f t="shared" si="46"/>
        <v/>
      </c>
      <c r="G191" s="147" t="str">
        <f t="shared" si="46"/>
        <v/>
      </c>
      <c r="H191" s="147" t="str">
        <f t="shared" si="46"/>
        <v/>
      </c>
      <c r="I191" s="147" t="str">
        <f t="shared" si="46"/>
        <v/>
      </c>
      <c r="J191" s="147" t="str">
        <f t="shared" si="46"/>
        <v/>
      </c>
      <c r="K191" s="147" t="str">
        <f t="shared" si="46"/>
        <v/>
      </c>
      <c r="L191" s="147" t="str">
        <f t="shared" si="46"/>
        <v/>
      </c>
      <c r="M191" s="147" t="str">
        <f t="shared" si="46"/>
        <v/>
      </c>
      <c r="N191" s="147" t="str">
        <f t="shared" si="46"/>
        <v/>
      </c>
      <c r="O191" s="145"/>
      <c r="P191" s="145"/>
      <c r="Q191" s="145"/>
      <c r="R191" s="145"/>
      <c r="S191" s="145"/>
      <c r="T191" s="145"/>
      <c r="U191" s="145"/>
      <c r="V191" s="145"/>
      <c r="W191" s="145"/>
      <c r="X191" s="145"/>
      <c r="Y191" s="145"/>
      <c r="Z191" s="145"/>
      <c r="AA191" s="145"/>
      <c r="AB191" s="145"/>
      <c r="AC191" s="145"/>
      <c r="AD191" s="145"/>
      <c r="AE191" s="145"/>
      <c r="AF191" s="145"/>
      <c r="AG191" s="145"/>
      <c r="AH191" s="145"/>
      <c r="AI191" s="145"/>
      <c r="AJ191" s="145"/>
      <c r="AK191" s="145"/>
      <c r="AL191" s="145"/>
      <c r="AM191" s="145"/>
      <c r="AN191" s="145"/>
      <c r="AO191" s="145"/>
      <c r="AP191" s="145"/>
      <c r="AQ191" s="145"/>
      <c r="AR191" s="145"/>
      <c r="AS191" s="145"/>
      <c r="AT191" s="145"/>
      <c r="AU191" s="145"/>
      <c r="AV191" s="145"/>
      <c r="AW191" s="145"/>
      <c r="AX191" s="145"/>
      <c r="AY191" s="145"/>
      <c r="AZ191" s="145"/>
      <c r="BA191" s="145"/>
      <c r="BB191" s="145"/>
      <c r="BC191" s="145"/>
      <c r="BD191" s="145"/>
      <c r="BE191" s="145"/>
      <c r="BF191" s="145"/>
      <c r="BG191" s="145"/>
      <c r="BH191" s="145"/>
      <c r="BI191" s="145"/>
      <c r="BJ191" s="145"/>
      <c r="BK191" s="145"/>
      <c r="BL191" s="145"/>
      <c r="BM191" s="145"/>
      <c r="BN191" s="145"/>
      <c r="BO191" s="145"/>
      <c r="BP191" s="145"/>
      <c r="BQ191" s="145"/>
      <c r="BR191" s="145"/>
      <c r="BS191" s="145"/>
      <c r="BT191" s="145"/>
      <c r="BU191" s="145"/>
      <c r="BV191" s="145"/>
      <c r="BW191" s="145"/>
    </row>
    <row r="192" spans="1:75" ht="20.100000000000001" customHeight="1">
      <c r="A192" s="170" t="str">
        <f t="shared" ref="A192:N192" si="47">A75</f>
        <v>FeatureCAM - Standard</v>
      </c>
      <c r="B192" s="170" t="str">
        <f t="shared" si="47"/>
        <v>FeatureCAM - Standard</v>
      </c>
      <c r="C192" s="147" t="str">
        <f t="shared" si="47"/>
        <v>FeatureCAM - Premium</v>
      </c>
      <c r="D192" s="147" t="str">
        <f t="shared" si="47"/>
        <v>FeatureCAM - Standard</v>
      </c>
      <c r="E192" s="147" t="str">
        <f t="shared" si="47"/>
        <v>FeatureCAM - Ultimate</v>
      </c>
      <c r="F192" s="147" t="str">
        <f t="shared" si="47"/>
        <v/>
      </c>
      <c r="G192" s="147" t="str">
        <f t="shared" si="47"/>
        <v/>
      </c>
      <c r="H192" s="147" t="str">
        <f t="shared" si="47"/>
        <v/>
      </c>
      <c r="I192" s="147" t="str">
        <f t="shared" si="47"/>
        <v/>
      </c>
      <c r="J192" s="147" t="str">
        <f t="shared" si="47"/>
        <v/>
      </c>
      <c r="K192" s="147" t="str">
        <f t="shared" si="47"/>
        <v/>
      </c>
      <c r="L192" s="147" t="str">
        <f t="shared" si="47"/>
        <v/>
      </c>
      <c r="M192" s="147" t="str">
        <f t="shared" si="47"/>
        <v/>
      </c>
      <c r="N192" s="147" t="str">
        <f t="shared" si="47"/>
        <v/>
      </c>
      <c r="O192" s="145"/>
      <c r="P192" s="145"/>
      <c r="Q192" s="145"/>
      <c r="R192" s="145"/>
      <c r="S192" s="145"/>
      <c r="T192" s="145"/>
      <c r="U192" s="145"/>
      <c r="V192" s="145"/>
      <c r="W192" s="145"/>
      <c r="X192" s="145"/>
      <c r="Y192" s="145"/>
      <c r="Z192" s="145"/>
      <c r="AA192" s="145"/>
      <c r="AB192" s="145"/>
      <c r="AC192" s="145"/>
      <c r="AD192" s="145"/>
      <c r="AE192" s="145"/>
      <c r="AF192" s="145"/>
      <c r="AG192" s="145"/>
      <c r="AH192" s="145"/>
      <c r="AI192" s="145"/>
      <c r="AJ192" s="145"/>
      <c r="AK192" s="145"/>
      <c r="AL192" s="145"/>
      <c r="AM192" s="145"/>
      <c r="AN192" s="145"/>
      <c r="AO192" s="145"/>
      <c r="AP192" s="145"/>
      <c r="AQ192" s="145"/>
      <c r="AR192" s="145"/>
      <c r="AS192" s="145"/>
      <c r="AT192" s="145"/>
      <c r="AU192" s="145"/>
      <c r="AV192" s="145"/>
      <c r="AW192" s="145"/>
      <c r="AX192" s="145"/>
      <c r="AY192" s="145"/>
      <c r="AZ192" s="145"/>
      <c r="BA192" s="145"/>
      <c r="BB192" s="145"/>
      <c r="BC192" s="145"/>
      <c r="BD192" s="145"/>
      <c r="BE192" s="145"/>
      <c r="BF192" s="145"/>
      <c r="BG192" s="145"/>
      <c r="BH192" s="145"/>
      <c r="BI192" s="145"/>
      <c r="BJ192" s="145"/>
      <c r="BK192" s="145"/>
      <c r="BL192" s="145"/>
      <c r="BM192" s="145"/>
      <c r="BN192" s="145"/>
      <c r="BO192" s="145"/>
      <c r="BP192" s="145"/>
      <c r="BQ192" s="145"/>
      <c r="BR192" s="145"/>
      <c r="BS192" s="145"/>
      <c r="BT192" s="145"/>
      <c r="BU192" s="145"/>
      <c r="BV192" s="145"/>
      <c r="BW192" s="145"/>
    </row>
    <row r="193" spans="1:75" ht="20.100000000000001" customHeight="1">
      <c r="A193" s="170" t="str">
        <f t="shared" ref="A193:N193" si="48">A76</f>
        <v>FeatureCAM - Ultimate</v>
      </c>
      <c r="B193" s="170" t="str">
        <f t="shared" si="48"/>
        <v>FeatureCAM - Ultimate</v>
      </c>
      <c r="C193" s="147" t="str">
        <f t="shared" si="48"/>
        <v>FeatureCAM - Ultimate</v>
      </c>
      <c r="D193" s="147" t="str">
        <f t="shared" si="48"/>
        <v/>
      </c>
      <c r="E193" s="147" t="str">
        <f t="shared" si="48"/>
        <v/>
      </c>
      <c r="F193" s="147" t="str">
        <f t="shared" si="48"/>
        <v/>
      </c>
      <c r="G193" s="147" t="str">
        <f t="shared" si="48"/>
        <v/>
      </c>
      <c r="H193" s="147" t="str">
        <f t="shared" si="48"/>
        <v/>
      </c>
      <c r="I193" s="147" t="str">
        <f t="shared" si="48"/>
        <v/>
      </c>
      <c r="J193" s="147" t="str">
        <f t="shared" si="48"/>
        <v/>
      </c>
      <c r="K193" s="147" t="str">
        <f t="shared" si="48"/>
        <v/>
      </c>
      <c r="L193" s="147" t="str">
        <f t="shared" si="48"/>
        <v/>
      </c>
      <c r="M193" s="147" t="str">
        <f t="shared" si="48"/>
        <v/>
      </c>
      <c r="N193" s="147" t="str">
        <f t="shared" si="48"/>
        <v/>
      </c>
      <c r="O193" s="145"/>
      <c r="P193" s="145"/>
      <c r="Q193" s="145"/>
      <c r="R193" s="145"/>
      <c r="S193" s="145"/>
      <c r="T193" s="145"/>
      <c r="U193" s="145"/>
      <c r="V193" s="145"/>
      <c r="W193" s="145"/>
      <c r="X193" s="145"/>
      <c r="Y193" s="145"/>
      <c r="Z193" s="145"/>
      <c r="AA193" s="145"/>
      <c r="AB193" s="145"/>
      <c r="AC193" s="145"/>
      <c r="AD193" s="145"/>
      <c r="AE193" s="145"/>
      <c r="AF193" s="145"/>
      <c r="AG193" s="145"/>
      <c r="AH193" s="145"/>
      <c r="AI193" s="145"/>
      <c r="AJ193" s="145"/>
      <c r="AK193" s="145"/>
      <c r="AL193" s="145"/>
      <c r="AM193" s="145"/>
      <c r="AN193" s="145"/>
      <c r="AO193" s="145"/>
      <c r="AP193" s="145"/>
      <c r="AQ193" s="145"/>
      <c r="AR193" s="145"/>
      <c r="AS193" s="145"/>
      <c r="AT193" s="145"/>
      <c r="AU193" s="145"/>
      <c r="AV193" s="145"/>
      <c r="AW193" s="145"/>
      <c r="AX193" s="145"/>
      <c r="AY193" s="145"/>
      <c r="AZ193" s="145"/>
      <c r="BA193" s="145"/>
      <c r="BB193" s="145"/>
      <c r="BC193" s="145"/>
      <c r="BD193" s="145"/>
      <c r="BE193" s="145"/>
      <c r="BF193" s="145"/>
      <c r="BG193" s="145"/>
      <c r="BH193" s="145"/>
      <c r="BI193" s="145"/>
      <c r="BJ193" s="145"/>
      <c r="BK193" s="145"/>
      <c r="BL193" s="145"/>
      <c r="BM193" s="145"/>
      <c r="BN193" s="145"/>
      <c r="BO193" s="145"/>
      <c r="BP193" s="145"/>
      <c r="BQ193" s="145"/>
      <c r="BR193" s="145"/>
      <c r="BS193" s="145"/>
      <c r="BT193" s="145"/>
      <c r="BU193" s="145"/>
      <c r="BV193" s="145"/>
      <c r="BW193" s="145"/>
    </row>
    <row r="194" spans="1:75" ht="20.100000000000001" customHeight="1">
      <c r="A194" s="170" t="str">
        <f t="shared" ref="A194:N194" si="49">A77</f>
        <v>Helius Composite</v>
      </c>
      <c r="B194" s="170" t="str">
        <f t="shared" si="49"/>
        <v>Helius Composite</v>
      </c>
      <c r="C194" s="147" t="str">
        <f t="shared" si="49"/>
        <v>Helius Composite</v>
      </c>
      <c r="D194" s="147" t="str">
        <f t="shared" si="49"/>
        <v/>
      </c>
      <c r="E194" s="147" t="str">
        <f t="shared" si="49"/>
        <v/>
      </c>
      <c r="F194" s="147" t="str">
        <f t="shared" si="49"/>
        <v/>
      </c>
      <c r="G194" s="147" t="str">
        <f t="shared" si="49"/>
        <v/>
      </c>
      <c r="H194" s="147" t="str">
        <f t="shared" si="49"/>
        <v/>
      </c>
      <c r="I194" s="147" t="str">
        <f t="shared" si="49"/>
        <v/>
      </c>
      <c r="J194" s="147" t="str">
        <f t="shared" si="49"/>
        <v/>
      </c>
      <c r="K194" s="147" t="str">
        <f t="shared" si="49"/>
        <v/>
      </c>
      <c r="L194" s="147" t="str">
        <f t="shared" si="49"/>
        <v/>
      </c>
      <c r="M194" s="147" t="str">
        <f t="shared" si="49"/>
        <v/>
      </c>
      <c r="N194" s="147" t="str">
        <f t="shared" si="49"/>
        <v/>
      </c>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5"/>
      <c r="AM194" s="145"/>
      <c r="AN194" s="145"/>
      <c r="AO194" s="145"/>
      <c r="AP194" s="145"/>
      <c r="AQ194" s="145"/>
      <c r="AR194" s="145"/>
      <c r="AS194" s="145"/>
      <c r="AT194" s="145"/>
      <c r="AU194" s="145"/>
      <c r="AV194" s="145"/>
      <c r="AW194" s="145"/>
      <c r="AX194" s="145"/>
      <c r="AY194" s="145"/>
      <c r="AZ194" s="145"/>
      <c r="BA194" s="145"/>
      <c r="BB194" s="145"/>
      <c r="BC194" s="145"/>
      <c r="BD194" s="145"/>
      <c r="BE194" s="145"/>
      <c r="BF194" s="145"/>
      <c r="BG194" s="145"/>
      <c r="BH194" s="145"/>
      <c r="BI194" s="145"/>
      <c r="BJ194" s="145"/>
      <c r="BK194" s="145"/>
      <c r="BL194" s="145"/>
      <c r="BM194" s="145"/>
      <c r="BN194" s="145"/>
      <c r="BO194" s="145"/>
      <c r="BP194" s="145"/>
      <c r="BQ194" s="145"/>
      <c r="BR194" s="145"/>
      <c r="BS194" s="145"/>
      <c r="BT194" s="145"/>
      <c r="BU194" s="145"/>
      <c r="BV194" s="145"/>
      <c r="BW194" s="145"/>
    </row>
    <row r="195" spans="1:75" ht="20.100000000000001" customHeight="1">
      <c r="A195" s="170" t="str">
        <f t="shared" ref="A195:N195" si="50">A78</f>
        <v>HSM - Premium</v>
      </c>
      <c r="B195" s="170" t="str">
        <f t="shared" si="50"/>
        <v>HSM - Premium</v>
      </c>
      <c r="C195" s="147" t="str">
        <f t="shared" si="50"/>
        <v>Product Design &amp; Manufacturing Collection</v>
      </c>
      <c r="D195" s="147" t="str">
        <f t="shared" si="50"/>
        <v/>
      </c>
      <c r="E195" s="147" t="str">
        <f t="shared" si="50"/>
        <v/>
      </c>
      <c r="F195" s="147" t="str">
        <f t="shared" si="50"/>
        <v/>
      </c>
      <c r="G195" s="147" t="str">
        <f t="shared" si="50"/>
        <v/>
      </c>
      <c r="H195" s="147" t="str">
        <f t="shared" si="50"/>
        <v/>
      </c>
      <c r="I195" s="147" t="str">
        <f t="shared" si="50"/>
        <v/>
      </c>
      <c r="J195" s="147" t="str">
        <f t="shared" si="50"/>
        <v/>
      </c>
      <c r="K195" s="147" t="str">
        <f t="shared" si="50"/>
        <v/>
      </c>
      <c r="L195" s="147" t="str">
        <f t="shared" si="50"/>
        <v/>
      </c>
      <c r="M195" s="147" t="str">
        <f t="shared" si="50"/>
        <v/>
      </c>
      <c r="N195" s="147" t="str">
        <f t="shared" si="50"/>
        <v/>
      </c>
      <c r="O195" s="145"/>
      <c r="P195" s="145"/>
      <c r="Q195" s="145"/>
      <c r="R195" s="145"/>
      <c r="S195" s="145"/>
      <c r="T195" s="145"/>
      <c r="U195" s="145"/>
      <c r="V195" s="145"/>
      <c r="W195" s="145"/>
      <c r="X195" s="145"/>
      <c r="Y195" s="145"/>
      <c r="Z195" s="145"/>
      <c r="AA195" s="145"/>
      <c r="AB195" s="145"/>
      <c r="AC195" s="145"/>
      <c r="AD195" s="145"/>
      <c r="AE195" s="145"/>
      <c r="AF195" s="145"/>
      <c r="AG195" s="145"/>
      <c r="AH195" s="145"/>
      <c r="AI195" s="145"/>
      <c r="AJ195" s="145"/>
      <c r="AK195" s="145"/>
      <c r="AL195" s="145"/>
      <c r="AM195" s="145"/>
      <c r="AN195" s="145"/>
      <c r="AO195" s="145"/>
      <c r="AP195" s="145"/>
      <c r="AQ195" s="145"/>
      <c r="AR195" s="145"/>
      <c r="AS195" s="145"/>
      <c r="AT195" s="145"/>
      <c r="AU195" s="145"/>
      <c r="AV195" s="145"/>
      <c r="AW195" s="145"/>
      <c r="AX195" s="145"/>
      <c r="AY195" s="145"/>
      <c r="AZ195" s="145"/>
      <c r="BA195" s="145"/>
      <c r="BB195" s="145"/>
      <c r="BC195" s="145"/>
      <c r="BD195" s="145"/>
      <c r="BE195" s="145"/>
      <c r="BF195" s="145"/>
      <c r="BG195" s="145"/>
      <c r="BH195" s="145"/>
      <c r="BI195" s="145"/>
      <c r="BJ195" s="145"/>
      <c r="BK195" s="145"/>
      <c r="BL195" s="145"/>
      <c r="BM195" s="145"/>
      <c r="BN195" s="145"/>
      <c r="BO195" s="145"/>
      <c r="BP195" s="145"/>
      <c r="BQ195" s="145"/>
      <c r="BR195" s="145"/>
      <c r="BS195" s="145"/>
      <c r="BT195" s="145"/>
      <c r="BU195" s="145"/>
      <c r="BV195" s="145"/>
      <c r="BW195" s="145"/>
    </row>
    <row r="196" spans="1:75" ht="20.100000000000001" customHeight="1">
      <c r="A196" s="170" t="str">
        <f t="shared" ref="A196:N196" si="51">A79</f>
        <v>HSM - Ultimate</v>
      </c>
      <c r="B196" s="170" t="str">
        <f t="shared" si="51"/>
        <v>HSM - Ultimate</v>
      </c>
      <c r="C196" s="147" t="str">
        <f t="shared" si="51"/>
        <v>Product Design &amp; Manufacturing Collection</v>
      </c>
      <c r="D196" s="147" t="str">
        <f t="shared" si="51"/>
        <v/>
      </c>
      <c r="E196" s="147" t="str">
        <f t="shared" si="51"/>
        <v/>
      </c>
      <c r="F196" s="147" t="str">
        <f t="shared" si="51"/>
        <v/>
      </c>
      <c r="G196" s="147" t="str">
        <f t="shared" si="51"/>
        <v/>
      </c>
      <c r="H196" s="147" t="str">
        <f t="shared" si="51"/>
        <v/>
      </c>
      <c r="I196" s="147" t="str">
        <f t="shared" si="51"/>
        <v/>
      </c>
      <c r="J196" s="147" t="str">
        <f t="shared" si="51"/>
        <v/>
      </c>
      <c r="K196" s="147" t="str">
        <f t="shared" si="51"/>
        <v/>
      </c>
      <c r="L196" s="147" t="str">
        <f t="shared" si="51"/>
        <v/>
      </c>
      <c r="M196" s="147" t="str">
        <f t="shared" si="51"/>
        <v/>
      </c>
      <c r="N196" s="147" t="str">
        <f t="shared" si="51"/>
        <v/>
      </c>
      <c r="O196" s="145"/>
      <c r="P196" s="145"/>
      <c r="Q196" s="145"/>
      <c r="R196" s="145"/>
      <c r="S196" s="145"/>
      <c r="T196" s="145"/>
      <c r="U196" s="145"/>
      <c r="V196" s="145"/>
      <c r="W196" s="145"/>
      <c r="X196" s="145"/>
      <c r="Y196" s="145"/>
      <c r="Z196" s="145"/>
      <c r="AA196" s="145"/>
      <c r="AB196" s="145"/>
      <c r="AC196" s="145"/>
      <c r="AD196" s="145"/>
      <c r="AE196" s="145"/>
      <c r="AF196" s="145"/>
      <c r="AG196" s="145"/>
      <c r="AH196" s="145"/>
      <c r="AI196" s="145"/>
      <c r="AJ196" s="145"/>
      <c r="AK196" s="145"/>
      <c r="AL196" s="145"/>
      <c r="AM196" s="145"/>
      <c r="AN196" s="145"/>
      <c r="AO196" s="145"/>
      <c r="AP196" s="145"/>
      <c r="AQ196" s="145"/>
      <c r="AR196" s="145"/>
      <c r="AS196" s="145"/>
      <c r="AT196" s="145"/>
      <c r="AU196" s="145"/>
      <c r="AV196" s="145"/>
      <c r="AW196" s="145"/>
      <c r="AX196" s="145"/>
      <c r="AY196" s="145"/>
      <c r="AZ196" s="145"/>
      <c r="BA196" s="145"/>
      <c r="BB196" s="145"/>
      <c r="BC196" s="145"/>
      <c r="BD196" s="145"/>
      <c r="BE196" s="145"/>
      <c r="BF196" s="145"/>
      <c r="BG196" s="145"/>
      <c r="BH196" s="145"/>
      <c r="BI196" s="145"/>
      <c r="BJ196" s="145"/>
      <c r="BK196" s="145"/>
      <c r="BL196" s="145"/>
      <c r="BM196" s="145"/>
      <c r="BN196" s="145"/>
      <c r="BO196" s="145"/>
      <c r="BP196" s="145"/>
      <c r="BQ196" s="145"/>
      <c r="BR196" s="145"/>
      <c r="BS196" s="145"/>
      <c r="BT196" s="145"/>
      <c r="BU196" s="145"/>
      <c r="BV196" s="145"/>
      <c r="BW196" s="145"/>
    </row>
    <row r="197" spans="1:75" ht="20.100000000000001" customHeight="1">
      <c r="A197" s="170" t="str">
        <f t="shared" ref="A197:N197" si="52">A80</f>
        <v>Infrastructure Design Suite Premium</v>
      </c>
      <c r="B197" s="170" t="str">
        <f t="shared" si="52"/>
        <v>Infrastructure Design Suite Premium</v>
      </c>
      <c r="C197" s="147" t="str">
        <f t="shared" si="52"/>
        <v>Architecture Engineering Construction Collection</v>
      </c>
      <c r="D197" s="147" t="str">
        <f t="shared" si="52"/>
        <v>Product Design &amp; Manufacturing Collection</v>
      </c>
      <c r="E197" s="147" t="str">
        <f t="shared" si="52"/>
        <v/>
      </c>
      <c r="F197" s="147" t="str">
        <f t="shared" si="52"/>
        <v/>
      </c>
      <c r="G197" s="147" t="str">
        <f t="shared" si="52"/>
        <v/>
      </c>
      <c r="H197" s="147" t="str">
        <f t="shared" si="52"/>
        <v/>
      </c>
      <c r="I197" s="147" t="str">
        <f t="shared" si="52"/>
        <v/>
      </c>
      <c r="J197" s="147" t="str">
        <f t="shared" si="52"/>
        <v/>
      </c>
      <c r="K197" s="147" t="str">
        <f t="shared" si="52"/>
        <v/>
      </c>
      <c r="L197" s="147" t="str">
        <f t="shared" si="52"/>
        <v/>
      </c>
      <c r="M197" s="147" t="str">
        <f t="shared" si="52"/>
        <v/>
      </c>
      <c r="N197" s="147" t="str">
        <f t="shared" si="52"/>
        <v/>
      </c>
      <c r="O197" s="145"/>
      <c r="P197" s="145"/>
      <c r="Q197" s="145"/>
      <c r="R197" s="145"/>
      <c r="S197" s="145"/>
      <c r="T197" s="145"/>
      <c r="U197" s="145"/>
      <c r="V197" s="145"/>
      <c r="W197" s="145"/>
      <c r="X197" s="145"/>
      <c r="Y197" s="145"/>
      <c r="Z197" s="145"/>
      <c r="AA197" s="145"/>
      <c r="AB197" s="145"/>
      <c r="AC197" s="145"/>
      <c r="AD197" s="145"/>
      <c r="AE197" s="145"/>
      <c r="AF197" s="145"/>
      <c r="AG197" s="145"/>
      <c r="AH197" s="145"/>
      <c r="AI197" s="145"/>
      <c r="AJ197" s="145"/>
      <c r="AK197" s="145"/>
      <c r="AL197" s="145"/>
      <c r="AM197" s="145"/>
      <c r="AN197" s="145"/>
      <c r="AO197" s="145"/>
      <c r="AP197" s="145"/>
      <c r="AQ197" s="145"/>
      <c r="AR197" s="145"/>
      <c r="AS197" s="145"/>
      <c r="AT197" s="145"/>
      <c r="AU197" s="145"/>
      <c r="AV197" s="145"/>
      <c r="AW197" s="145"/>
      <c r="AX197" s="145"/>
      <c r="AY197" s="145"/>
      <c r="AZ197" s="145"/>
      <c r="BA197" s="145"/>
      <c r="BB197" s="145"/>
      <c r="BC197" s="145"/>
      <c r="BD197" s="145"/>
      <c r="BE197" s="145"/>
      <c r="BF197" s="145"/>
      <c r="BG197" s="145"/>
      <c r="BH197" s="145"/>
      <c r="BI197" s="145"/>
      <c r="BJ197" s="145"/>
      <c r="BK197" s="145"/>
      <c r="BL197" s="145"/>
      <c r="BM197" s="145"/>
      <c r="BN197" s="145"/>
      <c r="BO197" s="145"/>
      <c r="BP197" s="145"/>
      <c r="BQ197" s="145"/>
      <c r="BR197" s="145"/>
      <c r="BS197" s="145"/>
      <c r="BT197" s="145"/>
      <c r="BU197" s="145"/>
      <c r="BV197" s="145"/>
      <c r="BW197" s="145"/>
    </row>
    <row r="198" spans="1:75" ht="20.100000000000001" customHeight="1">
      <c r="A198" s="170" t="str">
        <f t="shared" ref="A198:N198" si="53">A81</f>
        <v>Infrastructure Design Suite Standard</v>
      </c>
      <c r="B198" s="170" t="str">
        <f t="shared" si="53"/>
        <v>Infrastructure Design Suite Standard</v>
      </c>
      <c r="C198" s="147" t="str">
        <f t="shared" si="53"/>
        <v>Architecture Engineering Construction Collection</v>
      </c>
      <c r="D198" s="147" t="str">
        <f t="shared" si="53"/>
        <v>Product Design &amp; Manufacturing Collection</v>
      </c>
      <c r="E198" s="147" t="str">
        <f t="shared" si="53"/>
        <v>AutoCAD - including specialized toolsets</v>
      </c>
      <c r="F198" s="147" t="str">
        <f t="shared" si="53"/>
        <v/>
      </c>
      <c r="G198" s="147" t="str">
        <f t="shared" si="53"/>
        <v/>
      </c>
      <c r="H198" s="147" t="str">
        <f t="shared" si="53"/>
        <v/>
      </c>
      <c r="I198" s="147" t="str">
        <f t="shared" si="53"/>
        <v/>
      </c>
      <c r="J198" s="147" t="str">
        <f t="shared" si="53"/>
        <v/>
      </c>
      <c r="K198" s="147" t="str">
        <f t="shared" si="53"/>
        <v/>
      </c>
      <c r="L198" s="147" t="str">
        <f t="shared" si="53"/>
        <v/>
      </c>
      <c r="M198" s="147" t="str">
        <f t="shared" si="53"/>
        <v/>
      </c>
      <c r="N198" s="147" t="str">
        <f t="shared" si="53"/>
        <v/>
      </c>
      <c r="O198" s="145"/>
      <c r="P198" s="145"/>
      <c r="Q198" s="145"/>
      <c r="R198" s="145"/>
      <c r="S198" s="145"/>
      <c r="T198" s="145"/>
      <c r="U198" s="145"/>
      <c r="V198" s="145"/>
      <c r="W198" s="145"/>
      <c r="X198" s="145"/>
      <c r="Y198" s="145"/>
      <c r="Z198" s="145"/>
      <c r="AA198" s="145"/>
      <c r="AB198" s="145"/>
      <c r="AC198" s="145"/>
      <c r="AD198" s="145"/>
      <c r="AE198" s="145"/>
      <c r="AF198" s="145"/>
      <c r="AG198" s="145"/>
      <c r="AH198" s="145"/>
      <c r="AI198" s="145"/>
      <c r="AJ198" s="145"/>
      <c r="AK198" s="145"/>
      <c r="AL198" s="145"/>
      <c r="AM198" s="145"/>
      <c r="AN198" s="145"/>
      <c r="AO198" s="145"/>
      <c r="AP198" s="145"/>
      <c r="AQ198" s="145"/>
      <c r="AR198" s="145"/>
      <c r="AS198" s="145"/>
      <c r="AT198" s="145"/>
      <c r="AU198" s="145"/>
      <c r="AV198" s="145"/>
      <c r="AW198" s="145"/>
      <c r="AX198" s="145"/>
      <c r="AY198" s="145"/>
      <c r="AZ198" s="145"/>
      <c r="BA198" s="145"/>
      <c r="BB198" s="145"/>
      <c r="BC198" s="145"/>
      <c r="BD198" s="145"/>
      <c r="BE198" s="145"/>
      <c r="BF198" s="145"/>
      <c r="BG198" s="145"/>
      <c r="BH198" s="145"/>
      <c r="BI198" s="145"/>
      <c r="BJ198" s="145"/>
      <c r="BK198" s="145"/>
      <c r="BL198" s="145"/>
      <c r="BM198" s="145"/>
      <c r="BN198" s="145"/>
      <c r="BO198" s="145"/>
      <c r="BP198" s="145"/>
      <c r="BQ198" s="145"/>
      <c r="BR198" s="145"/>
      <c r="BS198" s="145"/>
      <c r="BT198" s="145"/>
      <c r="BU198" s="145"/>
      <c r="BV198" s="145"/>
      <c r="BW198" s="145"/>
    </row>
    <row r="199" spans="1:75" ht="20.100000000000001" customHeight="1">
      <c r="A199" s="170" t="str">
        <f t="shared" ref="A199:N199" si="54">A82</f>
        <v>Infrastructure Design Suite Ultimate</v>
      </c>
      <c r="B199" s="170" t="str">
        <f t="shared" si="54"/>
        <v>Infrastructure Design Suite Ultimate</v>
      </c>
      <c r="C199" s="147" t="str">
        <f t="shared" si="54"/>
        <v>Architecture Engineering Construction Collection</v>
      </c>
      <c r="D199" s="147" t="str">
        <f t="shared" si="54"/>
        <v>Product Design &amp; Manufacturing Collection</v>
      </c>
      <c r="E199" s="147" t="str">
        <f t="shared" si="54"/>
        <v/>
      </c>
      <c r="F199" s="147" t="str">
        <f t="shared" si="54"/>
        <v/>
      </c>
      <c r="G199" s="147" t="str">
        <f t="shared" si="54"/>
        <v/>
      </c>
      <c r="H199" s="147" t="str">
        <f t="shared" si="54"/>
        <v/>
      </c>
      <c r="I199" s="147" t="str">
        <f t="shared" si="54"/>
        <v/>
      </c>
      <c r="J199" s="147" t="str">
        <f t="shared" si="54"/>
        <v/>
      </c>
      <c r="K199" s="147" t="str">
        <f t="shared" si="54"/>
        <v/>
      </c>
      <c r="L199" s="147" t="str">
        <f t="shared" si="54"/>
        <v/>
      </c>
      <c r="M199" s="147" t="str">
        <f t="shared" si="54"/>
        <v/>
      </c>
      <c r="N199" s="147" t="str">
        <f t="shared" si="54"/>
        <v/>
      </c>
      <c r="O199" s="145"/>
      <c r="P199" s="145"/>
      <c r="Q199" s="145"/>
      <c r="R199" s="145"/>
      <c r="S199" s="145"/>
      <c r="T199" s="145"/>
      <c r="U199" s="145"/>
      <c r="V199" s="145"/>
      <c r="W199" s="145"/>
      <c r="X199" s="145"/>
      <c r="Y199" s="145"/>
      <c r="Z199" s="145"/>
      <c r="AA199" s="145"/>
      <c r="AB199" s="145"/>
      <c r="AC199" s="145"/>
      <c r="AD199" s="145"/>
      <c r="AE199" s="145"/>
      <c r="AF199" s="145"/>
      <c r="AG199" s="145"/>
      <c r="AH199" s="145"/>
      <c r="AI199" s="145"/>
      <c r="AJ199" s="145"/>
      <c r="AK199" s="145"/>
      <c r="AL199" s="145"/>
      <c r="AM199" s="145"/>
      <c r="AN199" s="145"/>
      <c r="AO199" s="145"/>
      <c r="AP199" s="145"/>
      <c r="AQ199" s="145"/>
      <c r="AR199" s="145"/>
      <c r="AS199" s="145"/>
      <c r="AT199" s="145"/>
      <c r="AU199" s="145"/>
      <c r="AV199" s="145"/>
      <c r="AW199" s="145"/>
      <c r="AX199" s="145"/>
      <c r="AY199" s="145"/>
      <c r="AZ199" s="145"/>
      <c r="BA199" s="145"/>
      <c r="BB199" s="145"/>
      <c r="BC199" s="145"/>
      <c r="BD199" s="145"/>
      <c r="BE199" s="145"/>
      <c r="BF199" s="145"/>
      <c r="BG199" s="145"/>
      <c r="BH199" s="145"/>
      <c r="BI199" s="145"/>
      <c r="BJ199" s="145"/>
      <c r="BK199" s="145"/>
      <c r="BL199" s="145"/>
      <c r="BM199" s="145"/>
      <c r="BN199" s="145"/>
      <c r="BO199" s="145"/>
      <c r="BP199" s="145"/>
      <c r="BQ199" s="145"/>
      <c r="BR199" s="145"/>
      <c r="BS199" s="145"/>
      <c r="BT199" s="145"/>
      <c r="BU199" s="145"/>
      <c r="BV199" s="145"/>
      <c r="BW199" s="145"/>
    </row>
    <row r="200" spans="1:75" ht="20.100000000000001" customHeight="1">
      <c r="A200" s="170" t="str">
        <f t="shared" ref="A200:N200" si="55">A83</f>
        <v>Infrastructure Map Server</v>
      </c>
      <c r="B200" s="170" t="str">
        <f t="shared" si="55"/>
        <v>Infrastructure Map Server</v>
      </c>
      <c r="C200" s="147" t="str">
        <f t="shared" si="55"/>
        <v>Infrastructure Map Server</v>
      </c>
      <c r="D200" s="147" t="str">
        <f t="shared" si="55"/>
        <v/>
      </c>
      <c r="E200" s="147" t="str">
        <f t="shared" si="55"/>
        <v/>
      </c>
      <c r="F200" s="147" t="str">
        <f t="shared" si="55"/>
        <v/>
      </c>
      <c r="G200" s="147" t="str">
        <f t="shared" si="55"/>
        <v/>
      </c>
      <c r="H200" s="147" t="str">
        <f t="shared" si="55"/>
        <v/>
      </c>
      <c r="I200" s="147" t="str">
        <f t="shared" si="55"/>
        <v/>
      </c>
      <c r="J200" s="147" t="str">
        <f t="shared" si="55"/>
        <v/>
      </c>
      <c r="K200" s="147" t="str">
        <f t="shared" si="55"/>
        <v/>
      </c>
      <c r="L200" s="147" t="str">
        <f t="shared" si="55"/>
        <v/>
      </c>
      <c r="M200" s="147" t="str">
        <f t="shared" si="55"/>
        <v/>
      </c>
      <c r="N200" s="147" t="str">
        <f t="shared" si="55"/>
        <v/>
      </c>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5"/>
      <c r="AM200" s="145"/>
      <c r="AN200" s="145"/>
      <c r="AO200" s="145"/>
      <c r="AP200" s="145"/>
      <c r="AQ200" s="145"/>
      <c r="AR200" s="145"/>
      <c r="AS200" s="145"/>
      <c r="AT200" s="145"/>
      <c r="AU200" s="145"/>
      <c r="AV200" s="145"/>
      <c r="AW200" s="145"/>
      <c r="AX200" s="145"/>
      <c r="AY200" s="145"/>
      <c r="AZ200" s="145"/>
      <c r="BA200" s="145"/>
      <c r="BB200" s="145"/>
      <c r="BC200" s="145"/>
      <c r="BD200" s="145"/>
      <c r="BE200" s="145"/>
      <c r="BF200" s="145"/>
      <c r="BG200" s="145"/>
      <c r="BH200" s="145"/>
      <c r="BI200" s="145"/>
      <c r="BJ200" s="145"/>
      <c r="BK200" s="145"/>
      <c r="BL200" s="145"/>
      <c r="BM200" s="145"/>
      <c r="BN200" s="145"/>
      <c r="BO200" s="145"/>
      <c r="BP200" s="145"/>
      <c r="BQ200" s="145"/>
      <c r="BR200" s="145"/>
      <c r="BS200" s="145"/>
      <c r="BT200" s="145"/>
      <c r="BU200" s="145"/>
      <c r="BV200" s="145"/>
      <c r="BW200" s="145"/>
    </row>
    <row r="201" spans="1:75" ht="20.100000000000001" customHeight="1">
      <c r="A201" s="170" t="str">
        <f t="shared" ref="A201:N201" si="56">A84</f>
        <v>Inventor</v>
      </c>
      <c r="B201" s="170" t="str">
        <f t="shared" si="56"/>
        <v>Inventor</v>
      </c>
      <c r="C201" s="147" t="str">
        <f t="shared" si="56"/>
        <v>Product Design &amp; Manufacturing Collection</v>
      </c>
      <c r="D201" s="412" t="str">
        <f>""</f>
        <v/>
      </c>
      <c r="E201" s="147" t="str">
        <f t="shared" si="56"/>
        <v/>
      </c>
      <c r="F201" s="147" t="str">
        <f t="shared" si="56"/>
        <v/>
      </c>
      <c r="G201" s="147" t="str">
        <f t="shared" si="56"/>
        <v/>
      </c>
      <c r="H201" s="147" t="str">
        <f t="shared" si="56"/>
        <v/>
      </c>
      <c r="I201" s="147" t="str">
        <f t="shared" si="56"/>
        <v/>
      </c>
      <c r="J201" s="147" t="str">
        <f t="shared" si="56"/>
        <v/>
      </c>
      <c r="K201" s="147" t="str">
        <f t="shared" si="56"/>
        <v/>
      </c>
      <c r="L201" s="147" t="str">
        <f t="shared" si="56"/>
        <v/>
      </c>
      <c r="M201" s="147" t="str">
        <f t="shared" si="56"/>
        <v/>
      </c>
      <c r="N201" s="147" t="str">
        <f t="shared" si="56"/>
        <v/>
      </c>
      <c r="O201" s="145"/>
      <c r="P201" s="145"/>
      <c r="Q201" s="145"/>
      <c r="R201" s="145"/>
      <c r="S201" s="145"/>
      <c r="T201" s="145"/>
      <c r="U201" s="145"/>
      <c r="V201" s="145"/>
      <c r="W201" s="145"/>
      <c r="X201" s="145"/>
      <c r="Y201" s="145"/>
      <c r="Z201" s="145"/>
      <c r="AA201" s="145"/>
      <c r="AB201" s="145"/>
      <c r="AC201" s="145"/>
      <c r="AD201" s="145"/>
      <c r="AE201" s="145"/>
      <c r="AF201" s="145"/>
      <c r="AG201" s="145"/>
      <c r="AH201" s="145"/>
      <c r="AI201" s="145"/>
      <c r="AJ201" s="145"/>
      <c r="AK201" s="145"/>
      <c r="AL201" s="145"/>
      <c r="AM201" s="145"/>
      <c r="AN201" s="145"/>
      <c r="AO201" s="145"/>
      <c r="AP201" s="145"/>
      <c r="AQ201" s="145"/>
      <c r="AR201" s="145"/>
      <c r="AS201" s="145"/>
      <c r="AT201" s="145"/>
      <c r="AU201" s="145"/>
      <c r="AV201" s="145"/>
      <c r="AW201" s="145"/>
      <c r="AX201" s="145"/>
      <c r="AY201" s="145"/>
      <c r="AZ201" s="145"/>
      <c r="BA201" s="145"/>
      <c r="BB201" s="145"/>
      <c r="BC201" s="145"/>
      <c r="BD201" s="145"/>
      <c r="BE201" s="145"/>
      <c r="BF201" s="145"/>
      <c r="BG201" s="145"/>
      <c r="BH201" s="145"/>
      <c r="BI201" s="145"/>
      <c r="BJ201" s="145"/>
      <c r="BK201" s="145"/>
      <c r="BL201" s="145"/>
      <c r="BM201" s="145"/>
      <c r="BN201" s="145"/>
      <c r="BO201" s="145"/>
      <c r="BP201" s="145"/>
      <c r="BQ201" s="145"/>
      <c r="BR201" s="145"/>
      <c r="BS201" s="145"/>
      <c r="BT201" s="145"/>
      <c r="BU201" s="145"/>
      <c r="BV201" s="145"/>
      <c r="BW201" s="145"/>
    </row>
    <row r="202" spans="1:75" ht="20.100000000000001" customHeight="1">
      <c r="A202" s="170" t="str">
        <f t="shared" ref="A202:N202" si="57">A85</f>
        <v>Inventor LT</v>
      </c>
      <c r="B202" s="170" t="str">
        <f t="shared" si="57"/>
        <v>Inventor LT</v>
      </c>
      <c r="C202" s="147" t="str">
        <f t="shared" si="57"/>
        <v>Inventor LT</v>
      </c>
      <c r="D202" s="147" t="str">
        <f t="shared" si="57"/>
        <v>AutoCAD Inventor LT Suite</v>
      </c>
      <c r="E202" s="147" t="str">
        <f t="shared" si="57"/>
        <v/>
      </c>
      <c r="F202" s="147" t="str">
        <f t="shared" si="57"/>
        <v/>
      </c>
      <c r="G202" s="147" t="str">
        <f t="shared" si="57"/>
        <v/>
      </c>
      <c r="H202" s="147" t="str">
        <f t="shared" si="57"/>
        <v/>
      </c>
      <c r="I202" s="147" t="str">
        <f t="shared" si="57"/>
        <v/>
      </c>
      <c r="J202" s="147" t="str">
        <f t="shared" si="57"/>
        <v/>
      </c>
      <c r="K202" s="147" t="str">
        <f t="shared" si="57"/>
        <v/>
      </c>
      <c r="L202" s="147" t="str">
        <f t="shared" si="57"/>
        <v/>
      </c>
      <c r="M202" s="147" t="str">
        <f t="shared" si="57"/>
        <v/>
      </c>
      <c r="N202" s="147" t="str">
        <f t="shared" si="57"/>
        <v/>
      </c>
      <c r="O202" s="145"/>
      <c r="P202" s="145"/>
      <c r="Q202" s="145"/>
      <c r="R202" s="145"/>
      <c r="S202" s="145"/>
      <c r="T202" s="145"/>
      <c r="U202" s="145"/>
      <c r="V202" s="145"/>
      <c r="W202" s="145"/>
      <c r="X202" s="145"/>
      <c r="Y202" s="145"/>
      <c r="Z202" s="145"/>
      <c r="AA202" s="145"/>
      <c r="AB202" s="145"/>
      <c r="AC202" s="145"/>
      <c r="AD202" s="145"/>
      <c r="AE202" s="145"/>
      <c r="AF202" s="145"/>
      <c r="AG202" s="145"/>
      <c r="AH202" s="145"/>
      <c r="AI202" s="145"/>
      <c r="AJ202" s="145"/>
      <c r="AK202" s="145"/>
      <c r="AL202" s="145"/>
      <c r="AM202" s="145"/>
      <c r="AN202" s="145"/>
      <c r="AO202" s="145"/>
      <c r="AP202" s="145"/>
      <c r="AQ202" s="145"/>
      <c r="AR202" s="145"/>
      <c r="AS202" s="145"/>
      <c r="AT202" s="145"/>
      <c r="AU202" s="145"/>
      <c r="AV202" s="145"/>
      <c r="AW202" s="145"/>
      <c r="AX202" s="145"/>
      <c r="AY202" s="145"/>
      <c r="AZ202" s="145"/>
      <c r="BA202" s="145"/>
      <c r="BB202" s="145"/>
      <c r="BC202" s="145"/>
      <c r="BD202" s="145"/>
      <c r="BE202" s="145"/>
      <c r="BF202" s="145"/>
      <c r="BG202" s="145"/>
      <c r="BH202" s="145"/>
      <c r="BI202" s="145"/>
      <c r="BJ202" s="145"/>
      <c r="BK202" s="145"/>
      <c r="BL202" s="145"/>
      <c r="BM202" s="145"/>
      <c r="BN202" s="145"/>
      <c r="BO202" s="145"/>
      <c r="BP202" s="145"/>
      <c r="BQ202" s="145"/>
      <c r="BR202" s="145"/>
      <c r="BS202" s="145"/>
      <c r="BT202" s="145"/>
      <c r="BU202" s="145"/>
      <c r="BV202" s="145"/>
      <c r="BW202" s="145"/>
    </row>
    <row r="203" spans="1:75" ht="20.100000000000001" customHeight="1">
      <c r="A203" s="170" t="str">
        <f t="shared" ref="A203:N203" si="58">A86</f>
        <v>AutoCAD Inventor LT Suite</v>
      </c>
      <c r="B203" s="170" t="str">
        <f t="shared" si="58"/>
        <v>AutoCAD Inventor LT Suite</v>
      </c>
      <c r="C203" s="147" t="str">
        <f t="shared" si="58"/>
        <v>AutoCAD Inventor LT Suite</v>
      </c>
      <c r="D203" s="147" t="str">
        <f t="shared" si="58"/>
        <v/>
      </c>
      <c r="E203" s="147" t="str">
        <f t="shared" si="58"/>
        <v/>
      </c>
      <c r="F203" s="147" t="str">
        <f t="shared" si="58"/>
        <v/>
      </c>
      <c r="G203" s="147" t="str">
        <f t="shared" si="58"/>
        <v/>
      </c>
      <c r="H203" s="147" t="str">
        <f t="shared" si="58"/>
        <v/>
      </c>
      <c r="I203" s="147" t="str">
        <f t="shared" si="58"/>
        <v/>
      </c>
      <c r="J203" s="147" t="str">
        <f t="shared" si="58"/>
        <v/>
      </c>
      <c r="K203" s="147" t="str">
        <f t="shared" si="58"/>
        <v/>
      </c>
      <c r="L203" s="147" t="str">
        <f t="shared" si="58"/>
        <v/>
      </c>
      <c r="M203" s="147" t="str">
        <f t="shared" si="58"/>
        <v/>
      </c>
      <c r="N203" s="147" t="str">
        <f t="shared" si="58"/>
        <v/>
      </c>
      <c r="O203" s="145"/>
      <c r="P203" s="145"/>
      <c r="Q203" s="145"/>
      <c r="R203" s="145"/>
      <c r="S203" s="145"/>
      <c r="T203" s="145"/>
      <c r="U203" s="145"/>
      <c r="V203" s="145"/>
      <c r="W203" s="145"/>
      <c r="X203" s="145"/>
      <c r="Y203" s="145"/>
      <c r="Z203" s="145"/>
      <c r="AA203" s="145"/>
      <c r="AB203" s="145"/>
      <c r="AC203" s="145"/>
      <c r="AD203" s="145"/>
      <c r="AE203" s="145"/>
      <c r="AF203" s="145"/>
      <c r="AG203" s="145"/>
      <c r="AH203" s="145"/>
      <c r="AI203" s="145"/>
      <c r="AJ203" s="145"/>
      <c r="AK203" s="145"/>
      <c r="AL203" s="145"/>
      <c r="AM203" s="145"/>
      <c r="AN203" s="145"/>
      <c r="AO203" s="145"/>
      <c r="AP203" s="145"/>
      <c r="AQ203" s="145"/>
      <c r="AR203" s="145"/>
      <c r="AS203" s="145"/>
      <c r="AT203" s="145"/>
      <c r="AU203" s="145"/>
      <c r="AV203" s="145"/>
      <c r="AW203" s="145"/>
      <c r="AX203" s="145"/>
      <c r="AY203" s="145"/>
      <c r="AZ203" s="145"/>
      <c r="BA203" s="145"/>
      <c r="BB203" s="145"/>
      <c r="BC203" s="145"/>
      <c r="BD203" s="145"/>
      <c r="BE203" s="145"/>
      <c r="BF203" s="145"/>
      <c r="BG203" s="145"/>
      <c r="BH203" s="145"/>
      <c r="BI203" s="145"/>
      <c r="BJ203" s="145"/>
      <c r="BK203" s="145"/>
      <c r="BL203" s="145"/>
      <c r="BM203" s="145"/>
      <c r="BN203" s="145"/>
      <c r="BO203" s="145"/>
      <c r="BP203" s="145"/>
      <c r="BQ203" s="145"/>
      <c r="BR203" s="145"/>
      <c r="BS203" s="145"/>
      <c r="BT203" s="145"/>
      <c r="BU203" s="145"/>
      <c r="BV203" s="145"/>
      <c r="BW203" s="145"/>
    </row>
    <row r="204" spans="1:75" ht="20.100000000000001" customHeight="1">
      <c r="A204" s="170" t="str">
        <f t="shared" ref="A204:N204" si="59">A87</f>
        <v>Inventor Professional</v>
      </c>
      <c r="B204" s="170" t="str">
        <f t="shared" si="59"/>
        <v>Inventor Professional</v>
      </c>
      <c r="C204" s="147" t="str">
        <f t="shared" si="59"/>
        <v>Product Design &amp; Manufacturing Collection</v>
      </c>
      <c r="D204" s="412" t="str">
        <f>""</f>
        <v/>
      </c>
      <c r="E204" s="147" t="str">
        <f t="shared" si="59"/>
        <v/>
      </c>
      <c r="F204" s="147" t="str">
        <f t="shared" si="59"/>
        <v/>
      </c>
      <c r="G204" s="147" t="str">
        <f t="shared" si="59"/>
        <v/>
      </c>
      <c r="H204" s="147" t="str">
        <f t="shared" si="59"/>
        <v/>
      </c>
      <c r="I204" s="147" t="str">
        <f t="shared" si="59"/>
        <v/>
      </c>
      <c r="J204" s="147" t="str">
        <f t="shared" si="59"/>
        <v/>
      </c>
      <c r="K204" s="147" t="str">
        <f t="shared" si="59"/>
        <v/>
      </c>
      <c r="L204" s="147" t="str">
        <f t="shared" si="59"/>
        <v/>
      </c>
      <c r="M204" s="147" t="str">
        <f t="shared" si="59"/>
        <v/>
      </c>
      <c r="N204" s="147" t="str">
        <f t="shared" si="59"/>
        <v/>
      </c>
      <c r="O204" s="145"/>
      <c r="P204" s="145"/>
      <c r="Q204" s="145"/>
      <c r="R204" s="145"/>
      <c r="S204" s="145"/>
      <c r="T204" s="145"/>
      <c r="U204" s="145"/>
      <c r="V204" s="145"/>
      <c r="W204" s="145"/>
      <c r="X204" s="145"/>
      <c r="Y204" s="145"/>
      <c r="Z204" s="145"/>
      <c r="AA204" s="145"/>
      <c r="AB204" s="145"/>
      <c r="AC204" s="145"/>
      <c r="AD204" s="145"/>
      <c r="AE204" s="145"/>
      <c r="AF204" s="145"/>
      <c r="AG204" s="145"/>
      <c r="AH204" s="145"/>
      <c r="AI204" s="145"/>
      <c r="AJ204" s="145"/>
      <c r="AK204" s="145"/>
      <c r="AL204" s="145"/>
      <c r="AM204" s="145"/>
      <c r="AN204" s="145"/>
      <c r="AO204" s="145"/>
      <c r="AP204" s="145"/>
      <c r="AQ204" s="145"/>
      <c r="AR204" s="145"/>
      <c r="AS204" s="145"/>
      <c r="AT204" s="145"/>
      <c r="AU204" s="145"/>
      <c r="AV204" s="145"/>
      <c r="AW204" s="145"/>
      <c r="AX204" s="145"/>
      <c r="AY204" s="145"/>
      <c r="AZ204" s="145"/>
      <c r="BA204" s="145"/>
      <c r="BB204" s="145"/>
      <c r="BC204" s="145"/>
      <c r="BD204" s="145"/>
      <c r="BE204" s="145"/>
      <c r="BF204" s="145"/>
      <c r="BG204" s="145"/>
      <c r="BH204" s="145"/>
      <c r="BI204" s="145"/>
      <c r="BJ204" s="145"/>
      <c r="BK204" s="145"/>
      <c r="BL204" s="145"/>
      <c r="BM204" s="145"/>
      <c r="BN204" s="145"/>
      <c r="BO204" s="145"/>
      <c r="BP204" s="145"/>
      <c r="BQ204" s="145"/>
      <c r="BR204" s="145"/>
      <c r="BS204" s="145"/>
      <c r="BT204" s="145"/>
      <c r="BU204" s="145"/>
      <c r="BV204" s="145"/>
      <c r="BW204" s="145"/>
    </row>
    <row r="205" spans="1:75" ht="20.100000000000001" customHeight="1">
      <c r="A205" s="170" t="str">
        <f t="shared" ref="A205:N205" si="60">A88</f>
        <v>Maya</v>
      </c>
      <c r="B205" s="170" t="str">
        <f t="shared" si="60"/>
        <v>Maya</v>
      </c>
      <c r="C205" s="147" t="str">
        <f t="shared" si="60"/>
        <v>Media and Entertainment Collection</v>
      </c>
      <c r="D205" s="147" t="str">
        <f t="shared" si="60"/>
        <v>Maya</v>
      </c>
      <c r="E205" s="147" t="str">
        <f t="shared" si="60"/>
        <v/>
      </c>
      <c r="F205" s="147" t="str">
        <f t="shared" si="60"/>
        <v/>
      </c>
      <c r="G205" s="147" t="str">
        <f t="shared" si="60"/>
        <v/>
      </c>
      <c r="H205" s="147" t="str">
        <f t="shared" si="60"/>
        <v/>
      </c>
      <c r="I205" s="147" t="str">
        <f t="shared" si="60"/>
        <v/>
      </c>
      <c r="J205" s="147" t="str">
        <f t="shared" si="60"/>
        <v/>
      </c>
      <c r="K205" s="147" t="str">
        <f t="shared" si="60"/>
        <v/>
      </c>
      <c r="L205" s="147" t="str">
        <f t="shared" si="60"/>
        <v/>
      </c>
      <c r="M205" s="147" t="str">
        <f t="shared" si="60"/>
        <v/>
      </c>
      <c r="N205" s="147" t="str">
        <f t="shared" si="60"/>
        <v/>
      </c>
      <c r="O205" s="145"/>
      <c r="P205" s="145"/>
      <c r="Q205" s="145"/>
      <c r="R205" s="145"/>
      <c r="S205" s="145"/>
      <c r="T205" s="145"/>
      <c r="U205" s="145"/>
      <c r="V205" s="145"/>
      <c r="W205" s="145"/>
      <c r="X205" s="145"/>
      <c r="Y205" s="145"/>
      <c r="Z205" s="145"/>
      <c r="AA205" s="145"/>
      <c r="AB205" s="145"/>
      <c r="AC205" s="145"/>
      <c r="AD205" s="145"/>
      <c r="AE205" s="145"/>
      <c r="AF205" s="145"/>
      <c r="AG205" s="145"/>
      <c r="AH205" s="145"/>
      <c r="AI205" s="145"/>
      <c r="AJ205" s="145"/>
      <c r="AK205" s="145"/>
      <c r="AL205" s="145"/>
      <c r="AM205" s="145"/>
      <c r="AN205" s="145"/>
      <c r="AO205" s="145"/>
      <c r="AP205" s="145"/>
      <c r="AQ205" s="145"/>
      <c r="AR205" s="145"/>
      <c r="AS205" s="145"/>
      <c r="AT205" s="145"/>
      <c r="AU205" s="145"/>
      <c r="AV205" s="145"/>
      <c r="AW205" s="145"/>
      <c r="AX205" s="145"/>
      <c r="AY205" s="145"/>
      <c r="AZ205" s="145"/>
      <c r="BA205" s="145"/>
      <c r="BB205" s="145"/>
      <c r="BC205" s="145"/>
      <c r="BD205" s="145"/>
      <c r="BE205" s="145"/>
      <c r="BF205" s="145"/>
      <c r="BG205" s="145"/>
      <c r="BH205" s="145"/>
      <c r="BI205" s="145"/>
      <c r="BJ205" s="145"/>
      <c r="BK205" s="145"/>
      <c r="BL205" s="145"/>
      <c r="BM205" s="145"/>
      <c r="BN205" s="145"/>
      <c r="BO205" s="145"/>
      <c r="BP205" s="145"/>
      <c r="BQ205" s="145"/>
      <c r="BR205" s="145"/>
      <c r="BS205" s="145"/>
      <c r="BT205" s="145"/>
      <c r="BU205" s="145"/>
      <c r="BV205" s="145"/>
      <c r="BW205" s="145"/>
    </row>
    <row r="206" spans="1:75" ht="20.100000000000001" customHeight="1">
      <c r="A206" s="170" t="str">
        <f t="shared" ref="A206:N206" si="61">A89</f>
        <v>Maya Entertainment Creation Suite Standard</v>
      </c>
      <c r="B206" s="170" t="str">
        <f t="shared" si="61"/>
        <v>Maya Entertainment Creation Suite Standard</v>
      </c>
      <c r="C206" s="147" t="str">
        <f t="shared" si="61"/>
        <v>Media and Entertainment Collection</v>
      </c>
      <c r="D206" s="147" t="str">
        <f t="shared" si="61"/>
        <v>Maya</v>
      </c>
      <c r="E206" s="147" t="str">
        <f t="shared" si="61"/>
        <v/>
      </c>
      <c r="F206" s="147" t="str">
        <f t="shared" si="61"/>
        <v/>
      </c>
      <c r="G206" s="147" t="str">
        <f t="shared" si="61"/>
        <v/>
      </c>
      <c r="H206" s="147" t="str">
        <f t="shared" si="61"/>
        <v/>
      </c>
      <c r="I206" s="147" t="str">
        <f t="shared" si="61"/>
        <v/>
      </c>
      <c r="J206" s="147" t="str">
        <f t="shared" si="61"/>
        <v/>
      </c>
      <c r="K206" s="147" t="str">
        <f t="shared" si="61"/>
        <v/>
      </c>
      <c r="L206" s="147" t="str">
        <f t="shared" si="61"/>
        <v/>
      </c>
      <c r="M206" s="147" t="str">
        <f t="shared" si="61"/>
        <v/>
      </c>
      <c r="N206" s="147" t="str">
        <f t="shared" si="61"/>
        <v/>
      </c>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5"/>
      <c r="AM206" s="145"/>
      <c r="AN206" s="145"/>
      <c r="AO206" s="145"/>
      <c r="AP206" s="145"/>
      <c r="AQ206" s="145"/>
      <c r="AR206" s="145"/>
      <c r="AS206" s="145"/>
      <c r="AT206" s="145"/>
      <c r="AU206" s="145"/>
      <c r="AV206" s="145"/>
      <c r="AW206" s="145"/>
      <c r="AX206" s="145"/>
      <c r="AY206" s="145"/>
      <c r="AZ206" s="145"/>
      <c r="BA206" s="145"/>
      <c r="BB206" s="145"/>
      <c r="BC206" s="145"/>
      <c r="BD206" s="145"/>
      <c r="BE206" s="145"/>
      <c r="BF206" s="145"/>
      <c r="BG206" s="145"/>
      <c r="BH206" s="145"/>
      <c r="BI206" s="145"/>
      <c r="BJ206" s="145"/>
      <c r="BK206" s="145"/>
      <c r="BL206" s="145"/>
      <c r="BM206" s="145"/>
      <c r="BN206" s="145"/>
      <c r="BO206" s="145"/>
      <c r="BP206" s="145"/>
      <c r="BQ206" s="145"/>
      <c r="BR206" s="145"/>
      <c r="BS206" s="145"/>
      <c r="BT206" s="145"/>
      <c r="BU206" s="145"/>
      <c r="BV206" s="145"/>
      <c r="BW206" s="145"/>
    </row>
    <row r="207" spans="1:75" ht="20.100000000000001" customHeight="1">
      <c r="A207" s="170" t="str">
        <f t="shared" ref="A207:N207" si="62">A90</f>
        <v>Maya LT</v>
      </c>
      <c r="B207" s="170" t="str">
        <f t="shared" si="62"/>
        <v>Maya LT</v>
      </c>
      <c r="C207" s="147" t="str">
        <f t="shared" si="62"/>
        <v>Maya LT</v>
      </c>
      <c r="D207" s="147" t="str">
        <f t="shared" si="62"/>
        <v/>
      </c>
      <c r="E207" s="147" t="str">
        <f t="shared" si="62"/>
        <v/>
      </c>
      <c r="F207" s="147" t="str">
        <f t="shared" si="62"/>
        <v/>
      </c>
      <c r="G207" s="147" t="str">
        <f t="shared" si="62"/>
        <v/>
      </c>
      <c r="H207" s="147" t="str">
        <f t="shared" si="62"/>
        <v/>
      </c>
      <c r="I207" s="147" t="str">
        <f t="shared" si="62"/>
        <v/>
      </c>
      <c r="J207" s="147" t="str">
        <f t="shared" si="62"/>
        <v/>
      </c>
      <c r="K207" s="147" t="str">
        <f t="shared" si="62"/>
        <v/>
      </c>
      <c r="L207" s="147" t="str">
        <f t="shared" si="62"/>
        <v/>
      </c>
      <c r="M207" s="147" t="str">
        <f t="shared" si="62"/>
        <v/>
      </c>
      <c r="N207" s="147" t="str">
        <f t="shared" si="62"/>
        <v/>
      </c>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c r="BS207" s="145"/>
      <c r="BT207" s="145"/>
      <c r="BU207" s="145"/>
      <c r="BV207" s="145"/>
      <c r="BW207" s="145"/>
    </row>
    <row r="208" spans="1:75" ht="20.100000000000001" customHeight="1">
      <c r="A208" s="170" t="str">
        <f t="shared" ref="A208:N208" si="63">A91</f>
        <v>Maya with Softimage</v>
      </c>
      <c r="B208" s="170" t="str">
        <f t="shared" si="63"/>
        <v>Maya with Softimage</v>
      </c>
      <c r="C208" s="147" t="str">
        <f t="shared" si="63"/>
        <v>Media and Entertainment Collection</v>
      </c>
      <c r="D208" s="147" t="str">
        <f t="shared" si="63"/>
        <v>Maya</v>
      </c>
      <c r="E208" s="147" t="str">
        <f t="shared" si="63"/>
        <v/>
      </c>
      <c r="F208" s="147" t="str">
        <f t="shared" si="63"/>
        <v/>
      </c>
      <c r="G208" s="147" t="str">
        <f t="shared" si="63"/>
        <v/>
      </c>
      <c r="H208" s="147" t="str">
        <f t="shared" si="63"/>
        <v/>
      </c>
      <c r="I208" s="147" t="str">
        <f t="shared" si="63"/>
        <v/>
      </c>
      <c r="J208" s="147" t="str">
        <f t="shared" si="63"/>
        <v/>
      </c>
      <c r="K208" s="147" t="str">
        <f t="shared" si="63"/>
        <v/>
      </c>
      <c r="L208" s="147" t="str">
        <f t="shared" si="63"/>
        <v/>
      </c>
      <c r="M208" s="147" t="str">
        <f t="shared" si="63"/>
        <v/>
      </c>
      <c r="N208" s="147" t="str">
        <f t="shared" si="63"/>
        <v/>
      </c>
      <c r="O208" s="145"/>
      <c r="P208" s="145"/>
      <c r="Q208" s="145"/>
      <c r="R208" s="145"/>
      <c r="S208" s="145"/>
      <c r="T208" s="145"/>
      <c r="U208" s="145"/>
      <c r="V208" s="145"/>
      <c r="W208" s="145"/>
      <c r="X208" s="145"/>
      <c r="Y208" s="145"/>
      <c r="Z208" s="145"/>
      <c r="AA208" s="145"/>
      <c r="AB208" s="145"/>
      <c r="AC208" s="145"/>
      <c r="AD208" s="145"/>
      <c r="AE208" s="145"/>
      <c r="AF208" s="145"/>
      <c r="AG208" s="145"/>
      <c r="AH208" s="145"/>
      <c r="AI208" s="145"/>
      <c r="AJ208" s="145"/>
      <c r="AK208" s="145"/>
      <c r="AL208" s="145"/>
      <c r="AM208" s="145"/>
      <c r="AN208" s="145"/>
      <c r="AO208" s="145"/>
      <c r="AP208" s="145"/>
      <c r="AQ208" s="145"/>
      <c r="AR208" s="145"/>
      <c r="AS208" s="145"/>
      <c r="AT208" s="145"/>
      <c r="AU208" s="145"/>
      <c r="AV208" s="145"/>
      <c r="AW208" s="145"/>
      <c r="AX208" s="145"/>
      <c r="AY208" s="145"/>
      <c r="AZ208" s="145"/>
      <c r="BA208" s="145"/>
      <c r="BB208" s="145"/>
      <c r="BC208" s="145"/>
      <c r="BD208" s="145"/>
      <c r="BE208" s="145"/>
      <c r="BF208" s="145"/>
      <c r="BG208" s="145"/>
      <c r="BH208" s="145"/>
      <c r="BI208" s="145"/>
      <c r="BJ208" s="145"/>
      <c r="BK208" s="145"/>
      <c r="BL208" s="145"/>
      <c r="BM208" s="145"/>
      <c r="BN208" s="145"/>
      <c r="BO208" s="145"/>
      <c r="BP208" s="145"/>
      <c r="BQ208" s="145"/>
      <c r="BR208" s="145"/>
      <c r="BS208" s="145"/>
      <c r="BT208" s="145"/>
      <c r="BU208" s="145"/>
      <c r="BV208" s="145"/>
      <c r="BW208" s="145"/>
    </row>
    <row r="209" spans="1:75" ht="20.100000000000001" customHeight="1">
      <c r="A209" s="170" t="str">
        <f t="shared" ref="A209:N209" si="64">A92</f>
        <v>Moldflow Adviser Premium</v>
      </c>
      <c r="B209" s="170" t="str">
        <f t="shared" si="64"/>
        <v>Moldflow Adviser Premium</v>
      </c>
      <c r="C209" s="147" t="str">
        <f t="shared" si="64"/>
        <v>Moldflow Adviser Premium</v>
      </c>
      <c r="D209" s="147" t="str">
        <f t="shared" si="64"/>
        <v>Moldflow Adviser Ultimate</v>
      </c>
      <c r="E209" s="147" t="str">
        <f t="shared" si="64"/>
        <v>Moldflow Insight Premium</v>
      </c>
      <c r="F209" s="147" t="str">
        <f t="shared" si="64"/>
        <v>Moldflow Insight Standard</v>
      </c>
      <c r="G209" s="147" t="str">
        <f t="shared" si="64"/>
        <v>Moldflow Insight Ultimate</v>
      </c>
      <c r="H209" s="147" t="str">
        <f t="shared" si="64"/>
        <v/>
      </c>
      <c r="I209" s="147" t="str">
        <f t="shared" si="64"/>
        <v/>
      </c>
      <c r="J209" s="147" t="str">
        <f t="shared" si="64"/>
        <v/>
      </c>
      <c r="K209" s="147" t="str">
        <f t="shared" si="64"/>
        <v/>
      </c>
      <c r="L209" s="147" t="str">
        <f t="shared" si="64"/>
        <v/>
      </c>
      <c r="M209" s="147" t="str">
        <f t="shared" si="64"/>
        <v/>
      </c>
      <c r="N209" s="147" t="str">
        <f t="shared" si="64"/>
        <v/>
      </c>
      <c r="O209" s="145"/>
      <c r="P209" s="145"/>
      <c r="Q209" s="145"/>
      <c r="R209" s="145"/>
      <c r="S209" s="145"/>
      <c r="T209" s="145"/>
      <c r="U209" s="145"/>
      <c r="V209" s="145"/>
      <c r="W209" s="145"/>
      <c r="X209" s="145"/>
      <c r="Y209" s="145"/>
      <c r="Z209" s="145"/>
      <c r="AA209" s="145"/>
      <c r="AB209" s="145"/>
      <c r="AC209" s="145"/>
      <c r="AD209" s="145"/>
      <c r="AE209" s="145"/>
      <c r="AF209" s="145"/>
      <c r="AG209" s="145"/>
      <c r="AH209" s="145"/>
      <c r="AI209" s="145"/>
      <c r="AJ209" s="145"/>
      <c r="AK209" s="145"/>
      <c r="AL209" s="145"/>
      <c r="AM209" s="145"/>
      <c r="AN209" s="145"/>
      <c r="AO209" s="145"/>
      <c r="AP209" s="145"/>
      <c r="AQ209" s="145"/>
      <c r="AR209" s="145"/>
      <c r="AS209" s="145"/>
      <c r="AT209" s="145"/>
      <c r="AU209" s="145"/>
      <c r="AV209" s="145"/>
      <c r="AW209" s="145"/>
      <c r="AX209" s="145"/>
      <c r="AY209" s="145"/>
      <c r="AZ209" s="145"/>
      <c r="BA209" s="145"/>
      <c r="BB209" s="145"/>
      <c r="BC209" s="145"/>
      <c r="BD209" s="145"/>
      <c r="BE209" s="145"/>
      <c r="BF209" s="145"/>
      <c r="BG209" s="145"/>
      <c r="BH209" s="145"/>
      <c r="BI209" s="145"/>
      <c r="BJ209" s="145"/>
      <c r="BK209" s="145"/>
      <c r="BL209" s="145"/>
      <c r="BM209" s="145"/>
      <c r="BN209" s="145"/>
      <c r="BO209" s="145"/>
      <c r="BP209" s="145"/>
      <c r="BQ209" s="145"/>
      <c r="BR209" s="145"/>
      <c r="BS209" s="145"/>
      <c r="BT209" s="145"/>
      <c r="BU209" s="145"/>
      <c r="BV209" s="145"/>
      <c r="BW209" s="145"/>
    </row>
    <row r="210" spans="1:75" ht="20.100000000000001" customHeight="1">
      <c r="A210" s="170" t="str">
        <f t="shared" ref="A210:N210" si="65">A93</f>
        <v>Moldflow Adviser Ultimate</v>
      </c>
      <c r="B210" s="170" t="str">
        <f t="shared" si="65"/>
        <v>Moldflow Adviser Ultimate</v>
      </c>
      <c r="C210" s="147" t="str">
        <f t="shared" si="65"/>
        <v>Moldflow Adviser Ultimate</v>
      </c>
      <c r="D210" s="147" t="str">
        <f t="shared" si="65"/>
        <v>Moldflow Insight Premium</v>
      </c>
      <c r="E210" s="147" t="str">
        <f t="shared" si="65"/>
        <v>Moldflow Insight Standard</v>
      </c>
      <c r="F210" s="147" t="str">
        <f t="shared" si="65"/>
        <v>Moldflow Insight Ultimate</v>
      </c>
      <c r="G210" s="147" t="str">
        <f t="shared" si="65"/>
        <v/>
      </c>
      <c r="H210" s="147" t="str">
        <f t="shared" si="65"/>
        <v/>
      </c>
      <c r="I210" s="147" t="str">
        <f t="shared" si="65"/>
        <v/>
      </c>
      <c r="J210" s="147" t="str">
        <f t="shared" si="65"/>
        <v/>
      </c>
      <c r="K210" s="147" t="str">
        <f t="shared" si="65"/>
        <v/>
      </c>
      <c r="L210" s="147" t="str">
        <f t="shared" si="65"/>
        <v/>
      </c>
      <c r="M210" s="147" t="str">
        <f t="shared" si="65"/>
        <v/>
      </c>
      <c r="N210" s="147" t="str">
        <f t="shared" si="65"/>
        <v/>
      </c>
      <c r="O210" s="145"/>
      <c r="P210" s="145"/>
      <c r="Q210" s="145"/>
      <c r="R210" s="145"/>
      <c r="S210" s="145"/>
      <c r="T210" s="145"/>
      <c r="U210" s="145"/>
      <c r="V210" s="145"/>
      <c r="W210" s="145"/>
      <c r="X210" s="145"/>
      <c r="Y210" s="145"/>
      <c r="Z210" s="145"/>
      <c r="AA210" s="145"/>
      <c r="AB210" s="145"/>
      <c r="AC210" s="145"/>
      <c r="AD210" s="145"/>
      <c r="AE210" s="145"/>
      <c r="AF210" s="145"/>
      <c r="AG210" s="145"/>
      <c r="AH210" s="145"/>
      <c r="AI210" s="145"/>
      <c r="AJ210" s="145"/>
      <c r="AK210" s="145"/>
      <c r="AL210" s="145"/>
      <c r="AM210" s="145"/>
      <c r="AN210" s="145"/>
      <c r="AO210" s="145"/>
      <c r="AP210" s="145"/>
      <c r="AQ210" s="145"/>
      <c r="AR210" s="145"/>
      <c r="AS210" s="145"/>
      <c r="AT210" s="145"/>
      <c r="AU210" s="145"/>
      <c r="AV210" s="145"/>
      <c r="AW210" s="145"/>
      <c r="AX210" s="145"/>
      <c r="AY210" s="145"/>
      <c r="AZ210" s="145"/>
      <c r="BA210" s="145"/>
      <c r="BB210" s="145"/>
      <c r="BC210" s="145"/>
      <c r="BD210" s="145"/>
      <c r="BE210" s="145"/>
      <c r="BF210" s="145"/>
      <c r="BG210" s="145"/>
      <c r="BH210" s="145"/>
      <c r="BI210" s="145"/>
      <c r="BJ210" s="145"/>
      <c r="BK210" s="145"/>
      <c r="BL210" s="145"/>
      <c r="BM210" s="145"/>
      <c r="BN210" s="145"/>
      <c r="BO210" s="145"/>
      <c r="BP210" s="145"/>
      <c r="BQ210" s="145"/>
      <c r="BR210" s="145"/>
      <c r="BS210" s="145"/>
      <c r="BT210" s="145"/>
      <c r="BU210" s="145"/>
      <c r="BV210" s="145"/>
      <c r="BW210" s="145"/>
    </row>
    <row r="211" spans="1:75" ht="20.100000000000001" customHeight="1">
      <c r="A211" s="170" t="str">
        <f t="shared" ref="A211:N211" si="66">A94</f>
        <v>Moldflow Insight Premium</v>
      </c>
      <c r="B211" s="170" t="str">
        <f t="shared" si="66"/>
        <v>Moldflow Insight Premium</v>
      </c>
      <c r="C211" s="147" t="str">
        <f t="shared" si="66"/>
        <v>Moldflow Insight Premium</v>
      </c>
      <c r="D211" s="147" t="str">
        <f t="shared" si="66"/>
        <v>Moldflow Insight Ultimate</v>
      </c>
      <c r="E211" s="147" t="str">
        <f t="shared" si="66"/>
        <v/>
      </c>
      <c r="F211" s="147" t="str">
        <f t="shared" si="66"/>
        <v/>
      </c>
      <c r="G211" s="147" t="str">
        <f t="shared" si="66"/>
        <v/>
      </c>
      <c r="H211" s="147" t="str">
        <f t="shared" si="66"/>
        <v/>
      </c>
      <c r="I211" s="147" t="str">
        <f t="shared" si="66"/>
        <v/>
      </c>
      <c r="J211" s="147" t="str">
        <f t="shared" si="66"/>
        <v/>
      </c>
      <c r="K211" s="147" t="str">
        <f t="shared" si="66"/>
        <v/>
      </c>
      <c r="L211" s="147" t="str">
        <f t="shared" si="66"/>
        <v/>
      </c>
      <c r="M211" s="147" t="str">
        <f t="shared" si="66"/>
        <v/>
      </c>
      <c r="N211" s="147" t="str">
        <f t="shared" si="66"/>
        <v/>
      </c>
      <c r="O211" s="145"/>
      <c r="P211" s="145"/>
      <c r="Q211" s="145"/>
      <c r="R211" s="145"/>
      <c r="S211" s="145"/>
      <c r="T211" s="145"/>
      <c r="U211" s="145"/>
      <c r="V211" s="145"/>
      <c r="W211" s="145"/>
      <c r="X211" s="145"/>
      <c r="Y211" s="145"/>
      <c r="Z211" s="145"/>
      <c r="AA211" s="145"/>
      <c r="AB211" s="145"/>
      <c r="AC211" s="145"/>
      <c r="AD211" s="145"/>
      <c r="AE211" s="145"/>
      <c r="AF211" s="145"/>
      <c r="AG211" s="145"/>
      <c r="AH211" s="145"/>
      <c r="AI211" s="145"/>
      <c r="AJ211" s="145"/>
      <c r="AK211" s="145"/>
      <c r="AL211" s="145"/>
      <c r="AM211" s="145"/>
      <c r="AN211" s="145"/>
      <c r="AO211" s="145"/>
      <c r="AP211" s="145"/>
      <c r="AQ211" s="145"/>
      <c r="AR211" s="145"/>
      <c r="AS211" s="145"/>
      <c r="AT211" s="145"/>
      <c r="AU211" s="145"/>
      <c r="AV211" s="145"/>
      <c r="AW211" s="145"/>
      <c r="AX211" s="145"/>
      <c r="AY211" s="145"/>
      <c r="AZ211" s="145"/>
      <c r="BA211" s="145"/>
      <c r="BB211" s="145"/>
      <c r="BC211" s="145"/>
      <c r="BD211" s="145"/>
      <c r="BE211" s="145"/>
      <c r="BF211" s="145"/>
      <c r="BG211" s="145"/>
      <c r="BH211" s="145"/>
      <c r="BI211" s="145"/>
      <c r="BJ211" s="145"/>
      <c r="BK211" s="145"/>
      <c r="BL211" s="145"/>
      <c r="BM211" s="145"/>
      <c r="BN211" s="145"/>
      <c r="BO211" s="145"/>
      <c r="BP211" s="145"/>
      <c r="BQ211" s="145"/>
      <c r="BR211" s="145"/>
      <c r="BS211" s="145"/>
      <c r="BT211" s="145"/>
      <c r="BU211" s="145"/>
      <c r="BV211" s="145"/>
      <c r="BW211" s="145"/>
    </row>
    <row r="212" spans="1:75" ht="20.100000000000001" customHeight="1">
      <c r="A212" s="170" t="str">
        <f t="shared" ref="A212:N212" si="67">A95</f>
        <v>Moldflow Insight Standard</v>
      </c>
      <c r="B212" s="170" t="str">
        <f t="shared" si="67"/>
        <v>Moldflow Insight Standard</v>
      </c>
      <c r="C212" s="147" t="str">
        <f t="shared" si="67"/>
        <v>Moldflow Insight Premium</v>
      </c>
      <c r="D212" s="147" t="str">
        <f t="shared" si="67"/>
        <v>Moldflow Insight Standard</v>
      </c>
      <c r="E212" s="147" t="str">
        <f t="shared" si="67"/>
        <v>Moldflow Insight Ultimate</v>
      </c>
      <c r="F212" s="147" t="str">
        <f t="shared" si="67"/>
        <v/>
      </c>
      <c r="G212" s="147" t="str">
        <f t="shared" si="67"/>
        <v/>
      </c>
      <c r="H212" s="147" t="str">
        <f t="shared" si="67"/>
        <v/>
      </c>
      <c r="I212" s="147" t="str">
        <f t="shared" si="67"/>
        <v/>
      </c>
      <c r="J212" s="147" t="str">
        <f t="shared" si="67"/>
        <v/>
      </c>
      <c r="K212" s="147" t="str">
        <f t="shared" si="67"/>
        <v/>
      </c>
      <c r="L212" s="147" t="str">
        <f t="shared" si="67"/>
        <v/>
      </c>
      <c r="M212" s="147" t="str">
        <f t="shared" si="67"/>
        <v/>
      </c>
      <c r="N212" s="147" t="str">
        <f t="shared" si="67"/>
        <v/>
      </c>
      <c r="O212" s="145"/>
      <c r="P212" s="145"/>
      <c r="Q212" s="145"/>
      <c r="R212" s="145"/>
      <c r="S212" s="145"/>
      <c r="T212" s="145"/>
      <c r="U212" s="145"/>
      <c r="V212" s="145"/>
      <c r="W212" s="145"/>
      <c r="X212" s="145"/>
      <c r="Y212" s="145"/>
      <c r="Z212" s="145"/>
      <c r="AA212" s="145"/>
      <c r="AB212" s="145"/>
      <c r="AC212" s="145"/>
      <c r="AD212" s="145"/>
      <c r="AE212" s="145"/>
      <c r="AF212" s="145"/>
      <c r="AG212" s="145"/>
      <c r="AH212" s="145"/>
      <c r="AI212" s="145"/>
      <c r="AJ212" s="145"/>
      <c r="AK212" s="145"/>
      <c r="AL212" s="145"/>
      <c r="AM212" s="145"/>
      <c r="AN212" s="145"/>
      <c r="AO212" s="145"/>
      <c r="AP212" s="145"/>
      <c r="AQ212" s="145"/>
      <c r="AR212" s="145"/>
      <c r="AS212" s="145"/>
      <c r="AT212" s="145"/>
      <c r="AU212" s="145"/>
      <c r="AV212" s="145"/>
      <c r="AW212" s="145"/>
      <c r="AX212" s="145"/>
      <c r="AY212" s="145"/>
      <c r="AZ212" s="145"/>
      <c r="BA212" s="145"/>
      <c r="BB212" s="145"/>
      <c r="BC212" s="145"/>
      <c r="BD212" s="145"/>
      <c r="BE212" s="145"/>
      <c r="BF212" s="145"/>
      <c r="BG212" s="145"/>
      <c r="BH212" s="145"/>
      <c r="BI212" s="145"/>
      <c r="BJ212" s="145"/>
      <c r="BK212" s="145"/>
      <c r="BL212" s="145"/>
      <c r="BM212" s="145"/>
      <c r="BN212" s="145"/>
      <c r="BO212" s="145"/>
      <c r="BP212" s="145"/>
      <c r="BQ212" s="145"/>
      <c r="BR212" s="145"/>
      <c r="BS212" s="145"/>
      <c r="BT212" s="145"/>
      <c r="BU212" s="145"/>
      <c r="BV212" s="145"/>
      <c r="BW212" s="145"/>
    </row>
    <row r="213" spans="1:75" ht="20.100000000000001" customHeight="1">
      <c r="A213" s="170" t="str">
        <f t="shared" ref="A213:N213" si="68">A96</f>
        <v>Moldflow Insight Ultimate</v>
      </c>
      <c r="B213" s="170" t="str">
        <f t="shared" si="68"/>
        <v>Moldflow Insight Ultimate</v>
      </c>
      <c r="C213" s="147" t="str">
        <f t="shared" si="68"/>
        <v>Moldflow Insight Ultimate</v>
      </c>
      <c r="D213" s="147" t="str">
        <f t="shared" si="68"/>
        <v/>
      </c>
      <c r="E213" s="147" t="str">
        <f t="shared" si="68"/>
        <v/>
      </c>
      <c r="F213" s="147" t="str">
        <f t="shared" si="68"/>
        <v/>
      </c>
      <c r="G213" s="147" t="str">
        <f t="shared" si="68"/>
        <v/>
      </c>
      <c r="H213" s="147" t="str">
        <f t="shared" si="68"/>
        <v/>
      </c>
      <c r="I213" s="147" t="str">
        <f t="shared" si="68"/>
        <v/>
      </c>
      <c r="J213" s="147" t="str">
        <f t="shared" si="68"/>
        <v/>
      </c>
      <c r="K213" s="147" t="str">
        <f t="shared" si="68"/>
        <v/>
      </c>
      <c r="L213" s="147" t="str">
        <f t="shared" si="68"/>
        <v/>
      </c>
      <c r="M213" s="147" t="str">
        <f t="shared" si="68"/>
        <v/>
      </c>
      <c r="N213" s="147" t="str">
        <f t="shared" si="68"/>
        <v/>
      </c>
      <c r="O213" s="145"/>
      <c r="P213" s="145"/>
      <c r="Q213" s="145"/>
      <c r="R213" s="145"/>
      <c r="S213" s="145"/>
      <c r="T213" s="145"/>
      <c r="U213" s="145"/>
      <c r="V213" s="145"/>
      <c r="W213" s="145"/>
      <c r="X213" s="145"/>
      <c r="Y213" s="145"/>
      <c r="Z213" s="145"/>
      <c r="AA213" s="145"/>
      <c r="AB213" s="145"/>
      <c r="AC213" s="145"/>
      <c r="AD213" s="145"/>
      <c r="AE213" s="145"/>
      <c r="AF213" s="145"/>
      <c r="AG213" s="145"/>
      <c r="AH213" s="145"/>
      <c r="AI213" s="145"/>
      <c r="AJ213" s="145"/>
      <c r="AK213" s="145"/>
      <c r="AL213" s="145"/>
      <c r="AM213" s="145"/>
      <c r="AN213" s="145"/>
      <c r="AO213" s="145"/>
      <c r="AP213" s="145"/>
      <c r="AQ213" s="145"/>
      <c r="AR213" s="145"/>
      <c r="AS213" s="145"/>
      <c r="AT213" s="145"/>
      <c r="AU213" s="145"/>
      <c r="AV213" s="145"/>
      <c r="AW213" s="145"/>
      <c r="AX213" s="145"/>
      <c r="AY213" s="145"/>
      <c r="AZ213" s="145"/>
      <c r="BA213" s="145"/>
      <c r="BB213" s="145"/>
      <c r="BC213" s="145"/>
      <c r="BD213" s="145"/>
      <c r="BE213" s="145"/>
      <c r="BF213" s="145"/>
      <c r="BG213" s="145"/>
      <c r="BH213" s="145"/>
      <c r="BI213" s="145"/>
      <c r="BJ213" s="145"/>
      <c r="BK213" s="145"/>
      <c r="BL213" s="145"/>
      <c r="BM213" s="145"/>
      <c r="BN213" s="145"/>
      <c r="BO213" s="145"/>
      <c r="BP213" s="145"/>
      <c r="BQ213" s="145"/>
      <c r="BR213" s="145"/>
      <c r="BS213" s="145"/>
      <c r="BT213" s="145"/>
      <c r="BU213" s="145"/>
      <c r="BV213" s="145"/>
      <c r="BW213" s="145"/>
    </row>
    <row r="214" spans="1:75" ht="20.100000000000001" customHeight="1">
      <c r="A214" s="170" t="str">
        <f t="shared" ref="A214:N214" si="69">A97</f>
        <v>Moldflow Synergy</v>
      </c>
      <c r="B214" s="170" t="str">
        <f t="shared" si="69"/>
        <v>Moldflow Synergy</v>
      </c>
      <c r="C214" s="147" t="str">
        <f t="shared" si="69"/>
        <v>Moldflow Synergy</v>
      </c>
      <c r="D214" s="147" t="str">
        <f t="shared" si="69"/>
        <v/>
      </c>
      <c r="E214" s="147" t="str">
        <f t="shared" si="69"/>
        <v/>
      </c>
      <c r="F214" s="147" t="str">
        <f t="shared" si="69"/>
        <v/>
      </c>
      <c r="G214" s="147" t="str">
        <f t="shared" si="69"/>
        <v/>
      </c>
      <c r="H214" s="147" t="str">
        <f t="shared" si="69"/>
        <v/>
      </c>
      <c r="I214" s="147" t="str">
        <f t="shared" si="69"/>
        <v/>
      </c>
      <c r="J214" s="147" t="str">
        <f t="shared" si="69"/>
        <v/>
      </c>
      <c r="K214" s="147" t="str">
        <f t="shared" si="69"/>
        <v/>
      </c>
      <c r="L214" s="147" t="str">
        <f t="shared" si="69"/>
        <v/>
      </c>
      <c r="M214" s="147" t="str">
        <f t="shared" si="69"/>
        <v/>
      </c>
      <c r="N214" s="147" t="str">
        <f t="shared" si="69"/>
        <v/>
      </c>
      <c r="O214" s="145"/>
      <c r="P214" s="145"/>
      <c r="Q214" s="145"/>
      <c r="R214" s="145"/>
      <c r="S214" s="145"/>
      <c r="T214" s="145"/>
      <c r="U214" s="145"/>
      <c r="V214" s="145"/>
      <c r="W214" s="145"/>
      <c r="X214" s="145"/>
      <c r="Y214" s="145"/>
      <c r="Z214" s="145"/>
      <c r="AA214" s="145"/>
      <c r="AB214" s="145"/>
      <c r="AC214" s="145"/>
      <c r="AD214" s="145"/>
      <c r="AE214" s="145"/>
      <c r="AF214" s="145"/>
      <c r="AG214" s="145"/>
      <c r="AH214" s="145"/>
      <c r="AI214" s="145"/>
      <c r="AJ214" s="145"/>
      <c r="AK214" s="145"/>
      <c r="AL214" s="145"/>
      <c r="AM214" s="145"/>
      <c r="AN214" s="145"/>
      <c r="AO214" s="145"/>
      <c r="AP214" s="145"/>
      <c r="AQ214" s="145"/>
      <c r="AR214" s="145"/>
      <c r="AS214" s="145"/>
      <c r="AT214" s="145"/>
      <c r="AU214" s="145"/>
      <c r="AV214" s="145"/>
      <c r="AW214" s="145"/>
      <c r="AX214" s="145"/>
      <c r="AY214" s="145"/>
      <c r="AZ214" s="145"/>
      <c r="BA214" s="145"/>
      <c r="BB214" s="145"/>
      <c r="BC214" s="145"/>
      <c r="BD214" s="145"/>
      <c r="BE214" s="145"/>
      <c r="BF214" s="145"/>
      <c r="BG214" s="145"/>
      <c r="BH214" s="145"/>
      <c r="BI214" s="145"/>
      <c r="BJ214" s="145"/>
      <c r="BK214" s="145"/>
      <c r="BL214" s="145"/>
      <c r="BM214" s="145"/>
      <c r="BN214" s="145"/>
      <c r="BO214" s="145"/>
      <c r="BP214" s="145"/>
      <c r="BQ214" s="145"/>
      <c r="BR214" s="145"/>
      <c r="BS214" s="145"/>
      <c r="BT214" s="145"/>
      <c r="BU214" s="145"/>
      <c r="BV214" s="145"/>
      <c r="BW214" s="145"/>
    </row>
    <row r="215" spans="1:75" ht="20.100000000000001" customHeight="1">
      <c r="A215" s="170" t="str">
        <f t="shared" ref="A215:N215" si="70">A98</f>
        <v>MotionBuilder</v>
      </c>
      <c r="B215" s="170" t="str">
        <f t="shared" si="70"/>
        <v>MotionBuilder</v>
      </c>
      <c r="C215" s="147" t="str">
        <f t="shared" si="70"/>
        <v>Media and Entertainment Collection</v>
      </c>
      <c r="D215" s="147" t="str">
        <f t="shared" si="70"/>
        <v>MotionBuilder</v>
      </c>
      <c r="E215" s="147" t="str">
        <f t="shared" si="70"/>
        <v/>
      </c>
      <c r="F215" s="147" t="str">
        <f t="shared" si="70"/>
        <v/>
      </c>
      <c r="G215" s="147" t="str">
        <f t="shared" si="70"/>
        <v/>
      </c>
      <c r="H215" s="147" t="str">
        <f t="shared" si="70"/>
        <v/>
      </c>
      <c r="I215" s="147" t="str">
        <f t="shared" si="70"/>
        <v/>
      </c>
      <c r="J215" s="147" t="str">
        <f t="shared" si="70"/>
        <v/>
      </c>
      <c r="K215" s="147" t="str">
        <f t="shared" si="70"/>
        <v/>
      </c>
      <c r="L215" s="147" t="str">
        <f t="shared" si="70"/>
        <v/>
      </c>
      <c r="M215" s="147" t="str">
        <f t="shared" si="70"/>
        <v/>
      </c>
      <c r="N215" s="147" t="str">
        <f t="shared" si="70"/>
        <v/>
      </c>
      <c r="O215" s="145"/>
      <c r="P215" s="145"/>
      <c r="Q215" s="145"/>
      <c r="R215" s="145"/>
      <c r="S215" s="145"/>
      <c r="T215" s="145"/>
      <c r="U215" s="145"/>
      <c r="V215" s="145"/>
      <c r="W215" s="145"/>
      <c r="X215" s="145"/>
      <c r="Y215" s="145"/>
      <c r="Z215" s="145"/>
      <c r="AA215" s="145"/>
      <c r="AB215" s="145"/>
      <c r="AC215" s="145"/>
      <c r="AD215" s="145"/>
      <c r="AE215" s="145"/>
      <c r="AF215" s="145"/>
      <c r="AG215" s="145"/>
      <c r="AH215" s="145"/>
      <c r="AI215" s="145"/>
      <c r="AJ215" s="145"/>
      <c r="AK215" s="145"/>
      <c r="AL215" s="145"/>
      <c r="AM215" s="145"/>
      <c r="AN215" s="145"/>
      <c r="AO215" s="145"/>
      <c r="AP215" s="145"/>
      <c r="AQ215" s="145"/>
      <c r="AR215" s="145"/>
      <c r="AS215" s="145"/>
      <c r="AT215" s="145"/>
      <c r="AU215" s="145"/>
      <c r="AV215" s="145"/>
      <c r="AW215" s="145"/>
      <c r="AX215" s="145"/>
      <c r="AY215" s="145"/>
      <c r="AZ215" s="145"/>
      <c r="BA215" s="145"/>
      <c r="BB215" s="145"/>
      <c r="BC215" s="145"/>
      <c r="BD215" s="145"/>
      <c r="BE215" s="145"/>
      <c r="BF215" s="145"/>
      <c r="BG215" s="145"/>
      <c r="BH215" s="145"/>
      <c r="BI215" s="145"/>
      <c r="BJ215" s="145"/>
      <c r="BK215" s="145"/>
      <c r="BL215" s="145"/>
      <c r="BM215" s="145"/>
      <c r="BN215" s="145"/>
      <c r="BO215" s="145"/>
      <c r="BP215" s="145"/>
      <c r="BQ215" s="145"/>
      <c r="BR215" s="145"/>
      <c r="BS215" s="145"/>
      <c r="BT215" s="145"/>
      <c r="BU215" s="145"/>
      <c r="BV215" s="145"/>
      <c r="BW215" s="145"/>
    </row>
    <row r="216" spans="1:75" ht="20.100000000000001" customHeight="1">
      <c r="A216" s="170" t="str">
        <f t="shared" ref="A216:N216" si="71">A99</f>
        <v>Mudbox</v>
      </c>
      <c r="B216" s="170" t="str">
        <f t="shared" si="71"/>
        <v>Mudbox</v>
      </c>
      <c r="C216" s="147" t="str">
        <f t="shared" si="71"/>
        <v>Media and Entertainment Collection</v>
      </c>
      <c r="D216" s="147" t="str">
        <f t="shared" si="71"/>
        <v>Mudbox</v>
      </c>
      <c r="E216" s="147" t="str">
        <f t="shared" si="71"/>
        <v/>
      </c>
      <c r="F216" s="147" t="str">
        <f t="shared" si="71"/>
        <v/>
      </c>
      <c r="G216" s="147" t="str">
        <f t="shared" si="71"/>
        <v/>
      </c>
      <c r="H216" s="147" t="str">
        <f t="shared" si="71"/>
        <v/>
      </c>
      <c r="I216" s="147" t="str">
        <f t="shared" si="71"/>
        <v/>
      </c>
      <c r="J216" s="147" t="str">
        <f t="shared" si="71"/>
        <v/>
      </c>
      <c r="K216" s="147" t="str">
        <f t="shared" si="71"/>
        <v/>
      </c>
      <c r="L216" s="147" t="str">
        <f t="shared" si="71"/>
        <v/>
      </c>
      <c r="M216" s="147" t="str">
        <f t="shared" si="71"/>
        <v/>
      </c>
      <c r="N216" s="147" t="str">
        <f t="shared" si="71"/>
        <v/>
      </c>
      <c r="O216" s="145"/>
      <c r="P216" s="145"/>
      <c r="Q216" s="145"/>
      <c r="R216" s="145"/>
      <c r="S216" s="145"/>
      <c r="T216" s="145"/>
      <c r="U216" s="145"/>
      <c r="V216" s="145"/>
      <c r="W216" s="145"/>
      <c r="X216" s="145"/>
      <c r="Y216" s="145"/>
      <c r="Z216" s="145"/>
      <c r="AA216" s="145"/>
      <c r="AB216" s="145"/>
      <c r="AC216" s="145"/>
      <c r="AD216" s="145"/>
      <c r="AE216" s="145"/>
      <c r="AF216" s="145"/>
      <c r="AG216" s="145"/>
      <c r="AH216" s="145"/>
      <c r="AI216" s="145"/>
      <c r="AJ216" s="145"/>
      <c r="AK216" s="145"/>
      <c r="AL216" s="145"/>
      <c r="AM216" s="145"/>
      <c r="AN216" s="145"/>
      <c r="AO216" s="145"/>
      <c r="AP216" s="145"/>
      <c r="AQ216" s="145"/>
      <c r="AR216" s="145"/>
      <c r="AS216" s="145"/>
      <c r="AT216" s="145"/>
      <c r="AU216" s="145"/>
      <c r="AV216" s="145"/>
      <c r="AW216" s="145"/>
      <c r="AX216" s="145"/>
      <c r="AY216" s="145"/>
      <c r="AZ216" s="145"/>
      <c r="BA216" s="145"/>
      <c r="BB216" s="145"/>
      <c r="BC216" s="145"/>
      <c r="BD216" s="145"/>
      <c r="BE216" s="145"/>
      <c r="BF216" s="145"/>
      <c r="BG216" s="145"/>
      <c r="BH216" s="145"/>
      <c r="BI216" s="145"/>
      <c r="BJ216" s="145"/>
      <c r="BK216" s="145"/>
      <c r="BL216" s="145"/>
      <c r="BM216" s="145"/>
      <c r="BN216" s="145"/>
      <c r="BO216" s="145"/>
      <c r="BP216" s="145"/>
      <c r="BQ216" s="145"/>
      <c r="BR216" s="145"/>
      <c r="BS216" s="145"/>
      <c r="BT216" s="145"/>
      <c r="BU216" s="145"/>
      <c r="BV216" s="145"/>
      <c r="BW216" s="145"/>
    </row>
    <row r="217" spans="1:75" ht="20.100000000000001" customHeight="1">
      <c r="A217" s="170" t="str">
        <f t="shared" ref="A217:N217" si="72">A100</f>
        <v>Nastran</v>
      </c>
      <c r="B217" s="170" t="str">
        <f t="shared" si="72"/>
        <v>Nastran</v>
      </c>
      <c r="C217" s="147" t="str">
        <f t="shared" si="72"/>
        <v>Product Design &amp; Manufacturing Collection</v>
      </c>
      <c r="D217" s="147" t="str">
        <f t="shared" si="72"/>
        <v/>
      </c>
      <c r="E217" s="147" t="str">
        <f t="shared" si="72"/>
        <v/>
      </c>
      <c r="F217" s="147" t="str">
        <f t="shared" si="72"/>
        <v/>
      </c>
      <c r="G217" s="147" t="str">
        <f t="shared" si="72"/>
        <v/>
      </c>
      <c r="H217" s="147" t="str">
        <f t="shared" si="72"/>
        <v/>
      </c>
      <c r="I217" s="147" t="str">
        <f t="shared" si="72"/>
        <v/>
      </c>
      <c r="J217" s="147" t="str">
        <f t="shared" si="72"/>
        <v/>
      </c>
      <c r="K217" s="147" t="str">
        <f t="shared" si="72"/>
        <v/>
      </c>
      <c r="L217" s="147" t="str">
        <f t="shared" si="72"/>
        <v/>
      </c>
      <c r="M217" s="147" t="str">
        <f t="shared" si="72"/>
        <v/>
      </c>
      <c r="N217" s="147" t="str">
        <f t="shared" si="72"/>
        <v/>
      </c>
      <c r="O217" s="145"/>
      <c r="P217" s="145"/>
      <c r="Q217" s="145"/>
      <c r="R217" s="145"/>
      <c r="S217" s="145"/>
      <c r="T217" s="145"/>
      <c r="U217" s="145"/>
      <c r="V217" s="145"/>
      <c r="W217" s="145"/>
      <c r="X217" s="145"/>
      <c r="Y217" s="145"/>
      <c r="Z217" s="145"/>
      <c r="AA217" s="145"/>
      <c r="AB217" s="145"/>
      <c r="AC217" s="145"/>
      <c r="AD217" s="145"/>
      <c r="AE217" s="145"/>
      <c r="AF217" s="145"/>
      <c r="AG217" s="145"/>
      <c r="AH217" s="145"/>
      <c r="AI217" s="145"/>
      <c r="AJ217" s="145"/>
      <c r="AK217" s="145"/>
      <c r="AL217" s="145"/>
      <c r="AM217" s="145"/>
      <c r="AN217" s="145"/>
      <c r="AO217" s="145"/>
      <c r="AP217" s="145"/>
      <c r="AQ217" s="145"/>
      <c r="AR217" s="145"/>
      <c r="AS217" s="145"/>
      <c r="AT217" s="145"/>
      <c r="AU217" s="145"/>
      <c r="AV217" s="145"/>
      <c r="AW217" s="145"/>
      <c r="AX217" s="145"/>
      <c r="AY217" s="145"/>
      <c r="AZ217" s="145"/>
      <c r="BA217" s="145"/>
      <c r="BB217" s="145"/>
      <c r="BC217" s="145"/>
      <c r="BD217" s="145"/>
      <c r="BE217" s="145"/>
      <c r="BF217" s="145"/>
      <c r="BG217" s="145"/>
      <c r="BH217" s="145"/>
      <c r="BI217" s="145"/>
      <c r="BJ217" s="145"/>
      <c r="BK217" s="145"/>
      <c r="BL217" s="145"/>
      <c r="BM217" s="145"/>
      <c r="BN217" s="145"/>
      <c r="BO217" s="145"/>
      <c r="BP217" s="145"/>
      <c r="BQ217" s="145"/>
      <c r="BR217" s="145"/>
      <c r="BS217" s="145"/>
      <c r="BT217" s="145"/>
      <c r="BU217" s="145"/>
      <c r="BV217" s="145"/>
      <c r="BW217" s="145"/>
    </row>
    <row r="218" spans="1:75" ht="20.100000000000001" customHeight="1">
      <c r="A218" s="170" t="str">
        <f t="shared" ref="A218:N218" si="73">A101</f>
        <v>Nastran In-CAD</v>
      </c>
      <c r="B218" s="170" t="str">
        <f t="shared" si="73"/>
        <v>Nastran In-CAD</v>
      </c>
      <c r="C218" s="147" t="str">
        <f t="shared" si="73"/>
        <v>Product Design &amp; Manufacturing Collection</v>
      </c>
      <c r="D218" s="147" t="str">
        <f t="shared" si="73"/>
        <v/>
      </c>
      <c r="E218" s="147" t="str">
        <f t="shared" si="73"/>
        <v/>
      </c>
      <c r="F218" s="147" t="str">
        <f t="shared" si="73"/>
        <v/>
      </c>
      <c r="G218" s="147" t="str">
        <f t="shared" si="73"/>
        <v/>
      </c>
      <c r="H218" s="147" t="str">
        <f t="shared" si="73"/>
        <v/>
      </c>
      <c r="I218" s="147" t="str">
        <f t="shared" si="73"/>
        <v/>
      </c>
      <c r="J218" s="147" t="str">
        <f t="shared" si="73"/>
        <v/>
      </c>
      <c r="K218" s="147" t="str">
        <f t="shared" si="73"/>
        <v/>
      </c>
      <c r="L218" s="147" t="str">
        <f t="shared" si="73"/>
        <v/>
      </c>
      <c r="M218" s="147" t="str">
        <f t="shared" si="73"/>
        <v/>
      </c>
      <c r="N218" s="147" t="str">
        <f t="shared" si="73"/>
        <v/>
      </c>
      <c r="O218" s="145"/>
      <c r="P218" s="145"/>
      <c r="Q218" s="145"/>
      <c r="R218" s="145"/>
      <c r="S218" s="145"/>
      <c r="T218" s="145"/>
      <c r="U218" s="145"/>
      <c r="V218" s="145"/>
      <c r="W218" s="145"/>
      <c r="X218" s="145"/>
      <c r="Y218" s="145"/>
      <c r="Z218" s="145"/>
      <c r="AA218" s="145"/>
      <c r="AB218" s="145"/>
      <c r="AC218" s="145"/>
      <c r="AD218" s="145"/>
      <c r="AE218" s="145"/>
      <c r="AF218" s="145"/>
      <c r="AG218" s="145"/>
      <c r="AH218" s="145"/>
      <c r="AI218" s="145"/>
      <c r="AJ218" s="145"/>
      <c r="AK218" s="145"/>
      <c r="AL218" s="145"/>
      <c r="AM218" s="145"/>
      <c r="AN218" s="145"/>
      <c r="AO218" s="145"/>
      <c r="AP218" s="145"/>
      <c r="AQ218" s="145"/>
      <c r="AR218" s="145"/>
      <c r="AS218" s="145"/>
      <c r="AT218" s="145"/>
      <c r="AU218" s="145"/>
      <c r="AV218" s="145"/>
      <c r="AW218" s="145"/>
      <c r="AX218" s="145"/>
      <c r="AY218" s="145"/>
      <c r="AZ218" s="145"/>
      <c r="BA218" s="145"/>
      <c r="BB218" s="145"/>
      <c r="BC218" s="145"/>
      <c r="BD218" s="145"/>
      <c r="BE218" s="145"/>
      <c r="BF218" s="145"/>
      <c r="BG218" s="145"/>
      <c r="BH218" s="145"/>
      <c r="BI218" s="145"/>
      <c r="BJ218" s="145"/>
      <c r="BK218" s="145"/>
      <c r="BL218" s="145"/>
      <c r="BM218" s="145"/>
      <c r="BN218" s="145"/>
      <c r="BO218" s="145"/>
      <c r="BP218" s="145"/>
      <c r="BQ218" s="145"/>
      <c r="BR218" s="145"/>
      <c r="BS218" s="145"/>
      <c r="BT218" s="145"/>
      <c r="BU218" s="145"/>
      <c r="BV218" s="145"/>
      <c r="BW218" s="145"/>
    </row>
    <row r="219" spans="1:75" ht="20.100000000000001" customHeight="1">
      <c r="A219" s="170" t="str">
        <f t="shared" ref="A219:N219" si="74">A102</f>
        <v>Navisworks Manage*</v>
      </c>
      <c r="B219" s="170" t="str">
        <f t="shared" si="74"/>
        <v>Navisworks Manage*</v>
      </c>
      <c r="C219" s="147" t="str">
        <f t="shared" si="74"/>
        <v>Architecture Engineering Construction Collection</v>
      </c>
      <c r="D219" s="147" t="str">
        <f t="shared" si="74"/>
        <v>Product Design &amp; Manufacturing Collection</v>
      </c>
      <c r="E219" s="412" t="str">
        <f>""</f>
        <v/>
      </c>
      <c r="F219" s="147" t="str">
        <f t="shared" si="74"/>
        <v/>
      </c>
      <c r="G219" s="147" t="str">
        <f t="shared" si="74"/>
        <v/>
      </c>
      <c r="H219" s="147" t="str">
        <f t="shared" si="74"/>
        <v/>
      </c>
      <c r="I219" s="147" t="str">
        <f t="shared" si="74"/>
        <v/>
      </c>
      <c r="J219" s="147" t="str">
        <f t="shared" si="74"/>
        <v/>
      </c>
      <c r="K219" s="147" t="str">
        <f t="shared" si="74"/>
        <v/>
      </c>
      <c r="L219" s="147" t="str">
        <f t="shared" si="74"/>
        <v/>
      </c>
      <c r="M219" s="147" t="str">
        <f t="shared" si="74"/>
        <v/>
      </c>
      <c r="N219" s="147" t="str">
        <f t="shared" si="74"/>
        <v/>
      </c>
      <c r="O219" s="145"/>
      <c r="P219" s="145"/>
      <c r="Q219" s="145"/>
      <c r="R219" s="145"/>
      <c r="S219" s="145"/>
      <c r="T219" s="145"/>
      <c r="U219" s="145"/>
      <c r="V219" s="145"/>
      <c r="W219" s="145"/>
      <c r="X219" s="145"/>
      <c r="Y219" s="145"/>
      <c r="Z219" s="145"/>
      <c r="AA219" s="145"/>
      <c r="AB219" s="145"/>
      <c r="AC219" s="145"/>
      <c r="AD219" s="145"/>
      <c r="AE219" s="145"/>
      <c r="AF219" s="145"/>
      <c r="AG219" s="145"/>
      <c r="AH219" s="145"/>
      <c r="AI219" s="145"/>
      <c r="AJ219" s="145"/>
      <c r="AK219" s="145"/>
      <c r="AL219" s="145"/>
      <c r="AM219" s="145"/>
      <c r="AN219" s="145"/>
      <c r="AO219" s="145"/>
      <c r="AP219" s="145"/>
      <c r="AQ219" s="145"/>
      <c r="AR219" s="145"/>
      <c r="AS219" s="145"/>
      <c r="AT219" s="145"/>
      <c r="AU219" s="145"/>
      <c r="AV219" s="145"/>
      <c r="AW219" s="145"/>
      <c r="AX219" s="145"/>
      <c r="AY219" s="145"/>
      <c r="AZ219" s="145"/>
      <c r="BA219" s="145"/>
      <c r="BB219" s="145"/>
      <c r="BC219" s="145"/>
      <c r="BD219" s="145"/>
      <c r="BE219" s="145"/>
      <c r="BF219" s="145"/>
      <c r="BG219" s="145"/>
      <c r="BH219" s="145"/>
      <c r="BI219" s="145"/>
      <c r="BJ219" s="145"/>
      <c r="BK219" s="145"/>
      <c r="BL219" s="145"/>
      <c r="BM219" s="145"/>
      <c r="BN219" s="145"/>
      <c r="BO219" s="145"/>
      <c r="BP219" s="145"/>
      <c r="BQ219" s="145"/>
      <c r="BR219" s="145"/>
      <c r="BS219" s="145"/>
      <c r="BT219" s="145"/>
      <c r="BU219" s="145"/>
      <c r="BV219" s="145"/>
      <c r="BW219" s="145"/>
    </row>
    <row r="220" spans="1:75" ht="20.100000000000001" customHeight="1">
      <c r="A220" s="170" t="str">
        <f t="shared" ref="A220:N220" si="75">A103</f>
        <v>Navisworks Simulate</v>
      </c>
      <c r="B220" s="170" t="str">
        <f t="shared" si="75"/>
        <v>Navisworks Simulate</v>
      </c>
      <c r="C220" s="147" t="str">
        <f t="shared" si="75"/>
        <v>Architecture Engineering Construction Collection</v>
      </c>
      <c r="D220" s="147" t="str">
        <f t="shared" si="75"/>
        <v>Navisworks Manage*</v>
      </c>
      <c r="E220" s="147" t="str">
        <f t="shared" si="75"/>
        <v>Navisworks Simulate</v>
      </c>
      <c r="F220" s="147" t="str">
        <f t="shared" si="75"/>
        <v/>
      </c>
      <c r="G220" s="147" t="str">
        <f t="shared" si="75"/>
        <v/>
      </c>
      <c r="H220" s="147" t="str">
        <f t="shared" si="75"/>
        <v/>
      </c>
      <c r="I220" s="147" t="str">
        <f t="shared" si="75"/>
        <v/>
      </c>
      <c r="J220" s="147" t="str">
        <f t="shared" si="75"/>
        <v/>
      </c>
      <c r="K220" s="147" t="str">
        <f t="shared" si="75"/>
        <v/>
      </c>
      <c r="L220" s="147" t="str">
        <f t="shared" si="75"/>
        <v/>
      </c>
      <c r="M220" s="147" t="str">
        <f t="shared" si="75"/>
        <v/>
      </c>
      <c r="N220" s="147" t="str">
        <f t="shared" si="75"/>
        <v/>
      </c>
      <c r="O220" s="145"/>
      <c r="P220" s="145"/>
      <c r="Q220" s="145"/>
      <c r="R220" s="145"/>
      <c r="S220" s="145"/>
      <c r="T220" s="145"/>
      <c r="U220" s="145"/>
      <c r="V220" s="145"/>
      <c r="W220" s="145"/>
      <c r="X220" s="145"/>
      <c r="Y220" s="145"/>
      <c r="Z220" s="145"/>
      <c r="AA220" s="145"/>
      <c r="AB220" s="145"/>
      <c r="AC220" s="145"/>
      <c r="AD220" s="145"/>
      <c r="AE220" s="145"/>
      <c r="AF220" s="145"/>
      <c r="AG220" s="145"/>
      <c r="AH220" s="145"/>
      <c r="AI220" s="145"/>
      <c r="AJ220" s="145"/>
      <c r="AK220" s="145"/>
      <c r="AL220" s="145"/>
      <c r="AM220" s="145"/>
      <c r="AN220" s="145"/>
      <c r="AO220" s="145"/>
      <c r="AP220" s="145"/>
      <c r="AQ220" s="145"/>
      <c r="AR220" s="145"/>
      <c r="AS220" s="145"/>
      <c r="AT220" s="145"/>
      <c r="AU220" s="145"/>
      <c r="AV220" s="145"/>
      <c r="AW220" s="145"/>
      <c r="AX220" s="145"/>
      <c r="AY220" s="145"/>
      <c r="AZ220" s="145"/>
      <c r="BA220" s="145"/>
      <c r="BB220" s="145"/>
      <c r="BC220" s="145"/>
      <c r="BD220" s="145"/>
      <c r="BE220" s="145"/>
      <c r="BF220" s="145"/>
      <c r="BG220" s="145"/>
      <c r="BH220" s="145"/>
      <c r="BI220" s="145"/>
      <c r="BJ220" s="145"/>
      <c r="BK220" s="145"/>
      <c r="BL220" s="145"/>
      <c r="BM220" s="145"/>
      <c r="BN220" s="145"/>
      <c r="BO220" s="145"/>
      <c r="BP220" s="145"/>
      <c r="BQ220" s="145"/>
      <c r="BR220" s="145"/>
      <c r="BS220" s="145"/>
      <c r="BT220" s="145"/>
      <c r="BU220" s="145"/>
      <c r="BV220" s="145"/>
      <c r="BW220" s="145"/>
    </row>
    <row r="221" spans="1:75" ht="20.100000000000001" customHeight="1">
      <c r="A221" s="170" t="str">
        <f t="shared" ref="A221:N221" si="76">A104</f>
        <v>Plant Design Suite Premium</v>
      </c>
      <c r="B221" s="170" t="str">
        <f t="shared" si="76"/>
        <v>Plant Design Suite Premium</v>
      </c>
      <c r="C221" s="147" t="str">
        <f t="shared" si="76"/>
        <v>Architecture Engineering Construction Collection</v>
      </c>
      <c r="D221" s="147" t="str">
        <f t="shared" si="76"/>
        <v>Product Design &amp; Manufacturing Collection</v>
      </c>
      <c r="E221" s="147" t="str">
        <f t="shared" si="76"/>
        <v/>
      </c>
      <c r="F221" s="147" t="str">
        <f t="shared" si="76"/>
        <v/>
      </c>
      <c r="G221" s="147" t="str">
        <f t="shared" si="76"/>
        <v/>
      </c>
      <c r="H221" s="147" t="str">
        <f t="shared" si="76"/>
        <v/>
      </c>
      <c r="I221" s="147" t="str">
        <f t="shared" si="76"/>
        <v/>
      </c>
      <c r="J221" s="147" t="str">
        <f t="shared" si="76"/>
        <v/>
      </c>
      <c r="K221" s="147" t="str">
        <f t="shared" si="76"/>
        <v/>
      </c>
      <c r="L221" s="147" t="str">
        <f t="shared" si="76"/>
        <v/>
      </c>
      <c r="M221" s="147" t="str">
        <f t="shared" si="76"/>
        <v/>
      </c>
      <c r="N221" s="147" t="str">
        <f t="shared" si="76"/>
        <v/>
      </c>
      <c r="O221" s="145"/>
      <c r="P221" s="145"/>
      <c r="Q221" s="145"/>
      <c r="R221" s="145"/>
      <c r="S221" s="145"/>
      <c r="T221" s="145"/>
      <c r="U221" s="145"/>
      <c r="V221" s="145"/>
      <c r="W221" s="145"/>
      <c r="X221" s="145"/>
      <c r="Y221" s="145"/>
      <c r="Z221" s="145"/>
      <c r="AA221" s="145"/>
      <c r="AB221" s="145"/>
      <c r="AC221" s="145"/>
      <c r="AD221" s="145"/>
      <c r="AE221" s="145"/>
      <c r="AF221" s="145"/>
      <c r="AG221" s="145"/>
      <c r="AH221" s="145"/>
      <c r="AI221" s="145"/>
      <c r="AJ221" s="145"/>
      <c r="AK221" s="145"/>
      <c r="AL221" s="145"/>
      <c r="AM221" s="145"/>
      <c r="AN221" s="145"/>
      <c r="AO221" s="145"/>
      <c r="AP221" s="145"/>
      <c r="AQ221" s="145"/>
      <c r="AR221" s="145"/>
      <c r="AS221" s="145"/>
      <c r="AT221" s="145"/>
      <c r="AU221" s="145"/>
      <c r="AV221" s="145"/>
      <c r="AW221" s="145"/>
      <c r="AX221" s="145"/>
      <c r="AY221" s="145"/>
      <c r="AZ221" s="145"/>
      <c r="BA221" s="145"/>
      <c r="BB221" s="145"/>
      <c r="BC221" s="145"/>
      <c r="BD221" s="145"/>
      <c r="BE221" s="145"/>
      <c r="BF221" s="145"/>
      <c r="BG221" s="145"/>
      <c r="BH221" s="145"/>
      <c r="BI221" s="145"/>
      <c r="BJ221" s="145"/>
      <c r="BK221" s="145"/>
      <c r="BL221" s="145"/>
      <c r="BM221" s="145"/>
      <c r="BN221" s="145"/>
      <c r="BO221" s="145"/>
      <c r="BP221" s="145"/>
      <c r="BQ221" s="145"/>
      <c r="BR221" s="145"/>
      <c r="BS221" s="145"/>
      <c r="BT221" s="145"/>
      <c r="BU221" s="145"/>
      <c r="BV221" s="145"/>
      <c r="BW221" s="145"/>
    </row>
    <row r="222" spans="1:75" ht="20.100000000000001" customHeight="1">
      <c r="A222" s="170" t="str">
        <f t="shared" ref="A222:N222" si="77">A105</f>
        <v>Plant Design Suite Standard</v>
      </c>
      <c r="B222" s="170" t="str">
        <f t="shared" si="77"/>
        <v>Plant Design Suite Standard</v>
      </c>
      <c r="C222" s="147" t="str">
        <f t="shared" si="77"/>
        <v>Architecture Engineering Construction Collection</v>
      </c>
      <c r="D222" s="147" t="str">
        <f t="shared" si="77"/>
        <v>Product Design &amp; Manufacturing Collection</v>
      </c>
      <c r="E222" s="147" t="str">
        <f t="shared" si="77"/>
        <v>AutoCAD - including specialized toolsets</v>
      </c>
      <c r="F222" s="147" t="str">
        <f t="shared" si="77"/>
        <v/>
      </c>
      <c r="G222" s="147" t="str">
        <f t="shared" si="77"/>
        <v/>
      </c>
      <c r="H222" s="147" t="str">
        <f t="shared" si="77"/>
        <v/>
      </c>
      <c r="I222" s="147" t="str">
        <f t="shared" si="77"/>
        <v/>
      </c>
      <c r="J222" s="147" t="str">
        <f t="shared" si="77"/>
        <v/>
      </c>
      <c r="K222" s="147" t="str">
        <f t="shared" si="77"/>
        <v/>
      </c>
      <c r="L222" s="147" t="str">
        <f t="shared" si="77"/>
        <v/>
      </c>
      <c r="M222" s="147" t="str">
        <f t="shared" si="77"/>
        <v/>
      </c>
      <c r="N222" s="147" t="str">
        <f t="shared" si="77"/>
        <v/>
      </c>
      <c r="O222" s="145"/>
      <c r="P222" s="145"/>
      <c r="Q222" s="145"/>
      <c r="R222" s="145"/>
      <c r="S222" s="145"/>
      <c r="T222" s="145"/>
      <c r="U222" s="145"/>
      <c r="V222" s="145"/>
      <c r="W222" s="145"/>
      <c r="X222" s="145"/>
      <c r="Y222" s="145"/>
      <c r="Z222" s="145"/>
      <c r="AA222" s="145"/>
      <c r="AB222" s="145"/>
      <c r="AC222" s="145"/>
      <c r="AD222" s="145"/>
      <c r="AE222" s="145"/>
      <c r="AF222" s="145"/>
      <c r="AG222" s="145"/>
      <c r="AH222" s="145"/>
      <c r="AI222" s="145"/>
      <c r="AJ222" s="145"/>
      <c r="AK222" s="145"/>
      <c r="AL222" s="145"/>
      <c r="AM222" s="145"/>
      <c r="AN222" s="145"/>
      <c r="AO222" s="145"/>
      <c r="AP222" s="145"/>
      <c r="AQ222" s="145"/>
      <c r="AR222" s="145"/>
      <c r="AS222" s="145"/>
      <c r="AT222" s="145"/>
      <c r="AU222" s="145"/>
      <c r="AV222" s="145"/>
      <c r="AW222" s="145"/>
      <c r="AX222" s="145"/>
      <c r="AY222" s="145"/>
      <c r="AZ222" s="145"/>
      <c r="BA222" s="145"/>
      <c r="BB222" s="145"/>
      <c r="BC222" s="145"/>
      <c r="BD222" s="145"/>
      <c r="BE222" s="145"/>
      <c r="BF222" s="145"/>
      <c r="BG222" s="145"/>
      <c r="BH222" s="145"/>
      <c r="BI222" s="145"/>
      <c r="BJ222" s="145"/>
      <c r="BK222" s="145"/>
      <c r="BL222" s="145"/>
      <c r="BM222" s="145"/>
      <c r="BN222" s="145"/>
      <c r="BO222" s="145"/>
      <c r="BP222" s="145"/>
      <c r="BQ222" s="145"/>
      <c r="BR222" s="145"/>
      <c r="BS222" s="145"/>
      <c r="BT222" s="145"/>
      <c r="BU222" s="145"/>
      <c r="BV222" s="145"/>
      <c r="BW222" s="145"/>
    </row>
    <row r="223" spans="1:75" ht="20.100000000000001" customHeight="1">
      <c r="A223" s="170" t="str">
        <f t="shared" ref="A223:N223" si="78">A106</f>
        <v>Plant Design Suite Ultimate</v>
      </c>
      <c r="B223" s="170" t="str">
        <f t="shared" si="78"/>
        <v>Plant Design Suite Ultimate</v>
      </c>
      <c r="C223" s="147" t="str">
        <f t="shared" si="78"/>
        <v>Architecture Engineering Construction Collection</v>
      </c>
      <c r="D223" s="147" t="str">
        <f t="shared" si="78"/>
        <v>Product Design &amp; Manufacturing Collection</v>
      </c>
      <c r="E223" s="147" t="str">
        <f t="shared" si="78"/>
        <v/>
      </c>
      <c r="F223" s="147" t="str">
        <f t="shared" si="78"/>
        <v/>
      </c>
      <c r="G223" s="147" t="str">
        <f t="shared" si="78"/>
        <v/>
      </c>
      <c r="H223" s="147" t="str">
        <f t="shared" si="78"/>
        <v/>
      </c>
      <c r="I223" s="147" t="str">
        <f t="shared" si="78"/>
        <v/>
      </c>
      <c r="J223" s="147" t="str">
        <f t="shared" si="78"/>
        <v/>
      </c>
      <c r="K223" s="147" t="str">
        <f t="shared" si="78"/>
        <v/>
      </c>
      <c r="L223" s="147" t="str">
        <f t="shared" si="78"/>
        <v/>
      </c>
      <c r="M223" s="147" t="str">
        <f t="shared" si="78"/>
        <v/>
      </c>
      <c r="N223" s="147" t="str">
        <f t="shared" si="78"/>
        <v/>
      </c>
      <c r="O223" s="145"/>
      <c r="P223" s="145"/>
      <c r="Q223" s="145"/>
      <c r="R223" s="145"/>
      <c r="S223" s="145"/>
      <c r="T223" s="145"/>
      <c r="U223" s="145"/>
      <c r="V223" s="145"/>
      <c r="W223" s="145"/>
      <c r="X223" s="145"/>
      <c r="Y223" s="145"/>
      <c r="Z223" s="145"/>
      <c r="AA223" s="145"/>
      <c r="AB223" s="145"/>
      <c r="AC223" s="145"/>
      <c r="AD223" s="145"/>
      <c r="AE223" s="145"/>
      <c r="AF223" s="145"/>
      <c r="AG223" s="145"/>
      <c r="AH223" s="145"/>
      <c r="AI223" s="145"/>
      <c r="AJ223" s="145"/>
      <c r="AK223" s="145"/>
      <c r="AL223" s="145"/>
      <c r="AM223" s="145"/>
      <c r="AN223" s="145"/>
      <c r="AO223" s="145"/>
      <c r="AP223" s="145"/>
      <c r="AQ223" s="145"/>
      <c r="AR223" s="145"/>
      <c r="AS223" s="145"/>
      <c r="AT223" s="145"/>
      <c r="AU223" s="145"/>
      <c r="AV223" s="145"/>
      <c r="AW223" s="145"/>
      <c r="AX223" s="145"/>
      <c r="AY223" s="145"/>
      <c r="AZ223" s="145"/>
      <c r="BA223" s="145"/>
      <c r="BB223" s="145"/>
      <c r="BC223" s="145"/>
      <c r="BD223" s="145"/>
      <c r="BE223" s="145"/>
      <c r="BF223" s="145"/>
      <c r="BG223" s="145"/>
      <c r="BH223" s="145"/>
      <c r="BI223" s="145"/>
      <c r="BJ223" s="145"/>
      <c r="BK223" s="145"/>
      <c r="BL223" s="145"/>
      <c r="BM223" s="145"/>
      <c r="BN223" s="145"/>
      <c r="BO223" s="145"/>
      <c r="BP223" s="145"/>
      <c r="BQ223" s="145"/>
      <c r="BR223" s="145"/>
      <c r="BS223" s="145"/>
      <c r="BT223" s="145"/>
      <c r="BU223" s="145"/>
      <c r="BV223" s="145"/>
      <c r="BW223" s="145"/>
    </row>
    <row r="224" spans="1:75" ht="20.100000000000001" customHeight="1">
      <c r="A224" s="170" t="str">
        <f t="shared" ref="A224:N224" si="79">A107</f>
        <v>Point Layout</v>
      </c>
      <c r="B224" s="170" t="str">
        <f t="shared" si="79"/>
        <v>Point Layout</v>
      </c>
      <c r="C224" s="147" t="str">
        <f t="shared" si="79"/>
        <v>Point Layout</v>
      </c>
      <c r="D224" s="147" t="str">
        <f t="shared" si="79"/>
        <v/>
      </c>
      <c r="E224" s="147" t="str">
        <f t="shared" si="79"/>
        <v/>
      </c>
      <c r="F224" s="147" t="str">
        <f t="shared" si="79"/>
        <v/>
      </c>
      <c r="G224" s="147" t="str">
        <f t="shared" si="79"/>
        <v/>
      </c>
      <c r="H224" s="147" t="str">
        <f t="shared" si="79"/>
        <v/>
      </c>
      <c r="I224" s="147" t="str">
        <f t="shared" si="79"/>
        <v/>
      </c>
      <c r="J224" s="147" t="str">
        <f t="shared" si="79"/>
        <v/>
      </c>
      <c r="K224" s="147" t="str">
        <f t="shared" si="79"/>
        <v/>
      </c>
      <c r="L224" s="147" t="str">
        <f t="shared" si="79"/>
        <v/>
      </c>
      <c r="M224" s="147" t="str">
        <f t="shared" si="79"/>
        <v/>
      </c>
      <c r="N224" s="147" t="str">
        <f t="shared" si="79"/>
        <v/>
      </c>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c r="BS224" s="145"/>
      <c r="BT224" s="145"/>
      <c r="BU224" s="145"/>
      <c r="BV224" s="145"/>
      <c r="BW224" s="145"/>
    </row>
    <row r="225" spans="1:75" ht="20.100000000000001" customHeight="1">
      <c r="A225" s="170" t="str">
        <f t="shared" ref="A225:N225" si="80">A108</f>
        <v>PowerInspect - Premium</v>
      </c>
      <c r="B225" s="170" t="str">
        <f t="shared" si="80"/>
        <v>PowerInspect - Premium</v>
      </c>
      <c r="C225" s="147" t="str">
        <f t="shared" si="80"/>
        <v>PowerInspect - Premium</v>
      </c>
      <c r="D225" s="147" t="str">
        <f t="shared" si="80"/>
        <v>PowerInspect - Ultimate</v>
      </c>
      <c r="E225" s="147" t="str">
        <f t="shared" si="80"/>
        <v/>
      </c>
      <c r="F225" s="147" t="str">
        <f t="shared" si="80"/>
        <v/>
      </c>
      <c r="G225" s="147" t="str">
        <f t="shared" si="80"/>
        <v/>
      </c>
      <c r="H225" s="147" t="str">
        <f t="shared" si="80"/>
        <v/>
      </c>
      <c r="I225" s="147" t="str">
        <f t="shared" si="80"/>
        <v/>
      </c>
      <c r="J225" s="147" t="str">
        <f t="shared" si="80"/>
        <v/>
      </c>
      <c r="K225" s="147" t="str">
        <f t="shared" si="80"/>
        <v/>
      </c>
      <c r="L225" s="147" t="str">
        <f t="shared" si="80"/>
        <v/>
      </c>
      <c r="M225" s="147" t="str">
        <f t="shared" si="80"/>
        <v/>
      </c>
      <c r="N225" s="147" t="str">
        <f t="shared" si="80"/>
        <v/>
      </c>
      <c r="O225" s="145"/>
      <c r="P225" s="145"/>
      <c r="Q225" s="145"/>
      <c r="R225" s="145"/>
      <c r="S225" s="145"/>
      <c r="T225" s="145"/>
      <c r="U225" s="145"/>
      <c r="V225" s="145"/>
      <c r="W225" s="145"/>
      <c r="X225" s="145"/>
      <c r="Y225" s="145"/>
      <c r="Z225" s="145"/>
      <c r="AA225" s="145"/>
      <c r="AB225" s="145"/>
      <c r="AC225" s="145"/>
      <c r="AD225" s="145"/>
      <c r="AE225" s="145"/>
      <c r="AF225" s="145"/>
      <c r="AG225" s="145"/>
      <c r="AH225" s="145"/>
      <c r="AI225" s="145"/>
      <c r="AJ225" s="145"/>
      <c r="AK225" s="145"/>
      <c r="AL225" s="145"/>
      <c r="AM225" s="145"/>
      <c r="AN225" s="145"/>
      <c r="AO225" s="145"/>
      <c r="AP225" s="145"/>
      <c r="AQ225" s="145"/>
      <c r="AR225" s="145"/>
      <c r="AS225" s="145"/>
      <c r="AT225" s="145"/>
      <c r="AU225" s="145"/>
      <c r="AV225" s="145"/>
      <c r="AW225" s="145"/>
      <c r="AX225" s="145"/>
      <c r="AY225" s="145"/>
      <c r="AZ225" s="145"/>
      <c r="BA225" s="145"/>
      <c r="BB225" s="145"/>
      <c r="BC225" s="145"/>
      <c r="BD225" s="145"/>
      <c r="BE225" s="145"/>
      <c r="BF225" s="145"/>
      <c r="BG225" s="145"/>
      <c r="BH225" s="145"/>
      <c r="BI225" s="145"/>
      <c r="BJ225" s="145"/>
      <c r="BK225" s="145"/>
      <c r="BL225" s="145"/>
      <c r="BM225" s="145"/>
      <c r="BN225" s="145"/>
      <c r="BO225" s="145"/>
      <c r="BP225" s="145"/>
      <c r="BQ225" s="145"/>
      <c r="BR225" s="145"/>
      <c r="BS225" s="145"/>
      <c r="BT225" s="145"/>
      <c r="BU225" s="145"/>
      <c r="BV225" s="145"/>
      <c r="BW225" s="145"/>
    </row>
    <row r="226" spans="1:75" ht="20.100000000000001" customHeight="1">
      <c r="A226" s="170" t="str">
        <f t="shared" ref="A226:N226" si="81">A109</f>
        <v xml:space="preserve">PowerInspect - Standard </v>
      </c>
      <c r="B226" s="170" t="str">
        <f t="shared" si="81"/>
        <v xml:space="preserve">PowerInspect - Standard </v>
      </c>
      <c r="C226" s="147" t="str">
        <f t="shared" si="81"/>
        <v>PowerInspect - Premium</v>
      </c>
      <c r="D226" s="147" t="str">
        <f t="shared" si="81"/>
        <v xml:space="preserve">PowerInspect - Standard </v>
      </c>
      <c r="E226" s="147" t="str">
        <f t="shared" si="81"/>
        <v>PowerInspect - Ultimate</v>
      </c>
      <c r="F226" s="147" t="str">
        <f t="shared" si="81"/>
        <v/>
      </c>
      <c r="G226" s="147" t="str">
        <f t="shared" si="81"/>
        <v/>
      </c>
      <c r="H226" s="147" t="str">
        <f t="shared" si="81"/>
        <v/>
      </c>
      <c r="I226" s="147" t="str">
        <f t="shared" si="81"/>
        <v/>
      </c>
      <c r="J226" s="147" t="str">
        <f t="shared" si="81"/>
        <v/>
      </c>
      <c r="K226" s="147" t="str">
        <f t="shared" si="81"/>
        <v/>
      </c>
      <c r="L226" s="147" t="str">
        <f t="shared" si="81"/>
        <v/>
      </c>
      <c r="M226" s="147" t="str">
        <f t="shared" si="81"/>
        <v/>
      </c>
      <c r="N226" s="147" t="str">
        <f t="shared" si="81"/>
        <v/>
      </c>
      <c r="O226" s="145"/>
      <c r="P226" s="145"/>
      <c r="Q226" s="145"/>
      <c r="R226" s="145"/>
      <c r="S226" s="145"/>
      <c r="T226" s="145"/>
      <c r="U226" s="145"/>
      <c r="V226" s="145"/>
      <c r="W226" s="145"/>
      <c r="X226" s="145"/>
      <c r="Y226" s="145"/>
      <c r="Z226" s="145"/>
      <c r="AA226" s="145"/>
      <c r="AB226" s="145"/>
      <c r="AC226" s="145"/>
      <c r="AD226" s="145"/>
      <c r="AE226" s="145"/>
      <c r="AF226" s="145"/>
      <c r="AG226" s="145"/>
      <c r="AH226" s="145"/>
      <c r="AI226" s="145"/>
      <c r="AJ226" s="145"/>
      <c r="AK226" s="145"/>
      <c r="AL226" s="145"/>
      <c r="AM226" s="145"/>
      <c r="AN226" s="145"/>
      <c r="AO226" s="145"/>
      <c r="AP226" s="145"/>
      <c r="AQ226" s="145"/>
      <c r="AR226" s="145"/>
      <c r="AS226" s="145"/>
      <c r="AT226" s="145"/>
      <c r="AU226" s="145"/>
      <c r="AV226" s="145"/>
      <c r="AW226" s="145"/>
      <c r="AX226" s="145"/>
      <c r="AY226" s="145"/>
      <c r="AZ226" s="145"/>
      <c r="BA226" s="145"/>
      <c r="BB226" s="145"/>
      <c r="BC226" s="145"/>
      <c r="BD226" s="145"/>
      <c r="BE226" s="145"/>
      <c r="BF226" s="145"/>
      <c r="BG226" s="145"/>
      <c r="BH226" s="145"/>
      <c r="BI226" s="145"/>
      <c r="BJ226" s="145"/>
      <c r="BK226" s="145"/>
      <c r="BL226" s="145"/>
      <c r="BM226" s="145"/>
      <c r="BN226" s="145"/>
      <c r="BO226" s="145"/>
      <c r="BP226" s="145"/>
      <c r="BQ226" s="145"/>
      <c r="BR226" s="145"/>
      <c r="BS226" s="145"/>
      <c r="BT226" s="145"/>
      <c r="BU226" s="145"/>
      <c r="BV226" s="145"/>
      <c r="BW226" s="145"/>
    </row>
    <row r="227" spans="1:75" ht="20.100000000000001" customHeight="1">
      <c r="A227" s="170" t="str">
        <f t="shared" ref="A227:N227" si="82">A110</f>
        <v>PowerInspect - Ultimate</v>
      </c>
      <c r="B227" s="170" t="str">
        <f t="shared" si="82"/>
        <v>PowerInspect - Ultimate</v>
      </c>
      <c r="C227" s="147" t="str">
        <f t="shared" si="82"/>
        <v>PowerInspect - Ultimate</v>
      </c>
      <c r="D227" s="147" t="str">
        <f t="shared" si="82"/>
        <v/>
      </c>
      <c r="E227" s="147" t="str">
        <f t="shared" si="82"/>
        <v/>
      </c>
      <c r="F227" s="147" t="str">
        <f t="shared" si="82"/>
        <v/>
      </c>
      <c r="G227" s="147" t="str">
        <f t="shared" si="82"/>
        <v/>
      </c>
      <c r="H227" s="147" t="str">
        <f t="shared" si="82"/>
        <v/>
      </c>
      <c r="I227" s="147" t="str">
        <f t="shared" si="82"/>
        <v/>
      </c>
      <c r="J227" s="147" t="str">
        <f t="shared" si="82"/>
        <v/>
      </c>
      <c r="K227" s="147" t="str">
        <f t="shared" si="82"/>
        <v/>
      </c>
      <c r="L227" s="147" t="str">
        <f t="shared" si="82"/>
        <v/>
      </c>
      <c r="M227" s="147" t="str">
        <f t="shared" si="82"/>
        <v/>
      </c>
      <c r="N227" s="147" t="str">
        <f t="shared" si="82"/>
        <v/>
      </c>
      <c r="O227" s="145"/>
      <c r="P227" s="145"/>
      <c r="Q227" s="145"/>
      <c r="R227" s="145"/>
      <c r="S227" s="145"/>
      <c r="T227" s="145"/>
      <c r="U227" s="145"/>
      <c r="V227" s="145"/>
      <c r="W227" s="145"/>
      <c r="X227" s="145"/>
      <c r="Y227" s="145"/>
      <c r="Z227" s="145"/>
      <c r="AA227" s="145"/>
      <c r="AB227" s="145"/>
      <c r="AC227" s="145"/>
      <c r="AD227" s="145"/>
      <c r="AE227" s="145"/>
      <c r="AF227" s="145"/>
      <c r="AG227" s="145"/>
      <c r="AH227" s="145"/>
      <c r="AI227" s="145"/>
      <c r="AJ227" s="145"/>
      <c r="AK227" s="145"/>
      <c r="AL227" s="145"/>
      <c r="AM227" s="145"/>
      <c r="AN227" s="145"/>
      <c r="AO227" s="145"/>
      <c r="AP227" s="145"/>
      <c r="AQ227" s="145"/>
      <c r="AR227" s="145"/>
      <c r="AS227" s="145"/>
      <c r="AT227" s="145"/>
      <c r="AU227" s="145"/>
      <c r="AV227" s="145"/>
      <c r="AW227" s="145"/>
      <c r="AX227" s="145"/>
      <c r="AY227" s="145"/>
      <c r="AZ227" s="145"/>
      <c r="BA227" s="145"/>
      <c r="BB227" s="145"/>
      <c r="BC227" s="145"/>
      <c r="BD227" s="145"/>
      <c r="BE227" s="145"/>
      <c r="BF227" s="145"/>
      <c r="BG227" s="145"/>
      <c r="BH227" s="145"/>
      <c r="BI227" s="145"/>
      <c r="BJ227" s="145"/>
      <c r="BK227" s="145"/>
      <c r="BL227" s="145"/>
      <c r="BM227" s="145"/>
      <c r="BN227" s="145"/>
      <c r="BO227" s="145"/>
      <c r="BP227" s="145"/>
      <c r="BQ227" s="145"/>
      <c r="BR227" s="145"/>
      <c r="BS227" s="145"/>
      <c r="BT227" s="145"/>
      <c r="BU227" s="145"/>
      <c r="BV227" s="145"/>
      <c r="BW227" s="145"/>
    </row>
    <row r="228" spans="1:75" ht="20.100000000000001" customHeight="1">
      <c r="A228" s="170" t="str">
        <f t="shared" ref="A228:N228" si="83">A111</f>
        <v>PowerMill - Premium</v>
      </c>
      <c r="B228" s="170" t="str">
        <f t="shared" si="83"/>
        <v>PowerMill - Premium</v>
      </c>
      <c r="C228" s="147" t="str">
        <f t="shared" si="83"/>
        <v>PowerMill - Premium</v>
      </c>
      <c r="D228" s="147" t="str">
        <f t="shared" si="83"/>
        <v>PowerMill - Ultimate</v>
      </c>
      <c r="E228" s="147" t="str">
        <f t="shared" si="83"/>
        <v/>
      </c>
      <c r="F228" s="147" t="str">
        <f t="shared" si="83"/>
        <v/>
      </c>
      <c r="G228" s="147" t="str">
        <f t="shared" si="83"/>
        <v/>
      </c>
      <c r="H228" s="147" t="str">
        <f t="shared" si="83"/>
        <v/>
      </c>
      <c r="I228" s="147" t="str">
        <f t="shared" si="83"/>
        <v/>
      </c>
      <c r="J228" s="147" t="str">
        <f t="shared" si="83"/>
        <v/>
      </c>
      <c r="K228" s="147" t="str">
        <f t="shared" si="83"/>
        <v/>
      </c>
      <c r="L228" s="147" t="str">
        <f t="shared" si="83"/>
        <v/>
      </c>
      <c r="M228" s="147" t="str">
        <f t="shared" si="83"/>
        <v/>
      </c>
      <c r="N228" s="147" t="str">
        <f t="shared" si="83"/>
        <v/>
      </c>
      <c r="O228" s="145"/>
      <c r="P228" s="145"/>
      <c r="Q228" s="145"/>
      <c r="R228" s="145"/>
      <c r="S228" s="145"/>
      <c r="T228" s="145"/>
      <c r="U228" s="145"/>
      <c r="V228" s="145"/>
      <c r="W228" s="145"/>
      <c r="X228" s="145"/>
      <c r="Y228" s="145"/>
      <c r="Z228" s="145"/>
      <c r="AA228" s="145"/>
      <c r="AB228" s="145"/>
      <c r="AC228" s="145"/>
      <c r="AD228" s="145"/>
      <c r="AE228" s="145"/>
      <c r="AF228" s="145"/>
      <c r="AG228" s="145"/>
      <c r="AH228" s="145"/>
      <c r="AI228" s="145"/>
      <c r="AJ228" s="145"/>
      <c r="AK228" s="145"/>
      <c r="AL228" s="145"/>
      <c r="AM228" s="145"/>
      <c r="AN228" s="145"/>
      <c r="AO228" s="145"/>
      <c r="AP228" s="145"/>
      <c r="AQ228" s="145"/>
      <c r="AR228" s="145"/>
      <c r="AS228" s="145"/>
      <c r="AT228" s="145"/>
      <c r="AU228" s="145"/>
      <c r="AV228" s="145"/>
      <c r="AW228" s="145"/>
      <c r="AX228" s="145"/>
      <c r="AY228" s="145"/>
      <c r="AZ228" s="145"/>
      <c r="BA228" s="145"/>
      <c r="BB228" s="145"/>
      <c r="BC228" s="145"/>
      <c r="BD228" s="145"/>
      <c r="BE228" s="145"/>
      <c r="BF228" s="145"/>
      <c r="BG228" s="145"/>
      <c r="BH228" s="145"/>
      <c r="BI228" s="145"/>
      <c r="BJ228" s="145"/>
      <c r="BK228" s="145"/>
      <c r="BL228" s="145"/>
      <c r="BM228" s="145"/>
      <c r="BN228" s="145"/>
      <c r="BO228" s="145"/>
      <c r="BP228" s="145"/>
      <c r="BQ228" s="145"/>
      <c r="BR228" s="145"/>
      <c r="BS228" s="145"/>
      <c r="BT228" s="145"/>
      <c r="BU228" s="145"/>
      <c r="BV228" s="145"/>
      <c r="BW228" s="145"/>
    </row>
    <row r="229" spans="1:75" ht="20.100000000000001" customHeight="1">
      <c r="A229" s="170" t="str">
        <f t="shared" ref="A229:N229" si="84">A112</f>
        <v>PowerMill - Standard</v>
      </c>
      <c r="B229" s="170" t="str">
        <f t="shared" si="84"/>
        <v>PowerMill - Standard</v>
      </c>
      <c r="C229" s="147" t="str">
        <f t="shared" si="84"/>
        <v>PowerMill - Premium</v>
      </c>
      <c r="D229" s="147" t="str">
        <f t="shared" si="84"/>
        <v>PowerMill - Standard</v>
      </c>
      <c r="E229" s="147" t="str">
        <f t="shared" si="84"/>
        <v>PowerMill - Ultimate</v>
      </c>
      <c r="F229" s="147" t="str">
        <f t="shared" si="84"/>
        <v/>
      </c>
      <c r="G229" s="147" t="str">
        <f t="shared" si="84"/>
        <v/>
      </c>
      <c r="H229" s="147" t="str">
        <f t="shared" si="84"/>
        <v/>
      </c>
      <c r="I229" s="147" t="str">
        <f t="shared" si="84"/>
        <v/>
      </c>
      <c r="J229" s="147" t="str">
        <f t="shared" si="84"/>
        <v/>
      </c>
      <c r="K229" s="147" t="str">
        <f t="shared" si="84"/>
        <v/>
      </c>
      <c r="L229" s="147" t="str">
        <f t="shared" si="84"/>
        <v/>
      </c>
      <c r="M229" s="147" t="str">
        <f t="shared" si="84"/>
        <v/>
      </c>
      <c r="N229" s="147" t="str">
        <f t="shared" si="84"/>
        <v/>
      </c>
      <c r="O229" s="145"/>
      <c r="P229" s="145"/>
      <c r="Q229" s="145"/>
      <c r="R229" s="145"/>
      <c r="S229" s="145"/>
      <c r="T229" s="145"/>
      <c r="U229" s="145"/>
      <c r="V229" s="145"/>
      <c r="W229" s="145"/>
      <c r="X229" s="145"/>
      <c r="Y229" s="145"/>
      <c r="Z229" s="145"/>
      <c r="AA229" s="145"/>
      <c r="AB229" s="145"/>
      <c r="AC229" s="145"/>
      <c r="AD229" s="145"/>
      <c r="AE229" s="145"/>
      <c r="AF229" s="145"/>
      <c r="AG229" s="145"/>
      <c r="AH229" s="145"/>
      <c r="AI229" s="145"/>
      <c r="AJ229" s="145"/>
      <c r="AK229" s="145"/>
      <c r="AL229" s="145"/>
      <c r="AM229" s="145"/>
      <c r="AN229" s="145"/>
      <c r="AO229" s="145"/>
      <c r="AP229" s="145"/>
      <c r="AQ229" s="145"/>
      <c r="AR229" s="145"/>
      <c r="AS229" s="145"/>
      <c r="AT229" s="145"/>
      <c r="AU229" s="145"/>
      <c r="AV229" s="145"/>
      <c r="AW229" s="145"/>
      <c r="AX229" s="145"/>
      <c r="AY229" s="145"/>
      <c r="AZ229" s="145"/>
      <c r="BA229" s="145"/>
      <c r="BB229" s="145"/>
      <c r="BC229" s="145"/>
      <c r="BD229" s="145"/>
      <c r="BE229" s="145"/>
      <c r="BF229" s="145"/>
      <c r="BG229" s="145"/>
      <c r="BH229" s="145"/>
      <c r="BI229" s="145"/>
      <c r="BJ229" s="145"/>
      <c r="BK229" s="145"/>
      <c r="BL229" s="145"/>
      <c r="BM229" s="145"/>
      <c r="BN229" s="145"/>
      <c r="BO229" s="145"/>
      <c r="BP229" s="145"/>
      <c r="BQ229" s="145"/>
      <c r="BR229" s="145"/>
      <c r="BS229" s="145"/>
      <c r="BT229" s="145"/>
      <c r="BU229" s="145"/>
      <c r="BV229" s="145"/>
      <c r="BW229" s="145"/>
    </row>
    <row r="230" spans="1:75" ht="20.100000000000001" customHeight="1">
      <c r="A230" s="170" t="str">
        <f t="shared" ref="A230:N230" si="85">A113</f>
        <v>PowerMill - Ultimate</v>
      </c>
      <c r="B230" s="170" t="str">
        <f t="shared" si="85"/>
        <v>PowerMill - Ultimate</v>
      </c>
      <c r="C230" s="147" t="str">
        <f t="shared" si="85"/>
        <v>PowerMill - Ultimate</v>
      </c>
      <c r="D230" s="147" t="str">
        <f t="shared" si="85"/>
        <v/>
      </c>
      <c r="E230" s="147" t="str">
        <f t="shared" si="85"/>
        <v/>
      </c>
      <c r="F230" s="147" t="str">
        <f t="shared" si="85"/>
        <v/>
      </c>
      <c r="G230" s="147" t="str">
        <f t="shared" si="85"/>
        <v/>
      </c>
      <c r="H230" s="147" t="str">
        <f t="shared" si="85"/>
        <v/>
      </c>
      <c r="I230" s="147" t="str">
        <f t="shared" si="85"/>
        <v/>
      </c>
      <c r="J230" s="147" t="str">
        <f t="shared" si="85"/>
        <v/>
      </c>
      <c r="K230" s="147" t="str">
        <f t="shared" si="85"/>
        <v/>
      </c>
      <c r="L230" s="147" t="str">
        <f t="shared" si="85"/>
        <v/>
      </c>
      <c r="M230" s="147" t="str">
        <f t="shared" si="85"/>
        <v/>
      </c>
      <c r="N230" s="147" t="str">
        <f t="shared" si="85"/>
        <v/>
      </c>
      <c r="O230" s="145"/>
      <c r="P230" s="145"/>
      <c r="Q230" s="145"/>
      <c r="R230" s="145"/>
      <c r="S230" s="145"/>
      <c r="T230" s="145"/>
      <c r="U230" s="145"/>
      <c r="V230" s="145"/>
      <c r="W230" s="145"/>
      <c r="X230" s="145"/>
      <c r="Y230" s="145"/>
      <c r="Z230" s="145"/>
      <c r="AA230" s="145"/>
      <c r="AB230" s="145"/>
      <c r="AC230" s="145"/>
      <c r="AD230" s="145"/>
      <c r="AE230" s="145"/>
      <c r="AF230" s="145"/>
      <c r="AG230" s="145"/>
      <c r="AH230" s="145"/>
      <c r="AI230" s="145"/>
      <c r="AJ230" s="145"/>
      <c r="AK230" s="145"/>
      <c r="AL230" s="145"/>
      <c r="AM230" s="145"/>
      <c r="AN230" s="145"/>
      <c r="AO230" s="145"/>
      <c r="AP230" s="145"/>
      <c r="AQ230" s="145"/>
      <c r="AR230" s="145"/>
      <c r="AS230" s="145"/>
      <c r="AT230" s="145"/>
      <c r="AU230" s="145"/>
      <c r="AV230" s="145"/>
      <c r="AW230" s="145"/>
      <c r="AX230" s="145"/>
      <c r="AY230" s="145"/>
      <c r="AZ230" s="145"/>
      <c r="BA230" s="145"/>
      <c r="BB230" s="145"/>
      <c r="BC230" s="145"/>
      <c r="BD230" s="145"/>
      <c r="BE230" s="145"/>
      <c r="BF230" s="145"/>
      <c r="BG230" s="145"/>
      <c r="BH230" s="145"/>
      <c r="BI230" s="145"/>
      <c r="BJ230" s="145"/>
      <c r="BK230" s="145"/>
      <c r="BL230" s="145"/>
      <c r="BM230" s="145"/>
      <c r="BN230" s="145"/>
      <c r="BO230" s="145"/>
      <c r="BP230" s="145"/>
      <c r="BQ230" s="145"/>
      <c r="BR230" s="145"/>
      <c r="BS230" s="145"/>
      <c r="BT230" s="145"/>
      <c r="BU230" s="145"/>
      <c r="BV230" s="145"/>
      <c r="BW230" s="145"/>
    </row>
    <row r="231" spans="1:75" ht="20.100000000000001" customHeight="1">
      <c r="A231" s="170" t="str">
        <f t="shared" ref="A231:N231" si="86">A114</f>
        <v>PowerShape - Premium</v>
      </c>
      <c r="B231" s="170" t="str">
        <f t="shared" si="86"/>
        <v>PowerShape - Premium</v>
      </c>
      <c r="C231" s="147" t="str">
        <f t="shared" si="86"/>
        <v>PowerShape - Premium</v>
      </c>
      <c r="D231" s="147" t="str">
        <f t="shared" si="86"/>
        <v>PowerShape - Ultimate</v>
      </c>
      <c r="E231" s="147" t="str">
        <f t="shared" si="86"/>
        <v/>
      </c>
      <c r="F231" s="147" t="str">
        <f t="shared" si="86"/>
        <v/>
      </c>
      <c r="G231" s="147" t="str">
        <f t="shared" si="86"/>
        <v/>
      </c>
      <c r="H231" s="147" t="str">
        <f t="shared" si="86"/>
        <v/>
      </c>
      <c r="I231" s="147" t="str">
        <f t="shared" si="86"/>
        <v/>
      </c>
      <c r="J231" s="147" t="str">
        <f t="shared" si="86"/>
        <v/>
      </c>
      <c r="K231" s="147" t="str">
        <f t="shared" si="86"/>
        <v/>
      </c>
      <c r="L231" s="147" t="str">
        <f t="shared" si="86"/>
        <v/>
      </c>
      <c r="M231" s="147" t="str">
        <f t="shared" si="86"/>
        <v/>
      </c>
      <c r="N231" s="147" t="str">
        <f t="shared" si="86"/>
        <v/>
      </c>
      <c r="O231" s="145"/>
      <c r="P231" s="145"/>
      <c r="Q231" s="145"/>
      <c r="R231" s="145"/>
      <c r="S231" s="145"/>
      <c r="T231" s="145"/>
      <c r="U231" s="145"/>
      <c r="V231" s="145"/>
      <c r="W231" s="145"/>
      <c r="X231" s="145"/>
      <c r="Y231" s="145"/>
      <c r="Z231" s="145"/>
      <c r="AA231" s="145"/>
      <c r="AB231" s="145"/>
      <c r="AC231" s="145"/>
      <c r="AD231" s="145"/>
      <c r="AE231" s="145"/>
      <c r="AF231" s="145"/>
      <c r="AG231" s="145"/>
      <c r="AH231" s="145"/>
      <c r="AI231" s="145"/>
      <c r="AJ231" s="145"/>
      <c r="AK231" s="145"/>
      <c r="AL231" s="145"/>
      <c r="AM231" s="145"/>
      <c r="AN231" s="145"/>
      <c r="AO231" s="145"/>
      <c r="AP231" s="145"/>
      <c r="AQ231" s="145"/>
      <c r="AR231" s="145"/>
      <c r="AS231" s="145"/>
      <c r="AT231" s="145"/>
      <c r="AU231" s="145"/>
      <c r="AV231" s="145"/>
      <c r="AW231" s="145"/>
      <c r="AX231" s="145"/>
      <c r="AY231" s="145"/>
      <c r="AZ231" s="145"/>
      <c r="BA231" s="145"/>
      <c r="BB231" s="145"/>
      <c r="BC231" s="145"/>
      <c r="BD231" s="145"/>
      <c r="BE231" s="145"/>
      <c r="BF231" s="145"/>
      <c r="BG231" s="145"/>
      <c r="BH231" s="145"/>
      <c r="BI231" s="145"/>
      <c r="BJ231" s="145"/>
      <c r="BK231" s="145"/>
      <c r="BL231" s="145"/>
      <c r="BM231" s="145"/>
      <c r="BN231" s="145"/>
      <c r="BO231" s="145"/>
      <c r="BP231" s="145"/>
      <c r="BQ231" s="145"/>
      <c r="BR231" s="145"/>
      <c r="BS231" s="145"/>
      <c r="BT231" s="145"/>
      <c r="BU231" s="145"/>
      <c r="BV231" s="145"/>
      <c r="BW231" s="145"/>
    </row>
    <row r="232" spans="1:75" ht="20.100000000000001" customHeight="1">
      <c r="A232" s="170" t="str">
        <f t="shared" ref="A232:N232" si="87">A115</f>
        <v>PowerShape - Standard</v>
      </c>
      <c r="B232" s="170" t="str">
        <f t="shared" si="87"/>
        <v>PowerShape - Standard</v>
      </c>
      <c r="C232" s="147" t="str">
        <f t="shared" si="87"/>
        <v>PowerShape - Premium</v>
      </c>
      <c r="D232" s="147" t="str">
        <f t="shared" si="87"/>
        <v>PowerShape - Standard</v>
      </c>
      <c r="E232" s="147" t="str">
        <f t="shared" si="87"/>
        <v>PowerShape - Ultimate</v>
      </c>
      <c r="F232" s="147" t="str">
        <f t="shared" si="87"/>
        <v/>
      </c>
      <c r="G232" s="147" t="str">
        <f t="shared" si="87"/>
        <v/>
      </c>
      <c r="H232" s="147" t="str">
        <f t="shared" si="87"/>
        <v/>
      </c>
      <c r="I232" s="147" t="str">
        <f t="shared" si="87"/>
        <v/>
      </c>
      <c r="J232" s="147" t="str">
        <f t="shared" si="87"/>
        <v/>
      </c>
      <c r="K232" s="147" t="str">
        <f t="shared" si="87"/>
        <v/>
      </c>
      <c r="L232" s="147" t="str">
        <f t="shared" si="87"/>
        <v/>
      </c>
      <c r="M232" s="147" t="str">
        <f t="shared" si="87"/>
        <v/>
      </c>
      <c r="N232" s="147" t="str">
        <f t="shared" si="87"/>
        <v/>
      </c>
      <c r="O232" s="145"/>
      <c r="P232" s="145"/>
      <c r="Q232" s="145"/>
      <c r="R232" s="145"/>
      <c r="S232" s="145"/>
      <c r="T232" s="145"/>
      <c r="U232" s="145"/>
      <c r="V232" s="145"/>
      <c r="W232" s="145"/>
      <c r="X232" s="145"/>
      <c r="Y232" s="145"/>
      <c r="Z232" s="145"/>
      <c r="AA232" s="145"/>
      <c r="AB232" s="145"/>
      <c r="AC232" s="145"/>
      <c r="AD232" s="145"/>
      <c r="AE232" s="145"/>
      <c r="AF232" s="145"/>
      <c r="AG232" s="145"/>
      <c r="AH232" s="145"/>
      <c r="AI232" s="145"/>
      <c r="AJ232" s="145"/>
      <c r="AK232" s="145"/>
      <c r="AL232" s="145"/>
      <c r="AM232" s="145"/>
      <c r="AN232" s="145"/>
      <c r="AO232" s="145"/>
      <c r="AP232" s="145"/>
      <c r="AQ232" s="145"/>
      <c r="AR232" s="145"/>
      <c r="AS232" s="145"/>
      <c r="AT232" s="145"/>
      <c r="AU232" s="145"/>
      <c r="AV232" s="145"/>
      <c r="AW232" s="145"/>
      <c r="AX232" s="145"/>
      <c r="AY232" s="145"/>
      <c r="AZ232" s="145"/>
      <c r="BA232" s="145"/>
      <c r="BB232" s="145"/>
      <c r="BC232" s="145"/>
      <c r="BD232" s="145"/>
      <c r="BE232" s="145"/>
      <c r="BF232" s="145"/>
      <c r="BG232" s="145"/>
      <c r="BH232" s="145"/>
      <c r="BI232" s="145"/>
      <c r="BJ232" s="145"/>
      <c r="BK232" s="145"/>
      <c r="BL232" s="145"/>
      <c r="BM232" s="145"/>
      <c r="BN232" s="145"/>
      <c r="BO232" s="145"/>
      <c r="BP232" s="145"/>
      <c r="BQ232" s="145"/>
      <c r="BR232" s="145"/>
      <c r="BS232" s="145"/>
      <c r="BT232" s="145"/>
      <c r="BU232" s="145"/>
      <c r="BV232" s="145"/>
      <c r="BW232" s="145"/>
    </row>
    <row r="233" spans="1:75" ht="20.100000000000001" customHeight="1">
      <c r="A233" s="170" t="str">
        <f t="shared" ref="A233:N233" si="88">A116</f>
        <v>PowerShape - Ultimate</v>
      </c>
      <c r="B233" s="170" t="str">
        <f t="shared" si="88"/>
        <v>PowerShape - Ultimate</v>
      </c>
      <c r="C233" s="147" t="str">
        <f t="shared" si="88"/>
        <v>PowerShape - Ultimate</v>
      </c>
      <c r="D233" s="147" t="str">
        <f t="shared" si="88"/>
        <v/>
      </c>
      <c r="E233" s="147" t="str">
        <f t="shared" si="88"/>
        <v/>
      </c>
      <c r="F233" s="147" t="str">
        <f t="shared" si="88"/>
        <v/>
      </c>
      <c r="G233" s="147" t="str">
        <f t="shared" si="88"/>
        <v/>
      </c>
      <c r="H233" s="147" t="str">
        <f t="shared" si="88"/>
        <v/>
      </c>
      <c r="I233" s="147" t="str">
        <f t="shared" si="88"/>
        <v/>
      </c>
      <c r="J233" s="147" t="str">
        <f t="shared" si="88"/>
        <v/>
      </c>
      <c r="K233" s="147" t="str">
        <f t="shared" si="88"/>
        <v/>
      </c>
      <c r="L233" s="147" t="str">
        <f t="shared" si="88"/>
        <v/>
      </c>
      <c r="M233" s="147" t="str">
        <f t="shared" si="88"/>
        <v/>
      </c>
      <c r="N233" s="147" t="str">
        <f t="shared" si="88"/>
        <v/>
      </c>
      <c r="O233" s="145"/>
      <c r="P233" s="145"/>
      <c r="Q233" s="145"/>
      <c r="R233" s="145"/>
      <c r="S233" s="145"/>
      <c r="T233" s="145"/>
      <c r="U233" s="145"/>
      <c r="V233" s="145"/>
      <c r="W233" s="145"/>
      <c r="X233" s="145"/>
      <c r="Y233" s="145"/>
      <c r="Z233" s="145"/>
      <c r="AA233" s="145"/>
      <c r="AB233" s="145"/>
      <c r="AC233" s="145"/>
      <c r="AD233" s="145"/>
      <c r="AE233" s="145"/>
      <c r="AF233" s="145"/>
      <c r="AG233" s="145"/>
      <c r="AH233" s="145"/>
      <c r="AI233" s="145"/>
      <c r="AJ233" s="145"/>
      <c r="AK233" s="145"/>
      <c r="AL233" s="145"/>
      <c r="AM233" s="145"/>
      <c r="AN233" s="145"/>
      <c r="AO233" s="145"/>
      <c r="AP233" s="145"/>
      <c r="AQ233" s="145"/>
      <c r="AR233" s="145"/>
      <c r="AS233" s="145"/>
      <c r="AT233" s="145"/>
      <c r="AU233" s="145"/>
      <c r="AV233" s="145"/>
      <c r="AW233" s="145"/>
      <c r="AX233" s="145"/>
      <c r="AY233" s="145"/>
      <c r="AZ233" s="145"/>
      <c r="BA233" s="145"/>
      <c r="BB233" s="145"/>
      <c r="BC233" s="145"/>
      <c r="BD233" s="145"/>
      <c r="BE233" s="145"/>
      <c r="BF233" s="145"/>
      <c r="BG233" s="145"/>
      <c r="BH233" s="145"/>
      <c r="BI233" s="145"/>
      <c r="BJ233" s="145"/>
      <c r="BK233" s="145"/>
      <c r="BL233" s="145"/>
      <c r="BM233" s="145"/>
      <c r="BN233" s="145"/>
      <c r="BO233" s="145"/>
      <c r="BP233" s="145"/>
      <c r="BQ233" s="145"/>
      <c r="BR233" s="145"/>
      <c r="BS233" s="145"/>
      <c r="BT233" s="145"/>
      <c r="BU233" s="145"/>
      <c r="BV233" s="145"/>
      <c r="BW233" s="145"/>
    </row>
    <row r="234" spans="1:75" ht="20.100000000000001" customHeight="1">
      <c r="A234" s="170" t="str">
        <f t="shared" ref="A234:N234" si="89">A117</f>
        <v>Product Design Suite Premium</v>
      </c>
      <c r="B234" s="170" t="str">
        <f t="shared" si="89"/>
        <v>Product Design Suite Premium</v>
      </c>
      <c r="C234" s="147" t="str">
        <f t="shared" si="89"/>
        <v>Architecture Engineering Construction Collection</v>
      </c>
      <c r="D234" s="147" t="str">
        <f t="shared" si="89"/>
        <v>Product Design &amp; Manufacturing Collection</v>
      </c>
      <c r="E234" s="147" t="str">
        <f t="shared" si="89"/>
        <v/>
      </c>
      <c r="F234" s="147" t="str">
        <f t="shared" si="89"/>
        <v/>
      </c>
      <c r="G234" s="147" t="str">
        <f t="shared" si="89"/>
        <v/>
      </c>
      <c r="H234" s="147" t="str">
        <f t="shared" si="89"/>
        <v/>
      </c>
      <c r="I234" s="147" t="str">
        <f t="shared" si="89"/>
        <v/>
      </c>
      <c r="J234" s="147" t="str">
        <f t="shared" si="89"/>
        <v/>
      </c>
      <c r="K234" s="147" t="str">
        <f t="shared" si="89"/>
        <v/>
      </c>
      <c r="L234" s="147" t="str">
        <f t="shared" si="89"/>
        <v/>
      </c>
      <c r="M234" s="147" t="str">
        <f t="shared" si="89"/>
        <v/>
      </c>
      <c r="N234" s="147" t="str">
        <f t="shared" si="89"/>
        <v/>
      </c>
      <c r="O234" s="145"/>
      <c r="P234" s="145"/>
      <c r="Q234" s="145"/>
      <c r="R234" s="145"/>
      <c r="S234" s="145"/>
      <c r="T234" s="145"/>
      <c r="U234" s="145"/>
      <c r="V234" s="145"/>
      <c r="W234" s="145"/>
      <c r="X234" s="145"/>
      <c r="Y234" s="145"/>
      <c r="Z234" s="145"/>
      <c r="AA234" s="145"/>
      <c r="AB234" s="145"/>
      <c r="AC234" s="145"/>
      <c r="AD234" s="145"/>
      <c r="AE234" s="145"/>
      <c r="AF234" s="145"/>
      <c r="AG234" s="145"/>
      <c r="AH234" s="145"/>
      <c r="AI234" s="145"/>
      <c r="AJ234" s="145"/>
      <c r="AK234" s="145"/>
      <c r="AL234" s="145"/>
      <c r="AM234" s="145"/>
      <c r="AN234" s="145"/>
      <c r="AO234" s="145"/>
      <c r="AP234" s="145"/>
      <c r="AQ234" s="145"/>
      <c r="AR234" s="145"/>
      <c r="AS234" s="145"/>
      <c r="AT234" s="145"/>
      <c r="AU234" s="145"/>
      <c r="AV234" s="145"/>
      <c r="AW234" s="145"/>
      <c r="AX234" s="145"/>
      <c r="AY234" s="145"/>
      <c r="AZ234" s="145"/>
      <c r="BA234" s="145"/>
      <c r="BB234" s="145"/>
      <c r="BC234" s="145"/>
      <c r="BD234" s="145"/>
      <c r="BE234" s="145"/>
      <c r="BF234" s="145"/>
      <c r="BG234" s="145"/>
      <c r="BH234" s="145"/>
      <c r="BI234" s="145"/>
      <c r="BJ234" s="145"/>
      <c r="BK234" s="145"/>
      <c r="BL234" s="145"/>
      <c r="BM234" s="145"/>
      <c r="BN234" s="145"/>
      <c r="BO234" s="145"/>
      <c r="BP234" s="145"/>
      <c r="BQ234" s="145"/>
      <c r="BR234" s="145"/>
      <c r="BS234" s="145"/>
      <c r="BT234" s="145"/>
      <c r="BU234" s="145"/>
      <c r="BV234" s="145"/>
      <c r="BW234" s="145"/>
    </row>
    <row r="235" spans="1:75" ht="20.100000000000001" customHeight="1">
      <c r="A235" s="170" t="str">
        <f t="shared" ref="A235:N235" si="90">A118</f>
        <v>Product Design Suite Ultimate</v>
      </c>
      <c r="B235" s="170" t="str">
        <f t="shared" si="90"/>
        <v>Product Design Suite Ultimate</v>
      </c>
      <c r="C235" s="147" t="str">
        <f t="shared" si="90"/>
        <v>Architecture Engineering Construction Collection</v>
      </c>
      <c r="D235" s="147" t="str">
        <f t="shared" si="90"/>
        <v>Product Design &amp; Manufacturing Collection</v>
      </c>
      <c r="E235" s="147" t="str">
        <f t="shared" si="90"/>
        <v/>
      </c>
      <c r="F235" s="147" t="str">
        <f t="shared" si="90"/>
        <v/>
      </c>
      <c r="G235" s="147" t="str">
        <f t="shared" si="90"/>
        <v/>
      </c>
      <c r="H235" s="147" t="str">
        <f t="shared" si="90"/>
        <v/>
      </c>
      <c r="I235" s="147" t="str">
        <f t="shared" si="90"/>
        <v/>
      </c>
      <c r="J235" s="147" t="str">
        <f t="shared" si="90"/>
        <v/>
      </c>
      <c r="K235" s="147" t="str">
        <f t="shared" si="90"/>
        <v/>
      </c>
      <c r="L235" s="147" t="str">
        <f t="shared" si="90"/>
        <v/>
      </c>
      <c r="M235" s="147" t="str">
        <f t="shared" si="90"/>
        <v/>
      </c>
      <c r="N235" s="147" t="str">
        <f t="shared" si="90"/>
        <v/>
      </c>
      <c r="O235" s="145"/>
      <c r="P235" s="145"/>
      <c r="Q235" s="145"/>
      <c r="R235" s="145"/>
      <c r="S235" s="145"/>
      <c r="T235" s="145"/>
      <c r="U235" s="145"/>
      <c r="V235" s="145"/>
      <c r="W235" s="145"/>
      <c r="X235" s="145"/>
      <c r="Y235" s="145"/>
      <c r="Z235" s="145"/>
      <c r="AA235" s="145"/>
      <c r="AB235" s="145"/>
      <c r="AC235" s="145"/>
      <c r="AD235" s="145"/>
      <c r="AE235" s="145"/>
      <c r="AF235" s="145"/>
      <c r="AG235" s="145"/>
      <c r="AH235" s="145"/>
      <c r="AI235" s="145"/>
      <c r="AJ235" s="145"/>
      <c r="AK235" s="145"/>
      <c r="AL235" s="145"/>
      <c r="AM235" s="145"/>
      <c r="AN235" s="145"/>
      <c r="AO235" s="145"/>
      <c r="AP235" s="145"/>
      <c r="AQ235" s="145"/>
      <c r="AR235" s="145"/>
      <c r="AS235" s="145"/>
      <c r="AT235" s="145"/>
      <c r="AU235" s="145"/>
      <c r="AV235" s="145"/>
      <c r="AW235" s="145"/>
      <c r="AX235" s="145"/>
      <c r="AY235" s="145"/>
      <c r="AZ235" s="145"/>
      <c r="BA235" s="145"/>
      <c r="BB235" s="145"/>
      <c r="BC235" s="145"/>
      <c r="BD235" s="145"/>
      <c r="BE235" s="145"/>
      <c r="BF235" s="145"/>
      <c r="BG235" s="145"/>
      <c r="BH235" s="145"/>
      <c r="BI235" s="145"/>
      <c r="BJ235" s="145"/>
      <c r="BK235" s="145"/>
      <c r="BL235" s="145"/>
      <c r="BM235" s="145"/>
      <c r="BN235" s="145"/>
      <c r="BO235" s="145"/>
      <c r="BP235" s="145"/>
      <c r="BQ235" s="145"/>
      <c r="BR235" s="145"/>
      <c r="BS235" s="145"/>
      <c r="BT235" s="145"/>
      <c r="BU235" s="145"/>
      <c r="BV235" s="145"/>
      <c r="BW235" s="145"/>
    </row>
    <row r="236" spans="1:75" ht="20.100000000000001" customHeight="1">
      <c r="A236" s="170" t="str">
        <f t="shared" ref="A236:N236" si="91">A119</f>
        <v>Quantity Take Off</v>
      </c>
      <c r="B236" s="367" t="str">
        <f t="shared" si="91"/>
        <v>Quantity Take Off</v>
      </c>
      <c r="C236" s="367" t="str">
        <f t="shared" si="91"/>
        <v>Architecture Engineering Construction Collection</v>
      </c>
      <c r="D236" s="367" t="str">
        <f t="shared" si="91"/>
        <v>Navisworks Manage*</v>
      </c>
      <c r="E236" s="367" t="str">
        <f t="shared" si="91"/>
        <v>Navisworks Simulate</v>
      </c>
      <c r="F236" s="147" t="str">
        <f t="shared" si="91"/>
        <v/>
      </c>
      <c r="G236" s="147" t="str">
        <f t="shared" si="91"/>
        <v/>
      </c>
      <c r="H236" s="147" t="str">
        <f t="shared" si="91"/>
        <v/>
      </c>
      <c r="I236" s="147" t="str">
        <f t="shared" si="91"/>
        <v/>
      </c>
      <c r="J236" s="147" t="str">
        <f t="shared" si="91"/>
        <v/>
      </c>
      <c r="K236" s="147" t="str">
        <f t="shared" si="91"/>
        <v/>
      </c>
      <c r="L236" s="147" t="str">
        <f t="shared" si="91"/>
        <v/>
      </c>
      <c r="M236" s="147" t="str">
        <f t="shared" si="91"/>
        <v/>
      </c>
      <c r="N236" s="147" t="str">
        <f t="shared" si="91"/>
        <v/>
      </c>
      <c r="O236" s="145"/>
      <c r="P236" s="145"/>
      <c r="Q236" s="145"/>
      <c r="R236" s="145"/>
      <c r="S236" s="145"/>
      <c r="T236" s="145"/>
      <c r="U236" s="145"/>
      <c r="V236" s="145"/>
      <c r="W236" s="145"/>
      <c r="X236" s="145"/>
      <c r="Y236" s="145"/>
      <c r="Z236" s="145"/>
      <c r="AA236" s="145"/>
      <c r="AB236" s="145"/>
      <c r="AC236" s="145"/>
      <c r="AD236" s="145"/>
      <c r="AE236" s="145"/>
      <c r="AF236" s="145"/>
      <c r="AG236" s="145"/>
      <c r="AH236" s="145"/>
      <c r="AI236" s="145"/>
      <c r="AJ236" s="145"/>
      <c r="AK236" s="145"/>
      <c r="AL236" s="145"/>
      <c r="AM236" s="145"/>
      <c r="AN236" s="145"/>
      <c r="AO236" s="145"/>
      <c r="AP236" s="145"/>
      <c r="AQ236" s="145"/>
      <c r="AR236" s="145"/>
      <c r="AS236" s="145"/>
      <c r="AT236" s="145"/>
      <c r="AU236" s="145"/>
      <c r="AV236" s="145"/>
      <c r="AW236" s="145"/>
      <c r="AX236" s="145"/>
      <c r="AY236" s="145"/>
      <c r="AZ236" s="145"/>
      <c r="BA236" s="145"/>
      <c r="BB236" s="145"/>
      <c r="BC236" s="145"/>
      <c r="BD236" s="145"/>
      <c r="BE236" s="145"/>
      <c r="BF236" s="145"/>
      <c r="BG236" s="145"/>
      <c r="BH236" s="145"/>
      <c r="BI236" s="145"/>
      <c r="BJ236" s="145"/>
      <c r="BK236" s="145"/>
      <c r="BL236" s="145"/>
      <c r="BM236" s="145"/>
      <c r="BN236" s="145"/>
      <c r="BO236" s="145"/>
      <c r="BP236" s="145"/>
      <c r="BQ236" s="145"/>
      <c r="BR236" s="145"/>
      <c r="BS236" s="145"/>
      <c r="BT236" s="145"/>
      <c r="BU236" s="145"/>
      <c r="BV236" s="145"/>
      <c r="BW236" s="145"/>
    </row>
    <row r="237" spans="1:75" ht="20.100000000000001" customHeight="1">
      <c r="A237" s="170" t="str">
        <f t="shared" ref="A237:N237" si="92">A120</f>
        <v>Revit</v>
      </c>
      <c r="B237" s="170" t="str">
        <f t="shared" si="92"/>
        <v>Revit</v>
      </c>
      <c r="C237" s="147" t="str">
        <f t="shared" si="92"/>
        <v>Architecture Engineering Construction Collection</v>
      </c>
      <c r="D237" s="412" t="str">
        <f>""</f>
        <v/>
      </c>
      <c r="E237" s="147" t="str">
        <f t="shared" si="92"/>
        <v/>
      </c>
      <c r="F237" s="147" t="str">
        <f t="shared" si="92"/>
        <v/>
      </c>
      <c r="G237" s="147" t="str">
        <f t="shared" si="92"/>
        <v/>
      </c>
      <c r="H237" s="147" t="str">
        <f t="shared" si="92"/>
        <v/>
      </c>
      <c r="I237" s="147" t="str">
        <f t="shared" si="92"/>
        <v/>
      </c>
      <c r="J237" s="147" t="str">
        <f t="shared" si="92"/>
        <v/>
      </c>
      <c r="K237" s="147" t="str">
        <f t="shared" si="92"/>
        <v/>
      </c>
      <c r="L237" s="147" t="str">
        <f t="shared" si="92"/>
        <v/>
      </c>
      <c r="M237" s="147" t="str">
        <f t="shared" si="92"/>
        <v/>
      </c>
      <c r="N237" s="147" t="str">
        <f t="shared" si="92"/>
        <v/>
      </c>
      <c r="O237" s="145"/>
      <c r="P237" s="145"/>
      <c r="Q237" s="145"/>
      <c r="R237" s="145"/>
      <c r="S237" s="145"/>
      <c r="T237" s="145"/>
      <c r="U237" s="145"/>
      <c r="V237" s="145"/>
      <c r="W237" s="145"/>
      <c r="X237" s="145"/>
      <c r="Y237" s="145"/>
      <c r="Z237" s="145"/>
      <c r="AA237" s="145"/>
      <c r="AB237" s="145"/>
      <c r="AC237" s="145"/>
      <c r="AD237" s="145"/>
      <c r="AE237" s="145"/>
      <c r="AF237" s="145"/>
      <c r="AG237" s="145"/>
      <c r="AH237" s="145"/>
      <c r="AI237" s="145"/>
      <c r="AJ237" s="145"/>
      <c r="AK237" s="145"/>
      <c r="AL237" s="145"/>
      <c r="AM237" s="145"/>
      <c r="AN237" s="145"/>
      <c r="AO237" s="145"/>
      <c r="AP237" s="145"/>
      <c r="AQ237" s="145"/>
      <c r="AR237" s="145"/>
      <c r="AS237" s="145"/>
      <c r="AT237" s="145"/>
      <c r="AU237" s="145"/>
      <c r="AV237" s="145"/>
      <c r="AW237" s="145"/>
      <c r="AX237" s="145"/>
      <c r="AY237" s="145"/>
      <c r="AZ237" s="145"/>
      <c r="BA237" s="145"/>
      <c r="BB237" s="145"/>
      <c r="BC237" s="145"/>
      <c r="BD237" s="145"/>
      <c r="BE237" s="145"/>
      <c r="BF237" s="145"/>
      <c r="BG237" s="145"/>
      <c r="BH237" s="145"/>
      <c r="BI237" s="145"/>
      <c r="BJ237" s="145"/>
      <c r="BK237" s="145"/>
      <c r="BL237" s="145"/>
      <c r="BM237" s="145"/>
      <c r="BN237" s="145"/>
      <c r="BO237" s="145"/>
      <c r="BP237" s="145"/>
      <c r="BQ237" s="145"/>
      <c r="BR237" s="145"/>
      <c r="BS237" s="145"/>
      <c r="BT237" s="145"/>
      <c r="BU237" s="145"/>
      <c r="BV237" s="145"/>
      <c r="BW237" s="145"/>
    </row>
    <row r="238" spans="1:75" ht="20.100000000000001" customHeight="1">
      <c r="A238" s="170" t="str">
        <f t="shared" ref="A238:N238" si="93">A121</f>
        <v>Revit Architecture</v>
      </c>
      <c r="B238" s="170" t="str">
        <f t="shared" si="93"/>
        <v>Revit Architecture</v>
      </c>
      <c r="C238" s="147" t="str">
        <f t="shared" si="93"/>
        <v>Architecture Engineering Construction Collection</v>
      </c>
      <c r="D238" s="147" t="str">
        <f t="shared" si="93"/>
        <v>Revit</v>
      </c>
      <c r="E238" s="147" t="str">
        <f t="shared" si="93"/>
        <v/>
      </c>
      <c r="F238" s="147" t="str">
        <f t="shared" si="93"/>
        <v/>
      </c>
      <c r="G238" s="147" t="str">
        <f t="shared" si="93"/>
        <v/>
      </c>
      <c r="H238" s="147" t="str">
        <f t="shared" si="93"/>
        <v/>
      </c>
      <c r="I238" s="147" t="str">
        <f t="shared" si="93"/>
        <v/>
      </c>
      <c r="J238" s="147" t="str">
        <f t="shared" si="93"/>
        <v/>
      </c>
      <c r="K238" s="147" t="str">
        <f t="shared" si="93"/>
        <v/>
      </c>
      <c r="L238" s="147" t="str">
        <f t="shared" si="93"/>
        <v/>
      </c>
      <c r="M238" s="147" t="str">
        <f t="shared" si="93"/>
        <v/>
      </c>
      <c r="N238" s="147" t="str">
        <f t="shared" si="93"/>
        <v/>
      </c>
      <c r="O238" s="145"/>
      <c r="P238" s="145"/>
      <c r="Q238" s="145"/>
      <c r="R238" s="145"/>
      <c r="S238" s="145"/>
      <c r="T238" s="145"/>
      <c r="U238" s="145"/>
      <c r="V238" s="145"/>
      <c r="W238" s="145"/>
      <c r="X238" s="145"/>
      <c r="Y238" s="145"/>
      <c r="Z238" s="145"/>
      <c r="AA238" s="145"/>
      <c r="AB238" s="145"/>
      <c r="AC238" s="145"/>
      <c r="AD238" s="145"/>
      <c r="AE238" s="145"/>
      <c r="AF238" s="145"/>
      <c r="AG238" s="145"/>
      <c r="AH238" s="145"/>
      <c r="AI238" s="145"/>
      <c r="AJ238" s="145"/>
      <c r="AK238" s="145"/>
      <c r="AL238" s="145"/>
      <c r="AM238" s="145"/>
      <c r="AN238" s="145"/>
      <c r="AO238" s="145"/>
      <c r="AP238" s="145"/>
      <c r="AQ238" s="145"/>
      <c r="AR238" s="145"/>
      <c r="AS238" s="145"/>
      <c r="AT238" s="145"/>
      <c r="AU238" s="145"/>
      <c r="AV238" s="145"/>
      <c r="AW238" s="145"/>
      <c r="AX238" s="145"/>
      <c r="AY238" s="145"/>
      <c r="AZ238" s="145"/>
      <c r="BA238" s="145"/>
      <c r="BB238" s="145"/>
      <c r="BC238" s="145"/>
      <c r="BD238" s="145"/>
      <c r="BE238" s="145"/>
      <c r="BF238" s="145"/>
      <c r="BG238" s="145"/>
      <c r="BH238" s="145"/>
      <c r="BI238" s="145"/>
      <c r="BJ238" s="145"/>
      <c r="BK238" s="145"/>
      <c r="BL238" s="145"/>
      <c r="BM238" s="145"/>
      <c r="BN238" s="145"/>
      <c r="BO238" s="145"/>
      <c r="BP238" s="145"/>
      <c r="BQ238" s="145"/>
      <c r="BR238" s="145"/>
      <c r="BS238" s="145"/>
      <c r="BT238" s="145"/>
      <c r="BU238" s="145"/>
      <c r="BV238" s="145"/>
      <c r="BW238" s="145"/>
    </row>
    <row r="239" spans="1:75" ht="20.100000000000001" customHeight="1">
      <c r="A239" s="170" t="str">
        <f t="shared" ref="A239:N239" si="94">A122</f>
        <v>Revit LT</v>
      </c>
      <c r="B239" s="170" t="str">
        <f t="shared" si="94"/>
        <v>Revit LT</v>
      </c>
      <c r="C239" s="147" t="str">
        <f t="shared" si="94"/>
        <v>Revit LT</v>
      </c>
      <c r="D239" s="147" t="str">
        <f t="shared" si="94"/>
        <v>AutoCAD Revit LT Suite</v>
      </c>
      <c r="E239" s="147" t="str">
        <f t="shared" si="94"/>
        <v/>
      </c>
      <c r="F239" s="147" t="str">
        <f t="shared" si="94"/>
        <v/>
      </c>
      <c r="G239" s="147" t="str">
        <f t="shared" si="94"/>
        <v/>
      </c>
      <c r="H239" s="147" t="str">
        <f t="shared" si="94"/>
        <v/>
      </c>
      <c r="I239" s="147" t="str">
        <f t="shared" si="94"/>
        <v/>
      </c>
      <c r="J239" s="147" t="str">
        <f t="shared" si="94"/>
        <v/>
      </c>
      <c r="K239" s="147" t="str">
        <f t="shared" si="94"/>
        <v/>
      </c>
      <c r="L239" s="147" t="str">
        <f t="shared" si="94"/>
        <v/>
      </c>
      <c r="M239" s="147" t="str">
        <f t="shared" si="94"/>
        <v/>
      </c>
      <c r="N239" s="147" t="str">
        <f t="shared" si="94"/>
        <v/>
      </c>
      <c r="O239" s="145"/>
      <c r="P239" s="145"/>
      <c r="Q239" s="145"/>
      <c r="R239" s="145"/>
      <c r="S239" s="145"/>
      <c r="T239" s="145"/>
      <c r="U239" s="145"/>
      <c r="V239" s="145"/>
      <c r="W239" s="145"/>
      <c r="X239" s="145"/>
      <c r="Y239" s="145"/>
      <c r="Z239" s="145"/>
      <c r="AA239" s="145"/>
      <c r="AB239" s="145"/>
      <c r="AC239" s="145"/>
      <c r="AD239" s="145"/>
      <c r="AE239" s="145"/>
      <c r="AF239" s="145"/>
      <c r="AG239" s="145"/>
      <c r="AH239" s="145"/>
      <c r="AI239" s="145"/>
      <c r="AJ239" s="145"/>
      <c r="AK239" s="145"/>
      <c r="AL239" s="145"/>
      <c r="AM239" s="145"/>
      <c r="AN239" s="145"/>
      <c r="AO239" s="145"/>
      <c r="AP239" s="145"/>
      <c r="AQ239" s="145"/>
      <c r="AR239" s="145"/>
      <c r="AS239" s="145"/>
      <c r="AT239" s="145"/>
      <c r="AU239" s="145"/>
      <c r="AV239" s="145"/>
      <c r="AW239" s="145"/>
      <c r="AX239" s="145"/>
      <c r="AY239" s="145"/>
      <c r="AZ239" s="145"/>
      <c r="BA239" s="145"/>
      <c r="BB239" s="145"/>
      <c r="BC239" s="145"/>
      <c r="BD239" s="145"/>
      <c r="BE239" s="145"/>
      <c r="BF239" s="145"/>
      <c r="BG239" s="145"/>
      <c r="BH239" s="145"/>
      <c r="BI239" s="145"/>
      <c r="BJ239" s="145"/>
      <c r="BK239" s="145"/>
      <c r="BL239" s="145"/>
      <c r="BM239" s="145"/>
      <c r="BN239" s="145"/>
      <c r="BO239" s="145"/>
      <c r="BP239" s="145"/>
      <c r="BQ239" s="145"/>
      <c r="BR239" s="145"/>
      <c r="BS239" s="145"/>
      <c r="BT239" s="145"/>
      <c r="BU239" s="145"/>
      <c r="BV239" s="145"/>
      <c r="BW239" s="145"/>
    </row>
    <row r="240" spans="1:75" ht="20.100000000000001" customHeight="1">
      <c r="A240" s="170" t="str">
        <f t="shared" ref="A240:N240" si="95">A123</f>
        <v>AutoCAD Revit LT Suite</v>
      </c>
      <c r="B240" s="170" t="str">
        <f t="shared" si="95"/>
        <v>AutoCAD Revit LT Suite</v>
      </c>
      <c r="C240" s="147" t="str">
        <f t="shared" si="95"/>
        <v>AutoCAD Revit LT Suite</v>
      </c>
      <c r="D240" s="147" t="str">
        <f t="shared" si="95"/>
        <v/>
      </c>
      <c r="E240" s="147" t="str">
        <f t="shared" si="95"/>
        <v/>
      </c>
      <c r="F240" s="147" t="str">
        <f t="shared" si="95"/>
        <v/>
      </c>
      <c r="G240" s="147" t="str">
        <f t="shared" si="95"/>
        <v/>
      </c>
      <c r="H240" s="147" t="str">
        <f t="shared" si="95"/>
        <v/>
      </c>
      <c r="I240" s="147" t="str">
        <f t="shared" si="95"/>
        <v/>
      </c>
      <c r="J240" s="147" t="str">
        <f t="shared" si="95"/>
        <v/>
      </c>
      <c r="K240" s="147" t="str">
        <f t="shared" si="95"/>
        <v/>
      </c>
      <c r="L240" s="147" t="str">
        <f t="shared" si="95"/>
        <v/>
      </c>
      <c r="M240" s="147" t="str">
        <f t="shared" si="95"/>
        <v/>
      </c>
      <c r="N240" s="147" t="str">
        <f t="shared" si="95"/>
        <v/>
      </c>
      <c r="O240" s="145"/>
      <c r="P240" s="145"/>
      <c r="Q240" s="145"/>
      <c r="R240" s="145"/>
      <c r="S240" s="145"/>
      <c r="T240" s="145"/>
      <c r="U240" s="145"/>
      <c r="V240" s="145"/>
      <c r="W240" s="145"/>
      <c r="X240" s="145"/>
      <c r="Y240" s="145"/>
      <c r="Z240" s="145"/>
      <c r="AA240" s="145"/>
      <c r="AB240" s="145"/>
      <c r="AC240" s="145"/>
      <c r="AD240" s="145"/>
      <c r="AE240" s="145"/>
      <c r="AF240" s="145"/>
      <c r="AG240" s="145"/>
      <c r="AH240" s="145"/>
      <c r="AI240" s="145"/>
      <c r="AJ240" s="145"/>
      <c r="AK240" s="145"/>
      <c r="AL240" s="145"/>
      <c r="AM240" s="145"/>
      <c r="AN240" s="145"/>
      <c r="AO240" s="145"/>
      <c r="AP240" s="145"/>
      <c r="AQ240" s="145"/>
      <c r="AR240" s="145"/>
      <c r="AS240" s="145"/>
      <c r="AT240" s="145"/>
      <c r="AU240" s="145"/>
      <c r="AV240" s="145"/>
      <c r="AW240" s="145"/>
      <c r="AX240" s="145"/>
      <c r="AY240" s="145"/>
      <c r="AZ240" s="145"/>
      <c r="BA240" s="145"/>
      <c r="BB240" s="145"/>
      <c r="BC240" s="145"/>
      <c r="BD240" s="145"/>
      <c r="BE240" s="145"/>
      <c r="BF240" s="145"/>
      <c r="BG240" s="145"/>
      <c r="BH240" s="145"/>
      <c r="BI240" s="145"/>
      <c r="BJ240" s="145"/>
      <c r="BK240" s="145"/>
      <c r="BL240" s="145"/>
      <c r="BM240" s="145"/>
      <c r="BN240" s="145"/>
      <c r="BO240" s="145"/>
      <c r="BP240" s="145"/>
      <c r="BQ240" s="145"/>
      <c r="BR240" s="145"/>
      <c r="BS240" s="145"/>
      <c r="BT240" s="145"/>
      <c r="BU240" s="145"/>
      <c r="BV240" s="145"/>
      <c r="BW240" s="145"/>
    </row>
    <row r="241" spans="1:75" ht="20.100000000000001" customHeight="1">
      <c r="A241" s="170" t="str">
        <f t="shared" ref="A241:N241" si="96">A124</f>
        <v>Revit MEP</v>
      </c>
      <c r="B241" s="170" t="str">
        <f t="shared" si="96"/>
        <v>Revit MEP</v>
      </c>
      <c r="C241" s="147" t="str">
        <f t="shared" si="96"/>
        <v>Architecture Engineering Construction Collection</v>
      </c>
      <c r="D241" s="147" t="str">
        <f t="shared" si="96"/>
        <v>Revit</v>
      </c>
      <c r="E241" s="147" t="str">
        <f t="shared" si="96"/>
        <v/>
      </c>
      <c r="F241" s="147" t="str">
        <f t="shared" si="96"/>
        <v/>
      </c>
      <c r="G241" s="147" t="str">
        <f t="shared" si="96"/>
        <v/>
      </c>
      <c r="H241" s="147" t="str">
        <f t="shared" si="96"/>
        <v/>
      </c>
      <c r="I241" s="147" t="str">
        <f t="shared" si="96"/>
        <v/>
      </c>
      <c r="J241" s="147" t="str">
        <f t="shared" si="96"/>
        <v/>
      </c>
      <c r="K241" s="147" t="str">
        <f t="shared" si="96"/>
        <v/>
      </c>
      <c r="L241" s="147" t="str">
        <f t="shared" si="96"/>
        <v/>
      </c>
      <c r="M241" s="147" t="str">
        <f t="shared" si="96"/>
        <v/>
      </c>
      <c r="N241" s="147" t="str">
        <f t="shared" si="96"/>
        <v/>
      </c>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c r="BS241" s="145"/>
      <c r="BT241" s="145"/>
      <c r="BU241" s="145"/>
      <c r="BV241" s="145"/>
      <c r="BW241" s="145"/>
    </row>
    <row r="242" spans="1:75" ht="20.100000000000001" customHeight="1">
      <c r="A242" s="170" t="str">
        <f t="shared" ref="A242:N242" si="97">A125</f>
        <v>Revit Structure</v>
      </c>
      <c r="B242" s="170" t="str">
        <f t="shared" si="97"/>
        <v>Revit Structure</v>
      </c>
      <c r="C242" s="147" t="str">
        <f t="shared" si="97"/>
        <v>Architecture Engineering Construction Collection</v>
      </c>
      <c r="D242" s="147" t="str">
        <f t="shared" si="97"/>
        <v>Revit</v>
      </c>
      <c r="E242" s="147" t="str">
        <f t="shared" si="97"/>
        <v/>
      </c>
      <c r="F242" s="147" t="str">
        <f t="shared" si="97"/>
        <v/>
      </c>
      <c r="G242" s="147" t="str">
        <f t="shared" si="97"/>
        <v/>
      </c>
      <c r="H242" s="147" t="str">
        <f t="shared" si="97"/>
        <v/>
      </c>
      <c r="I242" s="147" t="str">
        <f t="shared" si="97"/>
        <v/>
      </c>
      <c r="J242" s="147" t="str">
        <f t="shared" si="97"/>
        <v/>
      </c>
      <c r="K242" s="147" t="str">
        <f t="shared" si="97"/>
        <v/>
      </c>
      <c r="L242" s="147" t="str">
        <f t="shared" si="97"/>
        <v/>
      </c>
      <c r="M242" s="147" t="str">
        <f t="shared" si="97"/>
        <v/>
      </c>
      <c r="N242" s="147" t="str">
        <f t="shared" si="97"/>
        <v/>
      </c>
      <c r="O242" s="145"/>
      <c r="P242" s="145"/>
      <c r="Q242" s="145"/>
      <c r="R242" s="145"/>
      <c r="S242" s="145"/>
      <c r="T242" s="145"/>
      <c r="U242" s="145"/>
      <c r="V242" s="145"/>
      <c r="W242" s="145"/>
      <c r="X242" s="145"/>
      <c r="Y242" s="145"/>
      <c r="Z242" s="145"/>
      <c r="AA242" s="145"/>
      <c r="AB242" s="145"/>
      <c r="AC242" s="145"/>
      <c r="AD242" s="145"/>
      <c r="AE242" s="145"/>
      <c r="AF242" s="145"/>
      <c r="AG242" s="145"/>
      <c r="AH242" s="145"/>
      <c r="AI242" s="145"/>
      <c r="AJ242" s="145"/>
      <c r="AK242" s="145"/>
      <c r="AL242" s="145"/>
      <c r="AM242" s="145"/>
      <c r="AN242" s="145"/>
      <c r="AO242" s="145"/>
      <c r="AP242" s="145"/>
      <c r="AQ242" s="145"/>
      <c r="AR242" s="145"/>
      <c r="AS242" s="145"/>
      <c r="AT242" s="145"/>
      <c r="AU242" s="145"/>
      <c r="AV242" s="145"/>
      <c r="AW242" s="145"/>
      <c r="AX242" s="145"/>
      <c r="AY242" s="145"/>
      <c r="AZ242" s="145"/>
      <c r="BA242" s="145"/>
      <c r="BB242" s="145"/>
      <c r="BC242" s="145"/>
      <c r="BD242" s="145"/>
      <c r="BE242" s="145"/>
      <c r="BF242" s="145"/>
      <c r="BG242" s="145"/>
      <c r="BH242" s="145"/>
      <c r="BI242" s="145"/>
      <c r="BJ242" s="145"/>
      <c r="BK242" s="145"/>
      <c r="BL242" s="145"/>
      <c r="BM242" s="145"/>
      <c r="BN242" s="145"/>
      <c r="BO242" s="145"/>
      <c r="BP242" s="145"/>
      <c r="BQ242" s="145"/>
      <c r="BR242" s="145"/>
      <c r="BS242" s="145"/>
      <c r="BT242" s="145"/>
      <c r="BU242" s="145"/>
      <c r="BV242" s="145"/>
      <c r="BW242" s="145"/>
    </row>
    <row r="243" spans="1:75" ht="20.100000000000001" customHeight="1">
      <c r="A243" s="170" t="str">
        <f t="shared" ref="A243:N243" si="98">A126</f>
        <v>Robot Structural Analysis Professional</v>
      </c>
      <c r="B243" s="170" t="str">
        <f t="shared" si="98"/>
        <v>Robot Structural Analysis Professional</v>
      </c>
      <c r="C243" s="147" t="str">
        <f t="shared" si="98"/>
        <v>Architecture Engineering Construction Collection</v>
      </c>
      <c r="D243" s="147" t="str">
        <f t="shared" si="98"/>
        <v/>
      </c>
      <c r="E243" s="147" t="str">
        <f t="shared" si="98"/>
        <v/>
      </c>
      <c r="F243" s="147" t="str">
        <f t="shared" si="98"/>
        <v/>
      </c>
      <c r="G243" s="147" t="str">
        <f t="shared" si="98"/>
        <v/>
      </c>
      <c r="H243" s="147" t="str">
        <f t="shared" si="98"/>
        <v/>
      </c>
      <c r="I243" s="147" t="str">
        <f t="shared" si="98"/>
        <v/>
      </c>
      <c r="J243" s="147" t="str">
        <f t="shared" si="98"/>
        <v/>
      </c>
      <c r="K243" s="147" t="str">
        <f t="shared" si="98"/>
        <v/>
      </c>
      <c r="L243" s="147" t="str">
        <f t="shared" si="98"/>
        <v/>
      </c>
      <c r="M243" s="147" t="str">
        <f t="shared" si="98"/>
        <v/>
      </c>
      <c r="N243" s="147" t="str">
        <f t="shared" si="98"/>
        <v/>
      </c>
      <c r="O243" s="145"/>
      <c r="P243" s="145"/>
      <c r="Q243" s="145"/>
      <c r="R243" s="145"/>
      <c r="S243" s="145"/>
      <c r="T243" s="145"/>
      <c r="U243" s="145"/>
      <c r="V243" s="145"/>
      <c r="W243" s="145"/>
      <c r="X243" s="145"/>
      <c r="Y243" s="145"/>
      <c r="Z243" s="145"/>
      <c r="AA243" s="145"/>
      <c r="AB243" s="145"/>
      <c r="AC243" s="145"/>
      <c r="AD243" s="145"/>
      <c r="AE243" s="145"/>
      <c r="AF243" s="145"/>
      <c r="AG243" s="145"/>
      <c r="AH243" s="145"/>
      <c r="AI243" s="145"/>
      <c r="AJ243" s="145"/>
      <c r="AK243" s="145"/>
      <c r="AL243" s="145"/>
      <c r="AM243" s="145"/>
      <c r="AN243" s="145"/>
      <c r="AO243" s="145"/>
      <c r="AP243" s="145"/>
      <c r="AQ243" s="145"/>
      <c r="AR243" s="145"/>
      <c r="AS243" s="145"/>
      <c r="AT243" s="145"/>
      <c r="AU243" s="145"/>
      <c r="AV243" s="145"/>
      <c r="AW243" s="145"/>
      <c r="AX243" s="145"/>
      <c r="AY243" s="145"/>
      <c r="AZ243" s="145"/>
      <c r="BA243" s="145"/>
      <c r="BB243" s="145"/>
      <c r="BC243" s="145"/>
      <c r="BD243" s="145"/>
      <c r="BE243" s="145"/>
      <c r="BF243" s="145"/>
      <c r="BG243" s="145"/>
      <c r="BH243" s="145"/>
      <c r="BI243" s="145"/>
      <c r="BJ243" s="145"/>
      <c r="BK243" s="145"/>
      <c r="BL243" s="145"/>
      <c r="BM243" s="145"/>
      <c r="BN243" s="145"/>
      <c r="BO243" s="145"/>
      <c r="BP243" s="145"/>
      <c r="BQ243" s="145"/>
      <c r="BR243" s="145"/>
      <c r="BS243" s="145"/>
      <c r="BT243" s="145"/>
      <c r="BU243" s="145"/>
      <c r="BV243" s="145"/>
      <c r="BW243" s="145"/>
    </row>
    <row r="244" spans="1:75" ht="20.100000000000001" customHeight="1">
      <c r="A244" s="170" t="str">
        <f t="shared" ref="A244:N244" si="99">A127</f>
        <v>Simulation Mechanical</v>
      </c>
      <c r="B244" s="170" t="str">
        <f t="shared" si="99"/>
        <v>Simulation Mechanical</v>
      </c>
      <c r="C244" s="147" t="str">
        <f t="shared" si="99"/>
        <v>Product Design &amp; Manufacturing Collection</v>
      </c>
      <c r="D244" s="147" t="str">
        <f t="shared" si="99"/>
        <v/>
      </c>
      <c r="E244" s="147" t="str">
        <f t="shared" si="99"/>
        <v/>
      </c>
      <c r="F244" s="147" t="str">
        <f t="shared" si="99"/>
        <v/>
      </c>
      <c r="G244" s="147" t="str">
        <f t="shared" si="99"/>
        <v/>
      </c>
      <c r="H244" s="147" t="str">
        <f t="shared" si="99"/>
        <v/>
      </c>
      <c r="I244" s="147" t="str">
        <f t="shared" si="99"/>
        <v/>
      </c>
      <c r="J244" s="147" t="str">
        <f t="shared" si="99"/>
        <v/>
      </c>
      <c r="K244" s="147" t="str">
        <f t="shared" si="99"/>
        <v/>
      </c>
      <c r="L244" s="147" t="str">
        <f t="shared" si="99"/>
        <v/>
      </c>
      <c r="M244" s="147" t="str">
        <f t="shared" si="99"/>
        <v/>
      </c>
      <c r="N244" s="147" t="str">
        <f t="shared" si="99"/>
        <v/>
      </c>
      <c r="O244" s="145"/>
      <c r="P244" s="145"/>
      <c r="Q244" s="145"/>
      <c r="R244" s="145"/>
      <c r="S244" s="145"/>
      <c r="T244" s="145"/>
      <c r="U244" s="145"/>
      <c r="V244" s="145"/>
      <c r="W244" s="145"/>
      <c r="X244" s="145"/>
      <c r="Y244" s="145"/>
      <c r="Z244" s="145"/>
      <c r="AA244" s="145"/>
      <c r="AB244" s="145"/>
      <c r="AC244" s="145"/>
      <c r="AD244" s="145"/>
      <c r="AE244" s="145"/>
      <c r="AF244" s="145"/>
      <c r="AG244" s="145"/>
      <c r="AH244" s="145"/>
      <c r="AI244" s="145"/>
      <c r="AJ244" s="145"/>
      <c r="AK244" s="145"/>
      <c r="AL244" s="145"/>
      <c r="AM244" s="145"/>
      <c r="AN244" s="145"/>
      <c r="AO244" s="145"/>
      <c r="AP244" s="145"/>
      <c r="AQ244" s="145"/>
      <c r="AR244" s="145"/>
      <c r="AS244" s="145"/>
      <c r="AT244" s="145"/>
      <c r="AU244" s="145"/>
      <c r="AV244" s="145"/>
      <c r="AW244" s="145"/>
      <c r="AX244" s="145"/>
      <c r="AY244" s="145"/>
      <c r="AZ244" s="145"/>
      <c r="BA244" s="145"/>
      <c r="BB244" s="145"/>
      <c r="BC244" s="145"/>
      <c r="BD244" s="145"/>
      <c r="BE244" s="145"/>
      <c r="BF244" s="145"/>
      <c r="BG244" s="145"/>
      <c r="BH244" s="145"/>
      <c r="BI244" s="145"/>
      <c r="BJ244" s="145"/>
      <c r="BK244" s="145"/>
      <c r="BL244" s="145"/>
      <c r="BM244" s="145"/>
      <c r="BN244" s="145"/>
      <c r="BO244" s="145"/>
      <c r="BP244" s="145"/>
      <c r="BQ244" s="145"/>
      <c r="BR244" s="145"/>
      <c r="BS244" s="145"/>
      <c r="BT244" s="145"/>
      <c r="BU244" s="145"/>
      <c r="BV244" s="145"/>
      <c r="BW244" s="145"/>
    </row>
    <row r="245" spans="1:75" ht="20.100000000000001" customHeight="1">
      <c r="A245" s="170" t="str">
        <f t="shared" ref="A245:N245" si="100">A128</f>
        <v>SketchBook - For Enterprise</v>
      </c>
      <c r="B245" s="170" t="str">
        <f t="shared" si="100"/>
        <v>SketchBook - For Enterprise</v>
      </c>
      <c r="C245" s="147" t="str">
        <f t="shared" si="100"/>
        <v>SketchBook - For Enterprise</v>
      </c>
      <c r="D245" s="147" t="str">
        <f t="shared" si="100"/>
        <v/>
      </c>
      <c r="E245" s="147" t="str">
        <f t="shared" si="100"/>
        <v/>
      </c>
      <c r="F245" s="147" t="str">
        <f t="shared" si="100"/>
        <v/>
      </c>
      <c r="G245" s="147" t="str">
        <f t="shared" si="100"/>
        <v/>
      </c>
      <c r="H245" s="147" t="str">
        <f t="shared" si="100"/>
        <v/>
      </c>
      <c r="I245" s="147" t="str">
        <f t="shared" si="100"/>
        <v/>
      </c>
      <c r="J245" s="147" t="str">
        <f t="shared" si="100"/>
        <v/>
      </c>
      <c r="K245" s="147" t="str">
        <f t="shared" si="100"/>
        <v/>
      </c>
      <c r="L245" s="147" t="str">
        <f t="shared" si="100"/>
        <v/>
      </c>
      <c r="M245" s="147" t="str">
        <f t="shared" si="100"/>
        <v/>
      </c>
      <c r="N245" s="147" t="str">
        <f t="shared" si="100"/>
        <v/>
      </c>
      <c r="O245" s="145"/>
      <c r="P245" s="145"/>
      <c r="Q245" s="145"/>
      <c r="R245" s="145"/>
      <c r="S245" s="145"/>
      <c r="T245" s="145"/>
      <c r="U245" s="145"/>
      <c r="V245" s="145"/>
      <c r="W245" s="145"/>
      <c r="X245" s="145"/>
      <c r="Y245" s="145"/>
      <c r="Z245" s="145"/>
      <c r="AA245" s="145"/>
      <c r="AB245" s="145"/>
      <c r="AC245" s="145"/>
      <c r="AD245" s="145"/>
      <c r="AE245" s="145"/>
      <c r="AF245" s="145"/>
      <c r="AG245" s="145"/>
      <c r="AH245" s="145"/>
      <c r="AI245" s="145"/>
      <c r="AJ245" s="145"/>
      <c r="AK245" s="145"/>
      <c r="AL245" s="145"/>
      <c r="AM245" s="145"/>
      <c r="AN245" s="145"/>
      <c r="AO245" s="145"/>
      <c r="AP245" s="145"/>
      <c r="AQ245" s="145"/>
      <c r="AR245" s="145"/>
      <c r="AS245" s="145"/>
      <c r="AT245" s="145"/>
      <c r="AU245" s="145"/>
      <c r="AV245" s="145"/>
      <c r="AW245" s="145"/>
      <c r="AX245" s="145"/>
      <c r="AY245" s="145"/>
      <c r="AZ245" s="145"/>
      <c r="BA245" s="145"/>
      <c r="BB245" s="145"/>
      <c r="BC245" s="145"/>
      <c r="BD245" s="145"/>
      <c r="BE245" s="145"/>
      <c r="BF245" s="145"/>
      <c r="BG245" s="145"/>
      <c r="BH245" s="145"/>
      <c r="BI245" s="145"/>
      <c r="BJ245" s="145"/>
      <c r="BK245" s="145"/>
      <c r="BL245" s="145"/>
      <c r="BM245" s="145"/>
      <c r="BN245" s="145"/>
      <c r="BO245" s="145"/>
      <c r="BP245" s="145"/>
      <c r="BQ245" s="145"/>
      <c r="BR245" s="145"/>
      <c r="BS245" s="145"/>
      <c r="BT245" s="145"/>
      <c r="BU245" s="145"/>
      <c r="BV245" s="145"/>
      <c r="BW245" s="145"/>
    </row>
    <row r="246" spans="1:75" ht="20.100000000000001" customHeight="1">
      <c r="A246" s="170" t="str">
        <f t="shared" ref="A246:N246" si="101">A129</f>
        <v>Structural Bridge Design</v>
      </c>
      <c r="B246" s="367" t="str">
        <f t="shared" si="101"/>
        <v>Structural Bridge Design</v>
      </c>
      <c r="C246" s="367" t="str">
        <f t="shared" si="101"/>
        <v>Architecture Engineering Construction Collection</v>
      </c>
      <c r="D246" s="147" t="str">
        <f t="shared" si="101"/>
        <v/>
      </c>
      <c r="E246" s="147" t="str">
        <f t="shared" si="101"/>
        <v/>
      </c>
      <c r="F246" s="147" t="str">
        <f t="shared" si="101"/>
        <v/>
      </c>
      <c r="G246" s="147" t="str">
        <f t="shared" si="101"/>
        <v/>
      </c>
      <c r="H246" s="147" t="str">
        <f t="shared" si="101"/>
        <v/>
      </c>
      <c r="I246" s="147" t="str">
        <f t="shared" si="101"/>
        <v/>
      </c>
      <c r="J246" s="147" t="str">
        <f t="shared" si="101"/>
        <v/>
      </c>
      <c r="K246" s="147" t="str">
        <f t="shared" si="101"/>
        <v/>
      </c>
      <c r="L246" s="147" t="str">
        <f t="shared" si="101"/>
        <v/>
      </c>
      <c r="M246" s="147" t="str">
        <f t="shared" si="101"/>
        <v/>
      </c>
      <c r="N246" s="147" t="str">
        <f t="shared" si="101"/>
        <v/>
      </c>
      <c r="O246" s="145"/>
      <c r="P246" s="145"/>
      <c r="Q246" s="145"/>
      <c r="R246" s="145"/>
      <c r="S246" s="145"/>
      <c r="T246" s="145"/>
      <c r="U246" s="145"/>
      <c r="V246" s="145"/>
      <c r="W246" s="145"/>
      <c r="X246" s="145"/>
      <c r="Y246" s="145"/>
      <c r="Z246" s="145"/>
      <c r="AA246" s="145"/>
      <c r="AB246" s="145"/>
      <c r="AC246" s="145"/>
      <c r="AD246" s="145"/>
      <c r="AE246" s="145"/>
      <c r="AF246" s="145"/>
      <c r="AG246" s="145"/>
      <c r="AH246" s="145"/>
      <c r="AI246" s="145"/>
      <c r="AJ246" s="145"/>
      <c r="AK246" s="145"/>
      <c r="AL246" s="145"/>
      <c r="AM246" s="145"/>
      <c r="AN246" s="145"/>
      <c r="AO246" s="145"/>
      <c r="AP246" s="145"/>
      <c r="AQ246" s="145"/>
      <c r="AR246" s="145"/>
      <c r="AS246" s="145"/>
      <c r="AT246" s="145"/>
      <c r="AU246" s="145"/>
      <c r="AV246" s="145"/>
      <c r="AW246" s="145"/>
      <c r="AX246" s="145"/>
      <c r="AY246" s="145"/>
      <c r="AZ246" s="145"/>
      <c r="BA246" s="145"/>
      <c r="BB246" s="145"/>
      <c r="BC246" s="145"/>
      <c r="BD246" s="145"/>
      <c r="BE246" s="145"/>
      <c r="BF246" s="145"/>
      <c r="BG246" s="145"/>
      <c r="BH246" s="145"/>
      <c r="BI246" s="145"/>
      <c r="BJ246" s="145"/>
      <c r="BK246" s="145"/>
      <c r="BL246" s="145"/>
      <c r="BM246" s="145"/>
      <c r="BN246" s="145"/>
      <c r="BO246" s="145"/>
      <c r="BP246" s="145"/>
      <c r="BQ246" s="145"/>
      <c r="BR246" s="145"/>
      <c r="BS246" s="145"/>
      <c r="BT246" s="145"/>
      <c r="BU246" s="145"/>
      <c r="BV246" s="145"/>
      <c r="BW246" s="145"/>
    </row>
    <row r="247" spans="1:75" ht="20.100000000000001" customHeight="1">
      <c r="A247" s="170" t="str">
        <f t="shared" ref="A247:N247" si="102">A130</f>
        <v>TruComp</v>
      </c>
      <c r="B247" s="170" t="str">
        <f t="shared" si="102"/>
        <v>TruComp</v>
      </c>
      <c r="C247" s="147" t="str">
        <f t="shared" si="102"/>
        <v>TruComp</v>
      </c>
      <c r="D247" s="147" t="str">
        <f t="shared" si="102"/>
        <v/>
      </c>
      <c r="E247" s="147" t="str">
        <f t="shared" si="102"/>
        <v/>
      </c>
      <c r="F247" s="147" t="str">
        <f t="shared" si="102"/>
        <v/>
      </c>
      <c r="G247" s="147" t="str">
        <f t="shared" si="102"/>
        <v/>
      </c>
      <c r="H247" s="147" t="str">
        <f t="shared" si="102"/>
        <v/>
      </c>
      <c r="I247" s="147" t="str">
        <f t="shared" si="102"/>
        <v/>
      </c>
      <c r="J247" s="147" t="str">
        <f t="shared" si="102"/>
        <v/>
      </c>
      <c r="K247" s="147" t="str">
        <f t="shared" si="102"/>
        <v/>
      </c>
      <c r="L247" s="147" t="str">
        <f t="shared" si="102"/>
        <v/>
      </c>
      <c r="M247" s="147" t="str">
        <f t="shared" si="102"/>
        <v/>
      </c>
      <c r="N247" s="147" t="str">
        <f t="shared" si="102"/>
        <v/>
      </c>
      <c r="O247" s="145"/>
      <c r="P247" s="145"/>
      <c r="Q247" s="145"/>
      <c r="R247" s="145"/>
      <c r="S247" s="145"/>
      <c r="T247" s="145"/>
      <c r="U247" s="145"/>
      <c r="V247" s="145"/>
      <c r="W247" s="145"/>
      <c r="X247" s="145"/>
      <c r="Y247" s="145"/>
      <c r="Z247" s="145"/>
      <c r="AA247" s="145"/>
      <c r="AB247" s="145"/>
      <c r="AC247" s="145"/>
      <c r="AD247" s="145"/>
      <c r="AE247" s="145"/>
      <c r="AF247" s="145"/>
      <c r="AG247" s="145"/>
      <c r="AH247" s="145"/>
      <c r="AI247" s="145"/>
      <c r="AJ247" s="145"/>
      <c r="AK247" s="145"/>
      <c r="AL247" s="145"/>
      <c r="AM247" s="145"/>
      <c r="AN247" s="145"/>
      <c r="AO247" s="145"/>
      <c r="AP247" s="145"/>
      <c r="AQ247" s="145"/>
      <c r="AR247" s="145"/>
      <c r="AS247" s="145"/>
      <c r="AT247" s="145"/>
      <c r="AU247" s="145"/>
      <c r="AV247" s="145"/>
      <c r="AW247" s="145"/>
      <c r="AX247" s="145"/>
      <c r="AY247" s="145"/>
      <c r="AZ247" s="145"/>
      <c r="BA247" s="145"/>
      <c r="BB247" s="145"/>
      <c r="BC247" s="145"/>
      <c r="BD247" s="145"/>
      <c r="BE247" s="145"/>
      <c r="BF247" s="145"/>
      <c r="BG247" s="145"/>
      <c r="BH247" s="145"/>
      <c r="BI247" s="145"/>
      <c r="BJ247" s="145"/>
      <c r="BK247" s="145"/>
      <c r="BL247" s="145"/>
      <c r="BM247" s="145"/>
      <c r="BN247" s="145"/>
      <c r="BO247" s="145"/>
      <c r="BP247" s="145"/>
      <c r="BQ247" s="145"/>
      <c r="BR247" s="145"/>
      <c r="BS247" s="145"/>
      <c r="BT247" s="145"/>
      <c r="BU247" s="145"/>
      <c r="BV247" s="145"/>
      <c r="BW247" s="145"/>
    </row>
    <row r="248" spans="1:75" ht="20.100000000000001" customHeight="1">
      <c r="A248" s="170" t="str">
        <f t="shared" ref="A248:N248" si="103">A131</f>
        <v>TruLaser</v>
      </c>
      <c r="B248" s="170" t="str">
        <f t="shared" si="103"/>
        <v>TruLaser</v>
      </c>
      <c r="C248" s="147" t="str">
        <f t="shared" si="103"/>
        <v>TruLaser</v>
      </c>
      <c r="D248" s="147" t="str">
        <f t="shared" si="103"/>
        <v/>
      </c>
      <c r="E248" s="147" t="str">
        <f t="shared" si="103"/>
        <v/>
      </c>
      <c r="F248" s="147" t="str">
        <f t="shared" si="103"/>
        <v/>
      </c>
      <c r="G248" s="147" t="str">
        <f t="shared" si="103"/>
        <v/>
      </c>
      <c r="H248" s="147" t="str">
        <f t="shared" si="103"/>
        <v/>
      </c>
      <c r="I248" s="147" t="str">
        <f t="shared" si="103"/>
        <v/>
      </c>
      <c r="J248" s="147" t="str">
        <f t="shared" si="103"/>
        <v/>
      </c>
      <c r="K248" s="147" t="str">
        <f t="shared" si="103"/>
        <v/>
      </c>
      <c r="L248" s="147" t="str">
        <f t="shared" si="103"/>
        <v/>
      </c>
      <c r="M248" s="147" t="str">
        <f t="shared" si="103"/>
        <v/>
      </c>
      <c r="N248" s="147" t="str">
        <f t="shared" si="103"/>
        <v/>
      </c>
      <c r="O248" s="145"/>
      <c r="P248" s="145"/>
      <c r="Q248" s="145"/>
      <c r="R248" s="145"/>
      <c r="S248" s="145"/>
      <c r="T248" s="145"/>
      <c r="U248" s="145"/>
      <c r="V248" s="145"/>
      <c r="W248" s="145"/>
      <c r="X248" s="145"/>
      <c r="Y248" s="145"/>
      <c r="Z248" s="145"/>
      <c r="AA248" s="145"/>
      <c r="AB248" s="145"/>
      <c r="AC248" s="145"/>
      <c r="AD248" s="145"/>
      <c r="AE248" s="145"/>
      <c r="AF248" s="145"/>
      <c r="AG248" s="145"/>
      <c r="AH248" s="145"/>
      <c r="AI248" s="145"/>
      <c r="AJ248" s="145"/>
      <c r="AK248" s="145"/>
      <c r="AL248" s="145"/>
      <c r="AM248" s="145"/>
      <c r="AN248" s="145"/>
      <c r="AO248" s="145"/>
      <c r="AP248" s="145"/>
      <c r="AQ248" s="145"/>
      <c r="AR248" s="145"/>
      <c r="AS248" s="145"/>
      <c r="AT248" s="145"/>
      <c r="AU248" s="145"/>
      <c r="AV248" s="145"/>
      <c r="AW248" s="145"/>
      <c r="AX248" s="145"/>
      <c r="AY248" s="145"/>
      <c r="AZ248" s="145"/>
      <c r="BA248" s="145"/>
      <c r="BB248" s="145"/>
      <c r="BC248" s="145"/>
      <c r="BD248" s="145"/>
      <c r="BE248" s="145"/>
      <c r="BF248" s="145"/>
      <c r="BG248" s="145"/>
      <c r="BH248" s="145"/>
      <c r="BI248" s="145"/>
      <c r="BJ248" s="145"/>
      <c r="BK248" s="145"/>
      <c r="BL248" s="145"/>
      <c r="BM248" s="145"/>
      <c r="BN248" s="145"/>
      <c r="BO248" s="145"/>
      <c r="BP248" s="145"/>
      <c r="BQ248" s="145"/>
      <c r="BR248" s="145"/>
      <c r="BS248" s="145"/>
      <c r="BT248" s="145"/>
      <c r="BU248" s="145"/>
      <c r="BV248" s="145"/>
      <c r="BW248" s="145"/>
    </row>
    <row r="249" spans="1:75" ht="20.100000000000001" customHeight="1">
      <c r="A249" s="170" t="str">
        <f t="shared" ref="A249:N249" si="104">A132</f>
        <v>TruNest Composites</v>
      </c>
      <c r="B249" s="170" t="str">
        <f t="shared" si="104"/>
        <v>TruNest Composites</v>
      </c>
      <c r="C249" s="147" t="str">
        <f t="shared" si="104"/>
        <v>TruNest Composites</v>
      </c>
      <c r="D249" s="147" t="str">
        <f t="shared" si="104"/>
        <v/>
      </c>
      <c r="E249" s="147" t="str">
        <f t="shared" si="104"/>
        <v/>
      </c>
      <c r="F249" s="147" t="str">
        <f t="shared" si="104"/>
        <v/>
      </c>
      <c r="G249" s="147" t="str">
        <f t="shared" si="104"/>
        <v/>
      </c>
      <c r="H249" s="147" t="str">
        <f t="shared" si="104"/>
        <v/>
      </c>
      <c r="I249" s="147" t="str">
        <f t="shared" si="104"/>
        <v/>
      </c>
      <c r="J249" s="147" t="str">
        <f t="shared" si="104"/>
        <v/>
      </c>
      <c r="K249" s="147" t="str">
        <f t="shared" si="104"/>
        <v/>
      </c>
      <c r="L249" s="147" t="str">
        <f t="shared" si="104"/>
        <v/>
      </c>
      <c r="M249" s="147" t="str">
        <f t="shared" si="104"/>
        <v/>
      </c>
      <c r="N249" s="147" t="str">
        <f t="shared" si="104"/>
        <v/>
      </c>
      <c r="O249" s="145"/>
      <c r="P249" s="145"/>
      <c r="Q249" s="145"/>
      <c r="R249" s="145"/>
      <c r="S249" s="145"/>
      <c r="T249" s="145"/>
      <c r="U249" s="145"/>
      <c r="V249" s="145"/>
      <c r="W249" s="145"/>
      <c r="X249" s="145"/>
      <c r="Y249" s="145"/>
      <c r="Z249" s="145"/>
      <c r="AA249" s="145"/>
      <c r="AB249" s="145"/>
      <c r="AC249" s="145"/>
      <c r="AD249" s="145"/>
      <c r="AE249" s="145"/>
      <c r="AF249" s="145"/>
      <c r="AG249" s="145"/>
      <c r="AH249" s="145"/>
      <c r="AI249" s="145"/>
      <c r="AJ249" s="145"/>
      <c r="AK249" s="145"/>
      <c r="AL249" s="145"/>
      <c r="AM249" s="145"/>
      <c r="AN249" s="145"/>
      <c r="AO249" s="145"/>
      <c r="AP249" s="145"/>
      <c r="AQ249" s="145"/>
      <c r="AR249" s="145"/>
      <c r="AS249" s="145"/>
      <c r="AT249" s="145"/>
      <c r="AU249" s="145"/>
      <c r="AV249" s="145"/>
      <c r="AW249" s="145"/>
      <c r="AX249" s="145"/>
      <c r="AY249" s="145"/>
      <c r="AZ249" s="145"/>
      <c r="BA249" s="145"/>
      <c r="BB249" s="145"/>
      <c r="BC249" s="145"/>
      <c r="BD249" s="145"/>
      <c r="BE249" s="145"/>
      <c r="BF249" s="145"/>
      <c r="BG249" s="145"/>
      <c r="BH249" s="145"/>
      <c r="BI249" s="145"/>
      <c r="BJ249" s="145"/>
      <c r="BK249" s="145"/>
      <c r="BL249" s="145"/>
      <c r="BM249" s="145"/>
      <c r="BN249" s="145"/>
      <c r="BO249" s="145"/>
      <c r="BP249" s="145"/>
      <c r="BQ249" s="145"/>
      <c r="BR249" s="145"/>
      <c r="BS249" s="145"/>
      <c r="BT249" s="145"/>
      <c r="BU249" s="145"/>
      <c r="BV249" s="145"/>
      <c r="BW249" s="145"/>
    </row>
    <row r="250" spans="1:75" ht="20.100000000000001" customHeight="1">
      <c r="A250" s="170" t="str">
        <f t="shared" ref="A250:N250" si="105">A133</f>
        <v>TruNest Contour</v>
      </c>
      <c r="B250" s="170" t="str">
        <f t="shared" si="105"/>
        <v>TruNest Contour</v>
      </c>
      <c r="C250" s="147" t="str">
        <f t="shared" si="105"/>
        <v>TruNest Contour</v>
      </c>
      <c r="D250" s="147" t="str">
        <f t="shared" si="105"/>
        <v/>
      </c>
      <c r="E250" s="147" t="str">
        <f t="shared" si="105"/>
        <v/>
      </c>
      <c r="F250" s="147" t="str">
        <f t="shared" si="105"/>
        <v/>
      </c>
      <c r="G250" s="147" t="str">
        <f t="shared" si="105"/>
        <v/>
      </c>
      <c r="H250" s="147" t="str">
        <f t="shared" si="105"/>
        <v/>
      </c>
      <c r="I250" s="147" t="str">
        <f t="shared" si="105"/>
        <v/>
      </c>
      <c r="J250" s="147" t="str">
        <f t="shared" si="105"/>
        <v/>
      </c>
      <c r="K250" s="147" t="str">
        <f t="shared" si="105"/>
        <v/>
      </c>
      <c r="L250" s="147" t="str">
        <f t="shared" si="105"/>
        <v/>
      </c>
      <c r="M250" s="147" t="str">
        <f t="shared" si="105"/>
        <v/>
      </c>
      <c r="N250" s="147" t="str">
        <f t="shared" si="105"/>
        <v/>
      </c>
      <c r="O250" s="145"/>
      <c r="P250" s="145"/>
      <c r="Q250" s="145"/>
      <c r="R250" s="145"/>
      <c r="S250" s="145"/>
      <c r="T250" s="145"/>
      <c r="U250" s="145"/>
      <c r="V250" s="145"/>
      <c r="W250" s="145"/>
      <c r="X250" s="145"/>
      <c r="Y250" s="145"/>
      <c r="Z250" s="145"/>
      <c r="AA250" s="145"/>
      <c r="AB250" s="145"/>
      <c r="AC250" s="145"/>
      <c r="AD250" s="145"/>
      <c r="AE250" s="145"/>
      <c r="AF250" s="145"/>
      <c r="AG250" s="145"/>
      <c r="AH250" s="145"/>
      <c r="AI250" s="145"/>
      <c r="AJ250" s="145"/>
      <c r="AK250" s="145"/>
      <c r="AL250" s="145"/>
      <c r="AM250" s="145"/>
      <c r="AN250" s="145"/>
      <c r="AO250" s="145"/>
      <c r="AP250" s="145"/>
      <c r="AQ250" s="145"/>
      <c r="AR250" s="145"/>
      <c r="AS250" s="145"/>
      <c r="AT250" s="145"/>
      <c r="AU250" s="145"/>
      <c r="AV250" s="145"/>
      <c r="AW250" s="145"/>
      <c r="AX250" s="145"/>
      <c r="AY250" s="145"/>
      <c r="AZ250" s="145"/>
      <c r="BA250" s="145"/>
      <c r="BB250" s="145"/>
      <c r="BC250" s="145"/>
      <c r="BD250" s="145"/>
      <c r="BE250" s="145"/>
      <c r="BF250" s="145"/>
      <c r="BG250" s="145"/>
      <c r="BH250" s="145"/>
      <c r="BI250" s="145"/>
      <c r="BJ250" s="145"/>
      <c r="BK250" s="145"/>
      <c r="BL250" s="145"/>
      <c r="BM250" s="145"/>
      <c r="BN250" s="145"/>
      <c r="BO250" s="145"/>
      <c r="BP250" s="145"/>
      <c r="BQ250" s="145"/>
      <c r="BR250" s="145"/>
      <c r="BS250" s="145"/>
      <c r="BT250" s="145"/>
      <c r="BU250" s="145"/>
      <c r="BV250" s="145"/>
      <c r="BW250" s="145"/>
    </row>
    <row r="251" spans="1:75" ht="20.100000000000001" customHeight="1">
      <c r="A251" s="170" t="str">
        <f t="shared" ref="A251:N251" si="106">A134</f>
        <v>TruNest Multi-Tool</v>
      </c>
      <c r="B251" s="170" t="str">
        <f t="shared" si="106"/>
        <v>TruNest Multi-Tool</v>
      </c>
      <c r="C251" s="147" t="str">
        <f t="shared" si="106"/>
        <v>TruNest Multi-Tool</v>
      </c>
      <c r="D251" s="147" t="str">
        <f t="shared" si="106"/>
        <v/>
      </c>
      <c r="E251" s="147" t="str">
        <f t="shared" si="106"/>
        <v/>
      </c>
      <c r="F251" s="147" t="str">
        <f t="shared" si="106"/>
        <v/>
      </c>
      <c r="G251" s="147" t="str">
        <f t="shared" si="106"/>
        <v/>
      </c>
      <c r="H251" s="147" t="str">
        <f t="shared" si="106"/>
        <v/>
      </c>
      <c r="I251" s="147" t="str">
        <f t="shared" si="106"/>
        <v/>
      </c>
      <c r="J251" s="147" t="str">
        <f t="shared" si="106"/>
        <v/>
      </c>
      <c r="K251" s="147" t="str">
        <f t="shared" si="106"/>
        <v/>
      </c>
      <c r="L251" s="147" t="str">
        <f t="shared" si="106"/>
        <v/>
      </c>
      <c r="M251" s="147" t="str">
        <f t="shared" si="106"/>
        <v/>
      </c>
      <c r="N251" s="147" t="str">
        <f t="shared" si="106"/>
        <v/>
      </c>
      <c r="O251" s="145"/>
      <c r="P251" s="145"/>
      <c r="Q251" s="145"/>
      <c r="R251" s="145"/>
      <c r="S251" s="145"/>
      <c r="T251" s="145"/>
      <c r="U251" s="145"/>
      <c r="V251" s="145"/>
      <c r="W251" s="145"/>
      <c r="X251" s="145"/>
      <c r="Y251" s="145"/>
      <c r="Z251" s="145"/>
      <c r="AA251" s="145"/>
      <c r="AB251" s="145"/>
      <c r="AC251" s="145"/>
      <c r="AD251" s="145"/>
      <c r="AE251" s="145"/>
      <c r="AF251" s="145"/>
      <c r="AG251" s="145"/>
      <c r="AH251" s="145"/>
      <c r="AI251" s="145"/>
      <c r="AJ251" s="145"/>
      <c r="AK251" s="145"/>
      <c r="AL251" s="145"/>
      <c r="AM251" s="145"/>
      <c r="AN251" s="145"/>
      <c r="AO251" s="145"/>
      <c r="AP251" s="145"/>
      <c r="AQ251" s="145"/>
      <c r="AR251" s="145"/>
      <c r="AS251" s="145"/>
      <c r="AT251" s="145"/>
      <c r="AU251" s="145"/>
      <c r="AV251" s="145"/>
      <c r="AW251" s="145"/>
      <c r="AX251" s="145"/>
      <c r="AY251" s="145"/>
      <c r="AZ251" s="145"/>
      <c r="BA251" s="145"/>
      <c r="BB251" s="145"/>
      <c r="BC251" s="145"/>
      <c r="BD251" s="145"/>
      <c r="BE251" s="145"/>
      <c r="BF251" s="145"/>
      <c r="BG251" s="145"/>
      <c r="BH251" s="145"/>
      <c r="BI251" s="145"/>
      <c r="BJ251" s="145"/>
      <c r="BK251" s="145"/>
      <c r="BL251" s="145"/>
      <c r="BM251" s="145"/>
      <c r="BN251" s="145"/>
      <c r="BO251" s="145"/>
      <c r="BP251" s="145"/>
      <c r="BQ251" s="145"/>
      <c r="BR251" s="145"/>
      <c r="BS251" s="145"/>
      <c r="BT251" s="145"/>
      <c r="BU251" s="145"/>
      <c r="BV251" s="145"/>
      <c r="BW251" s="145"/>
    </row>
    <row r="252" spans="1:75" ht="20.100000000000001" customHeight="1">
      <c r="A252" s="170" t="str">
        <f t="shared" ref="A252:N252" si="107">A135</f>
        <v>Vault Office</v>
      </c>
      <c r="B252" s="170" t="str">
        <f t="shared" si="107"/>
        <v>Vault Office</v>
      </c>
      <c r="C252" s="147" t="str">
        <f t="shared" si="107"/>
        <v>Vault Office</v>
      </c>
      <c r="D252" s="147" t="str">
        <f t="shared" si="107"/>
        <v>Vault Professional</v>
      </c>
      <c r="E252" s="147" t="str">
        <f t="shared" si="107"/>
        <v/>
      </c>
      <c r="F252" s="147" t="str">
        <f t="shared" si="107"/>
        <v/>
      </c>
      <c r="G252" s="147" t="str">
        <f t="shared" si="107"/>
        <v/>
      </c>
      <c r="H252" s="147" t="str">
        <f t="shared" si="107"/>
        <v/>
      </c>
      <c r="I252" s="147" t="str">
        <f t="shared" si="107"/>
        <v/>
      </c>
      <c r="J252" s="147" t="str">
        <f t="shared" si="107"/>
        <v/>
      </c>
      <c r="K252" s="147" t="str">
        <f t="shared" si="107"/>
        <v/>
      </c>
      <c r="L252" s="147" t="str">
        <f t="shared" si="107"/>
        <v/>
      </c>
      <c r="M252" s="147" t="str">
        <f t="shared" si="107"/>
        <v/>
      </c>
      <c r="N252" s="147" t="str">
        <f t="shared" si="107"/>
        <v/>
      </c>
      <c r="O252" s="145"/>
      <c r="P252" s="145"/>
      <c r="Q252" s="145"/>
      <c r="R252" s="145"/>
      <c r="S252" s="145"/>
      <c r="T252" s="145"/>
      <c r="U252" s="145"/>
      <c r="V252" s="145"/>
      <c r="W252" s="145"/>
      <c r="X252" s="145"/>
      <c r="Y252" s="145"/>
      <c r="Z252" s="145"/>
      <c r="AA252" s="145"/>
      <c r="AB252" s="145"/>
      <c r="AC252" s="145"/>
      <c r="AD252" s="145"/>
      <c r="AE252" s="145"/>
      <c r="AF252" s="145"/>
      <c r="AG252" s="145"/>
      <c r="AH252" s="145"/>
      <c r="AI252" s="145"/>
      <c r="AJ252" s="145"/>
      <c r="AK252" s="145"/>
      <c r="AL252" s="145"/>
      <c r="AM252" s="145"/>
      <c r="AN252" s="145"/>
      <c r="AO252" s="145"/>
      <c r="AP252" s="145"/>
      <c r="AQ252" s="145"/>
      <c r="AR252" s="145"/>
      <c r="AS252" s="145"/>
      <c r="AT252" s="145"/>
      <c r="AU252" s="145"/>
      <c r="AV252" s="145"/>
      <c r="AW252" s="145"/>
      <c r="AX252" s="145"/>
      <c r="AY252" s="145"/>
      <c r="AZ252" s="145"/>
      <c r="BA252" s="145"/>
      <c r="BB252" s="145"/>
      <c r="BC252" s="145"/>
      <c r="BD252" s="145"/>
      <c r="BE252" s="145"/>
      <c r="BF252" s="145"/>
      <c r="BG252" s="145"/>
      <c r="BH252" s="145"/>
      <c r="BI252" s="145"/>
      <c r="BJ252" s="145"/>
      <c r="BK252" s="145"/>
      <c r="BL252" s="145"/>
      <c r="BM252" s="145"/>
      <c r="BN252" s="145"/>
      <c r="BO252" s="145"/>
      <c r="BP252" s="145"/>
      <c r="BQ252" s="145"/>
      <c r="BR252" s="145"/>
      <c r="BS252" s="145"/>
      <c r="BT252" s="145"/>
      <c r="BU252" s="145"/>
      <c r="BV252" s="145"/>
      <c r="BW252" s="145"/>
    </row>
    <row r="253" spans="1:75" ht="20.100000000000001" customHeight="1">
      <c r="A253" s="170" t="str">
        <f t="shared" ref="A253:N253" si="108">A136</f>
        <v>Vault Professional</v>
      </c>
      <c r="B253" s="170" t="str">
        <f t="shared" si="108"/>
        <v>Vault Professional</v>
      </c>
      <c r="C253" s="147" t="str">
        <f t="shared" si="108"/>
        <v>Vault Professional</v>
      </c>
      <c r="D253" s="147" t="str">
        <f t="shared" si="108"/>
        <v/>
      </c>
      <c r="E253" s="147" t="str">
        <f t="shared" si="108"/>
        <v/>
      </c>
      <c r="F253" s="147" t="str">
        <f t="shared" si="108"/>
        <v/>
      </c>
      <c r="G253" s="147" t="str">
        <f t="shared" si="108"/>
        <v/>
      </c>
      <c r="H253" s="147" t="str">
        <f t="shared" si="108"/>
        <v/>
      </c>
      <c r="I253" s="147" t="str">
        <f t="shared" si="108"/>
        <v/>
      </c>
      <c r="J253" s="147" t="str">
        <f t="shared" si="108"/>
        <v/>
      </c>
      <c r="K253" s="147" t="str">
        <f t="shared" si="108"/>
        <v/>
      </c>
      <c r="L253" s="147" t="str">
        <f t="shared" si="108"/>
        <v/>
      </c>
      <c r="M253" s="147" t="str">
        <f t="shared" si="108"/>
        <v/>
      </c>
      <c r="N253" s="147" t="str">
        <f t="shared" si="108"/>
        <v/>
      </c>
      <c r="O253" s="145"/>
      <c r="P253" s="145"/>
      <c r="Q253" s="145"/>
      <c r="R253" s="145"/>
      <c r="S253" s="145"/>
      <c r="T253" s="145"/>
      <c r="U253" s="145"/>
      <c r="V253" s="145"/>
      <c r="W253" s="145"/>
      <c r="X253" s="145"/>
      <c r="Y253" s="145"/>
      <c r="Z253" s="145"/>
      <c r="AA253" s="145"/>
      <c r="AB253" s="145"/>
      <c r="AC253" s="145"/>
      <c r="AD253" s="145"/>
      <c r="AE253" s="145"/>
      <c r="AF253" s="145"/>
      <c r="AG253" s="145"/>
      <c r="AH253" s="145"/>
      <c r="AI253" s="145"/>
      <c r="AJ253" s="145"/>
      <c r="AK253" s="145"/>
      <c r="AL253" s="145"/>
      <c r="AM253" s="145"/>
      <c r="AN253" s="145"/>
      <c r="AO253" s="145"/>
      <c r="AP253" s="145"/>
      <c r="AQ253" s="145"/>
      <c r="AR253" s="145"/>
      <c r="AS253" s="145"/>
      <c r="AT253" s="145"/>
      <c r="AU253" s="145"/>
      <c r="AV253" s="145"/>
      <c r="AW253" s="145"/>
      <c r="AX253" s="145"/>
      <c r="AY253" s="145"/>
      <c r="AZ253" s="145"/>
      <c r="BA253" s="145"/>
      <c r="BB253" s="145"/>
      <c r="BC253" s="145"/>
      <c r="BD253" s="145"/>
      <c r="BE253" s="145"/>
      <c r="BF253" s="145"/>
      <c r="BG253" s="145"/>
      <c r="BH253" s="145"/>
      <c r="BI253" s="145"/>
      <c r="BJ253" s="145"/>
      <c r="BK253" s="145"/>
      <c r="BL253" s="145"/>
      <c r="BM253" s="145"/>
      <c r="BN253" s="145"/>
      <c r="BO253" s="145"/>
      <c r="BP253" s="145"/>
      <c r="BQ253" s="145"/>
      <c r="BR253" s="145"/>
      <c r="BS253" s="145"/>
      <c r="BT253" s="145"/>
      <c r="BU253" s="145"/>
      <c r="BV253" s="145"/>
      <c r="BW253" s="145"/>
    </row>
    <row r="254" spans="1:75" ht="20.100000000000001" customHeight="1">
      <c r="A254" s="170" t="str">
        <f t="shared" ref="A254:N254" si="109">A137</f>
        <v>Vault Workgroup</v>
      </c>
      <c r="B254" s="170" t="str">
        <f t="shared" si="109"/>
        <v>Vault Workgroup</v>
      </c>
      <c r="C254" s="147" t="str">
        <f t="shared" si="109"/>
        <v>Vault Professional</v>
      </c>
      <c r="D254" s="147" t="str">
        <f t="shared" si="109"/>
        <v>Vault Workgroup</v>
      </c>
      <c r="E254" s="147" t="str">
        <f t="shared" si="109"/>
        <v/>
      </c>
      <c r="F254" s="147" t="str">
        <f t="shared" si="109"/>
        <v/>
      </c>
      <c r="G254" s="147" t="str">
        <f t="shared" si="109"/>
        <v/>
      </c>
      <c r="H254" s="147" t="str">
        <f t="shared" si="109"/>
        <v/>
      </c>
      <c r="I254" s="147" t="str">
        <f t="shared" si="109"/>
        <v/>
      </c>
      <c r="J254" s="147" t="str">
        <f t="shared" si="109"/>
        <v/>
      </c>
      <c r="K254" s="147" t="str">
        <f t="shared" si="109"/>
        <v/>
      </c>
      <c r="L254" s="147" t="str">
        <f t="shared" si="109"/>
        <v/>
      </c>
      <c r="M254" s="147" t="str">
        <f t="shared" si="109"/>
        <v/>
      </c>
      <c r="N254" s="147" t="str">
        <f t="shared" si="109"/>
        <v/>
      </c>
      <c r="O254" s="145"/>
      <c r="P254" s="145"/>
      <c r="Q254" s="145"/>
      <c r="R254" s="145"/>
      <c r="S254" s="145"/>
      <c r="T254" s="145"/>
      <c r="U254" s="145"/>
      <c r="V254" s="145"/>
      <c r="W254" s="145"/>
      <c r="X254" s="145"/>
      <c r="Y254" s="145"/>
      <c r="Z254" s="145"/>
      <c r="AA254" s="145"/>
      <c r="AB254" s="145"/>
      <c r="AC254" s="145"/>
      <c r="AD254" s="145"/>
      <c r="AE254" s="145"/>
      <c r="AF254" s="145"/>
      <c r="AG254" s="145"/>
      <c r="AH254" s="145"/>
      <c r="AI254" s="145"/>
      <c r="AJ254" s="145"/>
      <c r="AK254" s="145"/>
      <c r="AL254" s="145"/>
      <c r="AM254" s="145"/>
      <c r="AN254" s="145"/>
      <c r="AO254" s="145"/>
      <c r="AP254" s="145"/>
      <c r="AQ254" s="145"/>
      <c r="AR254" s="145"/>
      <c r="AS254" s="145"/>
      <c r="AT254" s="145"/>
      <c r="AU254" s="145"/>
      <c r="AV254" s="145"/>
      <c r="AW254" s="145"/>
      <c r="AX254" s="145"/>
      <c r="AY254" s="145"/>
      <c r="AZ254" s="145"/>
      <c r="BA254" s="145"/>
      <c r="BB254" s="145"/>
      <c r="BC254" s="145"/>
      <c r="BD254" s="145"/>
      <c r="BE254" s="145"/>
      <c r="BF254" s="145"/>
      <c r="BG254" s="145"/>
      <c r="BH254" s="145"/>
      <c r="BI254" s="145"/>
      <c r="BJ254" s="145"/>
      <c r="BK254" s="145"/>
      <c r="BL254" s="145"/>
      <c r="BM254" s="145"/>
      <c r="BN254" s="145"/>
      <c r="BO254" s="145"/>
      <c r="BP254" s="145"/>
      <c r="BQ254" s="145"/>
      <c r="BR254" s="145"/>
      <c r="BS254" s="145"/>
      <c r="BT254" s="145"/>
      <c r="BU254" s="145"/>
      <c r="BV254" s="145"/>
      <c r="BW254" s="145"/>
    </row>
    <row r="255" spans="1:75" ht="20.100000000000001" customHeight="1">
      <c r="A255" s="170" t="str">
        <f t="shared" ref="A255:N255" si="110">A138</f>
        <v>Vehicle Tracking</v>
      </c>
      <c r="B255" s="170" t="str">
        <f t="shared" si="110"/>
        <v>Vehicle Tracking</v>
      </c>
      <c r="C255" s="147" t="str">
        <f t="shared" si="110"/>
        <v>Architecture Engineering Construction Collection</v>
      </c>
      <c r="D255" s="147" t="str">
        <f t="shared" si="110"/>
        <v/>
      </c>
      <c r="E255" s="147" t="str">
        <f t="shared" si="110"/>
        <v/>
      </c>
      <c r="F255" s="147" t="str">
        <f t="shared" si="110"/>
        <v/>
      </c>
      <c r="G255" s="147" t="str">
        <f t="shared" si="110"/>
        <v/>
      </c>
      <c r="H255" s="147" t="str">
        <f t="shared" si="110"/>
        <v/>
      </c>
      <c r="I255" s="147" t="str">
        <f t="shared" si="110"/>
        <v/>
      </c>
      <c r="J255" s="147" t="str">
        <f t="shared" si="110"/>
        <v/>
      </c>
      <c r="K255" s="147" t="str">
        <f t="shared" si="110"/>
        <v/>
      </c>
      <c r="L255" s="147" t="str">
        <f t="shared" si="110"/>
        <v/>
      </c>
      <c r="M255" s="147" t="str">
        <f t="shared" si="110"/>
        <v/>
      </c>
      <c r="N255" s="147" t="str">
        <f t="shared" si="110"/>
        <v/>
      </c>
      <c r="O255" s="145"/>
      <c r="P255" s="145"/>
      <c r="Q255" s="145"/>
      <c r="R255" s="145"/>
      <c r="S255" s="145"/>
      <c r="T255" s="145"/>
      <c r="U255" s="145"/>
      <c r="V255" s="145"/>
      <c r="W255" s="145"/>
      <c r="X255" s="145"/>
      <c r="Y255" s="145"/>
      <c r="Z255" s="145"/>
      <c r="AA255" s="145"/>
      <c r="AB255" s="145"/>
      <c r="AC255" s="145"/>
      <c r="AD255" s="145"/>
      <c r="AE255" s="145"/>
      <c r="AF255" s="145"/>
      <c r="AG255" s="145"/>
      <c r="AH255" s="145"/>
      <c r="AI255" s="145"/>
      <c r="AJ255" s="145"/>
      <c r="AK255" s="145"/>
      <c r="AL255" s="145"/>
      <c r="AM255" s="145"/>
      <c r="AN255" s="145"/>
      <c r="AO255" s="145"/>
      <c r="AP255" s="145"/>
      <c r="AQ255" s="145"/>
      <c r="AR255" s="145"/>
      <c r="AS255" s="145"/>
      <c r="AT255" s="145"/>
      <c r="AU255" s="145"/>
      <c r="AV255" s="145"/>
      <c r="AW255" s="145"/>
      <c r="AX255" s="145"/>
      <c r="AY255" s="145"/>
      <c r="AZ255" s="145"/>
      <c r="BA255" s="145"/>
      <c r="BB255" s="145"/>
      <c r="BC255" s="145"/>
      <c r="BD255" s="145"/>
      <c r="BE255" s="145"/>
      <c r="BF255" s="145"/>
      <c r="BG255" s="145"/>
      <c r="BH255" s="145"/>
      <c r="BI255" s="145"/>
      <c r="BJ255" s="145"/>
      <c r="BK255" s="145"/>
      <c r="BL255" s="145"/>
      <c r="BM255" s="145"/>
      <c r="BN255" s="145"/>
      <c r="BO255" s="145"/>
      <c r="BP255" s="145"/>
      <c r="BQ255" s="145"/>
      <c r="BR255" s="145"/>
      <c r="BS255" s="145"/>
      <c r="BT255" s="145"/>
      <c r="BU255" s="145"/>
      <c r="BV255" s="145"/>
      <c r="BW255" s="145"/>
    </row>
    <row r="256" spans="1:75" ht="20.100000000000001" customHeight="1">
      <c r="A256" s="170" t="str">
        <f t="shared" ref="A256:N256" si="111">A139</f>
        <v>VRED</v>
      </c>
      <c r="B256" s="170" t="str">
        <f t="shared" si="111"/>
        <v>VRED</v>
      </c>
      <c r="C256" s="147" t="str">
        <f t="shared" si="111"/>
        <v>VRED</v>
      </c>
      <c r="D256" s="147" t="str">
        <f t="shared" si="111"/>
        <v/>
      </c>
      <c r="E256" s="147" t="str">
        <f t="shared" si="111"/>
        <v/>
      </c>
      <c r="F256" s="147" t="str">
        <f t="shared" si="111"/>
        <v/>
      </c>
      <c r="G256" s="147" t="str">
        <f t="shared" si="111"/>
        <v/>
      </c>
      <c r="H256" s="147" t="str">
        <f t="shared" si="111"/>
        <v/>
      </c>
      <c r="I256" s="147" t="str">
        <f t="shared" si="111"/>
        <v/>
      </c>
      <c r="J256" s="147" t="str">
        <f t="shared" si="111"/>
        <v/>
      </c>
      <c r="K256" s="147" t="str">
        <f t="shared" si="111"/>
        <v/>
      </c>
      <c r="L256" s="147" t="str">
        <f t="shared" si="111"/>
        <v/>
      </c>
      <c r="M256" s="147" t="str">
        <f t="shared" si="111"/>
        <v/>
      </c>
      <c r="N256" s="147" t="str">
        <f t="shared" si="111"/>
        <v/>
      </c>
      <c r="O256" s="145"/>
      <c r="P256" s="145"/>
      <c r="Q256" s="145"/>
      <c r="R256" s="145"/>
      <c r="S256" s="145"/>
      <c r="T256" s="145"/>
      <c r="U256" s="145"/>
      <c r="V256" s="145"/>
      <c r="W256" s="145"/>
      <c r="X256" s="145"/>
      <c r="Y256" s="145"/>
      <c r="Z256" s="145"/>
      <c r="AA256" s="145"/>
      <c r="AB256" s="145"/>
      <c r="AC256" s="145"/>
      <c r="AD256" s="145"/>
      <c r="AE256" s="145"/>
      <c r="AF256" s="145"/>
      <c r="AG256" s="145"/>
      <c r="AH256" s="145"/>
      <c r="AI256" s="145"/>
      <c r="AJ256" s="145"/>
      <c r="AK256" s="145"/>
      <c r="AL256" s="145"/>
      <c r="AM256" s="145"/>
      <c r="AN256" s="145"/>
      <c r="AO256" s="145"/>
      <c r="AP256" s="145"/>
      <c r="AQ256" s="145"/>
      <c r="AR256" s="145"/>
      <c r="AS256" s="145"/>
      <c r="AT256" s="145"/>
      <c r="AU256" s="145"/>
      <c r="AV256" s="145"/>
      <c r="AW256" s="145"/>
      <c r="AX256" s="145"/>
      <c r="AY256" s="145"/>
      <c r="AZ256" s="145"/>
      <c r="BA256" s="145"/>
      <c r="BB256" s="145"/>
      <c r="BC256" s="145"/>
      <c r="BD256" s="145"/>
      <c r="BE256" s="145"/>
      <c r="BF256" s="145"/>
      <c r="BG256" s="145"/>
      <c r="BH256" s="145"/>
      <c r="BI256" s="145"/>
      <c r="BJ256" s="145"/>
      <c r="BK256" s="145"/>
      <c r="BL256" s="145"/>
      <c r="BM256" s="145"/>
      <c r="BN256" s="145"/>
      <c r="BO256" s="145"/>
      <c r="BP256" s="145"/>
      <c r="BQ256" s="145"/>
      <c r="BR256" s="145"/>
      <c r="BS256" s="145"/>
      <c r="BT256" s="145"/>
      <c r="BU256" s="145"/>
      <c r="BV256" s="145"/>
      <c r="BW256" s="145"/>
    </row>
    <row r="257" spans="1:75" ht="20.100000000000001" customHeight="1">
      <c r="A257" s="170" t="str">
        <f t="shared" ref="A257:N257" si="112">A140</f>
        <v>VRED Design</v>
      </c>
      <c r="B257" s="170" t="str">
        <f t="shared" si="112"/>
        <v>VRED Design</v>
      </c>
      <c r="C257" s="147" t="str">
        <f t="shared" si="112"/>
        <v>VRED Design</v>
      </c>
      <c r="D257" s="147" t="str">
        <f t="shared" si="112"/>
        <v/>
      </c>
      <c r="E257" s="147" t="str">
        <f t="shared" si="112"/>
        <v/>
      </c>
      <c r="F257" s="147" t="str">
        <f t="shared" si="112"/>
        <v/>
      </c>
      <c r="G257" s="147" t="str">
        <f t="shared" si="112"/>
        <v/>
      </c>
      <c r="H257" s="147" t="str">
        <f t="shared" si="112"/>
        <v/>
      </c>
      <c r="I257" s="147" t="str">
        <f t="shared" si="112"/>
        <v/>
      </c>
      <c r="J257" s="147" t="str">
        <f t="shared" si="112"/>
        <v/>
      </c>
      <c r="K257" s="147" t="str">
        <f t="shared" si="112"/>
        <v/>
      </c>
      <c r="L257" s="147" t="str">
        <f t="shared" si="112"/>
        <v/>
      </c>
      <c r="M257" s="147" t="str">
        <f t="shared" si="112"/>
        <v/>
      </c>
      <c r="N257" s="147" t="str">
        <f t="shared" si="112"/>
        <v/>
      </c>
      <c r="O257" s="145"/>
      <c r="P257" s="145"/>
      <c r="Q257" s="145"/>
      <c r="R257" s="145"/>
      <c r="S257" s="145"/>
      <c r="T257" s="145"/>
      <c r="U257" s="145"/>
      <c r="V257" s="145"/>
      <c r="W257" s="145"/>
      <c r="X257" s="145"/>
      <c r="Y257" s="145"/>
      <c r="Z257" s="145"/>
      <c r="AA257" s="145"/>
      <c r="AB257" s="145"/>
      <c r="AC257" s="145"/>
      <c r="AD257" s="145"/>
      <c r="AE257" s="145"/>
      <c r="AF257" s="145"/>
      <c r="AG257" s="145"/>
      <c r="AH257" s="145"/>
      <c r="AI257" s="145"/>
      <c r="AJ257" s="145"/>
      <c r="AK257" s="145"/>
      <c r="AL257" s="145"/>
      <c r="AM257" s="145"/>
      <c r="AN257" s="145"/>
      <c r="AO257" s="145"/>
      <c r="AP257" s="145"/>
      <c r="AQ257" s="145"/>
      <c r="AR257" s="145"/>
      <c r="AS257" s="145"/>
      <c r="AT257" s="145"/>
      <c r="AU257" s="145"/>
      <c r="AV257" s="145"/>
      <c r="AW257" s="145"/>
      <c r="AX257" s="145"/>
      <c r="AY257" s="145"/>
      <c r="AZ257" s="145"/>
      <c r="BA257" s="145"/>
      <c r="BB257" s="145"/>
      <c r="BC257" s="145"/>
      <c r="BD257" s="145"/>
      <c r="BE257" s="145"/>
      <c r="BF257" s="145"/>
      <c r="BG257" s="145"/>
      <c r="BH257" s="145"/>
      <c r="BI257" s="145"/>
      <c r="BJ257" s="145"/>
      <c r="BK257" s="145"/>
      <c r="BL257" s="145"/>
      <c r="BM257" s="145"/>
      <c r="BN257" s="145"/>
      <c r="BO257" s="145"/>
      <c r="BP257" s="145"/>
      <c r="BQ257" s="145"/>
      <c r="BR257" s="145"/>
      <c r="BS257" s="145"/>
      <c r="BT257" s="145"/>
      <c r="BU257" s="145"/>
      <c r="BV257" s="145"/>
      <c r="BW257" s="145"/>
    </row>
    <row r="258" spans="1:75" ht="20.100000000000001" customHeight="1">
      <c r="A258" s="170" t="str">
        <f t="shared" ref="A258:N258" si="113">A141</f>
        <v>VRED Presenter</v>
      </c>
      <c r="B258" s="170" t="str">
        <f t="shared" si="113"/>
        <v>VRED Presenter</v>
      </c>
      <c r="C258" s="147" t="str">
        <f t="shared" si="113"/>
        <v>VRED Presenter</v>
      </c>
      <c r="D258" s="147" t="str">
        <f t="shared" si="113"/>
        <v/>
      </c>
      <c r="E258" s="147" t="str">
        <f t="shared" si="113"/>
        <v/>
      </c>
      <c r="F258" s="147" t="str">
        <f t="shared" si="113"/>
        <v/>
      </c>
      <c r="G258" s="147" t="str">
        <f t="shared" si="113"/>
        <v/>
      </c>
      <c r="H258" s="147" t="str">
        <f t="shared" si="113"/>
        <v/>
      </c>
      <c r="I258" s="147" t="str">
        <f t="shared" si="113"/>
        <v/>
      </c>
      <c r="J258" s="147" t="str">
        <f t="shared" si="113"/>
        <v/>
      </c>
      <c r="K258" s="147" t="str">
        <f t="shared" si="113"/>
        <v/>
      </c>
      <c r="L258" s="147" t="str">
        <f t="shared" si="113"/>
        <v/>
      </c>
      <c r="M258" s="147" t="str">
        <f t="shared" si="113"/>
        <v/>
      </c>
      <c r="N258" s="147" t="str">
        <f t="shared" si="113"/>
        <v/>
      </c>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c r="BS258" s="145"/>
      <c r="BT258" s="145"/>
      <c r="BU258" s="145"/>
      <c r="BV258" s="145"/>
      <c r="BW258" s="145"/>
    </row>
    <row r="259" spans="1:75" ht="20.100000000000001" customHeight="1">
      <c r="A259" s="170" t="str">
        <f t="shared" ref="A259:N259" si="114">A142</f>
        <v>VRED Professional</v>
      </c>
      <c r="B259" s="170" t="str">
        <f t="shared" si="114"/>
        <v>VRED Professional</v>
      </c>
      <c r="C259" s="147" t="str">
        <f t="shared" si="114"/>
        <v>VRED Professional</v>
      </c>
      <c r="D259" s="147" t="str">
        <f t="shared" si="114"/>
        <v/>
      </c>
      <c r="E259" s="147" t="str">
        <f t="shared" si="114"/>
        <v/>
      </c>
      <c r="F259" s="147" t="str">
        <f t="shared" si="114"/>
        <v/>
      </c>
      <c r="G259" s="147" t="str">
        <f t="shared" si="114"/>
        <v/>
      </c>
      <c r="H259" s="147" t="str">
        <f t="shared" si="114"/>
        <v/>
      </c>
      <c r="I259" s="147" t="str">
        <f t="shared" si="114"/>
        <v/>
      </c>
      <c r="J259" s="147" t="str">
        <f t="shared" si="114"/>
        <v/>
      </c>
      <c r="K259" s="147" t="str">
        <f t="shared" si="114"/>
        <v/>
      </c>
      <c r="L259" s="147" t="str">
        <f t="shared" si="114"/>
        <v/>
      </c>
      <c r="M259" s="147" t="str">
        <f t="shared" si="114"/>
        <v/>
      </c>
      <c r="N259" s="147" t="str">
        <f t="shared" si="114"/>
        <v/>
      </c>
      <c r="O259" s="145"/>
      <c r="P259" s="145"/>
      <c r="Q259" s="145"/>
      <c r="R259" s="145"/>
      <c r="S259" s="145"/>
      <c r="T259" s="145"/>
      <c r="U259" s="145"/>
      <c r="V259" s="145"/>
      <c r="W259" s="145"/>
      <c r="X259" s="145"/>
      <c r="Y259" s="145"/>
      <c r="Z259" s="145"/>
      <c r="AA259" s="145"/>
      <c r="AB259" s="145"/>
      <c r="AC259" s="145"/>
      <c r="AD259" s="145"/>
      <c r="AE259" s="145"/>
      <c r="AF259" s="145"/>
      <c r="AG259" s="145"/>
      <c r="AH259" s="145"/>
      <c r="AI259" s="145"/>
      <c r="AJ259" s="145"/>
      <c r="AK259" s="145"/>
      <c r="AL259" s="145"/>
      <c r="AM259" s="145"/>
      <c r="AN259" s="145"/>
      <c r="AO259" s="145"/>
      <c r="AP259" s="145"/>
      <c r="AQ259" s="145"/>
      <c r="AR259" s="145"/>
      <c r="AS259" s="145"/>
      <c r="AT259" s="145"/>
      <c r="AU259" s="145"/>
      <c r="AV259" s="145"/>
      <c r="AW259" s="145"/>
      <c r="AX259" s="145"/>
      <c r="AY259" s="145"/>
      <c r="AZ259" s="145"/>
      <c r="BA259" s="145"/>
      <c r="BB259" s="145"/>
      <c r="BC259" s="145"/>
      <c r="BD259" s="145"/>
      <c r="BE259" s="145"/>
      <c r="BF259" s="145"/>
      <c r="BG259" s="145"/>
      <c r="BH259" s="145"/>
      <c r="BI259" s="145"/>
      <c r="BJ259" s="145"/>
      <c r="BK259" s="145"/>
      <c r="BL259" s="145"/>
      <c r="BM259" s="145"/>
      <c r="BN259" s="145"/>
      <c r="BO259" s="145"/>
      <c r="BP259" s="145"/>
      <c r="BQ259" s="145"/>
      <c r="BR259" s="145"/>
      <c r="BS259" s="145"/>
      <c r="BT259" s="145"/>
      <c r="BU259" s="145"/>
      <c r="BV259" s="145"/>
      <c r="BW259" s="145"/>
    </row>
    <row r="260" spans="1:75" ht="20.100000000000001" customHeight="1">
      <c r="A260" s="170" t="str">
        <f t="shared" ref="A260:N260" si="115">A143</f>
        <v>VRED Render Node</v>
      </c>
      <c r="B260" s="170" t="str">
        <f t="shared" si="115"/>
        <v>VRED Render Node</v>
      </c>
      <c r="C260" s="147" t="str">
        <f t="shared" si="115"/>
        <v>VRED Render Node</v>
      </c>
      <c r="D260" s="147" t="str">
        <f t="shared" si="115"/>
        <v/>
      </c>
      <c r="E260" s="147" t="str">
        <f t="shared" si="115"/>
        <v/>
      </c>
      <c r="F260" s="147" t="str">
        <f t="shared" si="115"/>
        <v/>
      </c>
      <c r="G260" s="147" t="str">
        <f t="shared" si="115"/>
        <v/>
      </c>
      <c r="H260" s="147" t="str">
        <f t="shared" si="115"/>
        <v/>
      </c>
      <c r="I260" s="147" t="str">
        <f t="shared" si="115"/>
        <v/>
      </c>
      <c r="J260" s="147" t="str">
        <f t="shared" si="115"/>
        <v/>
      </c>
      <c r="K260" s="147" t="str">
        <f t="shared" si="115"/>
        <v/>
      </c>
      <c r="L260" s="147" t="str">
        <f t="shared" si="115"/>
        <v/>
      </c>
      <c r="M260" s="147" t="str">
        <f t="shared" si="115"/>
        <v/>
      </c>
      <c r="N260" s="147" t="str">
        <f t="shared" si="115"/>
        <v/>
      </c>
      <c r="O260" s="145"/>
      <c r="P260" s="145"/>
      <c r="Q260" s="145"/>
      <c r="R260" s="145"/>
      <c r="S260" s="145"/>
      <c r="T260" s="145"/>
      <c r="U260" s="145"/>
      <c r="V260" s="145"/>
      <c r="W260" s="145"/>
      <c r="X260" s="145"/>
      <c r="Y260" s="145"/>
      <c r="Z260" s="145"/>
      <c r="AA260" s="145"/>
      <c r="AB260" s="145"/>
      <c r="AC260" s="145"/>
      <c r="AD260" s="145"/>
      <c r="AE260" s="145"/>
      <c r="AF260" s="145"/>
      <c r="AG260" s="145"/>
      <c r="AH260" s="145"/>
      <c r="AI260" s="145"/>
      <c r="AJ260" s="145"/>
      <c r="AK260" s="145"/>
      <c r="AL260" s="145"/>
      <c r="AM260" s="145"/>
      <c r="AN260" s="145"/>
      <c r="AO260" s="145"/>
      <c r="AP260" s="145"/>
      <c r="AQ260" s="145"/>
      <c r="AR260" s="145"/>
      <c r="AS260" s="145"/>
      <c r="AT260" s="145"/>
      <c r="AU260" s="145"/>
      <c r="AV260" s="145"/>
      <c r="AW260" s="145"/>
      <c r="AX260" s="145"/>
      <c r="AY260" s="145"/>
      <c r="AZ260" s="145"/>
      <c r="BA260" s="145"/>
      <c r="BB260" s="145"/>
      <c r="BC260" s="145"/>
      <c r="BD260" s="145"/>
      <c r="BE260" s="145"/>
      <c r="BF260" s="145"/>
      <c r="BG260" s="145"/>
      <c r="BH260" s="145"/>
      <c r="BI260" s="145"/>
      <c r="BJ260" s="145"/>
      <c r="BK260" s="145"/>
      <c r="BL260" s="145"/>
      <c r="BM260" s="145"/>
      <c r="BN260" s="145"/>
      <c r="BO260" s="145"/>
      <c r="BP260" s="145"/>
      <c r="BQ260" s="145"/>
      <c r="BR260" s="145"/>
      <c r="BS260" s="145"/>
      <c r="BT260" s="145"/>
      <c r="BU260" s="145"/>
      <c r="BV260" s="145"/>
      <c r="BW260" s="145"/>
    </row>
    <row r="261" spans="1:75" ht="19.5" customHeight="1">
      <c r="A261" s="170" t="str">
        <f t="shared" ref="A261:N261" si="116">A144</f>
        <v>VRED Server</v>
      </c>
      <c r="B261" s="170" t="str">
        <f t="shared" si="116"/>
        <v>VRED Server</v>
      </c>
      <c r="C261" s="147" t="str">
        <f t="shared" si="116"/>
        <v>VRED Server</v>
      </c>
      <c r="D261" s="147" t="str">
        <f t="shared" si="116"/>
        <v/>
      </c>
      <c r="E261" s="147" t="str">
        <f t="shared" si="116"/>
        <v/>
      </c>
      <c r="F261" s="147" t="str">
        <f t="shared" si="116"/>
        <v/>
      </c>
      <c r="G261" s="147" t="str">
        <f t="shared" si="116"/>
        <v/>
      </c>
      <c r="H261" s="147" t="str">
        <f t="shared" si="116"/>
        <v/>
      </c>
      <c r="I261" s="147" t="str">
        <f t="shared" si="116"/>
        <v/>
      </c>
      <c r="J261" s="147" t="str">
        <f t="shared" si="116"/>
        <v/>
      </c>
      <c r="K261" s="147" t="str">
        <f t="shared" si="116"/>
        <v/>
      </c>
      <c r="L261" s="147" t="str">
        <f t="shared" si="116"/>
        <v/>
      </c>
      <c r="M261" s="147" t="str">
        <f t="shared" si="116"/>
        <v/>
      </c>
      <c r="N261" s="147" t="str">
        <f t="shared" si="116"/>
        <v/>
      </c>
      <c r="O261" s="145"/>
      <c r="P261" s="145"/>
      <c r="Q261" s="145"/>
      <c r="R261" s="145"/>
      <c r="S261" s="145"/>
      <c r="T261" s="145"/>
      <c r="U261" s="145"/>
      <c r="V261" s="145"/>
      <c r="W261" s="145"/>
      <c r="X261" s="145"/>
      <c r="Y261" s="145"/>
      <c r="Z261" s="145"/>
      <c r="AA261" s="145"/>
      <c r="AB261" s="145"/>
      <c r="AC261" s="145"/>
      <c r="AD261" s="145"/>
      <c r="AE261" s="145"/>
      <c r="AF261" s="145"/>
      <c r="AG261" s="145"/>
      <c r="AH261" s="145"/>
      <c r="AI261" s="145"/>
      <c r="AJ261" s="145"/>
      <c r="AK261" s="145"/>
      <c r="AL261" s="145"/>
      <c r="AM261" s="145"/>
      <c r="AN261" s="145"/>
      <c r="AO261" s="145"/>
      <c r="AP261" s="145"/>
      <c r="AQ261" s="145"/>
      <c r="AR261" s="145"/>
      <c r="AS261" s="145"/>
      <c r="AT261" s="145"/>
      <c r="AU261" s="145"/>
      <c r="AV261" s="145"/>
      <c r="AW261" s="145"/>
      <c r="AX261" s="145"/>
      <c r="AY261" s="145"/>
      <c r="AZ261" s="145"/>
      <c r="BA261" s="145"/>
      <c r="BB261" s="145"/>
      <c r="BC261" s="145"/>
      <c r="BD261" s="145"/>
      <c r="BE261" s="145"/>
      <c r="BF261" s="145"/>
      <c r="BG261" s="145"/>
      <c r="BH261" s="145"/>
      <c r="BI261" s="145"/>
      <c r="BJ261" s="145"/>
      <c r="BK261" s="145"/>
      <c r="BL261" s="145"/>
      <c r="BM261" s="145"/>
      <c r="BN261" s="145"/>
      <c r="BO261" s="145"/>
      <c r="BP261" s="145"/>
      <c r="BQ261" s="145"/>
      <c r="BR261" s="145"/>
      <c r="BS261" s="145"/>
      <c r="BT261" s="145"/>
      <c r="BU261" s="145"/>
      <c r="BV261" s="145"/>
      <c r="BW261" s="145"/>
    </row>
    <row r="262" spans="1:75" ht="20.100000000000001" customHeight="1">
      <c r="A262" s="145"/>
      <c r="B262" s="145"/>
      <c r="C262" s="145" t="s">
        <v>2008</v>
      </c>
      <c r="D262" s="145"/>
      <c r="E262" s="145"/>
      <c r="F262" s="145"/>
      <c r="G262" s="145"/>
      <c r="H262" s="145"/>
      <c r="I262" s="145"/>
      <c r="J262" s="145"/>
      <c r="K262" s="145"/>
      <c r="L262" s="145"/>
      <c r="M262" s="145"/>
      <c r="N262" s="145"/>
      <c r="O262" s="145"/>
      <c r="P262" s="145"/>
      <c r="Q262" s="145"/>
      <c r="R262" s="145"/>
      <c r="S262" s="145"/>
      <c r="T262" s="145"/>
      <c r="U262" s="145"/>
      <c r="V262" s="145"/>
      <c r="W262" s="145"/>
      <c r="X262" s="145"/>
      <c r="Y262" s="145"/>
      <c r="Z262" s="145"/>
      <c r="AA262" s="145"/>
      <c r="AB262" s="145"/>
      <c r="AC262" s="145"/>
      <c r="AD262" s="145"/>
      <c r="AE262" s="145"/>
      <c r="AF262" s="145"/>
      <c r="AG262" s="145"/>
      <c r="AH262" s="145"/>
      <c r="AI262" s="145"/>
      <c r="AJ262" s="145"/>
      <c r="AK262" s="145"/>
      <c r="AL262" s="145"/>
      <c r="AM262" s="145"/>
      <c r="AN262" s="145"/>
      <c r="AO262" s="145"/>
      <c r="AP262" s="145"/>
      <c r="AQ262" s="145"/>
      <c r="AR262" s="145"/>
      <c r="AS262" s="145"/>
      <c r="AT262" s="145"/>
      <c r="AU262" s="145"/>
      <c r="AV262" s="145"/>
      <c r="AW262" s="145"/>
      <c r="AX262" s="145"/>
      <c r="AY262" s="145"/>
      <c r="AZ262" s="145"/>
      <c r="BA262" s="145"/>
      <c r="BB262" s="145"/>
      <c r="BC262" s="145"/>
      <c r="BD262" s="145"/>
      <c r="BE262" s="145"/>
      <c r="BF262" s="145"/>
      <c r="BG262" s="145"/>
      <c r="BH262" s="145"/>
      <c r="BI262" s="145"/>
      <c r="BJ262" s="145"/>
      <c r="BK262" s="145"/>
      <c r="BL262" s="145"/>
      <c r="BM262" s="145"/>
      <c r="BN262" s="145"/>
      <c r="BO262" s="145"/>
      <c r="BP262" s="145"/>
      <c r="BQ262" s="145"/>
      <c r="BR262" s="145"/>
      <c r="BS262" s="145"/>
      <c r="BT262" s="145"/>
      <c r="BU262" s="145"/>
      <c r="BV262" s="145"/>
      <c r="BW262" s="145"/>
    </row>
    <row r="263" spans="1:75" ht="20.100000000000001" customHeight="1">
      <c r="A263" s="145"/>
      <c r="B263" s="145"/>
      <c r="C263" s="145"/>
      <c r="D263" s="145"/>
      <c r="E263" s="145"/>
      <c r="F263" s="145"/>
      <c r="G263" s="145"/>
      <c r="H263" s="145"/>
      <c r="I263" s="145"/>
      <c r="J263" s="145"/>
      <c r="K263" s="145"/>
      <c r="L263" s="145"/>
      <c r="M263" s="145"/>
      <c r="N263" s="145"/>
      <c r="O263" s="145"/>
      <c r="P263" s="145"/>
      <c r="Q263" s="145"/>
      <c r="R263" s="145"/>
      <c r="S263" s="145"/>
      <c r="T263" s="145"/>
      <c r="U263" s="145"/>
      <c r="V263" s="145"/>
      <c r="W263" s="145"/>
      <c r="X263" s="145"/>
      <c r="Y263" s="145"/>
      <c r="Z263" s="145"/>
      <c r="AA263" s="145"/>
      <c r="AB263" s="145"/>
      <c r="AC263" s="145"/>
      <c r="AD263" s="145"/>
      <c r="AE263" s="145"/>
      <c r="AF263" s="145"/>
      <c r="AG263" s="145"/>
      <c r="AH263" s="145"/>
      <c r="AI263" s="145"/>
      <c r="AJ263" s="145"/>
      <c r="AK263" s="145"/>
      <c r="AL263" s="145"/>
      <c r="AM263" s="145"/>
      <c r="AN263" s="145"/>
      <c r="AO263" s="145"/>
      <c r="AP263" s="145"/>
      <c r="AQ263" s="145"/>
      <c r="AR263" s="145"/>
      <c r="AS263" s="145"/>
      <c r="AT263" s="145"/>
      <c r="AU263" s="145"/>
      <c r="AV263" s="145"/>
      <c r="AW263" s="145"/>
      <c r="AX263" s="145"/>
      <c r="AY263" s="145"/>
      <c r="AZ263" s="145"/>
      <c r="BA263" s="145"/>
      <c r="BB263" s="145"/>
      <c r="BC263" s="145"/>
      <c r="BD263" s="145"/>
      <c r="BE263" s="145"/>
      <c r="BF263" s="145"/>
      <c r="BG263" s="145"/>
      <c r="BH263" s="145"/>
      <c r="BI263" s="145"/>
      <c r="BJ263" s="145"/>
      <c r="BK263" s="145"/>
      <c r="BL263" s="145"/>
      <c r="BM263" s="145"/>
      <c r="BN263" s="145"/>
      <c r="BO263" s="145"/>
      <c r="BP263" s="145"/>
      <c r="BQ263" s="145"/>
      <c r="BR263" s="145"/>
      <c r="BS263" s="145"/>
      <c r="BT263" s="145"/>
      <c r="BU263" s="145"/>
      <c r="BV263" s="145"/>
      <c r="BW263" s="145"/>
    </row>
    <row r="264" spans="1:75" ht="20.100000000000001" customHeight="1">
      <c r="A264" s="145"/>
      <c r="B264" s="145"/>
      <c r="C264" s="145"/>
      <c r="D264" s="145"/>
      <c r="E264" s="145"/>
      <c r="F264" s="145"/>
      <c r="G264" s="145"/>
      <c r="H264" s="145"/>
      <c r="I264" s="145"/>
      <c r="J264" s="145"/>
      <c r="K264" s="145"/>
      <c r="L264" s="145"/>
      <c r="M264" s="145"/>
      <c r="N264" s="145"/>
      <c r="O264" s="145"/>
      <c r="P264" s="145"/>
      <c r="Q264" s="145"/>
      <c r="R264" s="145"/>
      <c r="S264" s="145"/>
      <c r="T264" s="145"/>
      <c r="U264" s="145"/>
      <c r="V264" s="145"/>
      <c r="W264" s="145"/>
      <c r="X264" s="145"/>
      <c r="Y264" s="145"/>
      <c r="Z264" s="145"/>
      <c r="AA264" s="145"/>
      <c r="AB264" s="145"/>
      <c r="AC264" s="145"/>
      <c r="AD264" s="145"/>
      <c r="AE264" s="145"/>
      <c r="AF264" s="145"/>
      <c r="AG264" s="145"/>
      <c r="AH264" s="145"/>
      <c r="AI264" s="145"/>
      <c r="AJ264" s="145"/>
      <c r="AK264" s="145"/>
      <c r="AL264" s="145"/>
      <c r="AM264" s="145"/>
      <c r="AN264" s="145"/>
      <c r="AO264" s="145"/>
      <c r="AP264" s="145"/>
      <c r="AQ264" s="145"/>
      <c r="AR264" s="145"/>
      <c r="AS264" s="145"/>
      <c r="AT264" s="145"/>
      <c r="AU264" s="145"/>
      <c r="AV264" s="145"/>
      <c r="AW264" s="145"/>
      <c r="AX264" s="145"/>
      <c r="AY264" s="145"/>
      <c r="AZ264" s="145"/>
      <c r="BA264" s="145"/>
      <c r="BB264" s="145"/>
      <c r="BC264" s="145"/>
      <c r="BD264" s="145"/>
      <c r="BE264" s="145"/>
      <c r="BF264" s="145"/>
      <c r="BG264" s="145"/>
      <c r="BH264" s="145"/>
      <c r="BI264" s="145"/>
      <c r="BJ264" s="145"/>
      <c r="BK264" s="145"/>
      <c r="BL264" s="145"/>
      <c r="BM264" s="145"/>
      <c r="BN264" s="145"/>
      <c r="BO264" s="145"/>
      <c r="BP264" s="145"/>
      <c r="BQ264" s="145"/>
      <c r="BR264" s="145"/>
      <c r="BS264" s="145"/>
      <c r="BT264" s="145"/>
      <c r="BU264" s="145"/>
      <c r="BV264" s="145"/>
      <c r="BW264" s="145"/>
    </row>
    <row r="265" spans="1:75" ht="20.100000000000001" customHeight="1">
      <c r="A265" s="148"/>
      <c r="B265" s="149" t="s">
        <v>103</v>
      </c>
      <c r="C265" s="149"/>
      <c r="D265" s="149"/>
      <c r="E265" s="149"/>
      <c r="F265" s="149"/>
      <c r="G265" s="70"/>
      <c r="H265" s="70"/>
      <c r="I265" s="70"/>
      <c r="J265" s="70"/>
      <c r="K265" s="70"/>
      <c r="L265" s="70"/>
      <c r="M265" s="70"/>
      <c r="N265" s="70"/>
      <c r="O265" s="70"/>
      <c r="P265" s="70"/>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9"/>
      <c r="AM265" s="149"/>
      <c r="AN265" s="149"/>
      <c r="AO265" s="149"/>
      <c r="AP265" s="149"/>
      <c r="AQ265" s="149"/>
      <c r="AR265" s="149"/>
      <c r="AS265" s="149"/>
      <c r="AT265" s="149"/>
      <c r="AU265" s="149"/>
      <c r="AV265" s="149"/>
      <c r="AW265" s="149"/>
      <c r="AX265" s="149"/>
      <c r="AY265" s="149"/>
      <c r="AZ265" s="149"/>
      <c r="BA265" s="149"/>
      <c r="BB265" s="149"/>
      <c r="BC265" s="149"/>
      <c r="BD265" s="149"/>
      <c r="BE265" s="149"/>
      <c r="BF265" s="149"/>
      <c r="BG265" s="149"/>
      <c r="BH265" s="149"/>
      <c r="BI265" s="149"/>
      <c r="BJ265" s="149"/>
      <c r="BK265" s="149"/>
      <c r="BL265" s="149"/>
      <c r="BM265" s="149"/>
      <c r="BN265" s="149"/>
      <c r="BO265" s="149"/>
      <c r="BP265" s="149"/>
      <c r="BQ265" s="149"/>
      <c r="BR265" s="149"/>
      <c r="BS265" s="149"/>
      <c r="BT265" s="149"/>
      <c r="BU265" s="149"/>
      <c r="BV265" s="149"/>
      <c r="BW265" s="149"/>
    </row>
    <row r="266" spans="1:75" ht="20.100000000000001" customHeight="1">
      <c r="A266" s="145"/>
      <c r="B266" s="145"/>
      <c r="C266" s="145"/>
      <c r="D266" s="145"/>
      <c r="E266" s="145"/>
      <c r="F266" s="145"/>
      <c r="G266" s="145"/>
      <c r="H266" s="145"/>
      <c r="I266" s="145"/>
      <c r="J266" s="145"/>
      <c r="K266" s="145"/>
      <c r="L266" s="145"/>
      <c r="M266" s="145"/>
      <c r="N266" s="145"/>
      <c r="O266" s="145"/>
      <c r="P266" s="145"/>
      <c r="Q266" s="145"/>
      <c r="R266" s="145"/>
      <c r="S266" s="145"/>
      <c r="T266" s="145"/>
      <c r="U266" s="145"/>
      <c r="V266" s="145"/>
      <c r="W266" s="145"/>
      <c r="X266" s="145"/>
      <c r="Y266" s="145"/>
      <c r="Z266" s="145"/>
      <c r="AA266" s="145"/>
      <c r="AB266" s="145"/>
      <c r="AC266" s="145"/>
      <c r="AD266" s="145"/>
      <c r="AE266" s="145"/>
      <c r="AF266" s="145"/>
      <c r="AG266" s="145"/>
      <c r="AH266" s="145"/>
      <c r="AI266" s="145"/>
      <c r="AJ266" s="145"/>
      <c r="AK266" s="145"/>
      <c r="AL266" s="145"/>
      <c r="AM266" s="145"/>
      <c r="AN266" s="145"/>
      <c r="AO266" s="145"/>
      <c r="AP266" s="145"/>
      <c r="AQ266" s="145"/>
      <c r="AR266" s="145"/>
      <c r="AS266" s="145"/>
      <c r="AT266" s="145"/>
      <c r="AU266" s="145"/>
      <c r="AV266" s="145"/>
      <c r="AW266" s="145"/>
      <c r="AX266" s="145"/>
      <c r="AY266" s="145"/>
      <c r="AZ266" s="145"/>
      <c r="BA266" s="145"/>
      <c r="BB266" s="145"/>
      <c r="BC266" s="145"/>
      <c r="BD266" s="145"/>
      <c r="BE266" s="145"/>
      <c r="BF266" s="145"/>
      <c r="BG266" s="145"/>
      <c r="BH266" s="145"/>
      <c r="BI266" s="145"/>
      <c r="BJ266" s="145"/>
      <c r="BK266" s="145"/>
      <c r="BL266" s="145"/>
      <c r="BM266" s="145"/>
      <c r="BN266" s="145"/>
      <c r="BO266" s="145"/>
      <c r="BP266" s="145"/>
      <c r="BQ266" s="145"/>
      <c r="BR266" s="145"/>
      <c r="BS266" s="145"/>
      <c r="BT266" s="145"/>
      <c r="BU266" s="145"/>
      <c r="BV266" s="145"/>
      <c r="BW266" s="145"/>
    </row>
    <row r="267" spans="1:75" ht="20.100000000000001" customHeight="1">
      <c r="A267" s="146" t="s">
        <v>331</v>
      </c>
      <c r="B267" s="145"/>
      <c r="C267" s="145"/>
      <c r="D267" s="145"/>
      <c r="E267" s="145"/>
      <c r="F267" s="145"/>
      <c r="G267" s="145"/>
      <c r="H267" s="145"/>
      <c r="I267" s="145"/>
      <c r="J267" s="145"/>
      <c r="K267" s="145"/>
      <c r="L267" s="145"/>
      <c r="M267" s="145"/>
      <c r="N267" s="145"/>
      <c r="O267" s="145"/>
      <c r="P267" s="145"/>
      <c r="Q267" s="145"/>
      <c r="R267" s="145"/>
      <c r="S267" s="145"/>
      <c r="T267" s="145"/>
      <c r="U267" s="145"/>
      <c r="V267" s="145"/>
      <c r="W267" s="145"/>
      <c r="X267" s="145"/>
      <c r="Y267" s="145"/>
      <c r="Z267" s="145"/>
      <c r="AA267" s="145"/>
      <c r="AB267" s="145"/>
      <c r="AC267" s="145"/>
      <c r="AD267" s="145"/>
      <c r="AE267" s="145"/>
      <c r="AF267" s="145"/>
      <c r="AG267" s="145"/>
      <c r="AH267" s="145"/>
      <c r="AI267" s="145"/>
      <c r="AJ267" s="145"/>
      <c r="AK267" s="145"/>
      <c r="AL267" s="145"/>
      <c r="AM267" s="145"/>
      <c r="AN267" s="145"/>
      <c r="AO267" s="145"/>
      <c r="AP267" s="145"/>
      <c r="AQ267" s="145"/>
      <c r="AR267" s="145"/>
      <c r="AS267" s="145"/>
      <c r="AT267" s="145"/>
      <c r="AU267" s="145"/>
      <c r="AV267" s="145"/>
      <c r="AW267" s="145"/>
      <c r="AX267" s="145"/>
      <c r="AY267" s="145"/>
      <c r="AZ267" s="145"/>
      <c r="BA267" s="145"/>
      <c r="BB267" s="145"/>
      <c r="BC267" s="145"/>
      <c r="BD267" s="145"/>
      <c r="BE267" s="145"/>
      <c r="BF267" s="145"/>
      <c r="BG267" s="145"/>
      <c r="BH267" s="145"/>
      <c r="BI267" s="145"/>
      <c r="BJ267" s="145"/>
      <c r="BK267" s="145"/>
      <c r="BL267" s="145"/>
      <c r="BM267" s="145"/>
      <c r="BN267" s="145"/>
      <c r="BO267" s="145"/>
      <c r="BP267" s="145"/>
      <c r="BQ267" s="145"/>
      <c r="BR267" s="145"/>
      <c r="BS267" s="145"/>
      <c r="BT267" s="145"/>
      <c r="BU267" s="145"/>
      <c r="BV267" s="145"/>
      <c r="BW267" s="145"/>
    </row>
    <row r="268" spans="1:75" ht="20.100000000000001" customHeight="1">
      <c r="A268" s="145"/>
      <c r="B268" s="147">
        <f t="shared" ref="B268:I268" si="117">IF(LEN(B8)&gt;0,1,1)+IF(LEN(B9)&gt;0,1,0)+IF(LEN(B10)&gt;0,1,0)+IF(LEN(B11)&gt;0,1,0)+IF(LEN(B12)&gt;0,1,0)+IF(LEN(B13)&gt;0,1,0)+IF(LEN(B14)&gt;0,1,0)+IF(LEN(B15)&gt;0,1,0)+IF(LEN(B16)&gt;0,1,0)+IF(LEN(B17)&gt;0,1,0)+IF(LEN(B18)&gt;0,1,0)+IF(LEN(B19)&gt;0,1,0)+IF(LEN(B20)&gt;0,1,0)</f>
        <v>1</v>
      </c>
      <c r="C268" s="147">
        <f t="shared" si="117"/>
        <v>1</v>
      </c>
      <c r="D268" s="147">
        <f t="shared" si="117"/>
        <v>1</v>
      </c>
      <c r="E268" s="147">
        <f t="shared" si="117"/>
        <v>1</v>
      </c>
      <c r="F268" s="147">
        <f t="shared" si="117"/>
        <v>1</v>
      </c>
      <c r="G268" s="147">
        <f t="shared" si="117"/>
        <v>1</v>
      </c>
      <c r="H268" s="147">
        <f t="shared" si="117"/>
        <v>1</v>
      </c>
      <c r="I268" s="147">
        <f t="shared" si="117"/>
        <v>1</v>
      </c>
      <c r="J268" s="145"/>
      <c r="K268" s="145"/>
      <c r="L268" s="145"/>
      <c r="M268" s="145"/>
      <c r="N268" s="145"/>
      <c r="O268" s="145"/>
      <c r="P268" s="145"/>
      <c r="Q268" s="145"/>
      <c r="R268" s="145"/>
      <c r="S268" s="145"/>
      <c r="T268" s="145"/>
      <c r="U268" s="145"/>
      <c r="V268" s="145"/>
      <c r="W268" s="145"/>
      <c r="X268" s="145"/>
      <c r="Y268" s="145"/>
      <c r="Z268" s="145"/>
      <c r="AA268" s="145"/>
      <c r="AB268" s="145"/>
      <c r="AC268" s="145"/>
      <c r="AD268" s="145"/>
      <c r="AE268" s="145"/>
      <c r="AF268" s="145"/>
      <c r="AG268" s="145"/>
      <c r="AH268" s="145"/>
      <c r="AI268" s="145"/>
      <c r="AJ268" s="145"/>
      <c r="AK268" s="145"/>
      <c r="AL268" s="145"/>
      <c r="AM268" s="145"/>
      <c r="AN268" s="145"/>
      <c r="AO268" s="145"/>
      <c r="AP268" s="145"/>
      <c r="AQ268" s="145"/>
      <c r="AR268" s="145"/>
      <c r="AS268" s="145"/>
      <c r="AT268" s="145"/>
      <c r="AU268" s="145"/>
      <c r="AV268" s="145"/>
      <c r="AW268" s="145"/>
      <c r="AX268" s="145"/>
      <c r="AY268" s="145"/>
      <c r="AZ268" s="145"/>
      <c r="BA268" s="145"/>
      <c r="BB268" s="145"/>
      <c r="BC268" s="145"/>
      <c r="BD268" s="145"/>
      <c r="BE268" s="145"/>
      <c r="BF268" s="145"/>
      <c r="BG268" s="145"/>
      <c r="BH268" s="145"/>
      <c r="BI268" s="145"/>
      <c r="BJ268" s="145"/>
      <c r="BK268" s="145"/>
      <c r="BL268" s="145"/>
      <c r="BM268" s="145"/>
      <c r="BN268" s="145"/>
      <c r="BO268" s="145"/>
      <c r="BP268" s="145"/>
      <c r="BQ268" s="145"/>
      <c r="BR268" s="145"/>
      <c r="BS268" s="145"/>
      <c r="BT268" s="145"/>
      <c r="BU268" s="145"/>
      <c r="BV268" s="145"/>
      <c r="BW268" s="145"/>
    </row>
    <row r="269" spans="1:75" ht="20.100000000000001" customHeight="1">
      <c r="A269" s="145"/>
      <c r="B269" s="145" t="s">
        <v>332</v>
      </c>
      <c r="C269" s="145" t="s">
        <v>333</v>
      </c>
      <c r="D269" s="145" t="s">
        <v>334</v>
      </c>
      <c r="E269" s="145" t="s">
        <v>335</v>
      </c>
      <c r="F269" s="145" t="s">
        <v>1658</v>
      </c>
      <c r="G269" s="145" t="s">
        <v>1659</v>
      </c>
      <c r="H269" s="145" t="s">
        <v>1660</v>
      </c>
      <c r="I269" s="145" t="s">
        <v>1661</v>
      </c>
      <c r="J269" s="145"/>
      <c r="K269" s="145"/>
      <c r="L269" s="145"/>
      <c r="M269" s="145"/>
      <c r="N269" s="145"/>
      <c r="O269" s="145"/>
      <c r="P269" s="145"/>
      <c r="Q269" s="145"/>
      <c r="R269" s="145"/>
      <c r="S269" s="145"/>
      <c r="T269" s="145"/>
      <c r="U269" s="145"/>
      <c r="V269" s="145"/>
      <c r="W269" s="145"/>
      <c r="X269" s="145"/>
      <c r="Y269" s="145"/>
      <c r="Z269" s="145"/>
      <c r="AA269" s="145"/>
      <c r="AB269" s="145"/>
      <c r="AC269" s="145"/>
      <c r="AD269" s="145"/>
      <c r="AE269" s="145"/>
      <c r="AF269" s="145"/>
      <c r="AG269" s="145"/>
      <c r="AH269" s="145"/>
      <c r="AI269" s="145"/>
      <c r="AJ269" s="145"/>
      <c r="AK269" s="145"/>
      <c r="AL269" s="145"/>
      <c r="AM269" s="145"/>
      <c r="AN269" s="145"/>
      <c r="AO269" s="145"/>
      <c r="AP269" s="145"/>
      <c r="AQ269" s="145"/>
      <c r="AR269" s="145"/>
      <c r="AS269" s="145"/>
      <c r="AT269" s="145"/>
      <c r="AU269" s="145"/>
      <c r="AV269" s="145"/>
      <c r="AW269" s="145"/>
      <c r="AX269" s="145"/>
      <c r="AY269" s="145"/>
      <c r="AZ269" s="145"/>
      <c r="BA269" s="145"/>
      <c r="BB269" s="145"/>
      <c r="BC269" s="145"/>
      <c r="BD269" s="145"/>
      <c r="BE269" s="145"/>
      <c r="BF269" s="145"/>
      <c r="BG269" s="145"/>
      <c r="BH269" s="145"/>
      <c r="BI269" s="145"/>
      <c r="BJ269" s="145"/>
      <c r="BK269" s="145"/>
      <c r="BL269" s="145"/>
      <c r="BM269" s="145"/>
      <c r="BN269" s="145"/>
      <c r="BO269" s="145"/>
      <c r="BP269" s="145"/>
      <c r="BQ269" s="145"/>
      <c r="BR269" s="145"/>
      <c r="BS269" s="145"/>
      <c r="BT269" s="145"/>
      <c r="BU269" s="145"/>
      <c r="BV269" s="145"/>
      <c r="BW269" s="145"/>
    </row>
    <row r="270" spans="1:75" ht="20.100000000000001" customHeight="1">
      <c r="A270" s="146" t="s">
        <v>330</v>
      </c>
      <c r="B270" s="145"/>
      <c r="C270" s="145"/>
      <c r="D270" s="145"/>
      <c r="E270" s="145"/>
      <c r="F270" s="145"/>
      <c r="G270" s="145"/>
      <c r="H270" s="145"/>
      <c r="I270" s="145"/>
      <c r="J270" s="145"/>
      <c r="K270" s="145"/>
      <c r="L270" s="145"/>
      <c r="M270" s="145"/>
      <c r="N270" s="145"/>
      <c r="O270" s="145"/>
      <c r="P270" s="145"/>
      <c r="Q270" s="145"/>
      <c r="R270" s="145"/>
      <c r="S270" s="145"/>
      <c r="T270" s="145"/>
      <c r="U270" s="145"/>
      <c r="V270" s="145"/>
      <c r="W270" s="145"/>
      <c r="X270" s="145"/>
      <c r="Y270" s="145"/>
      <c r="Z270" s="145"/>
      <c r="AA270" s="145"/>
      <c r="AB270" s="145"/>
      <c r="AC270" s="145"/>
      <c r="AD270" s="145"/>
      <c r="AE270" s="145"/>
      <c r="AF270" s="145"/>
      <c r="AG270" s="145"/>
      <c r="AH270" s="145"/>
      <c r="AI270" s="145"/>
      <c r="AJ270" s="145"/>
      <c r="AK270" s="145"/>
      <c r="AL270" s="145"/>
      <c r="AM270" s="145"/>
      <c r="AN270" s="145"/>
      <c r="AO270" s="145"/>
      <c r="AP270" s="145"/>
      <c r="AQ270" s="145"/>
      <c r="AR270" s="145"/>
      <c r="AS270" s="145"/>
      <c r="AT270" s="145"/>
      <c r="AU270" s="145"/>
      <c r="AV270" s="145"/>
      <c r="AW270" s="145"/>
      <c r="AX270" s="145"/>
      <c r="AY270" s="145"/>
      <c r="AZ270" s="145"/>
      <c r="BA270" s="145"/>
      <c r="BB270" s="145"/>
      <c r="BC270" s="145"/>
      <c r="BD270" s="145"/>
      <c r="BE270" s="145"/>
      <c r="BF270" s="145"/>
      <c r="BG270" s="145"/>
      <c r="BH270" s="145"/>
      <c r="BI270" s="145"/>
      <c r="BJ270" s="145"/>
      <c r="BK270" s="145"/>
      <c r="BL270" s="145"/>
      <c r="BM270" s="145"/>
      <c r="BN270" s="145"/>
      <c r="BO270" s="145"/>
      <c r="BP270" s="145"/>
      <c r="BQ270" s="145"/>
      <c r="BR270" s="145"/>
      <c r="BS270" s="145"/>
      <c r="BT270" s="145"/>
      <c r="BU270" s="145"/>
      <c r="BV270" s="145"/>
      <c r="BW270" s="145"/>
    </row>
    <row r="271" spans="1:75" ht="20.100000000000001" customHeight="1">
      <c r="A271" s="145"/>
      <c r="B271" s="146" t="str">
        <f>nmProdMT</f>
        <v>Product on Maintenance</v>
      </c>
      <c r="C271" s="150">
        <v>1</v>
      </c>
      <c r="D271" s="150">
        <v>2</v>
      </c>
      <c r="E271" s="150">
        <v>3</v>
      </c>
      <c r="F271" s="150">
        <v>4</v>
      </c>
      <c r="G271" s="150">
        <v>5</v>
      </c>
      <c r="H271" s="150">
        <v>6</v>
      </c>
      <c r="I271" s="150">
        <v>7</v>
      </c>
      <c r="J271" s="150">
        <v>8</v>
      </c>
      <c r="K271" s="150">
        <v>9</v>
      </c>
      <c r="L271" s="150">
        <v>10</v>
      </c>
      <c r="M271" s="150">
        <v>11</v>
      </c>
      <c r="N271" s="150">
        <v>12</v>
      </c>
      <c r="O271" s="150">
        <v>13</v>
      </c>
      <c r="P271" s="150">
        <v>14</v>
      </c>
      <c r="Q271" s="150">
        <v>15</v>
      </c>
      <c r="R271" s="150">
        <v>16</v>
      </c>
      <c r="S271" s="150">
        <v>17</v>
      </c>
      <c r="T271" s="150">
        <v>18</v>
      </c>
      <c r="U271" s="150">
        <v>19</v>
      </c>
      <c r="V271" s="150">
        <v>20</v>
      </c>
      <c r="W271" s="150">
        <v>21</v>
      </c>
      <c r="X271" s="150">
        <v>22</v>
      </c>
      <c r="Y271" s="150">
        <v>23</v>
      </c>
      <c r="Z271" s="150">
        <v>24</v>
      </c>
      <c r="AA271" s="150">
        <v>25</v>
      </c>
      <c r="AB271" s="150">
        <v>26</v>
      </c>
      <c r="AC271" s="150">
        <v>27</v>
      </c>
      <c r="AD271" s="150">
        <v>28</v>
      </c>
      <c r="AE271" s="150">
        <v>29</v>
      </c>
      <c r="AF271" s="150">
        <v>30</v>
      </c>
      <c r="AG271" s="150">
        <v>31</v>
      </c>
      <c r="AH271" s="150">
        <v>32</v>
      </c>
      <c r="AI271" s="150">
        <v>33</v>
      </c>
      <c r="AJ271" s="150">
        <v>34</v>
      </c>
      <c r="AK271" s="150">
        <v>35</v>
      </c>
      <c r="AL271" s="150">
        <v>36</v>
      </c>
      <c r="AM271" s="150">
        <v>37</v>
      </c>
      <c r="AN271" s="150">
        <v>38</v>
      </c>
      <c r="AO271" s="150">
        <v>39</v>
      </c>
      <c r="AP271" s="150">
        <v>40</v>
      </c>
      <c r="AQ271" s="150">
        <v>41</v>
      </c>
      <c r="AR271" s="150">
        <v>42</v>
      </c>
      <c r="AS271" s="150">
        <v>43</v>
      </c>
      <c r="AT271" s="150">
        <v>44</v>
      </c>
      <c r="AU271" s="150">
        <v>45</v>
      </c>
      <c r="AV271" s="150">
        <v>46</v>
      </c>
      <c r="AW271" s="150">
        <v>47</v>
      </c>
      <c r="AX271" s="150">
        <v>48</v>
      </c>
      <c r="AY271" s="150">
        <v>49</v>
      </c>
      <c r="AZ271" s="150">
        <v>50</v>
      </c>
      <c r="BA271" s="150">
        <v>51</v>
      </c>
      <c r="BB271" s="150">
        <v>52</v>
      </c>
      <c r="BC271" s="150">
        <v>53</v>
      </c>
      <c r="BD271" s="150">
        <v>54</v>
      </c>
      <c r="BE271" s="150">
        <v>55</v>
      </c>
      <c r="BF271" s="150">
        <v>56</v>
      </c>
      <c r="BG271" s="150">
        <v>57</v>
      </c>
      <c r="BH271" s="150">
        <v>58</v>
      </c>
      <c r="BI271" s="150">
        <v>59</v>
      </c>
      <c r="BJ271" s="150">
        <v>60</v>
      </c>
      <c r="BK271" s="150">
        <v>61</v>
      </c>
      <c r="BL271" s="150">
        <v>62</v>
      </c>
      <c r="BM271" s="150">
        <v>63</v>
      </c>
      <c r="BN271" s="150">
        <v>64</v>
      </c>
      <c r="BO271" s="150">
        <v>65</v>
      </c>
      <c r="BP271" s="150">
        <v>66</v>
      </c>
      <c r="BQ271" s="150">
        <v>67</v>
      </c>
      <c r="BR271" s="150">
        <v>68</v>
      </c>
      <c r="BS271" s="150">
        <v>69</v>
      </c>
      <c r="BT271" s="150">
        <v>70</v>
      </c>
      <c r="BU271" s="150">
        <v>71</v>
      </c>
      <c r="BV271" s="150">
        <v>72</v>
      </c>
      <c r="BW271" s="150">
        <v>73</v>
      </c>
    </row>
    <row r="272" spans="1:75" ht="20.100000000000001" customHeight="1">
      <c r="A272" s="145"/>
      <c r="B272" s="170" t="str">
        <f>IF(M2S_Eligibility_List!$B22&lt;&gt;"",RIGHT(M2S_Eligibility_List!$B22,LEN(M2S_Eligibility_List!$B22)-LEN(nmADwSP)),0)</f>
        <v>3ds Max</v>
      </c>
      <c r="C272" s="147">
        <f>IF(M2S_Eligibility_List!C22=DataPaths_Code,1,0)</f>
        <v>1</v>
      </c>
      <c r="D272" s="147">
        <f>IF(M2S_Eligibility_List!D22=DataPaths_Code,1,0)+C272</f>
        <v>2</v>
      </c>
      <c r="E272" s="147">
        <f>IF(M2S_Eligibility_List!E22=DataPaths_Code,1,0)+D272</f>
        <v>3</v>
      </c>
      <c r="F272" s="147">
        <f>IF(M2S_Eligibility_List!F22=DataPaths_Code,1,0)+E272</f>
        <v>4</v>
      </c>
      <c r="G272" s="147">
        <f>IF(M2S_Eligibility_List!G22=DataPaths_Code,1,0)+F272</f>
        <v>4</v>
      </c>
      <c r="H272" s="147">
        <f>IF(M2S_Eligibility_List!H22=DataPaths_Code,1,0)+G272</f>
        <v>4</v>
      </c>
      <c r="I272" s="147">
        <f>IF(M2S_Eligibility_List!I22=DataPaths_Code,1,0)+H272</f>
        <v>4</v>
      </c>
      <c r="J272" s="147">
        <f>IF(M2S_Eligibility_List!J22=DataPaths_Code,1,0)+I272</f>
        <v>4</v>
      </c>
      <c r="K272" s="147">
        <f>IF(M2S_Eligibility_List!K22=DataPaths_Code,1,0)+J272</f>
        <v>4</v>
      </c>
      <c r="L272" s="147">
        <f>IF(M2S_Eligibility_List!L22=DataPaths_Code,1,0)+K272</f>
        <v>4</v>
      </c>
      <c r="M272" s="147">
        <f>IF(M2S_Eligibility_List!M22=DataPaths_Code,1,0)+L272</f>
        <v>4</v>
      </c>
      <c r="N272" s="147">
        <f>IF(M2S_Eligibility_List!N22=DataPaths_Code,1,0)+M272</f>
        <v>4</v>
      </c>
      <c r="O272" s="147">
        <f>IF(M2S_Eligibility_List!O22=DataPaths_Code,1,0)+N272</f>
        <v>4</v>
      </c>
      <c r="P272" s="147">
        <f>IF(M2S_Eligibility_List!P22=DataPaths_Code,1,0)+O272</f>
        <v>4</v>
      </c>
      <c r="Q272" s="147">
        <f>IF(M2S_Eligibility_List!Q22=DataPaths_Code,1,0)+P272</f>
        <v>4</v>
      </c>
      <c r="R272" s="147">
        <f>IF(M2S_Eligibility_List!R22=DataPaths_Code,1,0)+Q272</f>
        <v>4</v>
      </c>
      <c r="S272" s="147">
        <f>IF(M2S_Eligibility_List!S22=DataPaths_Code,1,0)+R272</f>
        <v>4</v>
      </c>
      <c r="T272" s="147">
        <f>IF(M2S_Eligibility_List!T22=DataPaths_Code,1,0)+S272</f>
        <v>4</v>
      </c>
      <c r="U272" s="147">
        <f>IF(M2S_Eligibility_List!U22=DataPaths_Code,1,0)+T272</f>
        <v>4</v>
      </c>
      <c r="V272" s="147">
        <f>IF(M2S_Eligibility_List!V22=DataPaths_Code,1,0)+U272</f>
        <v>4</v>
      </c>
      <c r="W272" s="147">
        <f>IF(M2S_Eligibility_List!W22=DataPaths_Code,1,0)+V272</f>
        <v>4</v>
      </c>
      <c r="X272" s="147">
        <f>IF(M2S_Eligibility_List!X22=DataPaths_Code,1,0)+W272</f>
        <v>4</v>
      </c>
      <c r="Y272" s="147">
        <f>IF(M2S_Eligibility_List!Y22=DataPaths_Code,1,0)+X272</f>
        <v>4</v>
      </c>
      <c r="Z272" s="147">
        <f>IF(M2S_Eligibility_List!Z22=DataPaths_Code,1,0)+Y272</f>
        <v>4</v>
      </c>
      <c r="AA272" s="147">
        <f>IF(M2S_Eligibility_List!AA22=DataPaths_Code,1,0)+Z272</f>
        <v>4</v>
      </c>
      <c r="AB272" s="147">
        <f>IF(M2S_Eligibility_List!AB22=DataPaths_Code,1,0)+AA272</f>
        <v>4</v>
      </c>
      <c r="AC272" s="147">
        <f>IF(M2S_Eligibility_List!AC22=DataPaths_Code,1,0)+AB272</f>
        <v>4</v>
      </c>
      <c r="AD272" s="147">
        <f>IF(M2S_Eligibility_List!AD22=DataPaths_Code,1,0)+AC272</f>
        <v>4</v>
      </c>
      <c r="AE272" s="147">
        <f>IF(M2S_Eligibility_List!AE22=DataPaths_Code,1,0)+AD272</f>
        <v>4</v>
      </c>
      <c r="AF272" s="147">
        <f>IF(M2S_Eligibility_List!AF22=DataPaths_Code,1,0)+AE272</f>
        <v>4</v>
      </c>
      <c r="AG272" s="147">
        <f>IF(M2S_Eligibility_List!AG22=DataPaths_Code,1,0)+AF272</f>
        <v>4</v>
      </c>
      <c r="AH272" s="147">
        <f>IF(M2S_Eligibility_List!AH22=DataPaths_Code,1,0)+AG272</f>
        <v>4</v>
      </c>
      <c r="AI272" s="147">
        <f>IF(M2S_Eligibility_List!AI22=DataPaths_Code,1,0)+AH272</f>
        <v>4</v>
      </c>
      <c r="AJ272" s="147">
        <f>IF(M2S_Eligibility_List!AJ22=DataPaths_Code,1,0)+AI272</f>
        <v>4</v>
      </c>
      <c r="AK272" s="147">
        <f>IF(M2S_Eligibility_List!AK22=DataPaths_Code,1,0)+AJ272</f>
        <v>4</v>
      </c>
      <c r="AL272" s="147">
        <f>IF(M2S_Eligibility_List!AL22=DataPaths_Code,1,0)+AK272</f>
        <v>4</v>
      </c>
      <c r="AM272" s="147">
        <f>IF(M2S_Eligibility_List!AM22=DataPaths_Code,1,0)+AL272</f>
        <v>4</v>
      </c>
      <c r="AN272" s="147">
        <f>IF(M2S_Eligibility_List!AN22=DataPaths_Code,1,0)+AM272</f>
        <v>4</v>
      </c>
      <c r="AO272" s="147">
        <f>IF(M2S_Eligibility_List!AO22=DataPaths_Code,1,0)+AN272</f>
        <v>4</v>
      </c>
      <c r="AP272" s="147">
        <f>IF(M2S_Eligibility_List!AP22=DataPaths_Code,1,0)+AO272</f>
        <v>4</v>
      </c>
      <c r="AQ272" s="147">
        <f>IF(M2S_Eligibility_List!AQ22=DataPaths_Code,1,0)+AP272</f>
        <v>4</v>
      </c>
      <c r="AR272" s="147">
        <f>IF(M2S_Eligibility_List!AR22=DataPaths_Code,1,0)+AQ272</f>
        <v>4</v>
      </c>
      <c r="AS272" s="147">
        <f>IF(M2S_Eligibility_List!AS22=DataPaths_Code,1,0)+AR272</f>
        <v>4</v>
      </c>
      <c r="AT272" s="147">
        <f>IF(M2S_Eligibility_List!AT22=DataPaths_Code,1,0)+AS272</f>
        <v>4</v>
      </c>
      <c r="AU272" s="147">
        <f>IF(M2S_Eligibility_List!AU22=DataPaths_Code,1,0)+AT272</f>
        <v>4</v>
      </c>
      <c r="AV272" s="147">
        <f>IF(M2S_Eligibility_List!AV22=DataPaths_Code,1,0)+AU272</f>
        <v>4</v>
      </c>
      <c r="AW272" s="147">
        <f>IF(M2S_Eligibility_List!AW22=DataPaths_Code,1,0)+AV272</f>
        <v>4</v>
      </c>
      <c r="AX272" s="147">
        <f>IF(M2S_Eligibility_List!AX22=DataPaths_Code,1,0)+AW272</f>
        <v>4</v>
      </c>
      <c r="AY272" s="147">
        <f>IF(M2S_Eligibility_List!AY22=DataPaths_Code,1,0)+AX272</f>
        <v>4</v>
      </c>
      <c r="AZ272" s="147">
        <f>IF(M2S_Eligibility_List!AZ22=DataPaths_Code,1,0)+AY272</f>
        <v>4</v>
      </c>
      <c r="BA272" s="147">
        <f>IF(M2S_Eligibility_List!BA22=DataPaths_Code,1,0)+AZ272</f>
        <v>4</v>
      </c>
      <c r="BB272" s="147">
        <f>IF(M2S_Eligibility_List!BB22=DataPaths_Code,1,0)+BA272</f>
        <v>4</v>
      </c>
      <c r="BC272" s="147">
        <f>IF(M2S_Eligibility_List!BC22=DataPaths_Code,1,0)+BB272</f>
        <v>4</v>
      </c>
      <c r="BD272" s="147">
        <f>IF(M2S_Eligibility_List!BD22=DataPaths_Code,1,0)+BC272</f>
        <v>4</v>
      </c>
      <c r="BE272" s="147">
        <f>IF(M2S_Eligibility_List!BE22=DataPaths_Code,1,0)+BD272</f>
        <v>4</v>
      </c>
      <c r="BF272" s="147">
        <f>IF(M2S_Eligibility_List!BF22=DataPaths_Code,1,0)+BE272</f>
        <v>4</v>
      </c>
      <c r="BG272" s="147">
        <f>IF(M2S_Eligibility_List!BG22=DataPaths_Code,1,0)+BF272</f>
        <v>4</v>
      </c>
      <c r="BH272" s="147">
        <f>IF(M2S_Eligibility_List!BH22=DataPaths_Code,1,0)+BG272</f>
        <v>4</v>
      </c>
      <c r="BI272" s="147">
        <f>IF(M2S_Eligibility_List!BI22=DataPaths_Code,1,0)+BH272</f>
        <v>4</v>
      </c>
      <c r="BJ272" s="147">
        <f>IF(M2S_Eligibility_List!BJ22=DataPaths_Code,1,0)+BI272</f>
        <v>4</v>
      </c>
      <c r="BK272" s="147">
        <f>IF(M2S_Eligibility_List!BK22=DataPaths_Code,1,0)+BJ272</f>
        <v>4</v>
      </c>
      <c r="BL272" s="147">
        <f>IF(M2S_Eligibility_List!BL22=DataPaths_Code,1,0)+BK272</f>
        <v>4</v>
      </c>
      <c r="BM272" s="147">
        <f>IF(M2S_Eligibility_List!BM22=DataPaths_Code,1,0)+BL272</f>
        <v>4</v>
      </c>
      <c r="BN272" s="147">
        <f>IF(M2S_Eligibility_List!BN22=DataPaths_Code,1,0)+BM272</f>
        <v>4</v>
      </c>
      <c r="BO272" s="147">
        <f>IF(M2S_Eligibility_List!BO22=DataPaths_Code,1,0)+BN272</f>
        <v>4</v>
      </c>
      <c r="BP272" s="147">
        <f>IF(M2S_Eligibility_List!BP22=DataPaths_Code,1,0)+BO272</f>
        <v>4</v>
      </c>
      <c r="BQ272" s="147">
        <f>IF(M2S_Eligibility_List!BQ22=DataPaths_Code,1,0)+BP272</f>
        <v>4</v>
      </c>
      <c r="BR272" s="147">
        <f>IF(M2S_Eligibility_List!BR22=DataPaths_Code,1,0)+BQ272</f>
        <v>4</v>
      </c>
      <c r="BS272" s="147">
        <f>IF(M2S_Eligibility_List!BS22=DataPaths_Code,1,0)+BR272</f>
        <v>4</v>
      </c>
      <c r="BT272" s="147">
        <f>IF(M2S_Eligibility_List!BT22=DataPaths_Code,1,0)+BS272</f>
        <v>4</v>
      </c>
      <c r="BU272" s="147">
        <f>IF(M2S_Eligibility_List!BU22=DataPaths_Code,1,0)+BT272</f>
        <v>4</v>
      </c>
      <c r="BV272" s="147">
        <f>IF(M2S_Eligibility_List!BV22=DataPaths_Code,1,0)+BU272</f>
        <v>4</v>
      </c>
      <c r="BW272" s="147">
        <f>IF(M2S_Eligibility_List!BW22=DataPaths_Code,1,0)+BV272</f>
        <v>4</v>
      </c>
    </row>
    <row r="273" spans="1:75" ht="20.100000000000001" customHeight="1">
      <c r="A273" s="145"/>
      <c r="B273" s="170" t="str">
        <f>IF(M2S_Eligibility_List!$B23&lt;&gt;"",RIGHT(M2S_Eligibility_List!$B23,LEN(M2S_Eligibility_List!$B23)-LEN(nmADwSP)),0)</f>
        <v>3ds Max with Softimage</v>
      </c>
      <c r="C273" s="147">
        <f>IF(M2S_Eligibility_List!C23=DataPaths_Code,1,0)</f>
        <v>0</v>
      </c>
      <c r="D273" s="147">
        <f>IF(M2S_Eligibility_List!D23=DataPaths_Code,1,0)+C273</f>
        <v>0</v>
      </c>
      <c r="E273" s="147">
        <f>IF(M2S_Eligibility_List!E23=DataPaths_Code,1,0)+D273</f>
        <v>1</v>
      </c>
      <c r="F273" s="147">
        <f>IF(M2S_Eligibility_List!F23=DataPaths_Code,1,0)+E273</f>
        <v>2</v>
      </c>
      <c r="G273" s="147">
        <f>IF(M2S_Eligibility_List!G23=DataPaths_Code,1,0)+F273</f>
        <v>2</v>
      </c>
      <c r="H273" s="147">
        <f>IF(M2S_Eligibility_List!H23=DataPaths_Code,1,0)+G273</f>
        <v>2</v>
      </c>
      <c r="I273" s="147">
        <f>IF(M2S_Eligibility_List!I23=DataPaths_Code,1,0)+H273</f>
        <v>2</v>
      </c>
      <c r="J273" s="147">
        <f>IF(M2S_Eligibility_List!J23=DataPaths_Code,1,0)+I273</f>
        <v>2</v>
      </c>
      <c r="K273" s="147">
        <f>IF(M2S_Eligibility_List!K23=DataPaths_Code,1,0)+J273</f>
        <v>2</v>
      </c>
      <c r="L273" s="147">
        <f>IF(M2S_Eligibility_List!L23=DataPaths_Code,1,0)+K273</f>
        <v>2</v>
      </c>
      <c r="M273" s="147">
        <f>IF(M2S_Eligibility_List!M23=DataPaths_Code,1,0)+L273</f>
        <v>2</v>
      </c>
      <c r="N273" s="147">
        <f>IF(M2S_Eligibility_List!N23=DataPaths_Code,1,0)+M273</f>
        <v>2</v>
      </c>
      <c r="O273" s="147">
        <f>IF(M2S_Eligibility_List!O23=DataPaths_Code,1,0)+N273</f>
        <v>2</v>
      </c>
      <c r="P273" s="147">
        <f>IF(M2S_Eligibility_List!P23=DataPaths_Code,1,0)+O273</f>
        <v>2</v>
      </c>
      <c r="Q273" s="147">
        <f>IF(M2S_Eligibility_List!Q23=DataPaths_Code,1,0)+P273</f>
        <v>2</v>
      </c>
      <c r="R273" s="147">
        <f>IF(M2S_Eligibility_List!R23=DataPaths_Code,1,0)+Q273</f>
        <v>2</v>
      </c>
      <c r="S273" s="147">
        <f>IF(M2S_Eligibility_List!S23=DataPaths_Code,1,0)+R273</f>
        <v>2</v>
      </c>
      <c r="T273" s="147">
        <f>IF(M2S_Eligibility_List!T23=DataPaths_Code,1,0)+S273</f>
        <v>2</v>
      </c>
      <c r="U273" s="147">
        <f>IF(M2S_Eligibility_List!U23=DataPaths_Code,1,0)+T273</f>
        <v>2</v>
      </c>
      <c r="V273" s="147">
        <f>IF(M2S_Eligibility_List!V23=DataPaths_Code,1,0)+U273</f>
        <v>2</v>
      </c>
      <c r="W273" s="147">
        <f>IF(M2S_Eligibility_List!W23=DataPaths_Code,1,0)+V273</f>
        <v>2</v>
      </c>
      <c r="X273" s="147">
        <f>IF(M2S_Eligibility_List!X23=DataPaths_Code,1,0)+W273</f>
        <v>2</v>
      </c>
      <c r="Y273" s="147">
        <f>IF(M2S_Eligibility_List!Y23=DataPaths_Code,1,0)+X273</f>
        <v>2</v>
      </c>
      <c r="Z273" s="147">
        <f>IF(M2S_Eligibility_List!Z23=DataPaths_Code,1,0)+Y273</f>
        <v>2</v>
      </c>
      <c r="AA273" s="147">
        <f>IF(M2S_Eligibility_List!AA23=DataPaths_Code,1,0)+Z273</f>
        <v>2</v>
      </c>
      <c r="AB273" s="147">
        <f>IF(M2S_Eligibility_List!AB23=DataPaths_Code,1,0)+AA273</f>
        <v>2</v>
      </c>
      <c r="AC273" s="147">
        <f>IF(M2S_Eligibility_List!AC23=DataPaths_Code,1,0)+AB273</f>
        <v>2</v>
      </c>
      <c r="AD273" s="147">
        <f>IF(M2S_Eligibility_List!AD23=DataPaths_Code,1,0)+AC273</f>
        <v>2</v>
      </c>
      <c r="AE273" s="147">
        <f>IF(M2S_Eligibility_List!AE23=DataPaths_Code,1,0)+AD273</f>
        <v>2</v>
      </c>
      <c r="AF273" s="147">
        <f>IF(M2S_Eligibility_List!AF23=DataPaths_Code,1,0)+AE273</f>
        <v>2</v>
      </c>
      <c r="AG273" s="147">
        <f>IF(M2S_Eligibility_List!AG23=DataPaths_Code,1,0)+AF273</f>
        <v>2</v>
      </c>
      <c r="AH273" s="147">
        <f>IF(M2S_Eligibility_List!AH23=DataPaths_Code,1,0)+AG273</f>
        <v>2</v>
      </c>
      <c r="AI273" s="147">
        <f>IF(M2S_Eligibility_List!AI23=DataPaths_Code,1,0)+AH273</f>
        <v>2</v>
      </c>
      <c r="AJ273" s="147">
        <f>IF(M2S_Eligibility_List!AJ23=DataPaths_Code,1,0)+AI273</f>
        <v>2</v>
      </c>
      <c r="AK273" s="147">
        <f>IF(M2S_Eligibility_List!AK23=DataPaths_Code,1,0)+AJ273</f>
        <v>2</v>
      </c>
      <c r="AL273" s="147">
        <f>IF(M2S_Eligibility_List!AL23=DataPaths_Code,1,0)+AK273</f>
        <v>2</v>
      </c>
      <c r="AM273" s="147">
        <f>IF(M2S_Eligibility_List!AM23=DataPaths_Code,1,0)+AL273</f>
        <v>2</v>
      </c>
      <c r="AN273" s="147">
        <f>IF(M2S_Eligibility_List!AN23=DataPaths_Code,1,0)+AM273</f>
        <v>2</v>
      </c>
      <c r="AO273" s="147">
        <f>IF(M2S_Eligibility_List!AO23=DataPaths_Code,1,0)+AN273</f>
        <v>2</v>
      </c>
      <c r="AP273" s="147">
        <f>IF(M2S_Eligibility_List!AP23=DataPaths_Code,1,0)+AO273</f>
        <v>2</v>
      </c>
      <c r="AQ273" s="147">
        <f>IF(M2S_Eligibility_List!AQ23=DataPaths_Code,1,0)+AP273</f>
        <v>2</v>
      </c>
      <c r="AR273" s="147">
        <f>IF(M2S_Eligibility_List!AR23=DataPaths_Code,1,0)+AQ273</f>
        <v>2</v>
      </c>
      <c r="AS273" s="147">
        <f>IF(M2S_Eligibility_List!AS23=DataPaths_Code,1,0)+AR273</f>
        <v>2</v>
      </c>
      <c r="AT273" s="147">
        <f>IF(M2S_Eligibility_List!AT23=DataPaths_Code,1,0)+AS273</f>
        <v>2</v>
      </c>
      <c r="AU273" s="147">
        <f>IF(M2S_Eligibility_List!AU23=DataPaths_Code,1,0)+AT273</f>
        <v>2</v>
      </c>
      <c r="AV273" s="147">
        <f>IF(M2S_Eligibility_List!AV23=DataPaths_Code,1,0)+AU273</f>
        <v>2</v>
      </c>
      <c r="AW273" s="147">
        <f>IF(M2S_Eligibility_List!AW23=DataPaths_Code,1,0)+AV273</f>
        <v>2</v>
      </c>
      <c r="AX273" s="147">
        <f>IF(M2S_Eligibility_List!AX23=DataPaths_Code,1,0)+AW273</f>
        <v>2</v>
      </c>
      <c r="AY273" s="147">
        <f>IF(M2S_Eligibility_List!AY23=DataPaths_Code,1,0)+AX273</f>
        <v>2</v>
      </c>
      <c r="AZ273" s="147">
        <f>IF(M2S_Eligibility_List!AZ23=DataPaths_Code,1,0)+AY273</f>
        <v>2</v>
      </c>
      <c r="BA273" s="147">
        <f>IF(M2S_Eligibility_List!BA23=DataPaths_Code,1,0)+AZ273</f>
        <v>2</v>
      </c>
      <c r="BB273" s="147">
        <f>IF(M2S_Eligibility_List!BB23=DataPaths_Code,1,0)+BA273</f>
        <v>2</v>
      </c>
      <c r="BC273" s="147">
        <f>IF(M2S_Eligibility_List!BC23=DataPaths_Code,1,0)+BB273</f>
        <v>2</v>
      </c>
      <c r="BD273" s="147">
        <f>IF(M2S_Eligibility_List!BD23=DataPaths_Code,1,0)+BC273</f>
        <v>2</v>
      </c>
      <c r="BE273" s="147">
        <f>IF(M2S_Eligibility_List!BE23=DataPaths_Code,1,0)+BD273</f>
        <v>2</v>
      </c>
      <c r="BF273" s="147">
        <f>IF(M2S_Eligibility_List!BF23=DataPaths_Code,1,0)+BE273</f>
        <v>2</v>
      </c>
      <c r="BG273" s="147">
        <f>IF(M2S_Eligibility_List!BG23=DataPaths_Code,1,0)+BF273</f>
        <v>2</v>
      </c>
      <c r="BH273" s="147">
        <f>IF(M2S_Eligibility_List!BH23=DataPaths_Code,1,0)+BG273</f>
        <v>2</v>
      </c>
      <c r="BI273" s="147">
        <f>IF(M2S_Eligibility_List!BI23=DataPaths_Code,1,0)+BH273</f>
        <v>2</v>
      </c>
      <c r="BJ273" s="147">
        <f>IF(M2S_Eligibility_List!BJ23=DataPaths_Code,1,0)+BI273</f>
        <v>2</v>
      </c>
      <c r="BK273" s="147">
        <f>IF(M2S_Eligibility_List!BK23=DataPaths_Code,1,0)+BJ273</f>
        <v>2</v>
      </c>
      <c r="BL273" s="147">
        <f>IF(M2S_Eligibility_List!BL23=DataPaths_Code,1,0)+BK273</f>
        <v>2</v>
      </c>
      <c r="BM273" s="147">
        <f>IF(M2S_Eligibility_List!BM23=DataPaths_Code,1,0)+BL273</f>
        <v>2</v>
      </c>
      <c r="BN273" s="147">
        <f>IF(M2S_Eligibility_List!BN23=DataPaths_Code,1,0)+BM273</f>
        <v>2</v>
      </c>
      <c r="BO273" s="147">
        <f>IF(M2S_Eligibility_List!BO23=DataPaths_Code,1,0)+BN273</f>
        <v>2</v>
      </c>
      <c r="BP273" s="147">
        <f>IF(M2S_Eligibility_List!BP23=DataPaths_Code,1,0)+BO273</f>
        <v>2</v>
      </c>
      <c r="BQ273" s="147">
        <f>IF(M2S_Eligibility_List!BQ23=DataPaths_Code,1,0)+BP273</f>
        <v>2</v>
      </c>
      <c r="BR273" s="147">
        <f>IF(M2S_Eligibility_List!BR23=DataPaths_Code,1,0)+BQ273</f>
        <v>2</v>
      </c>
      <c r="BS273" s="147">
        <f>IF(M2S_Eligibility_List!BS23=DataPaths_Code,1,0)+BR273</f>
        <v>2</v>
      </c>
      <c r="BT273" s="147">
        <f>IF(M2S_Eligibility_List!BT23=DataPaths_Code,1,0)+BS273</f>
        <v>2</v>
      </c>
      <c r="BU273" s="147">
        <f>IF(M2S_Eligibility_List!BU23=DataPaths_Code,1,0)+BT273</f>
        <v>2</v>
      </c>
      <c r="BV273" s="147">
        <f>IF(M2S_Eligibility_List!BV23=DataPaths_Code,1,0)+BU273</f>
        <v>2</v>
      </c>
      <c r="BW273" s="147">
        <f>IF(M2S_Eligibility_List!BW23=DataPaths_Code,1,0)+BV273</f>
        <v>2</v>
      </c>
    </row>
    <row r="274" spans="1:75" ht="20.100000000000001" customHeight="1">
      <c r="A274" s="145"/>
      <c r="B274" s="170" t="str">
        <f>IF(M2S_Eligibility_List!$B24&lt;&gt;"",RIGHT(M2S_Eligibility_List!$B24,LEN(M2S_Eligibility_List!$B24)-LEN(nmADwSP)),0)</f>
        <v>3ds Max Entertainment Creation Suite Standard</v>
      </c>
      <c r="C274" s="147">
        <f>IF(M2S_Eligibility_List!C24=DataPaths_Code,1,0)</f>
        <v>0</v>
      </c>
      <c r="D274" s="147">
        <f>IF(M2S_Eligibility_List!D24=DataPaths_Code,1,0)+C274</f>
        <v>0</v>
      </c>
      <c r="E274" s="147">
        <f>IF(M2S_Eligibility_List!E24=DataPaths_Code,1,0)+D274</f>
        <v>1</v>
      </c>
      <c r="F274" s="147">
        <f>IF(M2S_Eligibility_List!F24=DataPaths_Code,1,0)+E274</f>
        <v>2</v>
      </c>
      <c r="G274" s="147">
        <f>IF(M2S_Eligibility_List!G24=DataPaths_Code,1,0)+F274</f>
        <v>2</v>
      </c>
      <c r="H274" s="147">
        <f>IF(M2S_Eligibility_List!H24=DataPaths_Code,1,0)+G274</f>
        <v>2</v>
      </c>
      <c r="I274" s="147">
        <f>IF(M2S_Eligibility_List!I24=DataPaths_Code,1,0)+H274</f>
        <v>2</v>
      </c>
      <c r="J274" s="147">
        <f>IF(M2S_Eligibility_List!J24=DataPaths_Code,1,0)+I274</f>
        <v>2</v>
      </c>
      <c r="K274" s="147">
        <f>IF(M2S_Eligibility_List!K24=DataPaths_Code,1,0)+J274</f>
        <v>2</v>
      </c>
      <c r="L274" s="147">
        <f>IF(M2S_Eligibility_List!L24=DataPaths_Code,1,0)+K274</f>
        <v>2</v>
      </c>
      <c r="M274" s="147">
        <f>IF(M2S_Eligibility_List!M24=DataPaths_Code,1,0)+L274</f>
        <v>2</v>
      </c>
      <c r="N274" s="147">
        <f>IF(M2S_Eligibility_List!N24=DataPaths_Code,1,0)+M274</f>
        <v>2</v>
      </c>
      <c r="O274" s="147">
        <f>IF(M2S_Eligibility_List!O24=DataPaths_Code,1,0)+N274</f>
        <v>2</v>
      </c>
      <c r="P274" s="147">
        <f>IF(M2S_Eligibility_List!P24=DataPaths_Code,1,0)+O274</f>
        <v>2</v>
      </c>
      <c r="Q274" s="147">
        <f>IF(M2S_Eligibility_List!Q24=DataPaths_Code,1,0)+P274</f>
        <v>2</v>
      </c>
      <c r="R274" s="147">
        <f>IF(M2S_Eligibility_List!R24=DataPaths_Code,1,0)+Q274</f>
        <v>2</v>
      </c>
      <c r="S274" s="147">
        <f>IF(M2S_Eligibility_List!S24=DataPaths_Code,1,0)+R274</f>
        <v>2</v>
      </c>
      <c r="T274" s="147">
        <f>IF(M2S_Eligibility_List!T24=DataPaths_Code,1,0)+S274</f>
        <v>2</v>
      </c>
      <c r="U274" s="147">
        <f>IF(M2S_Eligibility_List!U24=DataPaths_Code,1,0)+T274</f>
        <v>2</v>
      </c>
      <c r="V274" s="147">
        <f>IF(M2S_Eligibility_List!V24=DataPaths_Code,1,0)+U274</f>
        <v>2</v>
      </c>
      <c r="W274" s="147">
        <f>IF(M2S_Eligibility_List!W24=DataPaths_Code,1,0)+V274</f>
        <v>2</v>
      </c>
      <c r="X274" s="147">
        <f>IF(M2S_Eligibility_List!X24=DataPaths_Code,1,0)+W274</f>
        <v>2</v>
      </c>
      <c r="Y274" s="147">
        <f>IF(M2S_Eligibility_List!Y24=DataPaths_Code,1,0)+X274</f>
        <v>2</v>
      </c>
      <c r="Z274" s="147">
        <f>IF(M2S_Eligibility_List!Z24=DataPaths_Code,1,0)+Y274</f>
        <v>2</v>
      </c>
      <c r="AA274" s="147">
        <f>IF(M2S_Eligibility_List!AA24=DataPaths_Code,1,0)+Z274</f>
        <v>2</v>
      </c>
      <c r="AB274" s="147">
        <f>IF(M2S_Eligibility_List!AB24=DataPaths_Code,1,0)+AA274</f>
        <v>2</v>
      </c>
      <c r="AC274" s="147">
        <f>IF(M2S_Eligibility_List!AC24=DataPaths_Code,1,0)+AB274</f>
        <v>2</v>
      </c>
      <c r="AD274" s="147">
        <f>IF(M2S_Eligibility_List!AD24=DataPaths_Code,1,0)+AC274</f>
        <v>2</v>
      </c>
      <c r="AE274" s="147">
        <f>IF(M2S_Eligibility_List!AE24=DataPaths_Code,1,0)+AD274</f>
        <v>2</v>
      </c>
      <c r="AF274" s="147">
        <f>IF(M2S_Eligibility_List!AF24=DataPaths_Code,1,0)+AE274</f>
        <v>2</v>
      </c>
      <c r="AG274" s="147">
        <f>IF(M2S_Eligibility_List!AG24=DataPaths_Code,1,0)+AF274</f>
        <v>2</v>
      </c>
      <c r="AH274" s="147">
        <f>IF(M2S_Eligibility_List!AH24=DataPaths_Code,1,0)+AG274</f>
        <v>2</v>
      </c>
      <c r="AI274" s="147">
        <f>IF(M2S_Eligibility_List!AI24=DataPaths_Code,1,0)+AH274</f>
        <v>2</v>
      </c>
      <c r="AJ274" s="147">
        <f>IF(M2S_Eligibility_List!AJ24=DataPaths_Code,1,0)+AI274</f>
        <v>2</v>
      </c>
      <c r="AK274" s="147">
        <f>IF(M2S_Eligibility_List!AK24=DataPaths_Code,1,0)+AJ274</f>
        <v>2</v>
      </c>
      <c r="AL274" s="147">
        <f>IF(M2S_Eligibility_List!AL24=DataPaths_Code,1,0)+AK274</f>
        <v>2</v>
      </c>
      <c r="AM274" s="147">
        <f>IF(M2S_Eligibility_List!AM24=DataPaths_Code,1,0)+AL274</f>
        <v>2</v>
      </c>
      <c r="AN274" s="147">
        <f>IF(M2S_Eligibility_List!AN24=DataPaths_Code,1,0)+AM274</f>
        <v>2</v>
      </c>
      <c r="AO274" s="147">
        <f>IF(M2S_Eligibility_List!AO24=DataPaths_Code,1,0)+AN274</f>
        <v>2</v>
      </c>
      <c r="AP274" s="147">
        <f>IF(M2S_Eligibility_List!AP24=DataPaths_Code,1,0)+AO274</f>
        <v>2</v>
      </c>
      <c r="AQ274" s="147">
        <f>IF(M2S_Eligibility_List!AQ24=DataPaths_Code,1,0)+AP274</f>
        <v>2</v>
      </c>
      <c r="AR274" s="147">
        <f>IF(M2S_Eligibility_List!AR24=DataPaths_Code,1,0)+AQ274</f>
        <v>2</v>
      </c>
      <c r="AS274" s="147">
        <f>IF(M2S_Eligibility_List!AS24=DataPaths_Code,1,0)+AR274</f>
        <v>2</v>
      </c>
      <c r="AT274" s="147">
        <f>IF(M2S_Eligibility_List!AT24=DataPaths_Code,1,0)+AS274</f>
        <v>2</v>
      </c>
      <c r="AU274" s="147">
        <f>IF(M2S_Eligibility_List!AU24=DataPaths_Code,1,0)+AT274</f>
        <v>2</v>
      </c>
      <c r="AV274" s="147">
        <f>IF(M2S_Eligibility_List!AV24=DataPaths_Code,1,0)+AU274</f>
        <v>2</v>
      </c>
      <c r="AW274" s="147">
        <f>IF(M2S_Eligibility_List!AW24=DataPaths_Code,1,0)+AV274</f>
        <v>2</v>
      </c>
      <c r="AX274" s="147">
        <f>IF(M2S_Eligibility_List!AX24=DataPaths_Code,1,0)+AW274</f>
        <v>2</v>
      </c>
      <c r="AY274" s="147">
        <f>IF(M2S_Eligibility_List!AY24=DataPaths_Code,1,0)+AX274</f>
        <v>2</v>
      </c>
      <c r="AZ274" s="147">
        <f>IF(M2S_Eligibility_List!AZ24=DataPaths_Code,1,0)+AY274</f>
        <v>2</v>
      </c>
      <c r="BA274" s="147">
        <f>IF(M2S_Eligibility_List!BA24=DataPaths_Code,1,0)+AZ274</f>
        <v>2</v>
      </c>
      <c r="BB274" s="147">
        <f>IF(M2S_Eligibility_List!BB24=DataPaths_Code,1,0)+BA274</f>
        <v>2</v>
      </c>
      <c r="BC274" s="147">
        <f>IF(M2S_Eligibility_List!BC24=DataPaths_Code,1,0)+BB274</f>
        <v>2</v>
      </c>
      <c r="BD274" s="147">
        <f>IF(M2S_Eligibility_List!BD24=DataPaths_Code,1,0)+BC274</f>
        <v>2</v>
      </c>
      <c r="BE274" s="147">
        <f>IF(M2S_Eligibility_List!BE24=DataPaths_Code,1,0)+BD274</f>
        <v>2</v>
      </c>
      <c r="BF274" s="147">
        <f>IF(M2S_Eligibility_List!BF24=DataPaths_Code,1,0)+BE274</f>
        <v>2</v>
      </c>
      <c r="BG274" s="147">
        <f>IF(M2S_Eligibility_List!BG24=DataPaths_Code,1,0)+BF274</f>
        <v>2</v>
      </c>
      <c r="BH274" s="147">
        <f>IF(M2S_Eligibility_List!BH24=DataPaths_Code,1,0)+BG274</f>
        <v>2</v>
      </c>
      <c r="BI274" s="147">
        <f>IF(M2S_Eligibility_List!BI24=DataPaths_Code,1,0)+BH274</f>
        <v>2</v>
      </c>
      <c r="BJ274" s="147">
        <f>IF(M2S_Eligibility_List!BJ24=DataPaths_Code,1,0)+BI274</f>
        <v>2</v>
      </c>
      <c r="BK274" s="147">
        <f>IF(M2S_Eligibility_List!BK24=DataPaths_Code,1,0)+BJ274</f>
        <v>2</v>
      </c>
      <c r="BL274" s="147">
        <f>IF(M2S_Eligibility_List!BL24=DataPaths_Code,1,0)+BK274</f>
        <v>2</v>
      </c>
      <c r="BM274" s="147">
        <f>IF(M2S_Eligibility_List!BM24=DataPaths_Code,1,0)+BL274</f>
        <v>2</v>
      </c>
      <c r="BN274" s="147">
        <f>IF(M2S_Eligibility_List!BN24=DataPaths_Code,1,0)+BM274</f>
        <v>2</v>
      </c>
      <c r="BO274" s="147">
        <f>IF(M2S_Eligibility_List!BO24=DataPaths_Code,1,0)+BN274</f>
        <v>2</v>
      </c>
      <c r="BP274" s="147">
        <f>IF(M2S_Eligibility_List!BP24=DataPaths_Code,1,0)+BO274</f>
        <v>2</v>
      </c>
      <c r="BQ274" s="147">
        <f>IF(M2S_Eligibility_List!BQ24=DataPaths_Code,1,0)+BP274</f>
        <v>2</v>
      </c>
      <c r="BR274" s="147">
        <f>IF(M2S_Eligibility_List!BR24=DataPaths_Code,1,0)+BQ274</f>
        <v>2</v>
      </c>
      <c r="BS274" s="147">
        <f>IF(M2S_Eligibility_List!BS24=DataPaths_Code,1,0)+BR274</f>
        <v>2</v>
      </c>
      <c r="BT274" s="147">
        <f>IF(M2S_Eligibility_List!BT24=DataPaths_Code,1,0)+BS274</f>
        <v>2</v>
      </c>
      <c r="BU274" s="147">
        <f>IF(M2S_Eligibility_List!BU24=DataPaths_Code,1,0)+BT274</f>
        <v>2</v>
      </c>
      <c r="BV274" s="147">
        <f>IF(M2S_Eligibility_List!BV24=DataPaths_Code,1,0)+BU274</f>
        <v>2</v>
      </c>
      <c r="BW274" s="147">
        <f>IF(M2S_Eligibility_List!BW24=DataPaths_Code,1,0)+BV274</f>
        <v>2</v>
      </c>
    </row>
    <row r="275" spans="1:75" ht="20.100000000000001" customHeight="1">
      <c r="A275" s="145"/>
      <c r="B275" s="170" t="str">
        <f>IF(M2S_Eligibility_List!$B25&lt;&gt;"",RIGHT(M2S_Eligibility_List!$B25,LEN(M2S_Eligibility_List!$B25)-LEN(nmADwSP)),0)</f>
        <v>Advance Steel</v>
      </c>
      <c r="C275" s="147">
        <f>IF(M2S_Eligibility_List!C25=DataPaths_Code,1,0)</f>
        <v>1</v>
      </c>
      <c r="D275" s="147">
        <f>IF(M2S_Eligibility_List!D25=DataPaths_Code,1,0)+C275</f>
        <v>1</v>
      </c>
      <c r="E275" s="147">
        <f>IF(M2S_Eligibility_List!E25=DataPaths_Code,1,0)+D275</f>
        <v>1</v>
      </c>
      <c r="F275" s="147">
        <f>IF(M2S_Eligibility_List!F25=DataPaths_Code,1,0)+E275</f>
        <v>1</v>
      </c>
      <c r="G275" s="147">
        <f>IF(M2S_Eligibility_List!G25=DataPaths_Code,1,0)+F275</f>
        <v>2</v>
      </c>
      <c r="H275" s="147">
        <f>IF(M2S_Eligibility_List!H25=DataPaths_Code,1,0)+G275</f>
        <v>2</v>
      </c>
      <c r="I275" s="147">
        <f>IF(M2S_Eligibility_List!I25=DataPaths_Code,1,0)+H275</f>
        <v>2</v>
      </c>
      <c r="J275" s="147">
        <f>IF(M2S_Eligibility_List!J25=DataPaths_Code,1,0)+I275</f>
        <v>2</v>
      </c>
      <c r="K275" s="147">
        <f>IF(M2S_Eligibility_List!K25=DataPaths_Code,1,0)+J275</f>
        <v>2</v>
      </c>
      <c r="L275" s="147">
        <f>IF(M2S_Eligibility_List!L25=DataPaths_Code,1,0)+K275</f>
        <v>2</v>
      </c>
      <c r="M275" s="147">
        <f>IF(M2S_Eligibility_List!M25=DataPaths_Code,1,0)+L275</f>
        <v>2</v>
      </c>
      <c r="N275" s="147">
        <f>IF(M2S_Eligibility_List!N25=DataPaths_Code,1,0)+M275</f>
        <v>2</v>
      </c>
      <c r="O275" s="147">
        <f>IF(M2S_Eligibility_List!O25=DataPaths_Code,1,0)+N275</f>
        <v>2</v>
      </c>
      <c r="P275" s="147">
        <f>IF(M2S_Eligibility_List!P25=DataPaths_Code,1,0)+O275</f>
        <v>2</v>
      </c>
      <c r="Q275" s="147">
        <f>IF(M2S_Eligibility_List!Q25=DataPaths_Code,1,0)+P275</f>
        <v>2</v>
      </c>
      <c r="R275" s="147">
        <f>IF(M2S_Eligibility_List!R25=DataPaths_Code,1,0)+Q275</f>
        <v>2</v>
      </c>
      <c r="S275" s="147">
        <f>IF(M2S_Eligibility_List!S25=DataPaths_Code,1,0)+R275</f>
        <v>2</v>
      </c>
      <c r="T275" s="147">
        <f>IF(M2S_Eligibility_List!T25=DataPaths_Code,1,0)+S275</f>
        <v>2</v>
      </c>
      <c r="U275" s="147">
        <f>IF(M2S_Eligibility_List!U25=DataPaths_Code,1,0)+T275</f>
        <v>2</v>
      </c>
      <c r="V275" s="147">
        <f>IF(M2S_Eligibility_List!V25=DataPaths_Code,1,0)+U275</f>
        <v>2</v>
      </c>
      <c r="W275" s="147">
        <f>IF(M2S_Eligibility_List!W25=DataPaths_Code,1,0)+V275</f>
        <v>2</v>
      </c>
      <c r="X275" s="147">
        <f>IF(M2S_Eligibility_List!X25=DataPaths_Code,1,0)+W275</f>
        <v>2</v>
      </c>
      <c r="Y275" s="147">
        <f>IF(M2S_Eligibility_List!Y25=DataPaths_Code,1,0)+X275</f>
        <v>2</v>
      </c>
      <c r="Z275" s="147">
        <f>IF(M2S_Eligibility_List!Z25=DataPaths_Code,1,0)+Y275</f>
        <v>2</v>
      </c>
      <c r="AA275" s="147">
        <f>IF(M2S_Eligibility_List!AA25=DataPaths_Code,1,0)+Z275</f>
        <v>2</v>
      </c>
      <c r="AB275" s="147">
        <f>IF(M2S_Eligibility_List!AB25=DataPaths_Code,1,0)+AA275</f>
        <v>2</v>
      </c>
      <c r="AC275" s="147">
        <f>IF(M2S_Eligibility_List!AC25=DataPaths_Code,1,0)+AB275</f>
        <v>2</v>
      </c>
      <c r="AD275" s="147">
        <f>IF(M2S_Eligibility_List!AD25=DataPaths_Code,1,0)+AC275</f>
        <v>2</v>
      </c>
      <c r="AE275" s="147">
        <f>IF(M2S_Eligibility_List!AE25=DataPaths_Code,1,0)+AD275</f>
        <v>2</v>
      </c>
      <c r="AF275" s="147">
        <f>IF(M2S_Eligibility_List!AF25=DataPaths_Code,1,0)+AE275</f>
        <v>2</v>
      </c>
      <c r="AG275" s="147">
        <f>IF(M2S_Eligibility_List!AG25=DataPaths_Code,1,0)+AF275</f>
        <v>2</v>
      </c>
      <c r="AH275" s="147">
        <f>IF(M2S_Eligibility_List!AH25=DataPaths_Code,1,0)+AG275</f>
        <v>2</v>
      </c>
      <c r="AI275" s="147">
        <f>IF(M2S_Eligibility_List!AI25=DataPaths_Code,1,0)+AH275</f>
        <v>2</v>
      </c>
      <c r="AJ275" s="147">
        <f>IF(M2S_Eligibility_List!AJ25=DataPaths_Code,1,0)+AI275</f>
        <v>2</v>
      </c>
      <c r="AK275" s="147">
        <f>IF(M2S_Eligibility_List!AK25=DataPaths_Code,1,0)+AJ275</f>
        <v>2</v>
      </c>
      <c r="AL275" s="147">
        <f>IF(M2S_Eligibility_List!AL25=DataPaths_Code,1,0)+AK275</f>
        <v>2</v>
      </c>
      <c r="AM275" s="147">
        <f>IF(M2S_Eligibility_List!AM25=DataPaths_Code,1,0)+AL275</f>
        <v>2</v>
      </c>
      <c r="AN275" s="147">
        <f>IF(M2S_Eligibility_List!AN25=DataPaths_Code,1,0)+AM275</f>
        <v>2</v>
      </c>
      <c r="AO275" s="147">
        <f>IF(M2S_Eligibility_List!AO25=DataPaths_Code,1,0)+AN275</f>
        <v>2</v>
      </c>
      <c r="AP275" s="147">
        <f>IF(M2S_Eligibility_List!AP25=DataPaths_Code,1,0)+AO275</f>
        <v>2</v>
      </c>
      <c r="AQ275" s="147">
        <f>IF(M2S_Eligibility_List!AQ25=DataPaths_Code,1,0)+AP275</f>
        <v>2</v>
      </c>
      <c r="AR275" s="147">
        <f>IF(M2S_Eligibility_List!AR25=DataPaths_Code,1,0)+AQ275</f>
        <v>2</v>
      </c>
      <c r="AS275" s="147">
        <f>IF(M2S_Eligibility_List!AS25=DataPaths_Code,1,0)+AR275</f>
        <v>2</v>
      </c>
      <c r="AT275" s="147">
        <f>IF(M2S_Eligibility_List!AT25=DataPaths_Code,1,0)+AS275</f>
        <v>2</v>
      </c>
      <c r="AU275" s="147">
        <f>IF(M2S_Eligibility_List!AU25=DataPaths_Code,1,0)+AT275</f>
        <v>2</v>
      </c>
      <c r="AV275" s="147">
        <f>IF(M2S_Eligibility_List!AV25=DataPaths_Code,1,0)+AU275</f>
        <v>2</v>
      </c>
      <c r="AW275" s="147">
        <f>IF(M2S_Eligibility_List!AW25=DataPaths_Code,1,0)+AV275</f>
        <v>2</v>
      </c>
      <c r="AX275" s="147">
        <f>IF(M2S_Eligibility_List!AX25=DataPaths_Code,1,0)+AW275</f>
        <v>2</v>
      </c>
      <c r="AY275" s="147">
        <f>IF(M2S_Eligibility_List!AY25=DataPaths_Code,1,0)+AX275</f>
        <v>2</v>
      </c>
      <c r="AZ275" s="147">
        <f>IF(M2S_Eligibility_List!AZ25=DataPaths_Code,1,0)+AY275</f>
        <v>2</v>
      </c>
      <c r="BA275" s="147">
        <f>IF(M2S_Eligibility_List!BA25=DataPaths_Code,1,0)+AZ275</f>
        <v>2</v>
      </c>
      <c r="BB275" s="147">
        <f>IF(M2S_Eligibility_List!BB25=DataPaths_Code,1,0)+BA275</f>
        <v>2</v>
      </c>
      <c r="BC275" s="147">
        <f>IF(M2S_Eligibility_List!BC25=DataPaths_Code,1,0)+BB275</f>
        <v>2</v>
      </c>
      <c r="BD275" s="147">
        <f>IF(M2S_Eligibility_List!BD25=DataPaths_Code,1,0)+BC275</f>
        <v>2</v>
      </c>
      <c r="BE275" s="147">
        <f>IF(M2S_Eligibility_List!BE25=DataPaths_Code,1,0)+BD275</f>
        <v>2</v>
      </c>
      <c r="BF275" s="147">
        <f>IF(M2S_Eligibility_List!BF25=DataPaths_Code,1,0)+BE275</f>
        <v>2</v>
      </c>
      <c r="BG275" s="147">
        <f>IF(M2S_Eligibility_List!BG25=DataPaths_Code,1,0)+BF275</f>
        <v>2</v>
      </c>
      <c r="BH275" s="147">
        <f>IF(M2S_Eligibility_List!BH25=DataPaths_Code,1,0)+BG275</f>
        <v>2</v>
      </c>
      <c r="BI275" s="147">
        <f>IF(M2S_Eligibility_List!BI25=DataPaths_Code,1,0)+BH275</f>
        <v>2</v>
      </c>
      <c r="BJ275" s="147">
        <f>IF(M2S_Eligibility_List!BJ25=DataPaths_Code,1,0)+BI275</f>
        <v>2</v>
      </c>
      <c r="BK275" s="147">
        <f>IF(M2S_Eligibility_List!BK25=DataPaths_Code,1,0)+BJ275</f>
        <v>2</v>
      </c>
      <c r="BL275" s="147">
        <f>IF(M2S_Eligibility_List!BL25=DataPaths_Code,1,0)+BK275</f>
        <v>2</v>
      </c>
      <c r="BM275" s="147">
        <f>IF(M2S_Eligibility_List!BM25=DataPaths_Code,1,0)+BL275</f>
        <v>2</v>
      </c>
      <c r="BN275" s="147">
        <f>IF(M2S_Eligibility_List!BN25=DataPaths_Code,1,0)+BM275</f>
        <v>2</v>
      </c>
      <c r="BO275" s="147">
        <f>IF(M2S_Eligibility_List!BO25=DataPaths_Code,1,0)+BN275</f>
        <v>2</v>
      </c>
      <c r="BP275" s="147">
        <f>IF(M2S_Eligibility_List!BP25=DataPaths_Code,1,0)+BO275</f>
        <v>2</v>
      </c>
      <c r="BQ275" s="147">
        <f>IF(M2S_Eligibility_List!BQ25=DataPaths_Code,1,0)+BP275</f>
        <v>2</v>
      </c>
      <c r="BR275" s="147">
        <f>IF(M2S_Eligibility_List!BR25=DataPaths_Code,1,0)+BQ275</f>
        <v>2</v>
      </c>
      <c r="BS275" s="147">
        <f>IF(M2S_Eligibility_List!BS25=DataPaths_Code,1,0)+BR275</f>
        <v>2</v>
      </c>
      <c r="BT275" s="147">
        <f>IF(M2S_Eligibility_List!BT25=DataPaths_Code,1,0)+BS275</f>
        <v>2</v>
      </c>
      <c r="BU275" s="147">
        <f>IF(M2S_Eligibility_List!BU25=DataPaths_Code,1,0)+BT275</f>
        <v>2</v>
      </c>
      <c r="BV275" s="147">
        <f>IF(M2S_Eligibility_List!BV25=DataPaths_Code,1,0)+BU275</f>
        <v>2</v>
      </c>
      <c r="BW275" s="147">
        <f>IF(M2S_Eligibility_List!BW25=DataPaths_Code,1,0)+BV275</f>
        <v>2</v>
      </c>
    </row>
    <row r="276" spans="1:75" ht="20.100000000000001" customHeight="1">
      <c r="A276" s="145"/>
      <c r="B276" s="170" t="str">
        <f>IF(M2S_Eligibility_List!$B26&lt;&gt;"",RIGHT(M2S_Eligibility_List!$B26,LEN(M2S_Eligibility_List!$B26)-LEN(nmADwSP)),0)</f>
        <v>Alias AutoStudio</v>
      </c>
      <c r="C276" s="147">
        <f>IF(M2S_Eligibility_List!C26=DataPaths_Code,1,0)</f>
        <v>0</v>
      </c>
      <c r="D276" s="147">
        <f>IF(M2S_Eligibility_List!D26=DataPaths_Code,1,0)+C276</f>
        <v>0</v>
      </c>
      <c r="E276" s="147">
        <f>IF(M2S_Eligibility_List!E26=DataPaths_Code,1,0)+D276</f>
        <v>0</v>
      </c>
      <c r="F276" s="147">
        <f>IF(M2S_Eligibility_List!F26=DataPaths_Code,1,0)+E276</f>
        <v>0</v>
      </c>
      <c r="G276" s="147">
        <f>IF(M2S_Eligibility_List!G26=DataPaths_Code,1,0)+F276</f>
        <v>0</v>
      </c>
      <c r="H276" s="147">
        <f>IF(M2S_Eligibility_List!H26=DataPaths_Code,1,0)+G276</f>
        <v>1</v>
      </c>
      <c r="I276" s="147">
        <f>IF(M2S_Eligibility_List!I26=DataPaths_Code,1,0)+H276</f>
        <v>1</v>
      </c>
      <c r="J276" s="147">
        <f>IF(M2S_Eligibility_List!J26=DataPaths_Code,1,0)+I276</f>
        <v>1</v>
      </c>
      <c r="K276" s="147">
        <f>IF(M2S_Eligibility_List!K26=DataPaths_Code,1,0)+J276</f>
        <v>1</v>
      </c>
      <c r="L276" s="147">
        <f>IF(M2S_Eligibility_List!L26=DataPaths_Code,1,0)+K276</f>
        <v>1</v>
      </c>
      <c r="M276" s="147">
        <f>IF(M2S_Eligibility_List!M26=DataPaths_Code,1,0)+L276</f>
        <v>1</v>
      </c>
      <c r="N276" s="147">
        <f>IF(M2S_Eligibility_List!N26=DataPaths_Code,1,0)+M276</f>
        <v>1</v>
      </c>
      <c r="O276" s="147">
        <f>IF(M2S_Eligibility_List!O26=DataPaths_Code,1,0)+N276</f>
        <v>1</v>
      </c>
      <c r="P276" s="147">
        <f>IF(M2S_Eligibility_List!P26=DataPaths_Code,1,0)+O276</f>
        <v>1</v>
      </c>
      <c r="Q276" s="147">
        <f>IF(M2S_Eligibility_List!Q26=DataPaths_Code,1,0)+P276</f>
        <v>1</v>
      </c>
      <c r="R276" s="147">
        <f>IF(M2S_Eligibility_List!R26=DataPaths_Code,1,0)+Q276</f>
        <v>1</v>
      </c>
      <c r="S276" s="147">
        <f>IF(M2S_Eligibility_List!S26=DataPaths_Code,1,0)+R276</f>
        <v>1</v>
      </c>
      <c r="T276" s="147">
        <f>IF(M2S_Eligibility_List!T26=DataPaths_Code,1,0)+S276</f>
        <v>1</v>
      </c>
      <c r="U276" s="147">
        <f>IF(M2S_Eligibility_List!U26=DataPaths_Code,1,0)+T276</f>
        <v>1</v>
      </c>
      <c r="V276" s="147">
        <f>IF(M2S_Eligibility_List!V26=DataPaths_Code,1,0)+U276</f>
        <v>1</v>
      </c>
      <c r="W276" s="147">
        <f>IF(M2S_Eligibility_List!W26=DataPaths_Code,1,0)+V276</f>
        <v>1</v>
      </c>
      <c r="X276" s="147">
        <f>IF(M2S_Eligibility_List!X26=DataPaths_Code,1,0)+W276</f>
        <v>1</v>
      </c>
      <c r="Y276" s="147">
        <f>IF(M2S_Eligibility_List!Y26=DataPaths_Code,1,0)+X276</f>
        <v>1</v>
      </c>
      <c r="Z276" s="147">
        <f>IF(M2S_Eligibility_List!Z26=DataPaths_Code,1,0)+Y276</f>
        <v>1</v>
      </c>
      <c r="AA276" s="147">
        <f>IF(M2S_Eligibility_List!AA26=DataPaths_Code,1,0)+Z276</f>
        <v>1</v>
      </c>
      <c r="AB276" s="147">
        <f>IF(M2S_Eligibility_List!AB26=DataPaths_Code,1,0)+AA276</f>
        <v>1</v>
      </c>
      <c r="AC276" s="147">
        <f>IF(M2S_Eligibility_List!AC26=DataPaths_Code,1,0)+AB276</f>
        <v>1</v>
      </c>
      <c r="AD276" s="147">
        <f>IF(M2S_Eligibility_List!AD26=DataPaths_Code,1,0)+AC276</f>
        <v>1</v>
      </c>
      <c r="AE276" s="147">
        <f>IF(M2S_Eligibility_List!AE26=DataPaths_Code,1,0)+AD276</f>
        <v>1</v>
      </c>
      <c r="AF276" s="147">
        <f>IF(M2S_Eligibility_List!AF26=DataPaths_Code,1,0)+AE276</f>
        <v>1</v>
      </c>
      <c r="AG276" s="147">
        <f>IF(M2S_Eligibility_List!AG26=DataPaths_Code,1,0)+AF276</f>
        <v>1</v>
      </c>
      <c r="AH276" s="147">
        <f>IF(M2S_Eligibility_List!AH26=DataPaths_Code,1,0)+AG276</f>
        <v>1</v>
      </c>
      <c r="AI276" s="147">
        <f>IF(M2S_Eligibility_List!AI26=DataPaths_Code,1,0)+AH276</f>
        <v>1</v>
      </c>
      <c r="AJ276" s="147">
        <f>IF(M2S_Eligibility_List!AJ26=DataPaths_Code,1,0)+AI276</f>
        <v>1</v>
      </c>
      <c r="AK276" s="147">
        <f>IF(M2S_Eligibility_List!AK26=DataPaths_Code,1,0)+AJ276</f>
        <v>1</v>
      </c>
      <c r="AL276" s="147">
        <f>IF(M2S_Eligibility_List!AL26=DataPaths_Code,1,0)+AK276</f>
        <v>1</v>
      </c>
      <c r="AM276" s="147">
        <f>IF(M2S_Eligibility_List!AM26=DataPaths_Code,1,0)+AL276</f>
        <v>1</v>
      </c>
      <c r="AN276" s="147">
        <f>IF(M2S_Eligibility_List!AN26=DataPaths_Code,1,0)+AM276</f>
        <v>1</v>
      </c>
      <c r="AO276" s="147">
        <f>IF(M2S_Eligibility_List!AO26=DataPaths_Code,1,0)+AN276</f>
        <v>1</v>
      </c>
      <c r="AP276" s="147">
        <f>IF(M2S_Eligibility_List!AP26=DataPaths_Code,1,0)+AO276</f>
        <v>1</v>
      </c>
      <c r="AQ276" s="147">
        <f>IF(M2S_Eligibility_List!AQ26=DataPaths_Code,1,0)+AP276</f>
        <v>1</v>
      </c>
      <c r="AR276" s="147">
        <f>IF(M2S_Eligibility_List!AR26=DataPaths_Code,1,0)+AQ276</f>
        <v>1</v>
      </c>
      <c r="AS276" s="147">
        <f>IF(M2S_Eligibility_List!AS26=DataPaths_Code,1,0)+AR276</f>
        <v>1</v>
      </c>
      <c r="AT276" s="147">
        <f>IF(M2S_Eligibility_List!AT26=DataPaths_Code,1,0)+AS276</f>
        <v>1</v>
      </c>
      <c r="AU276" s="147">
        <f>IF(M2S_Eligibility_List!AU26=DataPaths_Code,1,0)+AT276</f>
        <v>1</v>
      </c>
      <c r="AV276" s="147">
        <f>IF(M2S_Eligibility_List!AV26=DataPaths_Code,1,0)+AU276</f>
        <v>1</v>
      </c>
      <c r="AW276" s="147">
        <f>IF(M2S_Eligibility_List!AW26=DataPaths_Code,1,0)+AV276</f>
        <v>1</v>
      </c>
      <c r="AX276" s="147">
        <f>IF(M2S_Eligibility_List!AX26=DataPaths_Code,1,0)+AW276</f>
        <v>1</v>
      </c>
      <c r="AY276" s="147">
        <f>IF(M2S_Eligibility_List!AY26=DataPaths_Code,1,0)+AX276</f>
        <v>1</v>
      </c>
      <c r="AZ276" s="147">
        <f>IF(M2S_Eligibility_List!AZ26=DataPaths_Code,1,0)+AY276</f>
        <v>1</v>
      </c>
      <c r="BA276" s="147">
        <f>IF(M2S_Eligibility_List!BA26=DataPaths_Code,1,0)+AZ276</f>
        <v>1</v>
      </c>
      <c r="BB276" s="147">
        <f>IF(M2S_Eligibility_List!BB26=DataPaths_Code,1,0)+BA276</f>
        <v>1</v>
      </c>
      <c r="BC276" s="147">
        <f>IF(M2S_Eligibility_List!BC26=DataPaths_Code,1,0)+BB276</f>
        <v>1</v>
      </c>
      <c r="BD276" s="147">
        <f>IF(M2S_Eligibility_List!BD26=DataPaths_Code,1,0)+BC276</f>
        <v>1</v>
      </c>
      <c r="BE276" s="147">
        <f>IF(M2S_Eligibility_List!BE26=DataPaths_Code,1,0)+BD276</f>
        <v>1</v>
      </c>
      <c r="BF276" s="147">
        <f>IF(M2S_Eligibility_List!BF26=DataPaths_Code,1,0)+BE276</f>
        <v>1</v>
      </c>
      <c r="BG276" s="147">
        <f>IF(M2S_Eligibility_List!BG26=DataPaths_Code,1,0)+BF276</f>
        <v>1</v>
      </c>
      <c r="BH276" s="147">
        <f>IF(M2S_Eligibility_List!BH26=DataPaths_Code,1,0)+BG276</f>
        <v>1</v>
      </c>
      <c r="BI276" s="147">
        <f>IF(M2S_Eligibility_List!BI26=DataPaths_Code,1,0)+BH276</f>
        <v>1</v>
      </c>
      <c r="BJ276" s="147">
        <f>IF(M2S_Eligibility_List!BJ26=DataPaths_Code,1,0)+BI276</f>
        <v>1</v>
      </c>
      <c r="BK276" s="147">
        <f>IF(M2S_Eligibility_List!BK26=DataPaths_Code,1,0)+BJ276</f>
        <v>1</v>
      </c>
      <c r="BL276" s="147">
        <f>IF(M2S_Eligibility_List!BL26=DataPaths_Code,1,0)+BK276</f>
        <v>1</v>
      </c>
      <c r="BM276" s="147">
        <f>IF(M2S_Eligibility_List!BM26=DataPaths_Code,1,0)+BL276</f>
        <v>1</v>
      </c>
      <c r="BN276" s="147">
        <f>IF(M2S_Eligibility_List!BN26=DataPaths_Code,1,0)+BM276</f>
        <v>1</v>
      </c>
      <c r="BO276" s="147">
        <f>IF(M2S_Eligibility_List!BO26=DataPaths_Code,1,0)+BN276</f>
        <v>1</v>
      </c>
      <c r="BP276" s="147">
        <f>IF(M2S_Eligibility_List!BP26=DataPaths_Code,1,0)+BO276</f>
        <v>1</v>
      </c>
      <c r="BQ276" s="147">
        <f>IF(M2S_Eligibility_List!BQ26=DataPaths_Code,1,0)+BP276</f>
        <v>1</v>
      </c>
      <c r="BR276" s="147">
        <f>IF(M2S_Eligibility_List!BR26=DataPaths_Code,1,0)+BQ276</f>
        <v>1</v>
      </c>
      <c r="BS276" s="147">
        <f>IF(M2S_Eligibility_List!BS26=DataPaths_Code,1,0)+BR276</f>
        <v>1</v>
      </c>
      <c r="BT276" s="147">
        <f>IF(M2S_Eligibility_List!BT26=DataPaths_Code,1,0)+BS276</f>
        <v>1</v>
      </c>
      <c r="BU276" s="147">
        <f>IF(M2S_Eligibility_List!BU26=DataPaths_Code,1,0)+BT276</f>
        <v>1</v>
      </c>
      <c r="BV276" s="147">
        <f>IF(M2S_Eligibility_List!BV26=DataPaths_Code,1,0)+BU276</f>
        <v>1</v>
      </c>
      <c r="BW276" s="147">
        <f>IF(M2S_Eligibility_List!BW26=DataPaths_Code,1,0)+BV276</f>
        <v>1</v>
      </c>
    </row>
    <row r="277" spans="1:75" ht="20.100000000000001" customHeight="1">
      <c r="A277" s="145"/>
      <c r="B277" s="170" t="str">
        <f>IF(M2S_Eligibility_List!$B27&lt;&gt;"",RIGHT(M2S_Eligibility_List!$B27,LEN(M2S_Eligibility_List!$B27)-LEN(nmADwSP)),0)</f>
        <v>Alias Concept</v>
      </c>
      <c r="C277" s="147">
        <f>IF(M2S_Eligibility_List!C27=DataPaths_Code,1,0)</f>
        <v>0</v>
      </c>
      <c r="D277" s="147">
        <f>IF(M2S_Eligibility_List!D27=DataPaths_Code,1,0)+C277</f>
        <v>0</v>
      </c>
      <c r="E277" s="147">
        <f>IF(M2S_Eligibility_List!E27=DataPaths_Code,1,0)+D277</f>
        <v>0</v>
      </c>
      <c r="F277" s="147">
        <f>IF(M2S_Eligibility_List!F27=DataPaths_Code,1,0)+E277</f>
        <v>0</v>
      </c>
      <c r="G277" s="147">
        <f>IF(M2S_Eligibility_List!G27=DataPaths_Code,1,0)+F277</f>
        <v>0</v>
      </c>
      <c r="H277" s="147">
        <f>IF(M2S_Eligibility_List!H27=DataPaths_Code,1,0)+G277</f>
        <v>0</v>
      </c>
      <c r="I277" s="147">
        <f>IF(M2S_Eligibility_List!I27=DataPaths_Code,1,0)+H277</f>
        <v>1</v>
      </c>
      <c r="J277" s="147">
        <f>IF(M2S_Eligibility_List!J27=DataPaths_Code,1,0)+I277</f>
        <v>1</v>
      </c>
      <c r="K277" s="147">
        <f>IF(M2S_Eligibility_List!K27=DataPaths_Code,1,0)+J277</f>
        <v>1</v>
      </c>
      <c r="L277" s="147">
        <f>IF(M2S_Eligibility_List!L27=DataPaths_Code,1,0)+K277</f>
        <v>1</v>
      </c>
      <c r="M277" s="147">
        <f>IF(M2S_Eligibility_List!M27=DataPaths_Code,1,0)+L277</f>
        <v>1</v>
      </c>
      <c r="N277" s="147">
        <f>IF(M2S_Eligibility_List!N27=DataPaths_Code,1,0)+M277</f>
        <v>1</v>
      </c>
      <c r="O277" s="147">
        <f>IF(M2S_Eligibility_List!O27=DataPaths_Code,1,0)+N277</f>
        <v>1</v>
      </c>
      <c r="P277" s="147">
        <f>IF(M2S_Eligibility_List!P27=DataPaths_Code,1,0)+O277</f>
        <v>1</v>
      </c>
      <c r="Q277" s="147">
        <f>IF(M2S_Eligibility_List!Q27=DataPaths_Code,1,0)+P277</f>
        <v>1</v>
      </c>
      <c r="R277" s="147">
        <f>IF(M2S_Eligibility_List!R27=DataPaths_Code,1,0)+Q277</f>
        <v>1</v>
      </c>
      <c r="S277" s="147">
        <f>IF(M2S_Eligibility_List!S27=DataPaths_Code,1,0)+R277</f>
        <v>1</v>
      </c>
      <c r="T277" s="147">
        <f>IF(M2S_Eligibility_List!T27=DataPaths_Code,1,0)+S277</f>
        <v>1</v>
      </c>
      <c r="U277" s="147">
        <f>IF(M2S_Eligibility_List!U27=DataPaths_Code,1,0)+T277</f>
        <v>1</v>
      </c>
      <c r="V277" s="147">
        <f>IF(M2S_Eligibility_List!V27=DataPaths_Code,1,0)+U277</f>
        <v>1</v>
      </c>
      <c r="W277" s="147">
        <f>IF(M2S_Eligibility_List!W27=DataPaths_Code,1,0)+V277</f>
        <v>1</v>
      </c>
      <c r="X277" s="147">
        <f>IF(M2S_Eligibility_List!X27=DataPaths_Code,1,0)+W277</f>
        <v>1</v>
      </c>
      <c r="Y277" s="147">
        <f>IF(M2S_Eligibility_List!Y27=DataPaths_Code,1,0)+X277</f>
        <v>1</v>
      </c>
      <c r="Z277" s="147">
        <f>IF(M2S_Eligibility_List!Z27=DataPaths_Code,1,0)+Y277</f>
        <v>1</v>
      </c>
      <c r="AA277" s="147">
        <f>IF(M2S_Eligibility_List!AA27=DataPaths_Code,1,0)+Z277</f>
        <v>1</v>
      </c>
      <c r="AB277" s="147">
        <f>IF(M2S_Eligibility_List!AB27=DataPaths_Code,1,0)+AA277</f>
        <v>1</v>
      </c>
      <c r="AC277" s="147">
        <f>IF(M2S_Eligibility_List!AC27=DataPaths_Code,1,0)+AB277</f>
        <v>1</v>
      </c>
      <c r="AD277" s="147">
        <f>IF(M2S_Eligibility_List!AD27=DataPaths_Code,1,0)+AC277</f>
        <v>1</v>
      </c>
      <c r="AE277" s="147">
        <f>IF(M2S_Eligibility_List!AE27=DataPaths_Code,1,0)+AD277</f>
        <v>1</v>
      </c>
      <c r="AF277" s="147">
        <f>IF(M2S_Eligibility_List!AF27=DataPaths_Code,1,0)+AE277</f>
        <v>1</v>
      </c>
      <c r="AG277" s="147">
        <f>IF(M2S_Eligibility_List!AG27=DataPaths_Code,1,0)+AF277</f>
        <v>1</v>
      </c>
      <c r="AH277" s="147">
        <f>IF(M2S_Eligibility_List!AH27=DataPaths_Code,1,0)+AG277</f>
        <v>1</v>
      </c>
      <c r="AI277" s="147">
        <f>IF(M2S_Eligibility_List!AI27=DataPaths_Code,1,0)+AH277</f>
        <v>1</v>
      </c>
      <c r="AJ277" s="147">
        <f>IF(M2S_Eligibility_List!AJ27=DataPaths_Code,1,0)+AI277</f>
        <v>1</v>
      </c>
      <c r="AK277" s="147">
        <f>IF(M2S_Eligibility_List!AK27=DataPaths_Code,1,0)+AJ277</f>
        <v>1</v>
      </c>
      <c r="AL277" s="147">
        <f>IF(M2S_Eligibility_List!AL27=DataPaths_Code,1,0)+AK277</f>
        <v>1</v>
      </c>
      <c r="AM277" s="147">
        <f>IF(M2S_Eligibility_List!AM27=DataPaths_Code,1,0)+AL277</f>
        <v>1</v>
      </c>
      <c r="AN277" s="147">
        <f>IF(M2S_Eligibility_List!AN27=DataPaths_Code,1,0)+AM277</f>
        <v>1</v>
      </c>
      <c r="AO277" s="147">
        <f>IF(M2S_Eligibility_List!AO27=DataPaths_Code,1,0)+AN277</f>
        <v>1</v>
      </c>
      <c r="AP277" s="147">
        <f>IF(M2S_Eligibility_List!AP27=DataPaths_Code,1,0)+AO277</f>
        <v>1</v>
      </c>
      <c r="AQ277" s="147">
        <f>IF(M2S_Eligibility_List!AQ27=DataPaths_Code,1,0)+AP277</f>
        <v>1</v>
      </c>
      <c r="AR277" s="147">
        <f>IF(M2S_Eligibility_List!AR27=DataPaths_Code,1,0)+AQ277</f>
        <v>1</v>
      </c>
      <c r="AS277" s="147">
        <f>IF(M2S_Eligibility_List!AS27=DataPaths_Code,1,0)+AR277</f>
        <v>1</v>
      </c>
      <c r="AT277" s="147">
        <f>IF(M2S_Eligibility_List!AT27=DataPaths_Code,1,0)+AS277</f>
        <v>1</v>
      </c>
      <c r="AU277" s="147">
        <f>IF(M2S_Eligibility_List!AU27=DataPaths_Code,1,0)+AT277</f>
        <v>1</v>
      </c>
      <c r="AV277" s="147">
        <f>IF(M2S_Eligibility_List!AV27=DataPaths_Code,1,0)+AU277</f>
        <v>1</v>
      </c>
      <c r="AW277" s="147">
        <f>IF(M2S_Eligibility_List!AW27=DataPaths_Code,1,0)+AV277</f>
        <v>1</v>
      </c>
      <c r="AX277" s="147">
        <f>IF(M2S_Eligibility_List!AX27=DataPaths_Code,1,0)+AW277</f>
        <v>1</v>
      </c>
      <c r="AY277" s="147">
        <f>IF(M2S_Eligibility_List!AY27=DataPaths_Code,1,0)+AX277</f>
        <v>1</v>
      </c>
      <c r="AZ277" s="147">
        <f>IF(M2S_Eligibility_List!AZ27=DataPaths_Code,1,0)+AY277</f>
        <v>1</v>
      </c>
      <c r="BA277" s="147">
        <f>IF(M2S_Eligibility_List!BA27=DataPaths_Code,1,0)+AZ277</f>
        <v>1</v>
      </c>
      <c r="BB277" s="147">
        <f>IF(M2S_Eligibility_List!BB27=DataPaths_Code,1,0)+BA277</f>
        <v>1</v>
      </c>
      <c r="BC277" s="147">
        <f>IF(M2S_Eligibility_List!BC27=DataPaths_Code,1,0)+BB277</f>
        <v>1</v>
      </c>
      <c r="BD277" s="147">
        <f>IF(M2S_Eligibility_List!BD27=DataPaths_Code,1,0)+BC277</f>
        <v>1</v>
      </c>
      <c r="BE277" s="147">
        <f>IF(M2S_Eligibility_List!BE27=DataPaths_Code,1,0)+BD277</f>
        <v>1</v>
      </c>
      <c r="BF277" s="147">
        <f>IF(M2S_Eligibility_List!BF27=DataPaths_Code,1,0)+BE277</f>
        <v>1</v>
      </c>
      <c r="BG277" s="147">
        <f>IF(M2S_Eligibility_List!BG27=DataPaths_Code,1,0)+BF277</f>
        <v>1</v>
      </c>
      <c r="BH277" s="147">
        <f>IF(M2S_Eligibility_List!BH27=DataPaths_Code,1,0)+BG277</f>
        <v>1</v>
      </c>
      <c r="BI277" s="147">
        <f>IF(M2S_Eligibility_List!BI27=DataPaths_Code,1,0)+BH277</f>
        <v>1</v>
      </c>
      <c r="BJ277" s="147">
        <f>IF(M2S_Eligibility_List!BJ27=DataPaths_Code,1,0)+BI277</f>
        <v>1</v>
      </c>
      <c r="BK277" s="147">
        <f>IF(M2S_Eligibility_List!BK27=DataPaths_Code,1,0)+BJ277</f>
        <v>1</v>
      </c>
      <c r="BL277" s="147">
        <f>IF(M2S_Eligibility_List!BL27=DataPaths_Code,1,0)+BK277</f>
        <v>1</v>
      </c>
      <c r="BM277" s="147">
        <f>IF(M2S_Eligibility_List!BM27=DataPaths_Code,1,0)+BL277</f>
        <v>1</v>
      </c>
      <c r="BN277" s="147">
        <f>IF(M2S_Eligibility_List!BN27=DataPaths_Code,1,0)+BM277</f>
        <v>1</v>
      </c>
      <c r="BO277" s="147">
        <f>IF(M2S_Eligibility_List!BO27=DataPaths_Code,1,0)+BN277</f>
        <v>1</v>
      </c>
      <c r="BP277" s="147">
        <f>IF(M2S_Eligibility_List!BP27=DataPaths_Code,1,0)+BO277</f>
        <v>1</v>
      </c>
      <c r="BQ277" s="147">
        <f>IF(M2S_Eligibility_List!BQ27=DataPaths_Code,1,0)+BP277</f>
        <v>1</v>
      </c>
      <c r="BR277" s="147">
        <f>IF(M2S_Eligibility_List!BR27=DataPaths_Code,1,0)+BQ277</f>
        <v>1</v>
      </c>
      <c r="BS277" s="147">
        <f>IF(M2S_Eligibility_List!BS27=DataPaths_Code,1,0)+BR277</f>
        <v>1</v>
      </c>
      <c r="BT277" s="147">
        <f>IF(M2S_Eligibility_List!BT27=DataPaths_Code,1,0)+BS277</f>
        <v>1</v>
      </c>
      <c r="BU277" s="147">
        <f>IF(M2S_Eligibility_List!BU27=DataPaths_Code,1,0)+BT277</f>
        <v>1</v>
      </c>
      <c r="BV277" s="147">
        <f>IF(M2S_Eligibility_List!BV27=DataPaths_Code,1,0)+BU277</f>
        <v>1</v>
      </c>
      <c r="BW277" s="147">
        <f>IF(M2S_Eligibility_List!BW27=DataPaths_Code,1,0)+BV277</f>
        <v>1</v>
      </c>
    </row>
    <row r="278" spans="1:75" ht="20.100000000000001" customHeight="1">
      <c r="A278" s="145"/>
      <c r="B278" s="170" t="str">
        <f>IF(M2S_Eligibility_List!$B28&lt;&gt;"",RIGHT(M2S_Eligibility_List!$B28,LEN(M2S_Eligibility_List!$B28)-LEN(nmADwSP)),0)</f>
        <v>Alias Design</v>
      </c>
      <c r="C278" s="147">
        <f>IF(M2S_Eligibility_List!C28=DataPaths_Code,1,0)</f>
        <v>0</v>
      </c>
      <c r="D278" s="147">
        <f>IF(M2S_Eligibility_List!D28=DataPaths_Code,1,0)+C278</f>
        <v>0</v>
      </c>
      <c r="E278" s="147">
        <f>IF(M2S_Eligibility_List!E28=DataPaths_Code,1,0)+D278</f>
        <v>0</v>
      </c>
      <c r="F278" s="147">
        <f>IF(M2S_Eligibility_List!F28=DataPaths_Code,1,0)+E278</f>
        <v>0</v>
      </c>
      <c r="G278" s="147">
        <f>IF(M2S_Eligibility_List!G28=DataPaths_Code,1,0)+F278</f>
        <v>0</v>
      </c>
      <c r="H278" s="147">
        <f>IF(M2S_Eligibility_List!H28=DataPaths_Code,1,0)+G278</f>
        <v>0</v>
      </c>
      <c r="I278" s="147">
        <f>IF(M2S_Eligibility_List!I28=DataPaths_Code,1,0)+H278</f>
        <v>0</v>
      </c>
      <c r="J278" s="147">
        <f>IF(M2S_Eligibility_List!J28=DataPaths_Code,1,0)+I278</f>
        <v>1</v>
      </c>
      <c r="K278" s="147">
        <f>IF(M2S_Eligibility_List!K28=DataPaths_Code,1,0)+J278</f>
        <v>1</v>
      </c>
      <c r="L278" s="147">
        <f>IF(M2S_Eligibility_List!L28=DataPaths_Code,1,0)+K278</f>
        <v>1</v>
      </c>
      <c r="M278" s="147">
        <f>IF(M2S_Eligibility_List!M28=DataPaths_Code,1,0)+L278</f>
        <v>1</v>
      </c>
      <c r="N278" s="147">
        <f>IF(M2S_Eligibility_List!N28=DataPaths_Code,1,0)+M278</f>
        <v>1</v>
      </c>
      <c r="O278" s="147">
        <f>IF(M2S_Eligibility_List!O28=DataPaths_Code,1,0)+N278</f>
        <v>1</v>
      </c>
      <c r="P278" s="147">
        <f>IF(M2S_Eligibility_List!P28=DataPaths_Code,1,0)+O278</f>
        <v>1</v>
      </c>
      <c r="Q278" s="147">
        <f>IF(M2S_Eligibility_List!Q28=DataPaths_Code,1,0)+P278</f>
        <v>1</v>
      </c>
      <c r="R278" s="147">
        <f>IF(M2S_Eligibility_List!R28=DataPaths_Code,1,0)+Q278</f>
        <v>1</v>
      </c>
      <c r="S278" s="147">
        <f>IF(M2S_Eligibility_List!S28=DataPaths_Code,1,0)+R278</f>
        <v>1</v>
      </c>
      <c r="T278" s="147">
        <f>IF(M2S_Eligibility_List!T28=DataPaths_Code,1,0)+S278</f>
        <v>1</v>
      </c>
      <c r="U278" s="147">
        <f>IF(M2S_Eligibility_List!U28=DataPaths_Code,1,0)+T278</f>
        <v>1</v>
      </c>
      <c r="V278" s="147">
        <f>IF(M2S_Eligibility_List!V28=DataPaths_Code,1,0)+U278</f>
        <v>1</v>
      </c>
      <c r="W278" s="147">
        <f>IF(M2S_Eligibility_List!W28=DataPaths_Code,1,0)+V278</f>
        <v>1</v>
      </c>
      <c r="X278" s="147">
        <f>IF(M2S_Eligibility_List!X28=DataPaths_Code,1,0)+W278</f>
        <v>1</v>
      </c>
      <c r="Y278" s="147">
        <f>IF(M2S_Eligibility_List!Y28=DataPaths_Code,1,0)+X278</f>
        <v>1</v>
      </c>
      <c r="Z278" s="147">
        <f>IF(M2S_Eligibility_List!Z28=DataPaths_Code,1,0)+Y278</f>
        <v>1</v>
      </c>
      <c r="AA278" s="147">
        <f>IF(M2S_Eligibility_List!AA28=DataPaths_Code,1,0)+Z278</f>
        <v>1</v>
      </c>
      <c r="AB278" s="147">
        <f>IF(M2S_Eligibility_List!AB28=DataPaths_Code,1,0)+AA278</f>
        <v>1</v>
      </c>
      <c r="AC278" s="147">
        <f>IF(M2S_Eligibility_List!AC28=DataPaths_Code,1,0)+AB278</f>
        <v>1</v>
      </c>
      <c r="AD278" s="147">
        <f>IF(M2S_Eligibility_List!AD28=DataPaths_Code,1,0)+AC278</f>
        <v>1</v>
      </c>
      <c r="AE278" s="147">
        <f>IF(M2S_Eligibility_List!AE28=DataPaths_Code,1,0)+AD278</f>
        <v>1</v>
      </c>
      <c r="AF278" s="147">
        <f>IF(M2S_Eligibility_List!AF28=DataPaths_Code,1,0)+AE278</f>
        <v>1</v>
      </c>
      <c r="AG278" s="147">
        <f>IF(M2S_Eligibility_List!AG28=DataPaths_Code,1,0)+AF278</f>
        <v>1</v>
      </c>
      <c r="AH278" s="147">
        <f>IF(M2S_Eligibility_List!AH28=DataPaths_Code,1,0)+AG278</f>
        <v>1</v>
      </c>
      <c r="AI278" s="147">
        <f>IF(M2S_Eligibility_List!AI28=DataPaths_Code,1,0)+AH278</f>
        <v>1</v>
      </c>
      <c r="AJ278" s="147">
        <f>IF(M2S_Eligibility_List!AJ28=DataPaths_Code,1,0)+AI278</f>
        <v>1</v>
      </c>
      <c r="AK278" s="147">
        <f>IF(M2S_Eligibility_List!AK28=DataPaths_Code,1,0)+AJ278</f>
        <v>1</v>
      </c>
      <c r="AL278" s="147">
        <f>IF(M2S_Eligibility_List!AL28=DataPaths_Code,1,0)+AK278</f>
        <v>1</v>
      </c>
      <c r="AM278" s="147">
        <f>IF(M2S_Eligibility_List!AM28=DataPaths_Code,1,0)+AL278</f>
        <v>1</v>
      </c>
      <c r="AN278" s="147">
        <f>IF(M2S_Eligibility_List!AN28=DataPaths_Code,1,0)+AM278</f>
        <v>1</v>
      </c>
      <c r="AO278" s="147">
        <f>IF(M2S_Eligibility_List!AO28=DataPaths_Code,1,0)+AN278</f>
        <v>1</v>
      </c>
      <c r="AP278" s="147">
        <f>IF(M2S_Eligibility_List!AP28=DataPaths_Code,1,0)+AO278</f>
        <v>1</v>
      </c>
      <c r="AQ278" s="147">
        <f>IF(M2S_Eligibility_List!AQ28=DataPaths_Code,1,0)+AP278</f>
        <v>1</v>
      </c>
      <c r="AR278" s="147">
        <f>IF(M2S_Eligibility_List!AR28=DataPaths_Code,1,0)+AQ278</f>
        <v>1</v>
      </c>
      <c r="AS278" s="147">
        <f>IF(M2S_Eligibility_List!AS28=DataPaths_Code,1,0)+AR278</f>
        <v>1</v>
      </c>
      <c r="AT278" s="147">
        <f>IF(M2S_Eligibility_List!AT28=DataPaths_Code,1,0)+AS278</f>
        <v>1</v>
      </c>
      <c r="AU278" s="147">
        <f>IF(M2S_Eligibility_List!AU28=DataPaths_Code,1,0)+AT278</f>
        <v>1</v>
      </c>
      <c r="AV278" s="147">
        <f>IF(M2S_Eligibility_List!AV28=DataPaths_Code,1,0)+AU278</f>
        <v>1</v>
      </c>
      <c r="AW278" s="147">
        <f>IF(M2S_Eligibility_List!AW28=DataPaths_Code,1,0)+AV278</f>
        <v>1</v>
      </c>
      <c r="AX278" s="147">
        <f>IF(M2S_Eligibility_List!AX28=DataPaths_Code,1,0)+AW278</f>
        <v>1</v>
      </c>
      <c r="AY278" s="147">
        <f>IF(M2S_Eligibility_List!AY28=DataPaths_Code,1,0)+AX278</f>
        <v>1</v>
      </c>
      <c r="AZ278" s="147">
        <f>IF(M2S_Eligibility_List!AZ28=DataPaths_Code,1,0)+AY278</f>
        <v>1</v>
      </c>
      <c r="BA278" s="147">
        <f>IF(M2S_Eligibility_List!BA28=DataPaths_Code,1,0)+AZ278</f>
        <v>1</v>
      </c>
      <c r="BB278" s="147">
        <f>IF(M2S_Eligibility_List!BB28=DataPaths_Code,1,0)+BA278</f>
        <v>1</v>
      </c>
      <c r="BC278" s="147">
        <f>IF(M2S_Eligibility_List!BC28=DataPaths_Code,1,0)+BB278</f>
        <v>1</v>
      </c>
      <c r="BD278" s="147">
        <f>IF(M2S_Eligibility_List!BD28=DataPaths_Code,1,0)+BC278</f>
        <v>1</v>
      </c>
      <c r="BE278" s="147">
        <f>IF(M2S_Eligibility_List!BE28=DataPaths_Code,1,0)+BD278</f>
        <v>1</v>
      </c>
      <c r="BF278" s="147">
        <f>IF(M2S_Eligibility_List!BF28=DataPaths_Code,1,0)+BE278</f>
        <v>1</v>
      </c>
      <c r="BG278" s="147">
        <f>IF(M2S_Eligibility_List!BG28=DataPaths_Code,1,0)+BF278</f>
        <v>1</v>
      </c>
      <c r="BH278" s="147">
        <f>IF(M2S_Eligibility_List!BH28=DataPaths_Code,1,0)+BG278</f>
        <v>1</v>
      </c>
      <c r="BI278" s="147">
        <f>IF(M2S_Eligibility_List!BI28=DataPaths_Code,1,0)+BH278</f>
        <v>1</v>
      </c>
      <c r="BJ278" s="147">
        <f>IF(M2S_Eligibility_List!BJ28=DataPaths_Code,1,0)+BI278</f>
        <v>1</v>
      </c>
      <c r="BK278" s="147">
        <f>IF(M2S_Eligibility_List!BK28=DataPaths_Code,1,0)+BJ278</f>
        <v>1</v>
      </c>
      <c r="BL278" s="147">
        <f>IF(M2S_Eligibility_List!BL28=DataPaths_Code,1,0)+BK278</f>
        <v>1</v>
      </c>
      <c r="BM278" s="147">
        <f>IF(M2S_Eligibility_List!BM28=DataPaths_Code,1,0)+BL278</f>
        <v>1</v>
      </c>
      <c r="BN278" s="147">
        <f>IF(M2S_Eligibility_List!BN28=DataPaths_Code,1,0)+BM278</f>
        <v>1</v>
      </c>
      <c r="BO278" s="147">
        <f>IF(M2S_Eligibility_List!BO28=DataPaths_Code,1,0)+BN278</f>
        <v>1</v>
      </c>
      <c r="BP278" s="147">
        <f>IF(M2S_Eligibility_List!BP28=DataPaths_Code,1,0)+BO278</f>
        <v>1</v>
      </c>
      <c r="BQ278" s="147">
        <f>IF(M2S_Eligibility_List!BQ28=DataPaths_Code,1,0)+BP278</f>
        <v>1</v>
      </c>
      <c r="BR278" s="147">
        <f>IF(M2S_Eligibility_List!BR28=DataPaths_Code,1,0)+BQ278</f>
        <v>1</v>
      </c>
      <c r="BS278" s="147">
        <f>IF(M2S_Eligibility_List!BS28=DataPaths_Code,1,0)+BR278</f>
        <v>1</v>
      </c>
      <c r="BT278" s="147">
        <f>IF(M2S_Eligibility_List!BT28=DataPaths_Code,1,0)+BS278</f>
        <v>1</v>
      </c>
      <c r="BU278" s="147">
        <f>IF(M2S_Eligibility_List!BU28=DataPaths_Code,1,0)+BT278</f>
        <v>1</v>
      </c>
      <c r="BV278" s="147">
        <f>IF(M2S_Eligibility_List!BV28=DataPaths_Code,1,0)+BU278</f>
        <v>1</v>
      </c>
      <c r="BW278" s="147">
        <f>IF(M2S_Eligibility_List!BW28=DataPaths_Code,1,0)+BV278</f>
        <v>1</v>
      </c>
    </row>
    <row r="279" spans="1:75" ht="20.100000000000001" customHeight="1">
      <c r="A279" s="145"/>
      <c r="B279" s="170" t="str">
        <f>IF(M2S_Eligibility_List!$B29&lt;&gt;"",RIGHT(M2S_Eligibility_List!$B29,LEN(M2S_Eligibility_List!$B29)-LEN(nmADwSP)),0)</f>
        <v>Alias SpeedForm</v>
      </c>
      <c r="C279" s="147">
        <f>IF(M2S_Eligibility_List!C29=DataPaths_Code,1,0)</f>
        <v>0</v>
      </c>
      <c r="D279" s="147">
        <f>IF(M2S_Eligibility_List!D29=DataPaths_Code,1,0)+C279</f>
        <v>0</v>
      </c>
      <c r="E279" s="147">
        <f>IF(M2S_Eligibility_List!E29=DataPaths_Code,1,0)+D279</f>
        <v>0</v>
      </c>
      <c r="F279" s="147">
        <f>IF(M2S_Eligibility_List!F29=DataPaths_Code,1,0)+E279</f>
        <v>0</v>
      </c>
      <c r="G279" s="147">
        <f>IF(M2S_Eligibility_List!G29=DataPaths_Code,1,0)+F279</f>
        <v>0</v>
      </c>
      <c r="H279" s="147">
        <f>IF(M2S_Eligibility_List!H29=DataPaths_Code,1,0)+G279</f>
        <v>0</v>
      </c>
      <c r="I279" s="147">
        <f>IF(M2S_Eligibility_List!I29=DataPaths_Code,1,0)+H279</f>
        <v>0</v>
      </c>
      <c r="J279" s="147">
        <f>IF(M2S_Eligibility_List!J29=DataPaths_Code,1,0)+I279</f>
        <v>0</v>
      </c>
      <c r="K279" s="147">
        <f>IF(M2S_Eligibility_List!K29=DataPaths_Code,1,0)+J279</f>
        <v>1</v>
      </c>
      <c r="L279" s="147">
        <f>IF(M2S_Eligibility_List!L29=DataPaths_Code,1,0)+K279</f>
        <v>1</v>
      </c>
      <c r="M279" s="147">
        <f>IF(M2S_Eligibility_List!M29=DataPaths_Code,1,0)+L279</f>
        <v>1</v>
      </c>
      <c r="N279" s="147">
        <f>IF(M2S_Eligibility_List!N29=DataPaths_Code,1,0)+M279</f>
        <v>1</v>
      </c>
      <c r="O279" s="147">
        <f>IF(M2S_Eligibility_List!O29=DataPaths_Code,1,0)+N279</f>
        <v>1</v>
      </c>
      <c r="P279" s="147">
        <f>IF(M2S_Eligibility_List!P29=DataPaths_Code,1,0)+O279</f>
        <v>1</v>
      </c>
      <c r="Q279" s="147">
        <f>IF(M2S_Eligibility_List!Q29=DataPaths_Code,1,0)+P279</f>
        <v>1</v>
      </c>
      <c r="R279" s="147">
        <f>IF(M2S_Eligibility_List!R29=DataPaths_Code,1,0)+Q279</f>
        <v>1</v>
      </c>
      <c r="S279" s="147">
        <f>IF(M2S_Eligibility_List!S29=DataPaths_Code,1,0)+R279</f>
        <v>1</v>
      </c>
      <c r="T279" s="147">
        <f>IF(M2S_Eligibility_List!T29=DataPaths_Code,1,0)+S279</f>
        <v>1</v>
      </c>
      <c r="U279" s="147">
        <f>IF(M2S_Eligibility_List!U29=DataPaths_Code,1,0)+T279</f>
        <v>1</v>
      </c>
      <c r="V279" s="147">
        <f>IF(M2S_Eligibility_List!V29=DataPaths_Code,1,0)+U279</f>
        <v>1</v>
      </c>
      <c r="W279" s="147">
        <f>IF(M2S_Eligibility_List!W29=DataPaths_Code,1,0)+V279</f>
        <v>1</v>
      </c>
      <c r="X279" s="147">
        <f>IF(M2S_Eligibility_List!X29=DataPaths_Code,1,0)+W279</f>
        <v>1</v>
      </c>
      <c r="Y279" s="147">
        <f>IF(M2S_Eligibility_List!Y29=DataPaths_Code,1,0)+X279</f>
        <v>1</v>
      </c>
      <c r="Z279" s="147">
        <f>IF(M2S_Eligibility_List!Z29=DataPaths_Code,1,0)+Y279</f>
        <v>1</v>
      </c>
      <c r="AA279" s="147">
        <f>IF(M2S_Eligibility_List!AA29=DataPaths_Code,1,0)+Z279</f>
        <v>1</v>
      </c>
      <c r="AB279" s="147">
        <f>IF(M2S_Eligibility_List!AB29=DataPaths_Code,1,0)+AA279</f>
        <v>1</v>
      </c>
      <c r="AC279" s="147">
        <f>IF(M2S_Eligibility_List!AC29=DataPaths_Code,1,0)+AB279</f>
        <v>1</v>
      </c>
      <c r="AD279" s="147">
        <f>IF(M2S_Eligibility_List!AD29=DataPaths_Code,1,0)+AC279</f>
        <v>1</v>
      </c>
      <c r="AE279" s="147">
        <f>IF(M2S_Eligibility_List!AE29=DataPaths_Code,1,0)+AD279</f>
        <v>1</v>
      </c>
      <c r="AF279" s="147">
        <f>IF(M2S_Eligibility_List!AF29=DataPaths_Code,1,0)+AE279</f>
        <v>1</v>
      </c>
      <c r="AG279" s="147">
        <f>IF(M2S_Eligibility_List!AG29=DataPaths_Code,1,0)+AF279</f>
        <v>1</v>
      </c>
      <c r="AH279" s="147">
        <f>IF(M2S_Eligibility_List!AH29=DataPaths_Code,1,0)+AG279</f>
        <v>1</v>
      </c>
      <c r="AI279" s="147">
        <f>IF(M2S_Eligibility_List!AI29=DataPaths_Code,1,0)+AH279</f>
        <v>1</v>
      </c>
      <c r="AJ279" s="147">
        <f>IF(M2S_Eligibility_List!AJ29=DataPaths_Code,1,0)+AI279</f>
        <v>1</v>
      </c>
      <c r="AK279" s="147">
        <f>IF(M2S_Eligibility_List!AK29=DataPaths_Code,1,0)+AJ279</f>
        <v>1</v>
      </c>
      <c r="AL279" s="147">
        <f>IF(M2S_Eligibility_List!AL29=DataPaths_Code,1,0)+AK279</f>
        <v>1</v>
      </c>
      <c r="AM279" s="147">
        <f>IF(M2S_Eligibility_List!AM29=DataPaths_Code,1,0)+AL279</f>
        <v>1</v>
      </c>
      <c r="AN279" s="147">
        <f>IF(M2S_Eligibility_List!AN29=DataPaths_Code,1,0)+AM279</f>
        <v>1</v>
      </c>
      <c r="AO279" s="147">
        <f>IF(M2S_Eligibility_List!AO29=DataPaths_Code,1,0)+AN279</f>
        <v>1</v>
      </c>
      <c r="AP279" s="147">
        <f>IF(M2S_Eligibility_List!AP29=DataPaths_Code,1,0)+AO279</f>
        <v>1</v>
      </c>
      <c r="AQ279" s="147">
        <f>IF(M2S_Eligibility_List!AQ29=DataPaths_Code,1,0)+AP279</f>
        <v>1</v>
      </c>
      <c r="AR279" s="147">
        <f>IF(M2S_Eligibility_List!AR29=DataPaths_Code,1,0)+AQ279</f>
        <v>1</v>
      </c>
      <c r="AS279" s="147">
        <f>IF(M2S_Eligibility_List!AS29=DataPaths_Code,1,0)+AR279</f>
        <v>1</v>
      </c>
      <c r="AT279" s="147">
        <f>IF(M2S_Eligibility_List!AT29=DataPaths_Code,1,0)+AS279</f>
        <v>1</v>
      </c>
      <c r="AU279" s="147">
        <f>IF(M2S_Eligibility_List!AU29=DataPaths_Code,1,0)+AT279</f>
        <v>1</v>
      </c>
      <c r="AV279" s="147">
        <f>IF(M2S_Eligibility_List!AV29=DataPaths_Code,1,0)+AU279</f>
        <v>1</v>
      </c>
      <c r="AW279" s="147">
        <f>IF(M2S_Eligibility_List!AW29=DataPaths_Code,1,0)+AV279</f>
        <v>1</v>
      </c>
      <c r="AX279" s="147">
        <f>IF(M2S_Eligibility_List!AX29=DataPaths_Code,1,0)+AW279</f>
        <v>1</v>
      </c>
      <c r="AY279" s="147">
        <f>IF(M2S_Eligibility_List!AY29=DataPaths_Code,1,0)+AX279</f>
        <v>1</v>
      </c>
      <c r="AZ279" s="147">
        <f>IF(M2S_Eligibility_List!AZ29=DataPaths_Code,1,0)+AY279</f>
        <v>1</v>
      </c>
      <c r="BA279" s="147">
        <f>IF(M2S_Eligibility_List!BA29=DataPaths_Code,1,0)+AZ279</f>
        <v>1</v>
      </c>
      <c r="BB279" s="147">
        <f>IF(M2S_Eligibility_List!BB29=DataPaths_Code,1,0)+BA279</f>
        <v>1</v>
      </c>
      <c r="BC279" s="147">
        <f>IF(M2S_Eligibility_List!BC29=DataPaths_Code,1,0)+BB279</f>
        <v>1</v>
      </c>
      <c r="BD279" s="147">
        <f>IF(M2S_Eligibility_List!BD29=DataPaths_Code,1,0)+BC279</f>
        <v>1</v>
      </c>
      <c r="BE279" s="147">
        <f>IF(M2S_Eligibility_List!BE29=DataPaths_Code,1,0)+BD279</f>
        <v>1</v>
      </c>
      <c r="BF279" s="147">
        <f>IF(M2S_Eligibility_List!BF29=DataPaths_Code,1,0)+BE279</f>
        <v>1</v>
      </c>
      <c r="BG279" s="147">
        <f>IF(M2S_Eligibility_List!BG29=DataPaths_Code,1,0)+BF279</f>
        <v>1</v>
      </c>
      <c r="BH279" s="147">
        <f>IF(M2S_Eligibility_List!BH29=DataPaths_Code,1,0)+BG279</f>
        <v>1</v>
      </c>
      <c r="BI279" s="147">
        <f>IF(M2S_Eligibility_List!BI29=DataPaths_Code,1,0)+BH279</f>
        <v>1</v>
      </c>
      <c r="BJ279" s="147">
        <f>IF(M2S_Eligibility_List!BJ29=DataPaths_Code,1,0)+BI279</f>
        <v>1</v>
      </c>
      <c r="BK279" s="147">
        <f>IF(M2S_Eligibility_List!BK29=DataPaths_Code,1,0)+BJ279</f>
        <v>1</v>
      </c>
      <c r="BL279" s="147">
        <f>IF(M2S_Eligibility_List!BL29=DataPaths_Code,1,0)+BK279</f>
        <v>1</v>
      </c>
      <c r="BM279" s="147">
        <f>IF(M2S_Eligibility_List!BM29=DataPaths_Code,1,0)+BL279</f>
        <v>1</v>
      </c>
      <c r="BN279" s="147">
        <f>IF(M2S_Eligibility_List!BN29=DataPaths_Code,1,0)+BM279</f>
        <v>1</v>
      </c>
      <c r="BO279" s="147">
        <f>IF(M2S_Eligibility_List!BO29=DataPaths_Code,1,0)+BN279</f>
        <v>1</v>
      </c>
      <c r="BP279" s="147">
        <f>IF(M2S_Eligibility_List!BP29=DataPaths_Code,1,0)+BO279</f>
        <v>1</v>
      </c>
      <c r="BQ279" s="147">
        <f>IF(M2S_Eligibility_List!BQ29=DataPaths_Code,1,0)+BP279</f>
        <v>1</v>
      </c>
      <c r="BR279" s="147">
        <f>IF(M2S_Eligibility_List!BR29=DataPaths_Code,1,0)+BQ279</f>
        <v>1</v>
      </c>
      <c r="BS279" s="147">
        <f>IF(M2S_Eligibility_List!BS29=DataPaths_Code,1,0)+BR279</f>
        <v>1</v>
      </c>
      <c r="BT279" s="147">
        <f>IF(M2S_Eligibility_List!BT29=DataPaths_Code,1,0)+BS279</f>
        <v>1</v>
      </c>
      <c r="BU279" s="147">
        <f>IF(M2S_Eligibility_List!BU29=DataPaths_Code,1,0)+BT279</f>
        <v>1</v>
      </c>
      <c r="BV279" s="147">
        <f>IF(M2S_Eligibility_List!BV29=DataPaths_Code,1,0)+BU279</f>
        <v>1</v>
      </c>
      <c r="BW279" s="147">
        <f>IF(M2S_Eligibility_List!BW29=DataPaths_Code,1,0)+BV279</f>
        <v>1</v>
      </c>
    </row>
    <row r="280" spans="1:75" ht="20.100000000000001" customHeight="1">
      <c r="A280" s="145"/>
      <c r="B280" s="170" t="str">
        <f>IF(M2S_Eligibility_List!$B30&lt;&gt;"",RIGHT(M2S_Eligibility_List!$B30,LEN(M2S_Eligibility_List!$B30)-LEN(nmADwSP)),0)</f>
        <v>Alias Surface</v>
      </c>
      <c r="C280" s="147">
        <f>IF(M2S_Eligibility_List!C30=DataPaths_Code,1,0)</f>
        <v>0</v>
      </c>
      <c r="D280" s="147">
        <f>IF(M2S_Eligibility_List!D30=DataPaths_Code,1,0)+C280</f>
        <v>0</v>
      </c>
      <c r="E280" s="147">
        <f>IF(M2S_Eligibility_List!E30=DataPaths_Code,1,0)+D280</f>
        <v>0</v>
      </c>
      <c r="F280" s="147">
        <f>IF(M2S_Eligibility_List!F30=DataPaths_Code,1,0)+E280</f>
        <v>0</v>
      </c>
      <c r="G280" s="147">
        <f>IF(M2S_Eligibility_List!G30=DataPaths_Code,1,0)+F280</f>
        <v>0</v>
      </c>
      <c r="H280" s="147">
        <f>IF(M2S_Eligibility_List!H30=DataPaths_Code,1,0)+G280</f>
        <v>0</v>
      </c>
      <c r="I280" s="147">
        <f>IF(M2S_Eligibility_List!I30=DataPaths_Code,1,0)+H280</f>
        <v>0</v>
      </c>
      <c r="J280" s="147">
        <f>IF(M2S_Eligibility_List!J30=DataPaths_Code,1,0)+I280</f>
        <v>0</v>
      </c>
      <c r="K280" s="147">
        <f>IF(M2S_Eligibility_List!K30=DataPaths_Code,1,0)+J280</f>
        <v>0</v>
      </c>
      <c r="L280" s="147">
        <f>IF(M2S_Eligibility_List!L30=DataPaths_Code,1,0)+K280</f>
        <v>1</v>
      </c>
      <c r="M280" s="147">
        <f>IF(M2S_Eligibility_List!M30=DataPaths_Code,1,0)+L280</f>
        <v>1</v>
      </c>
      <c r="N280" s="147">
        <f>IF(M2S_Eligibility_List!N30=DataPaths_Code,1,0)+M280</f>
        <v>1</v>
      </c>
      <c r="O280" s="147">
        <f>IF(M2S_Eligibility_List!O30=DataPaths_Code,1,0)+N280</f>
        <v>1</v>
      </c>
      <c r="P280" s="147">
        <f>IF(M2S_Eligibility_List!P30=DataPaths_Code,1,0)+O280</f>
        <v>1</v>
      </c>
      <c r="Q280" s="147">
        <f>IF(M2S_Eligibility_List!Q30=DataPaths_Code,1,0)+P280</f>
        <v>1</v>
      </c>
      <c r="R280" s="147">
        <f>IF(M2S_Eligibility_List!R30=DataPaths_Code,1,0)+Q280</f>
        <v>1</v>
      </c>
      <c r="S280" s="147">
        <f>IF(M2S_Eligibility_List!S30=DataPaths_Code,1,0)+R280</f>
        <v>1</v>
      </c>
      <c r="T280" s="147">
        <f>IF(M2S_Eligibility_List!T30=DataPaths_Code,1,0)+S280</f>
        <v>1</v>
      </c>
      <c r="U280" s="147">
        <f>IF(M2S_Eligibility_List!U30=DataPaths_Code,1,0)+T280</f>
        <v>1</v>
      </c>
      <c r="V280" s="147">
        <f>IF(M2S_Eligibility_List!V30=DataPaths_Code,1,0)+U280</f>
        <v>1</v>
      </c>
      <c r="W280" s="147">
        <f>IF(M2S_Eligibility_List!W30=DataPaths_Code,1,0)+V280</f>
        <v>1</v>
      </c>
      <c r="X280" s="147">
        <f>IF(M2S_Eligibility_List!X30=DataPaths_Code,1,0)+W280</f>
        <v>1</v>
      </c>
      <c r="Y280" s="147">
        <f>IF(M2S_Eligibility_List!Y30=DataPaths_Code,1,0)+X280</f>
        <v>1</v>
      </c>
      <c r="Z280" s="147">
        <f>IF(M2S_Eligibility_List!Z30=DataPaths_Code,1,0)+Y280</f>
        <v>1</v>
      </c>
      <c r="AA280" s="147">
        <f>IF(M2S_Eligibility_List!AA30=DataPaths_Code,1,0)+Z280</f>
        <v>1</v>
      </c>
      <c r="AB280" s="147">
        <f>IF(M2S_Eligibility_List!AB30=DataPaths_Code,1,0)+AA280</f>
        <v>1</v>
      </c>
      <c r="AC280" s="147">
        <f>IF(M2S_Eligibility_List!AC30=DataPaths_Code,1,0)+AB280</f>
        <v>1</v>
      </c>
      <c r="AD280" s="147">
        <f>IF(M2S_Eligibility_List!AD30=DataPaths_Code,1,0)+AC280</f>
        <v>1</v>
      </c>
      <c r="AE280" s="147">
        <f>IF(M2S_Eligibility_List!AE30=DataPaths_Code,1,0)+AD280</f>
        <v>1</v>
      </c>
      <c r="AF280" s="147">
        <f>IF(M2S_Eligibility_List!AF30=DataPaths_Code,1,0)+AE280</f>
        <v>1</v>
      </c>
      <c r="AG280" s="147">
        <f>IF(M2S_Eligibility_List!AG30=DataPaths_Code,1,0)+AF280</f>
        <v>1</v>
      </c>
      <c r="AH280" s="147">
        <f>IF(M2S_Eligibility_List!AH30=DataPaths_Code,1,0)+AG280</f>
        <v>1</v>
      </c>
      <c r="AI280" s="147">
        <f>IF(M2S_Eligibility_List!AI30=DataPaths_Code,1,0)+AH280</f>
        <v>1</v>
      </c>
      <c r="AJ280" s="147">
        <f>IF(M2S_Eligibility_List!AJ30=DataPaths_Code,1,0)+AI280</f>
        <v>1</v>
      </c>
      <c r="AK280" s="147">
        <f>IF(M2S_Eligibility_List!AK30=DataPaths_Code,1,0)+AJ280</f>
        <v>1</v>
      </c>
      <c r="AL280" s="147">
        <f>IF(M2S_Eligibility_List!AL30=DataPaths_Code,1,0)+AK280</f>
        <v>1</v>
      </c>
      <c r="AM280" s="147">
        <f>IF(M2S_Eligibility_List!AM30=DataPaths_Code,1,0)+AL280</f>
        <v>1</v>
      </c>
      <c r="AN280" s="147">
        <f>IF(M2S_Eligibility_List!AN30=DataPaths_Code,1,0)+AM280</f>
        <v>1</v>
      </c>
      <c r="AO280" s="147">
        <f>IF(M2S_Eligibility_List!AO30=DataPaths_Code,1,0)+AN280</f>
        <v>1</v>
      </c>
      <c r="AP280" s="147">
        <f>IF(M2S_Eligibility_List!AP30=DataPaths_Code,1,0)+AO280</f>
        <v>1</v>
      </c>
      <c r="AQ280" s="147">
        <f>IF(M2S_Eligibility_List!AQ30=DataPaths_Code,1,0)+AP280</f>
        <v>1</v>
      </c>
      <c r="AR280" s="147">
        <f>IF(M2S_Eligibility_List!AR30=DataPaths_Code,1,0)+AQ280</f>
        <v>1</v>
      </c>
      <c r="AS280" s="147">
        <f>IF(M2S_Eligibility_List!AS30=DataPaths_Code,1,0)+AR280</f>
        <v>1</v>
      </c>
      <c r="AT280" s="147">
        <f>IF(M2S_Eligibility_List!AT30=DataPaths_Code,1,0)+AS280</f>
        <v>1</v>
      </c>
      <c r="AU280" s="147">
        <f>IF(M2S_Eligibility_List!AU30=DataPaths_Code,1,0)+AT280</f>
        <v>1</v>
      </c>
      <c r="AV280" s="147">
        <f>IF(M2S_Eligibility_List!AV30=DataPaths_Code,1,0)+AU280</f>
        <v>1</v>
      </c>
      <c r="AW280" s="147">
        <f>IF(M2S_Eligibility_List!AW30=DataPaths_Code,1,0)+AV280</f>
        <v>1</v>
      </c>
      <c r="AX280" s="147">
        <f>IF(M2S_Eligibility_List!AX30=DataPaths_Code,1,0)+AW280</f>
        <v>1</v>
      </c>
      <c r="AY280" s="147">
        <f>IF(M2S_Eligibility_List!AY30=DataPaths_Code,1,0)+AX280</f>
        <v>1</v>
      </c>
      <c r="AZ280" s="147">
        <f>IF(M2S_Eligibility_List!AZ30=DataPaths_Code,1,0)+AY280</f>
        <v>1</v>
      </c>
      <c r="BA280" s="147">
        <f>IF(M2S_Eligibility_List!BA30=DataPaths_Code,1,0)+AZ280</f>
        <v>1</v>
      </c>
      <c r="BB280" s="147">
        <f>IF(M2S_Eligibility_List!BB30=DataPaths_Code,1,0)+BA280</f>
        <v>1</v>
      </c>
      <c r="BC280" s="147">
        <f>IF(M2S_Eligibility_List!BC30=DataPaths_Code,1,0)+BB280</f>
        <v>1</v>
      </c>
      <c r="BD280" s="147">
        <f>IF(M2S_Eligibility_List!BD30=DataPaths_Code,1,0)+BC280</f>
        <v>1</v>
      </c>
      <c r="BE280" s="147">
        <f>IF(M2S_Eligibility_List!BE30=DataPaths_Code,1,0)+BD280</f>
        <v>1</v>
      </c>
      <c r="BF280" s="147">
        <f>IF(M2S_Eligibility_List!BF30=DataPaths_Code,1,0)+BE280</f>
        <v>1</v>
      </c>
      <c r="BG280" s="147">
        <f>IF(M2S_Eligibility_List!BG30=DataPaths_Code,1,0)+BF280</f>
        <v>1</v>
      </c>
      <c r="BH280" s="147">
        <f>IF(M2S_Eligibility_List!BH30=DataPaths_Code,1,0)+BG280</f>
        <v>1</v>
      </c>
      <c r="BI280" s="147">
        <f>IF(M2S_Eligibility_List!BI30=DataPaths_Code,1,0)+BH280</f>
        <v>1</v>
      </c>
      <c r="BJ280" s="147">
        <f>IF(M2S_Eligibility_List!BJ30=DataPaths_Code,1,0)+BI280</f>
        <v>1</v>
      </c>
      <c r="BK280" s="147">
        <f>IF(M2S_Eligibility_List!BK30=DataPaths_Code,1,0)+BJ280</f>
        <v>1</v>
      </c>
      <c r="BL280" s="147">
        <f>IF(M2S_Eligibility_List!BL30=DataPaths_Code,1,0)+BK280</f>
        <v>1</v>
      </c>
      <c r="BM280" s="147">
        <f>IF(M2S_Eligibility_List!BM30=DataPaths_Code,1,0)+BL280</f>
        <v>1</v>
      </c>
      <c r="BN280" s="147">
        <f>IF(M2S_Eligibility_List!BN30=DataPaths_Code,1,0)+BM280</f>
        <v>1</v>
      </c>
      <c r="BO280" s="147">
        <f>IF(M2S_Eligibility_List!BO30=DataPaths_Code,1,0)+BN280</f>
        <v>1</v>
      </c>
      <c r="BP280" s="147">
        <f>IF(M2S_Eligibility_List!BP30=DataPaths_Code,1,0)+BO280</f>
        <v>1</v>
      </c>
      <c r="BQ280" s="147">
        <f>IF(M2S_Eligibility_List!BQ30=DataPaths_Code,1,0)+BP280</f>
        <v>1</v>
      </c>
      <c r="BR280" s="147">
        <f>IF(M2S_Eligibility_List!BR30=DataPaths_Code,1,0)+BQ280</f>
        <v>1</v>
      </c>
      <c r="BS280" s="147">
        <f>IF(M2S_Eligibility_List!BS30=DataPaths_Code,1,0)+BR280</f>
        <v>1</v>
      </c>
      <c r="BT280" s="147">
        <f>IF(M2S_Eligibility_List!BT30=DataPaths_Code,1,0)+BS280</f>
        <v>1</v>
      </c>
      <c r="BU280" s="147">
        <f>IF(M2S_Eligibility_List!BU30=DataPaths_Code,1,0)+BT280</f>
        <v>1</v>
      </c>
      <c r="BV280" s="147">
        <f>IF(M2S_Eligibility_List!BV30=DataPaths_Code,1,0)+BU280</f>
        <v>1</v>
      </c>
      <c r="BW280" s="147">
        <f>IF(M2S_Eligibility_List!BW30=DataPaths_Code,1,0)+BV280</f>
        <v>1</v>
      </c>
    </row>
    <row r="281" spans="1:75" ht="20.100000000000001" customHeight="1">
      <c r="A281" s="145"/>
      <c r="B281" s="170" t="str">
        <f>IF(M2S_Eligibility_List!$B31&lt;&gt;"",RIGHT(M2S_Eligibility_List!$B31,LEN(M2S_Eligibility_List!$B31)-LEN(nmADwSP)),0)</f>
        <v>Arnold</v>
      </c>
      <c r="C281" s="147">
        <f>IF(M2S_Eligibility_List!C31=DataPaths_Code,1,0)</f>
        <v>0</v>
      </c>
      <c r="D281" s="147">
        <f>IF(M2S_Eligibility_List!D31=DataPaths_Code,1,0)+C281</f>
        <v>0</v>
      </c>
      <c r="E281" s="147">
        <f>IF(M2S_Eligibility_List!E31=DataPaths_Code,1,0)+D281</f>
        <v>0</v>
      </c>
      <c r="F281" s="147">
        <f>IF(M2S_Eligibility_List!F31=DataPaths_Code,1,0)+E281</f>
        <v>0</v>
      </c>
      <c r="G281" s="147">
        <f>IF(M2S_Eligibility_List!G31=DataPaths_Code,1,0)+F281</f>
        <v>0</v>
      </c>
      <c r="H281" s="147">
        <f>IF(M2S_Eligibility_List!H31=DataPaths_Code,1,0)+G281</f>
        <v>0</v>
      </c>
      <c r="I281" s="147">
        <f>IF(M2S_Eligibility_List!I31=DataPaths_Code,1,0)+H281</f>
        <v>0</v>
      </c>
      <c r="J281" s="147">
        <f>IF(M2S_Eligibility_List!J31=DataPaths_Code,1,0)+I281</f>
        <v>0</v>
      </c>
      <c r="K281" s="147">
        <f>IF(M2S_Eligibility_List!K31=DataPaths_Code,1,0)+J281</f>
        <v>0</v>
      </c>
      <c r="L281" s="147">
        <f>IF(M2S_Eligibility_List!L31=DataPaths_Code,1,0)+K281</f>
        <v>0</v>
      </c>
      <c r="M281" s="147">
        <f>IF(M2S_Eligibility_List!M31=DataPaths_Code,1,0)+L281</f>
        <v>0</v>
      </c>
      <c r="N281" s="147">
        <f>IF(M2S_Eligibility_List!N31=DataPaths_Code,1,0)+M281</f>
        <v>0</v>
      </c>
      <c r="O281" s="147">
        <f>IF(M2S_Eligibility_List!O31=DataPaths_Code,1,0)+N281</f>
        <v>0</v>
      </c>
      <c r="P281" s="147">
        <f>IF(M2S_Eligibility_List!P31=DataPaths_Code,1,0)+O281</f>
        <v>0</v>
      </c>
      <c r="Q281" s="147">
        <f>IF(M2S_Eligibility_List!Q31=DataPaths_Code,1,0)+P281</f>
        <v>0</v>
      </c>
      <c r="R281" s="147">
        <f>IF(M2S_Eligibility_List!R31=DataPaths_Code,1,0)+Q281</f>
        <v>0</v>
      </c>
      <c r="S281" s="147">
        <f>IF(M2S_Eligibility_List!S31=DataPaths_Code,1,0)+R281</f>
        <v>0</v>
      </c>
      <c r="T281" s="147">
        <f>IF(M2S_Eligibility_List!T31=DataPaths_Code,1,0)+S281</f>
        <v>0</v>
      </c>
      <c r="U281" s="147">
        <f>IF(M2S_Eligibility_List!U31=DataPaths_Code,1,0)+T281</f>
        <v>0</v>
      </c>
      <c r="V281" s="147">
        <f>IF(M2S_Eligibility_List!V31=DataPaths_Code,1,0)+U281</f>
        <v>0</v>
      </c>
      <c r="W281" s="147">
        <f>IF(M2S_Eligibility_List!W31=DataPaths_Code,1,0)+V281</f>
        <v>0</v>
      </c>
      <c r="X281" s="147">
        <f>IF(M2S_Eligibility_List!X31=DataPaths_Code,1,0)+W281</f>
        <v>0</v>
      </c>
      <c r="Y281" s="147">
        <f>IF(M2S_Eligibility_List!Y31=DataPaths_Code,1,0)+X281</f>
        <v>0</v>
      </c>
      <c r="Z281" s="147">
        <f>IF(M2S_Eligibility_List!Z31=DataPaths_Code,1,0)+Y281</f>
        <v>0</v>
      </c>
      <c r="AA281" s="147">
        <f>IF(M2S_Eligibility_List!AA31=DataPaths_Code,1,0)+Z281</f>
        <v>0</v>
      </c>
      <c r="AB281" s="147">
        <f>IF(M2S_Eligibility_List!AB31=DataPaths_Code,1,0)+AA281</f>
        <v>0</v>
      </c>
      <c r="AC281" s="147">
        <f>IF(M2S_Eligibility_List!AC31=DataPaths_Code,1,0)+AB281</f>
        <v>0</v>
      </c>
      <c r="AD281" s="147">
        <f>IF(M2S_Eligibility_List!AD31=DataPaths_Code,1,0)+AC281</f>
        <v>0</v>
      </c>
      <c r="AE281" s="147">
        <f>IF(M2S_Eligibility_List!AE31=DataPaths_Code,1,0)+AD281</f>
        <v>0</v>
      </c>
      <c r="AF281" s="147">
        <f>IF(M2S_Eligibility_List!AF31=DataPaths_Code,1,0)+AE281</f>
        <v>0</v>
      </c>
      <c r="AG281" s="147">
        <f>IF(M2S_Eligibility_List!AG31=DataPaths_Code,1,0)+AF281</f>
        <v>0</v>
      </c>
      <c r="AH281" s="147">
        <f>IF(M2S_Eligibility_List!AH31=DataPaths_Code,1,0)+AG281</f>
        <v>0</v>
      </c>
      <c r="AI281" s="147">
        <f>IF(M2S_Eligibility_List!AI31=DataPaths_Code,1,0)+AH281</f>
        <v>0</v>
      </c>
      <c r="AJ281" s="147">
        <f>IF(M2S_Eligibility_List!AJ31=DataPaths_Code,1,0)+AI281</f>
        <v>0</v>
      </c>
      <c r="AK281" s="147">
        <f>IF(M2S_Eligibility_List!AK31=DataPaths_Code,1,0)+AJ281</f>
        <v>0</v>
      </c>
      <c r="AL281" s="147">
        <f>IF(M2S_Eligibility_List!AL31=DataPaths_Code,1,0)+AK281</f>
        <v>0</v>
      </c>
      <c r="AM281" s="147">
        <f>IF(M2S_Eligibility_List!AM31=DataPaths_Code,1,0)+AL281</f>
        <v>0</v>
      </c>
      <c r="AN281" s="147">
        <f>IF(M2S_Eligibility_List!AN31=DataPaths_Code,1,0)+AM281</f>
        <v>0</v>
      </c>
      <c r="AO281" s="147">
        <f>IF(M2S_Eligibility_List!AO31=DataPaths_Code,1,0)+AN281</f>
        <v>0</v>
      </c>
      <c r="AP281" s="147">
        <f>IF(M2S_Eligibility_List!AP31=DataPaths_Code,1,0)+AO281</f>
        <v>0</v>
      </c>
      <c r="AQ281" s="147">
        <f>IF(M2S_Eligibility_List!AQ31=DataPaths_Code,1,0)+AP281</f>
        <v>0</v>
      </c>
      <c r="AR281" s="147">
        <f>IF(M2S_Eligibility_List!AR31=DataPaths_Code,1,0)+AQ281</f>
        <v>0</v>
      </c>
      <c r="AS281" s="147">
        <f>IF(M2S_Eligibility_List!AS31=DataPaths_Code,1,0)+AR281</f>
        <v>0</v>
      </c>
      <c r="AT281" s="147">
        <f>IF(M2S_Eligibility_List!AT31=DataPaths_Code,1,0)+AS281</f>
        <v>0</v>
      </c>
      <c r="AU281" s="147">
        <f>IF(M2S_Eligibility_List!AU31=DataPaths_Code,1,0)+AT281</f>
        <v>0</v>
      </c>
      <c r="AV281" s="147">
        <f>IF(M2S_Eligibility_List!AV31=DataPaths_Code,1,0)+AU281</f>
        <v>0</v>
      </c>
      <c r="AW281" s="147">
        <f>IF(M2S_Eligibility_List!AW31=DataPaths_Code,1,0)+AV281</f>
        <v>0</v>
      </c>
      <c r="AX281" s="147">
        <f>IF(M2S_Eligibility_List!AX31=DataPaths_Code,1,0)+AW281</f>
        <v>0</v>
      </c>
      <c r="AY281" s="147">
        <f>IF(M2S_Eligibility_List!AY31=DataPaths_Code,1,0)+AX281</f>
        <v>0</v>
      </c>
      <c r="AZ281" s="147">
        <f>IF(M2S_Eligibility_List!AZ31=DataPaths_Code,1,0)+AY281</f>
        <v>0</v>
      </c>
      <c r="BA281" s="147">
        <f>IF(M2S_Eligibility_List!BA31=DataPaths_Code,1,0)+AZ281</f>
        <v>0</v>
      </c>
      <c r="BB281" s="147">
        <f>IF(M2S_Eligibility_List!BB31=DataPaths_Code,1,0)+BA281</f>
        <v>0</v>
      </c>
      <c r="BC281" s="147">
        <f>IF(M2S_Eligibility_List!BC31=DataPaths_Code,1,0)+BB281</f>
        <v>0</v>
      </c>
      <c r="BD281" s="147">
        <f>IF(M2S_Eligibility_List!BD31=DataPaths_Code,1,0)+BC281</f>
        <v>0</v>
      </c>
      <c r="BE281" s="147">
        <f>IF(M2S_Eligibility_List!BE31=DataPaths_Code,1,0)+BD281</f>
        <v>0</v>
      </c>
      <c r="BF281" s="147">
        <f>IF(M2S_Eligibility_List!BF31=DataPaths_Code,1,0)+BE281</f>
        <v>0</v>
      </c>
      <c r="BG281" s="147">
        <f>IF(M2S_Eligibility_List!BG31=DataPaths_Code,1,0)+BF281</f>
        <v>0</v>
      </c>
      <c r="BH281" s="147">
        <f>IF(M2S_Eligibility_List!BH31=DataPaths_Code,1,0)+BG281</f>
        <v>0</v>
      </c>
      <c r="BI281" s="147">
        <f>IF(M2S_Eligibility_List!BI31=DataPaths_Code,1,0)+BH281</f>
        <v>0</v>
      </c>
      <c r="BJ281" s="147">
        <f>IF(M2S_Eligibility_List!BJ31=DataPaths_Code,1,0)+BI281</f>
        <v>1</v>
      </c>
      <c r="BK281" s="147">
        <f>IF(M2S_Eligibility_List!BK31=DataPaths_Code,1,0)+BJ281</f>
        <v>1</v>
      </c>
      <c r="BL281" s="147">
        <f>IF(M2S_Eligibility_List!BL31=DataPaths_Code,1,0)+BK281</f>
        <v>1</v>
      </c>
      <c r="BM281" s="147">
        <f>IF(M2S_Eligibility_List!BM31=DataPaths_Code,1,0)+BL281</f>
        <v>1</v>
      </c>
      <c r="BN281" s="147">
        <f>IF(M2S_Eligibility_List!BN31=DataPaths_Code,1,0)+BM281</f>
        <v>1</v>
      </c>
      <c r="BO281" s="147">
        <f>IF(M2S_Eligibility_List!BO31=DataPaths_Code,1,0)+BN281</f>
        <v>1</v>
      </c>
      <c r="BP281" s="147">
        <f>IF(M2S_Eligibility_List!BP31=DataPaths_Code,1,0)+BO281</f>
        <v>1</v>
      </c>
      <c r="BQ281" s="147">
        <f>IF(M2S_Eligibility_List!BQ31=DataPaths_Code,1,0)+BP281</f>
        <v>1</v>
      </c>
      <c r="BR281" s="147">
        <f>IF(M2S_Eligibility_List!BR31=DataPaths_Code,1,0)+BQ281</f>
        <v>1</v>
      </c>
      <c r="BS281" s="147">
        <f>IF(M2S_Eligibility_List!BS31=DataPaths_Code,1,0)+BR281</f>
        <v>1</v>
      </c>
      <c r="BT281" s="147">
        <f>IF(M2S_Eligibility_List!BT31=DataPaths_Code,1,0)+BS281</f>
        <v>1</v>
      </c>
      <c r="BU281" s="147">
        <f>IF(M2S_Eligibility_List!BU31=DataPaths_Code,1,0)+BT281</f>
        <v>1</v>
      </c>
      <c r="BV281" s="147">
        <f>IF(M2S_Eligibility_List!BV31=DataPaths_Code,1,0)+BU281</f>
        <v>1</v>
      </c>
      <c r="BW281" s="147">
        <f>IF(M2S_Eligibility_List!BW31=DataPaths_Code,1,0)+BV281</f>
        <v>1</v>
      </c>
    </row>
    <row r="282" spans="1:75" ht="20.100000000000001" customHeight="1">
      <c r="A282" s="145"/>
      <c r="B282" s="170" t="str">
        <f>IF(M2S_Eligibility_List!$B32&lt;&gt;"",RIGHT(M2S_Eligibility_List!$B32,LEN(M2S_Eligibility_List!$B32)-LEN(nmADwSP)),0)</f>
        <v>AutoCAD</v>
      </c>
      <c r="C282" s="147">
        <f>IF(M2S_Eligibility_List!C32=DataPaths_Code,1,0)</f>
        <v>1</v>
      </c>
      <c r="D282" s="147">
        <f>IF(M2S_Eligibility_List!D32=DataPaths_Code,1,0)+C282</f>
        <v>2</v>
      </c>
      <c r="E282" s="147">
        <f>IF(M2S_Eligibility_List!E32=DataPaths_Code,1,0)+D282</f>
        <v>2</v>
      </c>
      <c r="F282" s="147">
        <f>IF(M2S_Eligibility_List!F32=DataPaths_Code,1,0)+E282</f>
        <v>2</v>
      </c>
      <c r="G282" s="147">
        <f>IF(M2S_Eligibility_List!G32=DataPaths_Code,1,0)+F282</f>
        <v>3</v>
      </c>
      <c r="H282" s="147">
        <f>IF(M2S_Eligibility_List!H32=DataPaths_Code,1,0)+G282</f>
        <v>3</v>
      </c>
      <c r="I282" s="147">
        <f>IF(M2S_Eligibility_List!I32=DataPaths_Code,1,0)+H282</f>
        <v>3</v>
      </c>
      <c r="J282" s="147">
        <f>IF(M2S_Eligibility_List!J32=DataPaths_Code,1,0)+I282</f>
        <v>3</v>
      </c>
      <c r="K282" s="147">
        <f>IF(M2S_Eligibility_List!K32=DataPaths_Code,1,0)+J282</f>
        <v>3</v>
      </c>
      <c r="L282" s="147">
        <f>IF(M2S_Eligibility_List!L32=DataPaths_Code,1,0)+K282</f>
        <v>3</v>
      </c>
      <c r="M282" s="147">
        <f>IF(M2S_Eligibility_List!M32=DataPaths_Code,1,0)+L282</f>
        <v>4</v>
      </c>
      <c r="N282" s="147">
        <f>IF(M2S_Eligibility_List!N32=DataPaths_Code,1,0)+M282</f>
        <v>5</v>
      </c>
      <c r="O282" s="147">
        <f>IF(M2S_Eligibility_List!O32=DataPaths_Code,1,0)+N282</f>
        <v>5</v>
      </c>
      <c r="P282" s="147">
        <f>IF(M2S_Eligibility_List!P32=DataPaths_Code,1,0)+O282</f>
        <v>5</v>
      </c>
      <c r="Q282" s="147">
        <f>IF(M2S_Eligibility_List!Q32=DataPaths_Code,1,0)+P282</f>
        <v>5</v>
      </c>
      <c r="R282" s="147">
        <f>IF(M2S_Eligibility_List!R32=DataPaths_Code,1,0)+Q282</f>
        <v>5</v>
      </c>
      <c r="S282" s="147">
        <f>IF(M2S_Eligibility_List!S32=DataPaths_Code,1,0)+R282</f>
        <v>5</v>
      </c>
      <c r="T282" s="147">
        <f>IF(M2S_Eligibility_List!T32=DataPaths_Code,1,0)+S282</f>
        <v>5</v>
      </c>
      <c r="U282" s="147">
        <f>IF(M2S_Eligibility_List!U32=DataPaths_Code,1,0)+T282</f>
        <v>5</v>
      </c>
      <c r="V282" s="147">
        <f>IF(M2S_Eligibility_List!V32=DataPaths_Code,1,0)+U282</f>
        <v>5</v>
      </c>
      <c r="W282" s="147">
        <f>IF(M2S_Eligibility_List!W32=DataPaths_Code,1,0)+V282</f>
        <v>5</v>
      </c>
      <c r="X282" s="147">
        <f>IF(M2S_Eligibility_List!X32=DataPaths_Code,1,0)+W282</f>
        <v>5</v>
      </c>
      <c r="Y282" s="147">
        <f>IF(M2S_Eligibility_List!Y32=DataPaths_Code,1,0)+X282</f>
        <v>5</v>
      </c>
      <c r="Z282" s="147">
        <f>IF(M2S_Eligibility_List!Z32=DataPaths_Code,1,0)+Y282</f>
        <v>5</v>
      </c>
      <c r="AA282" s="147">
        <f>IF(M2S_Eligibility_List!AA32=DataPaths_Code,1,0)+Z282</f>
        <v>5</v>
      </c>
      <c r="AB282" s="147">
        <f>IF(M2S_Eligibility_List!AB32=DataPaths_Code,1,0)+AA282</f>
        <v>5</v>
      </c>
      <c r="AC282" s="147">
        <f>IF(M2S_Eligibility_List!AC32=DataPaths_Code,1,0)+AB282</f>
        <v>5</v>
      </c>
      <c r="AD282" s="147">
        <f>IF(M2S_Eligibility_List!AD32=DataPaths_Code,1,0)+AC282</f>
        <v>5</v>
      </c>
      <c r="AE282" s="147">
        <f>IF(M2S_Eligibility_List!AE32=DataPaths_Code,1,0)+AD282</f>
        <v>5</v>
      </c>
      <c r="AF282" s="147">
        <f>IF(M2S_Eligibility_List!AF32=DataPaths_Code,1,0)+AE282</f>
        <v>5</v>
      </c>
      <c r="AG282" s="147">
        <f>IF(M2S_Eligibility_List!AG32=DataPaths_Code,1,0)+AF282</f>
        <v>5</v>
      </c>
      <c r="AH282" s="147">
        <f>IF(M2S_Eligibility_List!AH32=DataPaths_Code,1,0)+AG282</f>
        <v>5</v>
      </c>
      <c r="AI282" s="147">
        <f>IF(M2S_Eligibility_List!AI32=DataPaths_Code,1,0)+AH282</f>
        <v>5</v>
      </c>
      <c r="AJ282" s="147">
        <f>IF(M2S_Eligibility_List!AJ32=DataPaths_Code,1,0)+AI282</f>
        <v>5</v>
      </c>
      <c r="AK282" s="147">
        <f>IF(M2S_Eligibility_List!AK32=DataPaths_Code,1,0)+AJ282</f>
        <v>5</v>
      </c>
      <c r="AL282" s="147">
        <f>IF(M2S_Eligibility_List!AL32=DataPaths_Code,1,0)+AK282</f>
        <v>5</v>
      </c>
      <c r="AM282" s="147">
        <f>IF(M2S_Eligibility_List!AM32=DataPaths_Code,1,0)+AL282</f>
        <v>5</v>
      </c>
      <c r="AN282" s="147">
        <f>IF(M2S_Eligibility_List!AN32=DataPaths_Code,1,0)+AM282</f>
        <v>5</v>
      </c>
      <c r="AO282" s="147">
        <f>IF(M2S_Eligibility_List!AO32=DataPaths_Code,1,0)+AN282</f>
        <v>5</v>
      </c>
      <c r="AP282" s="147">
        <f>IF(M2S_Eligibility_List!AP32=DataPaths_Code,1,0)+AO282</f>
        <v>5</v>
      </c>
      <c r="AQ282" s="147">
        <f>IF(M2S_Eligibility_List!AQ32=DataPaths_Code,1,0)+AP282</f>
        <v>5</v>
      </c>
      <c r="AR282" s="147">
        <f>IF(M2S_Eligibility_List!AR32=DataPaths_Code,1,0)+AQ282</f>
        <v>5</v>
      </c>
      <c r="AS282" s="147">
        <f>IF(M2S_Eligibility_List!AS32=DataPaths_Code,1,0)+AR282</f>
        <v>5</v>
      </c>
      <c r="AT282" s="147">
        <f>IF(M2S_Eligibility_List!AT32=DataPaths_Code,1,0)+AS282</f>
        <v>5</v>
      </c>
      <c r="AU282" s="147">
        <f>IF(M2S_Eligibility_List!AU32=DataPaths_Code,1,0)+AT282</f>
        <v>5</v>
      </c>
      <c r="AV282" s="147">
        <f>IF(M2S_Eligibility_List!AV32=DataPaths_Code,1,0)+AU282</f>
        <v>5</v>
      </c>
      <c r="AW282" s="147">
        <f>IF(M2S_Eligibility_List!AW32=DataPaths_Code,1,0)+AV282</f>
        <v>5</v>
      </c>
      <c r="AX282" s="147">
        <f>IF(M2S_Eligibility_List!AX32=DataPaths_Code,1,0)+AW282</f>
        <v>5</v>
      </c>
      <c r="AY282" s="147">
        <f>IF(M2S_Eligibility_List!AY32=DataPaths_Code,1,0)+AX282</f>
        <v>5</v>
      </c>
      <c r="AZ282" s="147">
        <f>IF(M2S_Eligibility_List!AZ32=DataPaths_Code,1,0)+AY282</f>
        <v>5</v>
      </c>
      <c r="BA282" s="147">
        <f>IF(M2S_Eligibility_List!BA32=DataPaths_Code,1,0)+AZ282</f>
        <v>5</v>
      </c>
      <c r="BB282" s="147">
        <f>IF(M2S_Eligibility_List!BB32=DataPaths_Code,1,0)+BA282</f>
        <v>5</v>
      </c>
      <c r="BC282" s="147">
        <f>IF(M2S_Eligibility_List!BC32=DataPaths_Code,1,0)+BB282</f>
        <v>5</v>
      </c>
      <c r="BD282" s="147">
        <f>IF(M2S_Eligibility_List!BD32=DataPaths_Code,1,0)+BC282</f>
        <v>5</v>
      </c>
      <c r="BE282" s="147">
        <f>IF(M2S_Eligibility_List!BE32=DataPaths_Code,1,0)+BD282</f>
        <v>5</v>
      </c>
      <c r="BF282" s="147">
        <f>IF(M2S_Eligibility_List!BF32=DataPaths_Code,1,0)+BE282</f>
        <v>5</v>
      </c>
      <c r="BG282" s="147">
        <f>IF(M2S_Eligibility_List!BG32=DataPaths_Code,1,0)+BF282</f>
        <v>5</v>
      </c>
      <c r="BH282" s="147">
        <f>IF(M2S_Eligibility_List!BH32=DataPaths_Code,1,0)+BG282</f>
        <v>5</v>
      </c>
      <c r="BI282" s="147">
        <f>IF(M2S_Eligibility_List!BI32=DataPaths_Code,1,0)+BH282</f>
        <v>5</v>
      </c>
      <c r="BJ282" s="147">
        <f>IF(M2S_Eligibility_List!BJ32=DataPaths_Code,1,0)+BI282</f>
        <v>5</v>
      </c>
      <c r="BK282" s="147">
        <f>IF(M2S_Eligibility_List!BK32=DataPaths_Code,1,0)+BJ282</f>
        <v>5</v>
      </c>
      <c r="BL282" s="147">
        <f>IF(M2S_Eligibility_List!BL32=DataPaths_Code,1,0)+BK282</f>
        <v>5</v>
      </c>
      <c r="BM282" s="147">
        <f>IF(M2S_Eligibility_List!BM32=DataPaths_Code,1,0)+BL282</f>
        <v>5</v>
      </c>
      <c r="BN282" s="147">
        <f>IF(M2S_Eligibility_List!BN32=DataPaths_Code,1,0)+BM282</f>
        <v>5</v>
      </c>
      <c r="BO282" s="147">
        <f>IF(M2S_Eligibility_List!BO32=DataPaths_Code,1,0)+BN282</f>
        <v>5</v>
      </c>
      <c r="BP282" s="147">
        <f>IF(M2S_Eligibility_List!BP32=DataPaths_Code,1,0)+BO282</f>
        <v>5</v>
      </c>
      <c r="BQ282" s="147">
        <f>IF(M2S_Eligibility_List!BQ32=DataPaths_Code,1,0)+BP282</f>
        <v>5</v>
      </c>
      <c r="BR282" s="147">
        <f>IF(M2S_Eligibility_List!BR32=DataPaths_Code,1,0)+BQ282</f>
        <v>5</v>
      </c>
      <c r="BS282" s="147">
        <f>IF(M2S_Eligibility_List!BS32=DataPaths_Code,1,0)+BR282</f>
        <v>5</v>
      </c>
      <c r="BT282" s="147">
        <f>IF(M2S_Eligibility_List!BT32=DataPaths_Code,1,0)+BS282</f>
        <v>5</v>
      </c>
      <c r="BU282" s="147">
        <f>IF(M2S_Eligibility_List!BU32=DataPaths_Code,1,0)+BT282</f>
        <v>5</v>
      </c>
      <c r="BV282" s="147">
        <f>IF(M2S_Eligibility_List!BV32=DataPaths_Code,1,0)+BU282</f>
        <v>5</v>
      </c>
      <c r="BW282" s="147">
        <f>IF(M2S_Eligibility_List!BW32=DataPaths_Code,1,0)+BV282</f>
        <v>5</v>
      </c>
    </row>
    <row r="283" spans="1:75" ht="20.100000000000001" customHeight="1">
      <c r="A283" s="145"/>
      <c r="B283" s="170" t="str">
        <f>IF(M2S_Eligibility_List!$B33&lt;&gt;"",RIGHT(M2S_Eligibility_List!$B33,LEN(M2S_Eligibility_List!$B33)-LEN(nmADwSP)),0)</f>
        <v>AutoCAD Architecture</v>
      </c>
      <c r="C283" s="147">
        <f>IF(M2S_Eligibility_List!C33=DataPaths_Code,1,0)</f>
        <v>1</v>
      </c>
      <c r="D283" s="147">
        <f>IF(M2S_Eligibility_List!D33=DataPaths_Code,1,0)+C283</f>
        <v>2</v>
      </c>
      <c r="E283" s="147">
        <f>IF(M2S_Eligibility_List!E33=DataPaths_Code,1,0)+D283</f>
        <v>2</v>
      </c>
      <c r="F283" s="147">
        <f>IF(M2S_Eligibility_List!F33=DataPaths_Code,1,0)+E283</f>
        <v>2</v>
      </c>
      <c r="G283" s="147">
        <f>IF(M2S_Eligibility_List!G33=DataPaths_Code,1,0)+F283</f>
        <v>2</v>
      </c>
      <c r="H283" s="147">
        <f>IF(M2S_Eligibility_List!H33=DataPaths_Code,1,0)+G283</f>
        <v>2</v>
      </c>
      <c r="I283" s="147">
        <f>IF(M2S_Eligibility_List!I33=DataPaths_Code,1,0)+H283</f>
        <v>2</v>
      </c>
      <c r="J283" s="147">
        <f>IF(M2S_Eligibility_List!J33=DataPaths_Code,1,0)+I283</f>
        <v>2</v>
      </c>
      <c r="K283" s="147">
        <f>IF(M2S_Eligibility_List!K33=DataPaths_Code,1,0)+J283</f>
        <v>2</v>
      </c>
      <c r="L283" s="147">
        <f>IF(M2S_Eligibility_List!L33=DataPaths_Code,1,0)+K283</f>
        <v>2</v>
      </c>
      <c r="M283" s="147">
        <f>IF(M2S_Eligibility_List!M33=DataPaths_Code,1,0)+L283</f>
        <v>3</v>
      </c>
      <c r="N283" s="147">
        <f>IF(M2S_Eligibility_List!N33=DataPaths_Code,1,0)+M283</f>
        <v>3</v>
      </c>
      <c r="O283" s="147">
        <f>IF(M2S_Eligibility_List!O33=DataPaths_Code,1,0)+N283</f>
        <v>3</v>
      </c>
      <c r="P283" s="147">
        <f>IF(M2S_Eligibility_List!P33=DataPaths_Code,1,0)+O283</f>
        <v>3</v>
      </c>
      <c r="Q283" s="147">
        <f>IF(M2S_Eligibility_List!Q33=DataPaths_Code,1,0)+P283</f>
        <v>3</v>
      </c>
      <c r="R283" s="147">
        <f>IF(M2S_Eligibility_List!R33=DataPaths_Code,1,0)+Q283</f>
        <v>3</v>
      </c>
      <c r="S283" s="147">
        <f>IF(M2S_Eligibility_List!S33=DataPaths_Code,1,0)+R283</f>
        <v>3</v>
      </c>
      <c r="T283" s="147">
        <f>IF(M2S_Eligibility_List!T33=DataPaths_Code,1,0)+S283</f>
        <v>3</v>
      </c>
      <c r="U283" s="147">
        <f>IF(M2S_Eligibility_List!U33=DataPaths_Code,1,0)+T283</f>
        <v>3</v>
      </c>
      <c r="V283" s="147">
        <f>IF(M2S_Eligibility_List!V33=DataPaths_Code,1,0)+U283</f>
        <v>3</v>
      </c>
      <c r="W283" s="147">
        <f>IF(M2S_Eligibility_List!W33=DataPaths_Code,1,0)+V283</f>
        <v>3</v>
      </c>
      <c r="X283" s="147">
        <f>IF(M2S_Eligibility_List!X33=DataPaths_Code,1,0)+W283</f>
        <v>3</v>
      </c>
      <c r="Y283" s="147">
        <f>IF(M2S_Eligibility_List!Y33=DataPaths_Code,1,0)+X283</f>
        <v>3</v>
      </c>
      <c r="Z283" s="147">
        <f>IF(M2S_Eligibility_List!Z33=DataPaths_Code,1,0)+Y283</f>
        <v>3</v>
      </c>
      <c r="AA283" s="147">
        <f>IF(M2S_Eligibility_List!AA33=DataPaths_Code,1,0)+Z283</f>
        <v>3</v>
      </c>
      <c r="AB283" s="147">
        <f>IF(M2S_Eligibility_List!AB33=DataPaths_Code,1,0)+AA283</f>
        <v>3</v>
      </c>
      <c r="AC283" s="147">
        <f>IF(M2S_Eligibility_List!AC33=DataPaths_Code,1,0)+AB283</f>
        <v>3</v>
      </c>
      <c r="AD283" s="147">
        <f>IF(M2S_Eligibility_List!AD33=DataPaths_Code,1,0)+AC283</f>
        <v>3</v>
      </c>
      <c r="AE283" s="147">
        <f>IF(M2S_Eligibility_List!AE33=DataPaths_Code,1,0)+AD283</f>
        <v>3</v>
      </c>
      <c r="AF283" s="147">
        <f>IF(M2S_Eligibility_List!AF33=DataPaths_Code,1,0)+AE283</f>
        <v>3</v>
      </c>
      <c r="AG283" s="147">
        <f>IF(M2S_Eligibility_List!AG33=DataPaths_Code,1,0)+AF283</f>
        <v>3</v>
      </c>
      <c r="AH283" s="147">
        <f>IF(M2S_Eligibility_List!AH33=DataPaths_Code,1,0)+AG283</f>
        <v>3</v>
      </c>
      <c r="AI283" s="147">
        <f>IF(M2S_Eligibility_List!AI33=DataPaths_Code,1,0)+AH283</f>
        <v>3</v>
      </c>
      <c r="AJ283" s="147">
        <f>IF(M2S_Eligibility_List!AJ33=DataPaths_Code,1,0)+AI283</f>
        <v>3</v>
      </c>
      <c r="AK283" s="147">
        <f>IF(M2S_Eligibility_List!AK33=DataPaths_Code,1,0)+AJ283</f>
        <v>3</v>
      </c>
      <c r="AL283" s="147">
        <f>IF(M2S_Eligibility_List!AL33=DataPaths_Code,1,0)+AK283</f>
        <v>3</v>
      </c>
      <c r="AM283" s="147">
        <f>IF(M2S_Eligibility_List!AM33=DataPaths_Code,1,0)+AL283</f>
        <v>3</v>
      </c>
      <c r="AN283" s="147">
        <f>IF(M2S_Eligibility_List!AN33=DataPaths_Code,1,0)+AM283</f>
        <v>3</v>
      </c>
      <c r="AO283" s="147">
        <f>IF(M2S_Eligibility_List!AO33=DataPaths_Code,1,0)+AN283</f>
        <v>3</v>
      </c>
      <c r="AP283" s="147">
        <f>IF(M2S_Eligibility_List!AP33=DataPaths_Code,1,0)+AO283</f>
        <v>3</v>
      </c>
      <c r="AQ283" s="147">
        <f>IF(M2S_Eligibility_List!AQ33=DataPaths_Code,1,0)+AP283</f>
        <v>3</v>
      </c>
      <c r="AR283" s="147">
        <f>IF(M2S_Eligibility_List!AR33=DataPaths_Code,1,0)+AQ283</f>
        <v>3</v>
      </c>
      <c r="AS283" s="147">
        <f>IF(M2S_Eligibility_List!AS33=DataPaths_Code,1,0)+AR283</f>
        <v>3</v>
      </c>
      <c r="AT283" s="147">
        <f>IF(M2S_Eligibility_List!AT33=DataPaths_Code,1,0)+AS283</f>
        <v>3</v>
      </c>
      <c r="AU283" s="147">
        <f>IF(M2S_Eligibility_List!AU33=DataPaths_Code,1,0)+AT283</f>
        <v>3</v>
      </c>
      <c r="AV283" s="147">
        <f>IF(M2S_Eligibility_List!AV33=DataPaths_Code,1,0)+AU283</f>
        <v>3</v>
      </c>
      <c r="AW283" s="147">
        <f>IF(M2S_Eligibility_List!AW33=DataPaths_Code,1,0)+AV283</f>
        <v>3</v>
      </c>
      <c r="AX283" s="147">
        <f>IF(M2S_Eligibility_List!AX33=DataPaths_Code,1,0)+AW283</f>
        <v>3</v>
      </c>
      <c r="AY283" s="147">
        <f>IF(M2S_Eligibility_List!AY33=DataPaths_Code,1,0)+AX283</f>
        <v>3</v>
      </c>
      <c r="AZ283" s="147">
        <f>IF(M2S_Eligibility_List!AZ33=DataPaths_Code,1,0)+AY283</f>
        <v>3</v>
      </c>
      <c r="BA283" s="147">
        <f>IF(M2S_Eligibility_List!BA33=DataPaths_Code,1,0)+AZ283</f>
        <v>3</v>
      </c>
      <c r="BB283" s="147">
        <f>IF(M2S_Eligibility_List!BB33=DataPaths_Code,1,0)+BA283</f>
        <v>3</v>
      </c>
      <c r="BC283" s="147">
        <f>IF(M2S_Eligibility_List!BC33=DataPaths_Code,1,0)+BB283</f>
        <v>3</v>
      </c>
      <c r="BD283" s="147">
        <f>IF(M2S_Eligibility_List!BD33=DataPaths_Code,1,0)+BC283</f>
        <v>3</v>
      </c>
      <c r="BE283" s="147">
        <f>IF(M2S_Eligibility_List!BE33=DataPaths_Code,1,0)+BD283</f>
        <v>3</v>
      </c>
      <c r="BF283" s="147">
        <f>IF(M2S_Eligibility_List!BF33=DataPaths_Code,1,0)+BE283</f>
        <v>3</v>
      </c>
      <c r="BG283" s="147">
        <f>IF(M2S_Eligibility_List!BG33=DataPaths_Code,1,0)+BF283</f>
        <v>3</v>
      </c>
      <c r="BH283" s="147">
        <f>IF(M2S_Eligibility_List!BH33=DataPaths_Code,1,0)+BG283</f>
        <v>3</v>
      </c>
      <c r="BI283" s="147">
        <f>IF(M2S_Eligibility_List!BI33=DataPaths_Code,1,0)+BH283</f>
        <v>3</v>
      </c>
      <c r="BJ283" s="147">
        <f>IF(M2S_Eligibility_List!BJ33=DataPaths_Code,1,0)+BI283</f>
        <v>3</v>
      </c>
      <c r="BK283" s="147">
        <f>IF(M2S_Eligibility_List!BK33=DataPaths_Code,1,0)+BJ283</f>
        <v>3</v>
      </c>
      <c r="BL283" s="147">
        <f>IF(M2S_Eligibility_List!BL33=DataPaths_Code,1,0)+BK283</f>
        <v>3</v>
      </c>
      <c r="BM283" s="147">
        <f>IF(M2S_Eligibility_List!BM33=DataPaths_Code,1,0)+BL283</f>
        <v>3</v>
      </c>
      <c r="BN283" s="147">
        <f>IF(M2S_Eligibility_List!BN33=DataPaths_Code,1,0)+BM283</f>
        <v>3</v>
      </c>
      <c r="BO283" s="147">
        <f>IF(M2S_Eligibility_List!BO33=DataPaths_Code,1,0)+BN283</f>
        <v>3</v>
      </c>
      <c r="BP283" s="147">
        <f>IF(M2S_Eligibility_List!BP33=DataPaths_Code,1,0)+BO283</f>
        <v>3</v>
      </c>
      <c r="BQ283" s="147">
        <f>IF(M2S_Eligibility_List!BQ33=DataPaths_Code,1,0)+BP283</f>
        <v>3</v>
      </c>
      <c r="BR283" s="147">
        <f>IF(M2S_Eligibility_List!BR33=DataPaths_Code,1,0)+BQ283</f>
        <v>3</v>
      </c>
      <c r="BS283" s="147">
        <f>IF(M2S_Eligibility_List!BS33=DataPaths_Code,1,0)+BR283</f>
        <v>3</v>
      </c>
      <c r="BT283" s="147">
        <f>IF(M2S_Eligibility_List!BT33=DataPaths_Code,1,0)+BS283</f>
        <v>3</v>
      </c>
      <c r="BU283" s="147">
        <f>IF(M2S_Eligibility_List!BU33=DataPaths_Code,1,0)+BT283</f>
        <v>3</v>
      </c>
      <c r="BV283" s="147">
        <f>IF(M2S_Eligibility_List!BV33=DataPaths_Code,1,0)+BU283</f>
        <v>3</v>
      </c>
      <c r="BW283" s="147">
        <f>IF(M2S_Eligibility_List!BW33=DataPaths_Code,1,0)+BV283</f>
        <v>3</v>
      </c>
    </row>
    <row r="284" spans="1:75" ht="20.100000000000001" customHeight="1">
      <c r="A284" s="145"/>
      <c r="B284" s="170" t="str">
        <f>IF(M2S_Eligibility_List!$B34&lt;&gt;"",RIGHT(M2S_Eligibility_List!$B34,LEN(M2S_Eligibility_List!$B34)-LEN(nmADwSP)),0)</f>
        <v>AutoCAD Civil 3D*</v>
      </c>
      <c r="C284" s="147">
        <f>IF(M2S_Eligibility_List!C34=DataPaths_Code,1,0)</f>
        <v>1</v>
      </c>
      <c r="D284" s="147">
        <f>IF(M2S_Eligibility_List!D34=DataPaths_Code,1,0)+C284</f>
        <v>1</v>
      </c>
      <c r="E284" s="147">
        <f>IF(M2S_Eligibility_List!E34=DataPaths_Code,1,0)+D284</f>
        <v>1</v>
      </c>
      <c r="F284" s="147">
        <f>IF(M2S_Eligibility_List!F34=DataPaths_Code,1,0)+E284</f>
        <v>1</v>
      </c>
      <c r="G284" s="147">
        <f>IF(M2S_Eligibility_List!G34=DataPaths_Code,1,0)+F284</f>
        <v>1</v>
      </c>
      <c r="H284" s="147">
        <f>IF(M2S_Eligibility_List!H34=DataPaths_Code,1,0)+G284</f>
        <v>1</v>
      </c>
      <c r="I284" s="147">
        <f>IF(M2S_Eligibility_List!I34=DataPaths_Code,1,0)+H284</f>
        <v>1</v>
      </c>
      <c r="J284" s="147">
        <f>IF(M2S_Eligibility_List!J34=DataPaths_Code,1,0)+I284</f>
        <v>1</v>
      </c>
      <c r="K284" s="147">
        <f>IF(M2S_Eligibility_List!K34=DataPaths_Code,1,0)+J284</f>
        <v>1</v>
      </c>
      <c r="L284" s="147">
        <f>IF(M2S_Eligibility_List!L34=DataPaths_Code,1,0)+K284</f>
        <v>1</v>
      </c>
      <c r="M284" s="147">
        <f>IF(M2S_Eligibility_List!M34=DataPaths_Code,1,0)+L284</f>
        <v>1</v>
      </c>
      <c r="N284" s="147">
        <f>IF(M2S_Eligibility_List!N34=DataPaths_Code,1,0)+M284</f>
        <v>2</v>
      </c>
      <c r="O284" s="147">
        <f>IF(M2S_Eligibility_List!O34=DataPaths_Code,1,0)+N284</f>
        <v>2</v>
      </c>
      <c r="P284" s="147">
        <f>IF(M2S_Eligibility_List!P34=DataPaths_Code,1,0)+O284</f>
        <v>2</v>
      </c>
      <c r="Q284" s="147">
        <f>IF(M2S_Eligibility_List!Q34=DataPaths_Code,1,0)+P284</f>
        <v>2</v>
      </c>
      <c r="R284" s="147">
        <f>IF(M2S_Eligibility_List!R34=DataPaths_Code,1,0)+Q284</f>
        <v>2</v>
      </c>
      <c r="S284" s="147">
        <f>IF(M2S_Eligibility_List!S34=DataPaths_Code,1,0)+R284</f>
        <v>2</v>
      </c>
      <c r="T284" s="147">
        <f>IF(M2S_Eligibility_List!T34=DataPaths_Code,1,0)+S284</f>
        <v>2</v>
      </c>
      <c r="U284" s="147">
        <f>IF(M2S_Eligibility_List!U34=DataPaths_Code,1,0)+T284</f>
        <v>2</v>
      </c>
      <c r="V284" s="147">
        <f>IF(M2S_Eligibility_List!V34=DataPaths_Code,1,0)+U284</f>
        <v>2</v>
      </c>
      <c r="W284" s="147">
        <f>IF(M2S_Eligibility_List!W34=DataPaths_Code,1,0)+V284</f>
        <v>2</v>
      </c>
      <c r="X284" s="147">
        <f>IF(M2S_Eligibility_List!X34=DataPaths_Code,1,0)+W284</f>
        <v>2</v>
      </c>
      <c r="Y284" s="147">
        <f>IF(M2S_Eligibility_List!Y34=DataPaths_Code,1,0)+X284</f>
        <v>2</v>
      </c>
      <c r="Z284" s="147">
        <f>IF(M2S_Eligibility_List!Z34=DataPaths_Code,1,0)+Y284</f>
        <v>2</v>
      </c>
      <c r="AA284" s="147">
        <f>IF(M2S_Eligibility_List!AA34=DataPaths_Code,1,0)+Z284</f>
        <v>2</v>
      </c>
      <c r="AB284" s="147">
        <f>IF(M2S_Eligibility_List!AB34=DataPaths_Code,1,0)+AA284</f>
        <v>2</v>
      </c>
      <c r="AC284" s="147">
        <f>IF(M2S_Eligibility_List!AC34=DataPaths_Code,1,0)+AB284</f>
        <v>2</v>
      </c>
      <c r="AD284" s="147">
        <f>IF(M2S_Eligibility_List!AD34=DataPaths_Code,1,0)+AC284</f>
        <v>2</v>
      </c>
      <c r="AE284" s="147">
        <f>IF(M2S_Eligibility_List!AE34=DataPaths_Code,1,0)+AD284</f>
        <v>2</v>
      </c>
      <c r="AF284" s="147">
        <f>IF(M2S_Eligibility_List!AF34=DataPaths_Code,1,0)+AE284</f>
        <v>2</v>
      </c>
      <c r="AG284" s="147">
        <f>IF(M2S_Eligibility_List!AG34=DataPaths_Code,1,0)+AF284</f>
        <v>2</v>
      </c>
      <c r="AH284" s="147">
        <f>IF(M2S_Eligibility_List!AH34=DataPaths_Code,1,0)+AG284</f>
        <v>2</v>
      </c>
      <c r="AI284" s="147">
        <f>IF(M2S_Eligibility_List!AI34=DataPaths_Code,1,0)+AH284</f>
        <v>2</v>
      </c>
      <c r="AJ284" s="147">
        <f>IF(M2S_Eligibility_List!AJ34=DataPaths_Code,1,0)+AI284</f>
        <v>2</v>
      </c>
      <c r="AK284" s="147">
        <f>IF(M2S_Eligibility_List!AK34=DataPaths_Code,1,0)+AJ284</f>
        <v>2</v>
      </c>
      <c r="AL284" s="147">
        <f>IF(M2S_Eligibility_List!AL34=DataPaths_Code,1,0)+AK284</f>
        <v>2</v>
      </c>
      <c r="AM284" s="147">
        <f>IF(M2S_Eligibility_List!AM34=DataPaths_Code,1,0)+AL284</f>
        <v>2</v>
      </c>
      <c r="AN284" s="147">
        <f>IF(M2S_Eligibility_List!AN34=DataPaths_Code,1,0)+AM284</f>
        <v>2</v>
      </c>
      <c r="AO284" s="147">
        <f>IF(M2S_Eligibility_List!AO34=DataPaths_Code,1,0)+AN284</f>
        <v>2</v>
      </c>
      <c r="AP284" s="147">
        <f>IF(M2S_Eligibility_List!AP34=DataPaths_Code,1,0)+AO284</f>
        <v>2</v>
      </c>
      <c r="AQ284" s="147">
        <f>IF(M2S_Eligibility_List!AQ34=DataPaths_Code,1,0)+AP284</f>
        <v>2</v>
      </c>
      <c r="AR284" s="147">
        <f>IF(M2S_Eligibility_List!AR34=DataPaths_Code,1,0)+AQ284</f>
        <v>2</v>
      </c>
      <c r="AS284" s="147">
        <f>IF(M2S_Eligibility_List!AS34=DataPaths_Code,1,0)+AR284</f>
        <v>2</v>
      </c>
      <c r="AT284" s="147">
        <f>IF(M2S_Eligibility_List!AT34=DataPaths_Code,1,0)+AS284</f>
        <v>2</v>
      </c>
      <c r="AU284" s="147">
        <f>IF(M2S_Eligibility_List!AU34=DataPaths_Code,1,0)+AT284</f>
        <v>2</v>
      </c>
      <c r="AV284" s="147">
        <f>IF(M2S_Eligibility_List!AV34=DataPaths_Code,1,0)+AU284</f>
        <v>2</v>
      </c>
      <c r="AW284" s="147">
        <f>IF(M2S_Eligibility_List!AW34=DataPaths_Code,1,0)+AV284</f>
        <v>2</v>
      </c>
      <c r="AX284" s="147">
        <f>IF(M2S_Eligibility_List!AX34=DataPaths_Code,1,0)+AW284</f>
        <v>2</v>
      </c>
      <c r="AY284" s="147">
        <f>IF(M2S_Eligibility_List!AY34=DataPaths_Code,1,0)+AX284</f>
        <v>2</v>
      </c>
      <c r="AZ284" s="147">
        <f>IF(M2S_Eligibility_List!AZ34=DataPaths_Code,1,0)+AY284</f>
        <v>2</v>
      </c>
      <c r="BA284" s="147">
        <f>IF(M2S_Eligibility_List!BA34=DataPaths_Code,1,0)+AZ284</f>
        <v>2</v>
      </c>
      <c r="BB284" s="147">
        <f>IF(M2S_Eligibility_List!BB34=DataPaths_Code,1,0)+BA284</f>
        <v>2</v>
      </c>
      <c r="BC284" s="147">
        <f>IF(M2S_Eligibility_List!BC34=DataPaths_Code,1,0)+BB284</f>
        <v>2</v>
      </c>
      <c r="BD284" s="147">
        <f>IF(M2S_Eligibility_List!BD34=DataPaths_Code,1,0)+BC284</f>
        <v>2</v>
      </c>
      <c r="BE284" s="147">
        <f>IF(M2S_Eligibility_List!BE34=DataPaths_Code,1,0)+BD284</f>
        <v>2</v>
      </c>
      <c r="BF284" s="147">
        <f>IF(M2S_Eligibility_List!BF34=DataPaths_Code,1,0)+BE284</f>
        <v>2</v>
      </c>
      <c r="BG284" s="147">
        <f>IF(M2S_Eligibility_List!BG34=DataPaths_Code,1,0)+BF284</f>
        <v>2</v>
      </c>
      <c r="BH284" s="147">
        <f>IF(M2S_Eligibility_List!BH34=DataPaths_Code,1,0)+BG284</f>
        <v>2</v>
      </c>
      <c r="BI284" s="147">
        <f>IF(M2S_Eligibility_List!BI34=DataPaths_Code,1,0)+BH284</f>
        <v>2</v>
      </c>
      <c r="BJ284" s="147">
        <f>IF(M2S_Eligibility_List!BJ34=DataPaths_Code,1,0)+BI284</f>
        <v>2</v>
      </c>
      <c r="BK284" s="147">
        <f>IF(M2S_Eligibility_List!BK34=DataPaths_Code,1,0)+BJ284</f>
        <v>2</v>
      </c>
      <c r="BL284" s="147">
        <f>IF(M2S_Eligibility_List!BL34=DataPaths_Code,1,0)+BK284</f>
        <v>2</v>
      </c>
      <c r="BM284" s="147">
        <f>IF(M2S_Eligibility_List!BM34=DataPaths_Code,1,0)+BL284</f>
        <v>2</v>
      </c>
      <c r="BN284" s="147">
        <f>IF(M2S_Eligibility_List!BN34=DataPaths_Code,1,0)+BM284</f>
        <v>2</v>
      </c>
      <c r="BO284" s="147">
        <f>IF(M2S_Eligibility_List!BO34=DataPaths_Code,1,0)+BN284</f>
        <v>2</v>
      </c>
      <c r="BP284" s="147">
        <f>IF(M2S_Eligibility_List!BP34=DataPaths_Code,1,0)+BO284</f>
        <v>2</v>
      </c>
      <c r="BQ284" s="147">
        <f>IF(M2S_Eligibility_List!BQ34=DataPaths_Code,1,0)+BP284</f>
        <v>2</v>
      </c>
      <c r="BR284" s="147">
        <f>IF(M2S_Eligibility_List!BR34=DataPaths_Code,1,0)+BQ284</f>
        <v>2</v>
      </c>
      <c r="BS284" s="147">
        <f>IF(M2S_Eligibility_List!BS34=DataPaths_Code,1,0)+BR284</f>
        <v>2</v>
      </c>
      <c r="BT284" s="147">
        <f>IF(M2S_Eligibility_List!BT34=DataPaths_Code,1,0)+BS284</f>
        <v>2</v>
      </c>
      <c r="BU284" s="147">
        <f>IF(M2S_Eligibility_List!BU34=DataPaths_Code,1,0)+BT284</f>
        <v>2</v>
      </c>
      <c r="BV284" s="147">
        <f>IF(M2S_Eligibility_List!BV34=DataPaths_Code,1,0)+BU284</f>
        <v>2</v>
      </c>
      <c r="BW284" s="147">
        <f>IF(M2S_Eligibility_List!BW34=DataPaths_Code,1,0)+BV284</f>
        <v>2</v>
      </c>
    </row>
    <row r="285" spans="1:75" ht="20.100000000000001" customHeight="1">
      <c r="A285" s="145"/>
      <c r="B285" s="170" t="str">
        <f>IF(M2S_Eligibility_List!$B35&lt;&gt;"",RIGHT(M2S_Eligibility_List!$B35,LEN(M2S_Eligibility_List!$B35)-LEN(nmADwSP)),0)</f>
        <v>AutoCAD Design Suite Premium</v>
      </c>
      <c r="C285" s="147">
        <f>IF(M2S_Eligibility_List!C35=DataPaths_Code,1,0)</f>
        <v>1</v>
      </c>
      <c r="D285" s="147">
        <f>IF(M2S_Eligibility_List!D35=DataPaths_Code,1,0)+C285</f>
        <v>2</v>
      </c>
      <c r="E285" s="147">
        <f>IF(M2S_Eligibility_List!E35=DataPaths_Code,1,0)+D285</f>
        <v>2</v>
      </c>
      <c r="F285" s="147">
        <f>IF(M2S_Eligibility_List!F35=DataPaths_Code,1,0)+E285</f>
        <v>2</v>
      </c>
      <c r="G285" s="147">
        <f>IF(M2S_Eligibility_List!G35=DataPaths_Code,1,0)+F285</f>
        <v>2</v>
      </c>
      <c r="H285" s="147">
        <f>IF(M2S_Eligibility_List!H35=DataPaths_Code,1,0)+G285</f>
        <v>2</v>
      </c>
      <c r="I285" s="147">
        <f>IF(M2S_Eligibility_List!I35=DataPaths_Code,1,0)+H285</f>
        <v>2</v>
      </c>
      <c r="J285" s="147">
        <f>IF(M2S_Eligibility_List!J35=DataPaths_Code,1,0)+I285</f>
        <v>2</v>
      </c>
      <c r="K285" s="147">
        <f>IF(M2S_Eligibility_List!K35=DataPaths_Code,1,0)+J285</f>
        <v>2</v>
      </c>
      <c r="L285" s="147">
        <f>IF(M2S_Eligibility_List!L35=DataPaths_Code,1,0)+K285</f>
        <v>2</v>
      </c>
      <c r="M285" s="147">
        <f>IF(M2S_Eligibility_List!M35=DataPaths_Code,1,0)+L285</f>
        <v>2</v>
      </c>
      <c r="N285" s="147">
        <f>IF(M2S_Eligibility_List!N35=DataPaths_Code,1,0)+M285</f>
        <v>2</v>
      </c>
      <c r="O285" s="147">
        <f>IF(M2S_Eligibility_List!O35=DataPaths_Code,1,0)+N285</f>
        <v>2</v>
      </c>
      <c r="P285" s="147">
        <f>IF(M2S_Eligibility_List!P35=DataPaths_Code,1,0)+O285</f>
        <v>2</v>
      </c>
      <c r="Q285" s="147">
        <f>IF(M2S_Eligibility_List!Q35=DataPaths_Code,1,0)+P285</f>
        <v>2</v>
      </c>
      <c r="R285" s="147">
        <f>IF(M2S_Eligibility_List!R35=DataPaths_Code,1,0)+Q285</f>
        <v>2</v>
      </c>
      <c r="S285" s="147">
        <f>IF(M2S_Eligibility_List!S35=DataPaths_Code,1,0)+R285</f>
        <v>2</v>
      </c>
      <c r="T285" s="147">
        <f>IF(M2S_Eligibility_List!T35=DataPaths_Code,1,0)+S285</f>
        <v>2</v>
      </c>
      <c r="U285" s="147">
        <f>IF(M2S_Eligibility_List!U35=DataPaths_Code,1,0)+T285</f>
        <v>2</v>
      </c>
      <c r="V285" s="147">
        <f>IF(M2S_Eligibility_List!V35=DataPaths_Code,1,0)+U285</f>
        <v>2</v>
      </c>
      <c r="W285" s="147">
        <f>IF(M2S_Eligibility_List!W35=DataPaths_Code,1,0)+V285</f>
        <v>2</v>
      </c>
      <c r="X285" s="147">
        <f>IF(M2S_Eligibility_List!X35=DataPaths_Code,1,0)+W285</f>
        <v>2</v>
      </c>
      <c r="Y285" s="147">
        <f>IF(M2S_Eligibility_List!Y35=DataPaths_Code,1,0)+X285</f>
        <v>2</v>
      </c>
      <c r="Z285" s="147">
        <f>IF(M2S_Eligibility_List!Z35=DataPaths_Code,1,0)+Y285</f>
        <v>2</v>
      </c>
      <c r="AA285" s="147">
        <f>IF(M2S_Eligibility_List!AA35=DataPaths_Code,1,0)+Z285</f>
        <v>2</v>
      </c>
      <c r="AB285" s="147">
        <f>IF(M2S_Eligibility_List!AB35=DataPaths_Code,1,0)+AA285</f>
        <v>2</v>
      </c>
      <c r="AC285" s="147">
        <f>IF(M2S_Eligibility_List!AC35=DataPaths_Code,1,0)+AB285</f>
        <v>2</v>
      </c>
      <c r="AD285" s="147">
        <f>IF(M2S_Eligibility_List!AD35=DataPaths_Code,1,0)+AC285</f>
        <v>2</v>
      </c>
      <c r="AE285" s="147">
        <f>IF(M2S_Eligibility_List!AE35=DataPaths_Code,1,0)+AD285</f>
        <v>2</v>
      </c>
      <c r="AF285" s="147">
        <f>IF(M2S_Eligibility_List!AF35=DataPaths_Code,1,0)+AE285</f>
        <v>2</v>
      </c>
      <c r="AG285" s="147">
        <f>IF(M2S_Eligibility_List!AG35=DataPaths_Code,1,0)+AF285</f>
        <v>2</v>
      </c>
      <c r="AH285" s="147">
        <f>IF(M2S_Eligibility_List!AH35=DataPaths_Code,1,0)+AG285</f>
        <v>2</v>
      </c>
      <c r="AI285" s="147">
        <f>IF(M2S_Eligibility_List!AI35=DataPaths_Code,1,0)+AH285</f>
        <v>2</v>
      </c>
      <c r="AJ285" s="147">
        <f>IF(M2S_Eligibility_List!AJ35=DataPaths_Code,1,0)+AI285</f>
        <v>2</v>
      </c>
      <c r="AK285" s="147">
        <f>IF(M2S_Eligibility_List!AK35=DataPaths_Code,1,0)+AJ285</f>
        <v>2</v>
      </c>
      <c r="AL285" s="147">
        <f>IF(M2S_Eligibility_List!AL35=DataPaths_Code,1,0)+AK285</f>
        <v>2</v>
      </c>
      <c r="AM285" s="147">
        <f>IF(M2S_Eligibility_List!AM35=DataPaths_Code,1,0)+AL285</f>
        <v>2</v>
      </c>
      <c r="AN285" s="147">
        <f>IF(M2S_Eligibility_List!AN35=DataPaths_Code,1,0)+AM285</f>
        <v>2</v>
      </c>
      <c r="AO285" s="147">
        <f>IF(M2S_Eligibility_List!AO35=DataPaths_Code,1,0)+AN285</f>
        <v>2</v>
      </c>
      <c r="AP285" s="147">
        <f>IF(M2S_Eligibility_List!AP35=DataPaths_Code,1,0)+AO285</f>
        <v>2</v>
      </c>
      <c r="AQ285" s="147">
        <f>IF(M2S_Eligibility_List!AQ35=DataPaths_Code,1,0)+AP285</f>
        <v>2</v>
      </c>
      <c r="AR285" s="147">
        <f>IF(M2S_Eligibility_List!AR35=DataPaths_Code,1,0)+AQ285</f>
        <v>2</v>
      </c>
      <c r="AS285" s="147">
        <f>IF(M2S_Eligibility_List!AS35=DataPaths_Code,1,0)+AR285</f>
        <v>2</v>
      </c>
      <c r="AT285" s="147">
        <f>IF(M2S_Eligibility_List!AT35=DataPaths_Code,1,0)+AS285</f>
        <v>2</v>
      </c>
      <c r="AU285" s="147">
        <f>IF(M2S_Eligibility_List!AU35=DataPaths_Code,1,0)+AT285</f>
        <v>2</v>
      </c>
      <c r="AV285" s="147">
        <f>IF(M2S_Eligibility_List!AV35=DataPaths_Code,1,0)+AU285</f>
        <v>2</v>
      </c>
      <c r="AW285" s="147">
        <f>IF(M2S_Eligibility_List!AW35=DataPaths_Code,1,0)+AV285</f>
        <v>2</v>
      </c>
      <c r="AX285" s="147">
        <f>IF(M2S_Eligibility_List!AX35=DataPaths_Code,1,0)+AW285</f>
        <v>2</v>
      </c>
      <c r="AY285" s="147">
        <f>IF(M2S_Eligibility_List!AY35=DataPaths_Code,1,0)+AX285</f>
        <v>2</v>
      </c>
      <c r="AZ285" s="147">
        <f>IF(M2S_Eligibility_List!AZ35=DataPaths_Code,1,0)+AY285</f>
        <v>2</v>
      </c>
      <c r="BA285" s="147">
        <f>IF(M2S_Eligibility_List!BA35=DataPaths_Code,1,0)+AZ285</f>
        <v>2</v>
      </c>
      <c r="BB285" s="147">
        <f>IF(M2S_Eligibility_List!BB35=DataPaths_Code,1,0)+BA285</f>
        <v>2</v>
      </c>
      <c r="BC285" s="147">
        <f>IF(M2S_Eligibility_List!BC35=DataPaths_Code,1,0)+BB285</f>
        <v>2</v>
      </c>
      <c r="BD285" s="147">
        <f>IF(M2S_Eligibility_List!BD35=DataPaths_Code,1,0)+BC285</f>
        <v>2</v>
      </c>
      <c r="BE285" s="147">
        <f>IF(M2S_Eligibility_List!BE35=DataPaths_Code,1,0)+BD285</f>
        <v>2</v>
      </c>
      <c r="BF285" s="147">
        <f>IF(M2S_Eligibility_List!BF35=DataPaths_Code,1,0)+BE285</f>
        <v>2</v>
      </c>
      <c r="BG285" s="147">
        <f>IF(M2S_Eligibility_List!BG35=DataPaths_Code,1,0)+BF285</f>
        <v>2</v>
      </c>
      <c r="BH285" s="147">
        <f>IF(M2S_Eligibility_List!BH35=DataPaths_Code,1,0)+BG285</f>
        <v>2</v>
      </c>
      <c r="BI285" s="147">
        <f>IF(M2S_Eligibility_List!BI35=DataPaths_Code,1,0)+BH285</f>
        <v>2</v>
      </c>
      <c r="BJ285" s="147">
        <f>IF(M2S_Eligibility_List!BJ35=DataPaths_Code,1,0)+BI285</f>
        <v>2</v>
      </c>
      <c r="BK285" s="147">
        <f>IF(M2S_Eligibility_List!BK35=DataPaths_Code,1,0)+BJ285</f>
        <v>2</v>
      </c>
      <c r="BL285" s="147">
        <f>IF(M2S_Eligibility_List!BL35=DataPaths_Code,1,0)+BK285</f>
        <v>2</v>
      </c>
      <c r="BM285" s="147">
        <f>IF(M2S_Eligibility_List!BM35=DataPaths_Code,1,0)+BL285</f>
        <v>2</v>
      </c>
      <c r="BN285" s="147">
        <f>IF(M2S_Eligibility_List!BN35=DataPaths_Code,1,0)+BM285</f>
        <v>2</v>
      </c>
      <c r="BO285" s="147">
        <f>IF(M2S_Eligibility_List!BO35=DataPaths_Code,1,0)+BN285</f>
        <v>2</v>
      </c>
      <c r="BP285" s="147">
        <f>IF(M2S_Eligibility_List!BP35=DataPaths_Code,1,0)+BO285</f>
        <v>2</v>
      </c>
      <c r="BQ285" s="147">
        <f>IF(M2S_Eligibility_List!BQ35=DataPaths_Code,1,0)+BP285</f>
        <v>2</v>
      </c>
      <c r="BR285" s="147">
        <f>IF(M2S_Eligibility_List!BR35=DataPaths_Code,1,0)+BQ285</f>
        <v>2</v>
      </c>
      <c r="BS285" s="147">
        <f>IF(M2S_Eligibility_List!BS35=DataPaths_Code,1,0)+BR285</f>
        <v>2</v>
      </c>
      <c r="BT285" s="147">
        <f>IF(M2S_Eligibility_List!BT35=DataPaths_Code,1,0)+BS285</f>
        <v>2</v>
      </c>
      <c r="BU285" s="147">
        <f>IF(M2S_Eligibility_List!BU35=DataPaths_Code,1,0)+BT285</f>
        <v>2</v>
      </c>
      <c r="BV285" s="147">
        <f>IF(M2S_Eligibility_List!BV35=DataPaths_Code,1,0)+BU285</f>
        <v>2</v>
      </c>
      <c r="BW285" s="147">
        <f>IF(M2S_Eligibility_List!BW35=DataPaths_Code,1,0)+BV285</f>
        <v>2</v>
      </c>
    </row>
    <row r="286" spans="1:75" ht="20.100000000000001" customHeight="1">
      <c r="A286" s="145"/>
      <c r="B286" s="170" t="str">
        <f>IF(M2S_Eligibility_List!$B36&lt;&gt;"",RIGHT(M2S_Eligibility_List!$B36,LEN(M2S_Eligibility_List!$B36)-LEN(nmADwSP)),0)</f>
        <v>AutoCAD Design Suite Standard</v>
      </c>
      <c r="C286" s="147">
        <f>IF(M2S_Eligibility_List!C36=DataPaths_Code,1,0)</f>
        <v>1</v>
      </c>
      <c r="D286" s="147">
        <f>IF(M2S_Eligibility_List!D36=DataPaths_Code,1,0)+C286</f>
        <v>2</v>
      </c>
      <c r="E286" s="147">
        <f>IF(M2S_Eligibility_List!E36=DataPaths_Code,1,0)+D286</f>
        <v>2</v>
      </c>
      <c r="F286" s="147">
        <f>IF(M2S_Eligibility_List!F36=DataPaths_Code,1,0)+E286</f>
        <v>2</v>
      </c>
      <c r="G286" s="147">
        <f>IF(M2S_Eligibility_List!G36=DataPaths_Code,1,0)+F286</f>
        <v>2</v>
      </c>
      <c r="H286" s="147">
        <f>IF(M2S_Eligibility_List!H36=DataPaths_Code,1,0)+G286</f>
        <v>2</v>
      </c>
      <c r="I286" s="147">
        <f>IF(M2S_Eligibility_List!I36=DataPaths_Code,1,0)+H286</f>
        <v>2</v>
      </c>
      <c r="J286" s="147">
        <f>IF(M2S_Eligibility_List!J36=DataPaths_Code,1,0)+I286</f>
        <v>2</v>
      </c>
      <c r="K286" s="147">
        <f>IF(M2S_Eligibility_List!K36=DataPaths_Code,1,0)+J286</f>
        <v>2</v>
      </c>
      <c r="L286" s="147">
        <f>IF(M2S_Eligibility_List!L36=DataPaths_Code,1,0)+K286</f>
        <v>2</v>
      </c>
      <c r="M286" s="147">
        <f>IF(M2S_Eligibility_List!M36=DataPaths_Code,1,0)+L286</f>
        <v>3</v>
      </c>
      <c r="N286" s="147">
        <f>IF(M2S_Eligibility_List!N36=DataPaths_Code,1,0)+M286</f>
        <v>3</v>
      </c>
      <c r="O286" s="147">
        <f>IF(M2S_Eligibility_List!O36=DataPaths_Code,1,0)+N286</f>
        <v>3</v>
      </c>
      <c r="P286" s="147">
        <f>IF(M2S_Eligibility_List!P36=DataPaths_Code,1,0)+O286</f>
        <v>3</v>
      </c>
      <c r="Q286" s="147">
        <f>IF(M2S_Eligibility_List!Q36=DataPaths_Code,1,0)+P286</f>
        <v>3</v>
      </c>
      <c r="R286" s="147">
        <f>IF(M2S_Eligibility_List!R36=DataPaths_Code,1,0)+Q286</f>
        <v>3</v>
      </c>
      <c r="S286" s="147">
        <f>IF(M2S_Eligibility_List!S36=DataPaths_Code,1,0)+R286</f>
        <v>3</v>
      </c>
      <c r="T286" s="147">
        <f>IF(M2S_Eligibility_List!T36=DataPaths_Code,1,0)+S286</f>
        <v>3</v>
      </c>
      <c r="U286" s="147">
        <f>IF(M2S_Eligibility_List!U36=DataPaths_Code,1,0)+T286</f>
        <v>3</v>
      </c>
      <c r="V286" s="147">
        <f>IF(M2S_Eligibility_List!V36=DataPaths_Code,1,0)+U286</f>
        <v>3</v>
      </c>
      <c r="W286" s="147">
        <f>IF(M2S_Eligibility_List!W36=DataPaths_Code,1,0)+V286</f>
        <v>3</v>
      </c>
      <c r="X286" s="147">
        <f>IF(M2S_Eligibility_List!X36=DataPaths_Code,1,0)+W286</f>
        <v>3</v>
      </c>
      <c r="Y286" s="147">
        <f>IF(M2S_Eligibility_List!Y36=DataPaths_Code,1,0)+X286</f>
        <v>3</v>
      </c>
      <c r="Z286" s="147">
        <f>IF(M2S_Eligibility_List!Z36=DataPaths_Code,1,0)+Y286</f>
        <v>3</v>
      </c>
      <c r="AA286" s="147">
        <f>IF(M2S_Eligibility_List!AA36=DataPaths_Code,1,0)+Z286</f>
        <v>3</v>
      </c>
      <c r="AB286" s="147">
        <f>IF(M2S_Eligibility_List!AB36=DataPaths_Code,1,0)+AA286</f>
        <v>3</v>
      </c>
      <c r="AC286" s="147">
        <f>IF(M2S_Eligibility_List!AC36=DataPaths_Code,1,0)+AB286</f>
        <v>3</v>
      </c>
      <c r="AD286" s="147">
        <f>IF(M2S_Eligibility_List!AD36=DataPaths_Code,1,0)+AC286</f>
        <v>3</v>
      </c>
      <c r="AE286" s="147">
        <f>IF(M2S_Eligibility_List!AE36=DataPaths_Code,1,0)+AD286</f>
        <v>3</v>
      </c>
      <c r="AF286" s="147">
        <f>IF(M2S_Eligibility_List!AF36=DataPaths_Code,1,0)+AE286</f>
        <v>3</v>
      </c>
      <c r="AG286" s="147">
        <f>IF(M2S_Eligibility_List!AG36=DataPaths_Code,1,0)+AF286</f>
        <v>3</v>
      </c>
      <c r="AH286" s="147">
        <f>IF(M2S_Eligibility_List!AH36=DataPaths_Code,1,0)+AG286</f>
        <v>3</v>
      </c>
      <c r="AI286" s="147">
        <f>IF(M2S_Eligibility_List!AI36=DataPaths_Code,1,0)+AH286</f>
        <v>3</v>
      </c>
      <c r="AJ286" s="147">
        <f>IF(M2S_Eligibility_List!AJ36=DataPaths_Code,1,0)+AI286</f>
        <v>3</v>
      </c>
      <c r="AK286" s="147">
        <f>IF(M2S_Eligibility_List!AK36=DataPaths_Code,1,0)+AJ286</f>
        <v>3</v>
      </c>
      <c r="AL286" s="147">
        <f>IF(M2S_Eligibility_List!AL36=DataPaths_Code,1,0)+AK286</f>
        <v>3</v>
      </c>
      <c r="AM286" s="147">
        <f>IF(M2S_Eligibility_List!AM36=DataPaths_Code,1,0)+AL286</f>
        <v>3</v>
      </c>
      <c r="AN286" s="147">
        <f>IF(M2S_Eligibility_List!AN36=DataPaths_Code,1,0)+AM286</f>
        <v>3</v>
      </c>
      <c r="AO286" s="147">
        <f>IF(M2S_Eligibility_List!AO36=DataPaths_Code,1,0)+AN286</f>
        <v>3</v>
      </c>
      <c r="AP286" s="147">
        <f>IF(M2S_Eligibility_List!AP36=DataPaths_Code,1,0)+AO286</f>
        <v>3</v>
      </c>
      <c r="AQ286" s="147">
        <f>IF(M2S_Eligibility_List!AQ36=DataPaths_Code,1,0)+AP286</f>
        <v>3</v>
      </c>
      <c r="AR286" s="147">
        <f>IF(M2S_Eligibility_List!AR36=DataPaths_Code,1,0)+AQ286</f>
        <v>3</v>
      </c>
      <c r="AS286" s="147">
        <f>IF(M2S_Eligibility_List!AS36=DataPaths_Code,1,0)+AR286</f>
        <v>3</v>
      </c>
      <c r="AT286" s="147">
        <f>IF(M2S_Eligibility_List!AT36=DataPaths_Code,1,0)+AS286</f>
        <v>3</v>
      </c>
      <c r="AU286" s="147">
        <f>IF(M2S_Eligibility_List!AU36=DataPaths_Code,1,0)+AT286</f>
        <v>3</v>
      </c>
      <c r="AV286" s="147">
        <f>IF(M2S_Eligibility_List!AV36=DataPaths_Code,1,0)+AU286</f>
        <v>3</v>
      </c>
      <c r="AW286" s="147">
        <f>IF(M2S_Eligibility_List!AW36=DataPaths_Code,1,0)+AV286</f>
        <v>3</v>
      </c>
      <c r="AX286" s="147">
        <f>IF(M2S_Eligibility_List!AX36=DataPaths_Code,1,0)+AW286</f>
        <v>3</v>
      </c>
      <c r="AY286" s="147">
        <f>IF(M2S_Eligibility_List!AY36=DataPaths_Code,1,0)+AX286</f>
        <v>3</v>
      </c>
      <c r="AZ286" s="147">
        <f>IF(M2S_Eligibility_List!AZ36=DataPaths_Code,1,0)+AY286</f>
        <v>3</v>
      </c>
      <c r="BA286" s="147">
        <f>IF(M2S_Eligibility_List!BA36=DataPaths_Code,1,0)+AZ286</f>
        <v>3</v>
      </c>
      <c r="BB286" s="147">
        <f>IF(M2S_Eligibility_List!BB36=DataPaths_Code,1,0)+BA286</f>
        <v>3</v>
      </c>
      <c r="BC286" s="147">
        <f>IF(M2S_Eligibility_List!BC36=DataPaths_Code,1,0)+BB286</f>
        <v>3</v>
      </c>
      <c r="BD286" s="147">
        <f>IF(M2S_Eligibility_List!BD36=DataPaths_Code,1,0)+BC286</f>
        <v>3</v>
      </c>
      <c r="BE286" s="147">
        <f>IF(M2S_Eligibility_List!BE36=DataPaths_Code,1,0)+BD286</f>
        <v>3</v>
      </c>
      <c r="BF286" s="147">
        <f>IF(M2S_Eligibility_List!BF36=DataPaths_Code,1,0)+BE286</f>
        <v>3</v>
      </c>
      <c r="BG286" s="147">
        <f>IF(M2S_Eligibility_List!BG36=DataPaths_Code,1,0)+BF286</f>
        <v>3</v>
      </c>
      <c r="BH286" s="147">
        <f>IF(M2S_Eligibility_List!BH36=DataPaths_Code,1,0)+BG286</f>
        <v>3</v>
      </c>
      <c r="BI286" s="147">
        <f>IF(M2S_Eligibility_List!BI36=DataPaths_Code,1,0)+BH286</f>
        <v>3</v>
      </c>
      <c r="BJ286" s="147">
        <f>IF(M2S_Eligibility_List!BJ36=DataPaths_Code,1,0)+BI286</f>
        <v>3</v>
      </c>
      <c r="BK286" s="147">
        <f>IF(M2S_Eligibility_List!BK36=DataPaths_Code,1,0)+BJ286</f>
        <v>3</v>
      </c>
      <c r="BL286" s="147">
        <f>IF(M2S_Eligibility_List!BL36=DataPaths_Code,1,0)+BK286</f>
        <v>3</v>
      </c>
      <c r="BM286" s="147">
        <f>IF(M2S_Eligibility_List!BM36=DataPaths_Code,1,0)+BL286</f>
        <v>3</v>
      </c>
      <c r="BN286" s="147">
        <f>IF(M2S_Eligibility_List!BN36=DataPaths_Code,1,0)+BM286</f>
        <v>3</v>
      </c>
      <c r="BO286" s="147">
        <f>IF(M2S_Eligibility_List!BO36=DataPaths_Code,1,0)+BN286</f>
        <v>3</v>
      </c>
      <c r="BP286" s="147">
        <f>IF(M2S_Eligibility_List!BP36=DataPaths_Code,1,0)+BO286</f>
        <v>3</v>
      </c>
      <c r="BQ286" s="147">
        <f>IF(M2S_Eligibility_List!BQ36=DataPaths_Code,1,0)+BP286</f>
        <v>3</v>
      </c>
      <c r="BR286" s="147">
        <f>IF(M2S_Eligibility_List!BR36=DataPaths_Code,1,0)+BQ286</f>
        <v>3</v>
      </c>
      <c r="BS286" s="147">
        <f>IF(M2S_Eligibility_List!BS36=DataPaths_Code,1,0)+BR286</f>
        <v>3</v>
      </c>
      <c r="BT286" s="147">
        <f>IF(M2S_Eligibility_List!BT36=DataPaths_Code,1,0)+BS286</f>
        <v>3</v>
      </c>
      <c r="BU286" s="147">
        <f>IF(M2S_Eligibility_List!BU36=DataPaths_Code,1,0)+BT286</f>
        <v>3</v>
      </c>
      <c r="BV286" s="147">
        <f>IF(M2S_Eligibility_List!BV36=DataPaths_Code,1,0)+BU286</f>
        <v>3</v>
      </c>
      <c r="BW286" s="147">
        <f>IF(M2S_Eligibility_List!BW36=DataPaths_Code,1,0)+BV286</f>
        <v>3</v>
      </c>
    </row>
    <row r="287" spans="1:75" ht="20.100000000000001" customHeight="1">
      <c r="A287" s="145"/>
      <c r="B287" s="170" t="str">
        <f>IF(M2S_Eligibility_List!$B37&lt;&gt;"",RIGHT(M2S_Eligibility_List!$B37,LEN(M2S_Eligibility_List!$B37)-LEN(nmADwSP)),0)</f>
        <v>AutoCAD Design Suite Ultimate</v>
      </c>
      <c r="C287" s="147">
        <f>IF(M2S_Eligibility_List!C37=DataPaths_Code,1,0)</f>
        <v>1</v>
      </c>
      <c r="D287" s="147">
        <f>IF(M2S_Eligibility_List!D37=DataPaths_Code,1,0)+C287</f>
        <v>2</v>
      </c>
      <c r="E287" s="147">
        <f>IF(M2S_Eligibility_List!E37=DataPaths_Code,1,0)+D287</f>
        <v>2</v>
      </c>
      <c r="F287" s="147">
        <f>IF(M2S_Eligibility_List!F37=DataPaths_Code,1,0)+E287</f>
        <v>2</v>
      </c>
      <c r="G287" s="147">
        <f>IF(M2S_Eligibility_List!G37=DataPaths_Code,1,0)+F287</f>
        <v>2</v>
      </c>
      <c r="H287" s="147">
        <f>IF(M2S_Eligibility_List!H37=DataPaths_Code,1,0)+G287</f>
        <v>2</v>
      </c>
      <c r="I287" s="147">
        <f>IF(M2S_Eligibility_List!I37=DataPaths_Code,1,0)+H287</f>
        <v>2</v>
      </c>
      <c r="J287" s="147">
        <f>IF(M2S_Eligibility_List!J37=DataPaths_Code,1,0)+I287</f>
        <v>2</v>
      </c>
      <c r="K287" s="147">
        <f>IF(M2S_Eligibility_List!K37=DataPaths_Code,1,0)+J287</f>
        <v>2</v>
      </c>
      <c r="L287" s="147">
        <f>IF(M2S_Eligibility_List!L37=DataPaths_Code,1,0)+K287</f>
        <v>2</v>
      </c>
      <c r="M287" s="147">
        <f>IF(M2S_Eligibility_List!M37=DataPaths_Code,1,0)+L287</f>
        <v>2</v>
      </c>
      <c r="N287" s="147">
        <f>IF(M2S_Eligibility_List!N37=DataPaths_Code,1,0)+M287</f>
        <v>2</v>
      </c>
      <c r="O287" s="147">
        <f>IF(M2S_Eligibility_List!O37=DataPaths_Code,1,0)+N287</f>
        <v>2</v>
      </c>
      <c r="P287" s="147">
        <f>IF(M2S_Eligibility_List!P37=DataPaths_Code,1,0)+O287</f>
        <v>2</v>
      </c>
      <c r="Q287" s="147">
        <f>IF(M2S_Eligibility_List!Q37=DataPaths_Code,1,0)+P287</f>
        <v>2</v>
      </c>
      <c r="R287" s="147">
        <f>IF(M2S_Eligibility_List!R37=DataPaths_Code,1,0)+Q287</f>
        <v>2</v>
      </c>
      <c r="S287" s="147">
        <f>IF(M2S_Eligibility_List!S37=DataPaths_Code,1,0)+R287</f>
        <v>2</v>
      </c>
      <c r="T287" s="147">
        <f>IF(M2S_Eligibility_List!T37=DataPaths_Code,1,0)+S287</f>
        <v>2</v>
      </c>
      <c r="U287" s="147">
        <f>IF(M2S_Eligibility_List!U37=DataPaths_Code,1,0)+T287</f>
        <v>2</v>
      </c>
      <c r="V287" s="147">
        <f>IF(M2S_Eligibility_List!V37=DataPaths_Code,1,0)+U287</f>
        <v>2</v>
      </c>
      <c r="W287" s="147">
        <f>IF(M2S_Eligibility_List!W37=DataPaths_Code,1,0)+V287</f>
        <v>2</v>
      </c>
      <c r="X287" s="147">
        <f>IF(M2S_Eligibility_List!X37=DataPaths_Code,1,0)+W287</f>
        <v>2</v>
      </c>
      <c r="Y287" s="147">
        <f>IF(M2S_Eligibility_List!Y37=DataPaths_Code,1,0)+X287</f>
        <v>2</v>
      </c>
      <c r="Z287" s="147">
        <f>IF(M2S_Eligibility_List!Z37=DataPaths_Code,1,0)+Y287</f>
        <v>2</v>
      </c>
      <c r="AA287" s="147">
        <f>IF(M2S_Eligibility_List!AA37=DataPaths_Code,1,0)+Z287</f>
        <v>2</v>
      </c>
      <c r="AB287" s="147">
        <f>IF(M2S_Eligibility_List!AB37=DataPaths_Code,1,0)+AA287</f>
        <v>2</v>
      </c>
      <c r="AC287" s="147">
        <f>IF(M2S_Eligibility_List!AC37=DataPaths_Code,1,0)+AB287</f>
        <v>2</v>
      </c>
      <c r="AD287" s="147">
        <f>IF(M2S_Eligibility_List!AD37=DataPaths_Code,1,0)+AC287</f>
        <v>2</v>
      </c>
      <c r="AE287" s="147">
        <f>IF(M2S_Eligibility_List!AE37=DataPaths_Code,1,0)+AD287</f>
        <v>2</v>
      </c>
      <c r="AF287" s="147">
        <f>IF(M2S_Eligibility_List!AF37=DataPaths_Code,1,0)+AE287</f>
        <v>2</v>
      </c>
      <c r="AG287" s="147">
        <f>IF(M2S_Eligibility_List!AG37=DataPaths_Code,1,0)+AF287</f>
        <v>2</v>
      </c>
      <c r="AH287" s="147">
        <f>IF(M2S_Eligibility_List!AH37=DataPaths_Code,1,0)+AG287</f>
        <v>2</v>
      </c>
      <c r="AI287" s="147">
        <f>IF(M2S_Eligibility_List!AI37=DataPaths_Code,1,0)+AH287</f>
        <v>2</v>
      </c>
      <c r="AJ287" s="147">
        <f>IF(M2S_Eligibility_List!AJ37=DataPaths_Code,1,0)+AI287</f>
        <v>2</v>
      </c>
      <c r="AK287" s="147">
        <f>IF(M2S_Eligibility_List!AK37=DataPaths_Code,1,0)+AJ287</f>
        <v>2</v>
      </c>
      <c r="AL287" s="147">
        <f>IF(M2S_Eligibility_List!AL37=DataPaths_Code,1,0)+AK287</f>
        <v>2</v>
      </c>
      <c r="AM287" s="147">
        <f>IF(M2S_Eligibility_List!AM37=DataPaths_Code,1,0)+AL287</f>
        <v>2</v>
      </c>
      <c r="AN287" s="147">
        <f>IF(M2S_Eligibility_List!AN37=DataPaths_Code,1,0)+AM287</f>
        <v>2</v>
      </c>
      <c r="AO287" s="147">
        <f>IF(M2S_Eligibility_List!AO37=DataPaths_Code,1,0)+AN287</f>
        <v>2</v>
      </c>
      <c r="AP287" s="147">
        <f>IF(M2S_Eligibility_List!AP37=DataPaths_Code,1,0)+AO287</f>
        <v>2</v>
      </c>
      <c r="AQ287" s="147">
        <f>IF(M2S_Eligibility_List!AQ37=DataPaths_Code,1,0)+AP287</f>
        <v>2</v>
      </c>
      <c r="AR287" s="147">
        <f>IF(M2S_Eligibility_List!AR37=DataPaths_Code,1,0)+AQ287</f>
        <v>2</v>
      </c>
      <c r="AS287" s="147">
        <f>IF(M2S_Eligibility_List!AS37=DataPaths_Code,1,0)+AR287</f>
        <v>2</v>
      </c>
      <c r="AT287" s="147">
        <f>IF(M2S_Eligibility_List!AT37=DataPaths_Code,1,0)+AS287</f>
        <v>2</v>
      </c>
      <c r="AU287" s="147">
        <f>IF(M2S_Eligibility_List!AU37=DataPaths_Code,1,0)+AT287</f>
        <v>2</v>
      </c>
      <c r="AV287" s="147">
        <f>IF(M2S_Eligibility_List!AV37=DataPaths_Code,1,0)+AU287</f>
        <v>2</v>
      </c>
      <c r="AW287" s="147">
        <f>IF(M2S_Eligibility_List!AW37=DataPaths_Code,1,0)+AV287</f>
        <v>2</v>
      </c>
      <c r="AX287" s="147">
        <f>IF(M2S_Eligibility_List!AX37=DataPaths_Code,1,0)+AW287</f>
        <v>2</v>
      </c>
      <c r="AY287" s="147">
        <f>IF(M2S_Eligibility_List!AY37=DataPaths_Code,1,0)+AX287</f>
        <v>2</v>
      </c>
      <c r="AZ287" s="147">
        <f>IF(M2S_Eligibility_List!AZ37=DataPaths_Code,1,0)+AY287</f>
        <v>2</v>
      </c>
      <c r="BA287" s="147">
        <f>IF(M2S_Eligibility_List!BA37=DataPaths_Code,1,0)+AZ287</f>
        <v>2</v>
      </c>
      <c r="BB287" s="147">
        <f>IF(M2S_Eligibility_List!BB37=DataPaths_Code,1,0)+BA287</f>
        <v>2</v>
      </c>
      <c r="BC287" s="147">
        <f>IF(M2S_Eligibility_List!BC37=DataPaths_Code,1,0)+BB287</f>
        <v>2</v>
      </c>
      <c r="BD287" s="147">
        <f>IF(M2S_Eligibility_List!BD37=DataPaths_Code,1,0)+BC287</f>
        <v>2</v>
      </c>
      <c r="BE287" s="147">
        <f>IF(M2S_Eligibility_List!BE37=DataPaths_Code,1,0)+BD287</f>
        <v>2</v>
      </c>
      <c r="BF287" s="147">
        <f>IF(M2S_Eligibility_List!BF37=DataPaths_Code,1,0)+BE287</f>
        <v>2</v>
      </c>
      <c r="BG287" s="147">
        <f>IF(M2S_Eligibility_List!BG37=DataPaths_Code,1,0)+BF287</f>
        <v>2</v>
      </c>
      <c r="BH287" s="147">
        <f>IF(M2S_Eligibility_List!BH37=DataPaths_Code,1,0)+BG287</f>
        <v>2</v>
      </c>
      <c r="BI287" s="147">
        <f>IF(M2S_Eligibility_List!BI37=DataPaths_Code,1,0)+BH287</f>
        <v>2</v>
      </c>
      <c r="BJ287" s="147">
        <f>IF(M2S_Eligibility_List!BJ37=DataPaths_Code,1,0)+BI287</f>
        <v>2</v>
      </c>
      <c r="BK287" s="147">
        <f>IF(M2S_Eligibility_List!BK37=DataPaths_Code,1,0)+BJ287</f>
        <v>2</v>
      </c>
      <c r="BL287" s="147">
        <f>IF(M2S_Eligibility_List!BL37=DataPaths_Code,1,0)+BK287</f>
        <v>2</v>
      </c>
      <c r="BM287" s="147">
        <f>IF(M2S_Eligibility_List!BM37=DataPaths_Code,1,0)+BL287</f>
        <v>2</v>
      </c>
      <c r="BN287" s="147">
        <f>IF(M2S_Eligibility_List!BN37=DataPaths_Code,1,0)+BM287</f>
        <v>2</v>
      </c>
      <c r="BO287" s="147">
        <f>IF(M2S_Eligibility_List!BO37=DataPaths_Code,1,0)+BN287</f>
        <v>2</v>
      </c>
      <c r="BP287" s="147">
        <f>IF(M2S_Eligibility_List!BP37=DataPaths_Code,1,0)+BO287</f>
        <v>2</v>
      </c>
      <c r="BQ287" s="147">
        <f>IF(M2S_Eligibility_List!BQ37=DataPaths_Code,1,0)+BP287</f>
        <v>2</v>
      </c>
      <c r="BR287" s="147">
        <f>IF(M2S_Eligibility_List!BR37=DataPaths_Code,1,0)+BQ287</f>
        <v>2</v>
      </c>
      <c r="BS287" s="147">
        <f>IF(M2S_Eligibility_List!BS37=DataPaths_Code,1,0)+BR287</f>
        <v>2</v>
      </c>
      <c r="BT287" s="147">
        <f>IF(M2S_Eligibility_List!BT37=DataPaths_Code,1,0)+BS287</f>
        <v>2</v>
      </c>
      <c r="BU287" s="147">
        <f>IF(M2S_Eligibility_List!BU37=DataPaths_Code,1,0)+BT287</f>
        <v>2</v>
      </c>
      <c r="BV287" s="147">
        <f>IF(M2S_Eligibility_List!BV37=DataPaths_Code,1,0)+BU287</f>
        <v>2</v>
      </c>
      <c r="BW287" s="147">
        <f>IF(M2S_Eligibility_List!BW37=DataPaths_Code,1,0)+BV287</f>
        <v>2</v>
      </c>
    </row>
    <row r="288" spans="1:75" ht="18.75" customHeight="1">
      <c r="A288" s="145"/>
      <c r="B288" s="170" t="str">
        <f>IF(M2S_Eligibility_List!$B38&lt;&gt;"",RIGHT(M2S_Eligibility_List!$B38,LEN(M2S_Eligibility_List!$B38)-LEN(nmADwSP)),0)</f>
        <v>AutoCAD Electrical*</v>
      </c>
      <c r="C288" s="147">
        <f>IF(M2S_Eligibility_List!C38=DataPaths_Code,1,0)</f>
        <v>1</v>
      </c>
      <c r="D288" s="147">
        <f>IF(M2S_Eligibility_List!D38=DataPaths_Code,1,0)+C288</f>
        <v>2</v>
      </c>
      <c r="E288" s="147">
        <f>IF(M2S_Eligibility_List!E38=DataPaths_Code,1,0)+D288</f>
        <v>2</v>
      </c>
      <c r="F288" s="147">
        <f>IF(M2S_Eligibility_List!F38=DataPaths_Code,1,0)+E288</f>
        <v>2</v>
      </c>
      <c r="G288" s="147">
        <f>IF(M2S_Eligibility_List!G38=DataPaths_Code,1,0)+F288</f>
        <v>2</v>
      </c>
      <c r="H288" s="147">
        <f>IF(M2S_Eligibility_List!H38=DataPaths_Code,1,0)+G288</f>
        <v>2</v>
      </c>
      <c r="I288" s="147">
        <f>IF(M2S_Eligibility_List!I38=DataPaths_Code,1,0)+H288</f>
        <v>2</v>
      </c>
      <c r="J288" s="147">
        <f>IF(M2S_Eligibility_List!J38=DataPaths_Code,1,0)+I288</f>
        <v>2</v>
      </c>
      <c r="K288" s="147">
        <f>IF(M2S_Eligibility_List!K38=DataPaths_Code,1,0)+J288</f>
        <v>2</v>
      </c>
      <c r="L288" s="147">
        <f>IF(M2S_Eligibility_List!L38=DataPaths_Code,1,0)+K288</f>
        <v>2</v>
      </c>
      <c r="M288" s="147">
        <f>IF(M2S_Eligibility_List!M38=DataPaths_Code,1,0)+L288</f>
        <v>3</v>
      </c>
      <c r="N288" s="147">
        <f>IF(M2S_Eligibility_List!N38=DataPaths_Code,1,0)+M288</f>
        <v>3</v>
      </c>
      <c r="O288" s="147">
        <f>IF(M2S_Eligibility_List!O38=DataPaths_Code,1,0)+N288</f>
        <v>3</v>
      </c>
      <c r="P288" s="147">
        <f>IF(M2S_Eligibility_List!P38=DataPaths_Code,1,0)+O288</f>
        <v>3</v>
      </c>
      <c r="Q288" s="147">
        <f>IF(M2S_Eligibility_List!Q38=DataPaths_Code,1,0)+P288</f>
        <v>3</v>
      </c>
      <c r="R288" s="147">
        <f>IF(M2S_Eligibility_List!R38=DataPaths_Code,1,0)+Q288</f>
        <v>3</v>
      </c>
      <c r="S288" s="147">
        <f>IF(M2S_Eligibility_List!S38=DataPaths_Code,1,0)+R288</f>
        <v>3</v>
      </c>
      <c r="T288" s="147">
        <f>IF(M2S_Eligibility_List!T38=DataPaths_Code,1,0)+S288</f>
        <v>3</v>
      </c>
      <c r="U288" s="147">
        <f>IF(M2S_Eligibility_List!U38=DataPaths_Code,1,0)+T288</f>
        <v>3</v>
      </c>
      <c r="V288" s="147">
        <f>IF(M2S_Eligibility_List!V38=DataPaths_Code,1,0)+U288</f>
        <v>3</v>
      </c>
      <c r="W288" s="147">
        <f>IF(M2S_Eligibility_List!W38=DataPaths_Code,1,0)+V288</f>
        <v>3</v>
      </c>
      <c r="X288" s="147">
        <f>IF(M2S_Eligibility_List!X38=DataPaths_Code,1,0)+W288</f>
        <v>3</v>
      </c>
      <c r="Y288" s="147">
        <f>IF(M2S_Eligibility_List!Y38=DataPaths_Code,1,0)+X288</f>
        <v>3</v>
      </c>
      <c r="Z288" s="147">
        <f>IF(M2S_Eligibility_List!Z38=DataPaths_Code,1,0)+Y288</f>
        <v>3</v>
      </c>
      <c r="AA288" s="147">
        <f>IF(M2S_Eligibility_List!AA38=DataPaths_Code,1,0)+Z288</f>
        <v>3</v>
      </c>
      <c r="AB288" s="147">
        <f>IF(M2S_Eligibility_List!AB38=DataPaths_Code,1,0)+AA288</f>
        <v>3</v>
      </c>
      <c r="AC288" s="147">
        <f>IF(M2S_Eligibility_List!AC38=DataPaths_Code,1,0)+AB288</f>
        <v>3</v>
      </c>
      <c r="AD288" s="147">
        <f>IF(M2S_Eligibility_List!AD38=DataPaths_Code,1,0)+AC288</f>
        <v>3</v>
      </c>
      <c r="AE288" s="147">
        <f>IF(M2S_Eligibility_List!AE38=DataPaths_Code,1,0)+AD288</f>
        <v>3</v>
      </c>
      <c r="AF288" s="147">
        <f>IF(M2S_Eligibility_List!AF38=DataPaths_Code,1,0)+AE288</f>
        <v>3</v>
      </c>
      <c r="AG288" s="147">
        <f>IF(M2S_Eligibility_List!AG38=DataPaths_Code,1,0)+AF288</f>
        <v>3</v>
      </c>
      <c r="AH288" s="147">
        <f>IF(M2S_Eligibility_List!AH38=DataPaths_Code,1,0)+AG288</f>
        <v>3</v>
      </c>
      <c r="AI288" s="147">
        <f>IF(M2S_Eligibility_List!AI38=DataPaths_Code,1,0)+AH288</f>
        <v>3</v>
      </c>
      <c r="AJ288" s="147">
        <f>IF(M2S_Eligibility_List!AJ38=DataPaths_Code,1,0)+AI288</f>
        <v>3</v>
      </c>
      <c r="AK288" s="147">
        <f>IF(M2S_Eligibility_List!AK38=DataPaths_Code,1,0)+AJ288</f>
        <v>3</v>
      </c>
      <c r="AL288" s="147">
        <f>IF(M2S_Eligibility_List!AL38=DataPaths_Code,1,0)+AK288</f>
        <v>3</v>
      </c>
      <c r="AM288" s="147">
        <f>IF(M2S_Eligibility_List!AM38=DataPaths_Code,1,0)+AL288</f>
        <v>3</v>
      </c>
      <c r="AN288" s="147">
        <f>IF(M2S_Eligibility_List!AN38=DataPaths_Code,1,0)+AM288</f>
        <v>3</v>
      </c>
      <c r="AO288" s="147">
        <f>IF(M2S_Eligibility_List!AO38=DataPaths_Code,1,0)+AN288</f>
        <v>3</v>
      </c>
      <c r="AP288" s="147">
        <f>IF(M2S_Eligibility_List!AP38=DataPaths_Code,1,0)+AO288</f>
        <v>3</v>
      </c>
      <c r="AQ288" s="147">
        <f>IF(M2S_Eligibility_List!AQ38=DataPaths_Code,1,0)+AP288</f>
        <v>3</v>
      </c>
      <c r="AR288" s="147">
        <f>IF(M2S_Eligibility_List!AR38=DataPaths_Code,1,0)+AQ288</f>
        <v>3</v>
      </c>
      <c r="AS288" s="147">
        <f>IF(M2S_Eligibility_List!AS38=DataPaths_Code,1,0)+AR288</f>
        <v>3</v>
      </c>
      <c r="AT288" s="147">
        <f>IF(M2S_Eligibility_List!AT38=DataPaths_Code,1,0)+AS288</f>
        <v>3</v>
      </c>
      <c r="AU288" s="147">
        <f>IF(M2S_Eligibility_List!AU38=DataPaths_Code,1,0)+AT288</f>
        <v>3</v>
      </c>
      <c r="AV288" s="147">
        <f>IF(M2S_Eligibility_List!AV38=DataPaths_Code,1,0)+AU288</f>
        <v>3</v>
      </c>
      <c r="AW288" s="147">
        <f>IF(M2S_Eligibility_List!AW38=DataPaths_Code,1,0)+AV288</f>
        <v>3</v>
      </c>
      <c r="AX288" s="147">
        <f>IF(M2S_Eligibility_List!AX38=DataPaths_Code,1,0)+AW288</f>
        <v>3</v>
      </c>
      <c r="AY288" s="147">
        <f>IF(M2S_Eligibility_List!AY38=DataPaths_Code,1,0)+AX288</f>
        <v>3</v>
      </c>
      <c r="AZ288" s="147">
        <f>IF(M2S_Eligibility_List!AZ38=DataPaths_Code,1,0)+AY288</f>
        <v>3</v>
      </c>
      <c r="BA288" s="147">
        <f>IF(M2S_Eligibility_List!BA38=DataPaths_Code,1,0)+AZ288</f>
        <v>3</v>
      </c>
      <c r="BB288" s="147">
        <f>IF(M2S_Eligibility_List!BB38=DataPaths_Code,1,0)+BA288</f>
        <v>3</v>
      </c>
      <c r="BC288" s="147">
        <f>IF(M2S_Eligibility_List!BC38=DataPaths_Code,1,0)+BB288</f>
        <v>3</v>
      </c>
      <c r="BD288" s="147">
        <f>IF(M2S_Eligibility_List!BD38=DataPaths_Code,1,0)+BC288</f>
        <v>3</v>
      </c>
      <c r="BE288" s="147">
        <f>IF(M2S_Eligibility_List!BE38=DataPaths_Code,1,0)+BD288</f>
        <v>3</v>
      </c>
      <c r="BF288" s="147">
        <f>IF(M2S_Eligibility_List!BF38=DataPaths_Code,1,0)+BE288</f>
        <v>3</v>
      </c>
      <c r="BG288" s="147">
        <f>IF(M2S_Eligibility_List!BG38=DataPaths_Code,1,0)+BF288</f>
        <v>3</v>
      </c>
      <c r="BH288" s="147">
        <f>IF(M2S_Eligibility_List!BH38=DataPaths_Code,1,0)+BG288</f>
        <v>3</v>
      </c>
      <c r="BI288" s="147">
        <f>IF(M2S_Eligibility_List!BI38=DataPaths_Code,1,0)+BH288</f>
        <v>3</v>
      </c>
      <c r="BJ288" s="147">
        <f>IF(M2S_Eligibility_List!BJ38=DataPaths_Code,1,0)+BI288</f>
        <v>3</v>
      </c>
      <c r="BK288" s="147">
        <f>IF(M2S_Eligibility_List!BK38=DataPaths_Code,1,0)+BJ288</f>
        <v>3</v>
      </c>
      <c r="BL288" s="147">
        <f>IF(M2S_Eligibility_List!BL38=DataPaths_Code,1,0)+BK288</f>
        <v>3</v>
      </c>
      <c r="BM288" s="147">
        <f>IF(M2S_Eligibility_List!BM38=DataPaths_Code,1,0)+BL288</f>
        <v>3</v>
      </c>
      <c r="BN288" s="147">
        <f>IF(M2S_Eligibility_List!BN38=DataPaths_Code,1,0)+BM288</f>
        <v>3</v>
      </c>
      <c r="BO288" s="147">
        <f>IF(M2S_Eligibility_List!BO38=DataPaths_Code,1,0)+BN288</f>
        <v>3</v>
      </c>
      <c r="BP288" s="147">
        <f>IF(M2S_Eligibility_List!BP38=DataPaths_Code,1,0)+BO288</f>
        <v>3</v>
      </c>
      <c r="BQ288" s="147">
        <f>IF(M2S_Eligibility_List!BQ38=DataPaths_Code,1,0)+BP288</f>
        <v>3</v>
      </c>
      <c r="BR288" s="147">
        <f>IF(M2S_Eligibility_List!BR38=DataPaths_Code,1,0)+BQ288</f>
        <v>3</v>
      </c>
      <c r="BS288" s="147">
        <f>IF(M2S_Eligibility_List!BS38=DataPaths_Code,1,0)+BR288</f>
        <v>3</v>
      </c>
      <c r="BT288" s="147">
        <f>IF(M2S_Eligibility_List!BT38=DataPaths_Code,1,0)+BS288</f>
        <v>3</v>
      </c>
      <c r="BU288" s="147">
        <f>IF(M2S_Eligibility_List!BU38=DataPaths_Code,1,0)+BT288</f>
        <v>3</v>
      </c>
      <c r="BV288" s="147">
        <f>IF(M2S_Eligibility_List!BV38=DataPaths_Code,1,0)+BU288</f>
        <v>3</v>
      </c>
      <c r="BW288" s="147">
        <f>IF(M2S_Eligibility_List!BW38=DataPaths_Code,1,0)+BV288</f>
        <v>3</v>
      </c>
    </row>
    <row r="289" spans="1:75" ht="20.100000000000001" customHeight="1">
      <c r="A289" s="145"/>
      <c r="B289" s="170" t="str">
        <f>IF(M2S_Eligibility_List!$B39&lt;&gt;"",RIGHT(M2S_Eligibility_List!$B39,LEN(M2S_Eligibility_List!$B39)-LEN(nmADwSP)),0)</f>
        <v>AutoCAD LT</v>
      </c>
      <c r="C289" s="147">
        <f>IF(M2S_Eligibility_List!C39=DataPaths_Code,1,0)</f>
        <v>0</v>
      </c>
      <c r="D289" s="147">
        <f>IF(M2S_Eligibility_List!D39=DataPaths_Code,1,0)+C289</f>
        <v>0</v>
      </c>
      <c r="E289" s="147">
        <f>IF(M2S_Eligibility_List!E39=DataPaths_Code,1,0)+D289</f>
        <v>0</v>
      </c>
      <c r="F289" s="147">
        <f>IF(M2S_Eligibility_List!F39=DataPaths_Code,1,0)+E289</f>
        <v>0</v>
      </c>
      <c r="G289" s="147">
        <f>IF(M2S_Eligibility_List!G39=DataPaths_Code,1,0)+F289</f>
        <v>0</v>
      </c>
      <c r="H289" s="147">
        <f>IF(M2S_Eligibility_List!H39=DataPaths_Code,1,0)+G289</f>
        <v>0</v>
      </c>
      <c r="I289" s="147">
        <f>IF(M2S_Eligibility_List!I39=DataPaths_Code,1,0)+H289</f>
        <v>0</v>
      </c>
      <c r="J289" s="147">
        <f>IF(M2S_Eligibility_List!J39=DataPaths_Code,1,0)+I289</f>
        <v>0</v>
      </c>
      <c r="K289" s="147">
        <f>IF(M2S_Eligibility_List!K39=DataPaths_Code,1,0)+J289</f>
        <v>0</v>
      </c>
      <c r="L289" s="147">
        <f>IF(M2S_Eligibility_List!L39=DataPaths_Code,1,0)+K289</f>
        <v>0</v>
      </c>
      <c r="M289" s="147">
        <f>IF(M2S_Eligibility_List!M39=DataPaths_Code,1,0)+L289</f>
        <v>0</v>
      </c>
      <c r="N289" s="147">
        <f>IF(M2S_Eligibility_List!N39=DataPaths_Code,1,0)+M289</f>
        <v>0</v>
      </c>
      <c r="O289" s="147">
        <f>IF(M2S_Eligibility_List!O39=DataPaths_Code,1,0)+N289</f>
        <v>1</v>
      </c>
      <c r="P289" s="147">
        <f>IF(M2S_Eligibility_List!P39=DataPaths_Code,1,0)+O289</f>
        <v>1</v>
      </c>
      <c r="Q289" s="147">
        <f>IF(M2S_Eligibility_List!Q39=DataPaths_Code,1,0)+P289</f>
        <v>1</v>
      </c>
      <c r="R289" s="147">
        <f>IF(M2S_Eligibility_List!R39=DataPaths_Code,1,0)+Q289</f>
        <v>1</v>
      </c>
      <c r="S289" s="147">
        <f>IF(M2S_Eligibility_List!S39=DataPaths_Code,1,0)+R289</f>
        <v>1</v>
      </c>
      <c r="T289" s="147">
        <f>IF(M2S_Eligibility_List!T39=DataPaths_Code,1,0)+S289</f>
        <v>1</v>
      </c>
      <c r="U289" s="147">
        <f>IF(M2S_Eligibility_List!U39=DataPaths_Code,1,0)+T289</f>
        <v>1</v>
      </c>
      <c r="V289" s="147">
        <f>IF(M2S_Eligibility_List!V39=DataPaths_Code,1,0)+U289</f>
        <v>1</v>
      </c>
      <c r="W289" s="147">
        <f>IF(M2S_Eligibility_List!W39=DataPaths_Code,1,0)+V289</f>
        <v>1</v>
      </c>
      <c r="X289" s="147">
        <f>IF(M2S_Eligibility_List!X39=DataPaths_Code,1,0)+W289</f>
        <v>1</v>
      </c>
      <c r="Y289" s="147">
        <f>IF(M2S_Eligibility_List!Y39=DataPaths_Code,1,0)+X289</f>
        <v>1</v>
      </c>
      <c r="Z289" s="147">
        <f>IF(M2S_Eligibility_List!Z39=DataPaths_Code,1,0)+Y289</f>
        <v>1</v>
      </c>
      <c r="AA289" s="147">
        <f>IF(M2S_Eligibility_List!AA39=DataPaths_Code,1,0)+Z289</f>
        <v>2</v>
      </c>
      <c r="AB289" s="147">
        <f>IF(M2S_Eligibility_List!AB39=DataPaths_Code,1,0)+AA289</f>
        <v>2</v>
      </c>
      <c r="AC289" s="147">
        <f>IF(M2S_Eligibility_List!AC39=DataPaths_Code,1,0)+AB289</f>
        <v>2</v>
      </c>
      <c r="AD289" s="147">
        <f>IF(M2S_Eligibility_List!AD39=DataPaths_Code,1,0)+AC289</f>
        <v>2</v>
      </c>
      <c r="AE289" s="147">
        <f>IF(M2S_Eligibility_List!AE39=DataPaths_Code,1,0)+AD289</f>
        <v>2</v>
      </c>
      <c r="AF289" s="147">
        <f>IF(M2S_Eligibility_List!AF39=DataPaths_Code,1,0)+AE289</f>
        <v>2</v>
      </c>
      <c r="AG289" s="147">
        <f>IF(M2S_Eligibility_List!AG39=DataPaths_Code,1,0)+AF289</f>
        <v>2</v>
      </c>
      <c r="AH289" s="147">
        <f>IF(M2S_Eligibility_List!AH39=DataPaths_Code,1,0)+AG289</f>
        <v>2</v>
      </c>
      <c r="AI289" s="147">
        <f>IF(M2S_Eligibility_List!AI39=DataPaths_Code,1,0)+AH289</f>
        <v>2</v>
      </c>
      <c r="AJ289" s="147">
        <f>IF(M2S_Eligibility_List!AJ39=DataPaths_Code,1,0)+AI289</f>
        <v>2</v>
      </c>
      <c r="AK289" s="147">
        <f>IF(M2S_Eligibility_List!AK39=DataPaths_Code,1,0)+AJ289</f>
        <v>2</v>
      </c>
      <c r="AL289" s="147">
        <f>IF(M2S_Eligibility_List!AL39=DataPaths_Code,1,0)+AK289</f>
        <v>2</v>
      </c>
      <c r="AM289" s="147">
        <f>IF(M2S_Eligibility_List!AM39=DataPaths_Code,1,0)+AL289</f>
        <v>2</v>
      </c>
      <c r="AN289" s="147">
        <f>IF(M2S_Eligibility_List!AN39=DataPaths_Code,1,0)+AM289</f>
        <v>2</v>
      </c>
      <c r="AO289" s="147">
        <f>IF(M2S_Eligibility_List!AO39=DataPaths_Code,1,0)+AN289</f>
        <v>2</v>
      </c>
      <c r="AP289" s="147">
        <f>IF(M2S_Eligibility_List!AP39=DataPaths_Code,1,0)+AO289</f>
        <v>2</v>
      </c>
      <c r="AQ289" s="147">
        <f>IF(M2S_Eligibility_List!AQ39=DataPaths_Code,1,0)+AP289</f>
        <v>2</v>
      </c>
      <c r="AR289" s="147">
        <f>IF(M2S_Eligibility_List!AR39=DataPaths_Code,1,0)+AQ289</f>
        <v>3</v>
      </c>
      <c r="AS289" s="147">
        <f>IF(M2S_Eligibility_List!AS39=DataPaths_Code,1,0)+AR289</f>
        <v>3</v>
      </c>
      <c r="AT289" s="147">
        <f>IF(M2S_Eligibility_List!AT39=DataPaths_Code,1,0)+AS289</f>
        <v>3</v>
      </c>
      <c r="AU289" s="147">
        <f>IF(M2S_Eligibility_List!AU39=DataPaths_Code,1,0)+AT289</f>
        <v>3</v>
      </c>
      <c r="AV289" s="147">
        <f>IF(M2S_Eligibility_List!AV39=DataPaths_Code,1,0)+AU289</f>
        <v>3</v>
      </c>
      <c r="AW289" s="147">
        <f>IF(M2S_Eligibility_List!AW39=DataPaths_Code,1,0)+AV289</f>
        <v>3</v>
      </c>
      <c r="AX289" s="147">
        <f>IF(M2S_Eligibility_List!AX39=DataPaths_Code,1,0)+AW289</f>
        <v>3</v>
      </c>
      <c r="AY289" s="147">
        <f>IF(M2S_Eligibility_List!AY39=DataPaths_Code,1,0)+AX289</f>
        <v>3</v>
      </c>
      <c r="AZ289" s="147">
        <f>IF(M2S_Eligibility_List!AZ39=DataPaths_Code,1,0)+AY289</f>
        <v>3</v>
      </c>
      <c r="BA289" s="147">
        <f>IF(M2S_Eligibility_List!BA39=DataPaths_Code,1,0)+AZ289</f>
        <v>3</v>
      </c>
      <c r="BB289" s="147">
        <f>IF(M2S_Eligibility_List!BB39=DataPaths_Code,1,0)+BA289</f>
        <v>3</v>
      </c>
      <c r="BC289" s="147">
        <f>IF(M2S_Eligibility_List!BC39=DataPaths_Code,1,0)+BB289</f>
        <v>3</v>
      </c>
      <c r="BD289" s="147">
        <f>IF(M2S_Eligibility_List!BD39=DataPaths_Code,1,0)+BC289</f>
        <v>3</v>
      </c>
      <c r="BE289" s="147">
        <f>IF(M2S_Eligibility_List!BE39=DataPaths_Code,1,0)+BD289</f>
        <v>3</v>
      </c>
      <c r="BF289" s="147">
        <f>IF(M2S_Eligibility_List!BF39=DataPaths_Code,1,0)+BE289</f>
        <v>3</v>
      </c>
      <c r="BG289" s="147">
        <f>IF(M2S_Eligibility_List!BG39=DataPaths_Code,1,0)+BF289</f>
        <v>3</v>
      </c>
      <c r="BH289" s="147">
        <f>IF(M2S_Eligibility_List!BH39=DataPaths_Code,1,0)+BG289</f>
        <v>3</v>
      </c>
      <c r="BI289" s="147">
        <f>IF(M2S_Eligibility_List!BI39=DataPaths_Code,1,0)+BH289</f>
        <v>3</v>
      </c>
      <c r="BJ289" s="147">
        <f>IF(M2S_Eligibility_List!BJ39=DataPaths_Code,1,0)+BI289</f>
        <v>3</v>
      </c>
      <c r="BK289" s="147">
        <f>IF(M2S_Eligibility_List!BK39=DataPaths_Code,1,0)+BJ289</f>
        <v>3</v>
      </c>
      <c r="BL289" s="147">
        <f>IF(M2S_Eligibility_List!BL39=DataPaths_Code,1,0)+BK289</f>
        <v>3</v>
      </c>
      <c r="BM289" s="147">
        <f>IF(M2S_Eligibility_List!BM39=DataPaths_Code,1,0)+BL289</f>
        <v>3</v>
      </c>
      <c r="BN289" s="147">
        <f>IF(M2S_Eligibility_List!BN39=DataPaths_Code,1,0)+BM289</f>
        <v>3</v>
      </c>
      <c r="BO289" s="147">
        <f>IF(M2S_Eligibility_List!BO39=DataPaths_Code,1,0)+BN289</f>
        <v>3</v>
      </c>
      <c r="BP289" s="147">
        <f>IF(M2S_Eligibility_List!BP39=DataPaths_Code,1,0)+BO289</f>
        <v>3</v>
      </c>
      <c r="BQ289" s="147">
        <f>IF(M2S_Eligibility_List!BQ39=DataPaths_Code,1,0)+BP289</f>
        <v>3</v>
      </c>
      <c r="BR289" s="147">
        <f>IF(M2S_Eligibility_List!BR39=DataPaths_Code,1,0)+BQ289</f>
        <v>3</v>
      </c>
      <c r="BS289" s="147">
        <f>IF(M2S_Eligibility_List!BS39=DataPaths_Code,1,0)+BR289</f>
        <v>3</v>
      </c>
      <c r="BT289" s="147">
        <f>IF(M2S_Eligibility_List!BT39=DataPaths_Code,1,0)+BS289</f>
        <v>3</v>
      </c>
      <c r="BU289" s="147">
        <f>IF(M2S_Eligibility_List!BU39=DataPaths_Code,1,0)+BT289</f>
        <v>3</v>
      </c>
      <c r="BV289" s="147">
        <f>IF(M2S_Eligibility_List!BV39=DataPaths_Code,1,0)+BU289</f>
        <v>3</v>
      </c>
      <c r="BW289" s="147">
        <f>IF(M2S_Eligibility_List!BW39=DataPaths_Code,1,0)+BV289</f>
        <v>3</v>
      </c>
    </row>
    <row r="290" spans="1:75" ht="20.100000000000001" customHeight="1">
      <c r="A290" s="145"/>
      <c r="B290" s="170" t="str">
        <f>IF(M2S_Eligibility_List!$B40&lt;&gt;"",RIGHT(M2S_Eligibility_List!$B40,LEN(M2S_Eligibility_List!$B40)-LEN(nmADwSP)),0)</f>
        <v>AutoCAD LT with CALS Tools</v>
      </c>
      <c r="C290" s="147">
        <f>IF(M2S_Eligibility_List!C40=DataPaths_Code,1,0)</f>
        <v>0</v>
      </c>
      <c r="D290" s="147">
        <f>IF(M2S_Eligibility_List!D40=DataPaths_Code,1,0)+C290</f>
        <v>0</v>
      </c>
      <c r="E290" s="147">
        <f>IF(M2S_Eligibility_List!E40=DataPaths_Code,1,0)+D290</f>
        <v>0</v>
      </c>
      <c r="F290" s="147">
        <f>IF(M2S_Eligibility_List!F40=DataPaths_Code,1,0)+E290</f>
        <v>0</v>
      </c>
      <c r="G290" s="147">
        <f>IF(M2S_Eligibility_List!G40=DataPaths_Code,1,0)+F290</f>
        <v>0</v>
      </c>
      <c r="H290" s="147">
        <f>IF(M2S_Eligibility_List!H40=DataPaths_Code,1,0)+G290</f>
        <v>0</v>
      </c>
      <c r="I290" s="147">
        <f>IF(M2S_Eligibility_List!I40=DataPaths_Code,1,0)+H290</f>
        <v>0</v>
      </c>
      <c r="J290" s="147">
        <f>IF(M2S_Eligibility_List!J40=DataPaths_Code,1,0)+I290</f>
        <v>0</v>
      </c>
      <c r="K290" s="147">
        <f>IF(M2S_Eligibility_List!K40=DataPaths_Code,1,0)+J290</f>
        <v>0</v>
      </c>
      <c r="L290" s="147">
        <f>IF(M2S_Eligibility_List!L40=DataPaths_Code,1,0)+K290</f>
        <v>0</v>
      </c>
      <c r="M290" s="147">
        <f>IF(M2S_Eligibility_List!M40=DataPaths_Code,1,0)+L290</f>
        <v>0</v>
      </c>
      <c r="N290" s="147">
        <f>IF(M2S_Eligibility_List!N40=DataPaths_Code,1,0)+M290</f>
        <v>0</v>
      </c>
      <c r="O290" s="147">
        <f>IF(M2S_Eligibility_List!O40=DataPaths_Code,1,0)+N290</f>
        <v>0</v>
      </c>
      <c r="P290" s="147">
        <f>IF(M2S_Eligibility_List!P40=DataPaths_Code,1,0)+O290</f>
        <v>1</v>
      </c>
      <c r="Q290" s="147">
        <f>IF(M2S_Eligibility_List!Q40=DataPaths_Code,1,0)+P290</f>
        <v>1</v>
      </c>
      <c r="R290" s="147">
        <f>IF(M2S_Eligibility_List!R40=DataPaths_Code,1,0)+Q290</f>
        <v>1</v>
      </c>
      <c r="S290" s="147">
        <f>IF(M2S_Eligibility_List!S40=DataPaths_Code,1,0)+R290</f>
        <v>1</v>
      </c>
      <c r="T290" s="147">
        <f>IF(M2S_Eligibility_List!T40=DataPaths_Code,1,0)+S290</f>
        <v>1</v>
      </c>
      <c r="U290" s="147">
        <f>IF(M2S_Eligibility_List!U40=DataPaths_Code,1,0)+T290</f>
        <v>1</v>
      </c>
      <c r="V290" s="147">
        <f>IF(M2S_Eligibility_List!V40=DataPaths_Code,1,0)+U290</f>
        <v>1</v>
      </c>
      <c r="W290" s="147">
        <f>IF(M2S_Eligibility_List!W40=DataPaths_Code,1,0)+V290</f>
        <v>1</v>
      </c>
      <c r="X290" s="147">
        <f>IF(M2S_Eligibility_List!X40=DataPaths_Code,1,0)+W290</f>
        <v>1</v>
      </c>
      <c r="Y290" s="147">
        <f>IF(M2S_Eligibility_List!Y40=DataPaths_Code,1,0)+X290</f>
        <v>1</v>
      </c>
      <c r="Z290" s="147">
        <f>IF(M2S_Eligibility_List!Z40=DataPaths_Code,1,0)+Y290</f>
        <v>1</v>
      </c>
      <c r="AA290" s="147">
        <f>IF(M2S_Eligibility_List!AA40=DataPaths_Code,1,0)+Z290</f>
        <v>1</v>
      </c>
      <c r="AB290" s="147">
        <f>IF(M2S_Eligibility_List!AB40=DataPaths_Code,1,0)+AA290</f>
        <v>1</v>
      </c>
      <c r="AC290" s="147">
        <f>IF(M2S_Eligibility_List!AC40=DataPaths_Code,1,0)+AB290</f>
        <v>1</v>
      </c>
      <c r="AD290" s="147">
        <f>IF(M2S_Eligibility_List!AD40=DataPaths_Code,1,0)+AC290</f>
        <v>1</v>
      </c>
      <c r="AE290" s="147">
        <f>IF(M2S_Eligibility_List!AE40=DataPaths_Code,1,0)+AD290</f>
        <v>1</v>
      </c>
      <c r="AF290" s="147">
        <f>IF(M2S_Eligibility_List!AF40=DataPaths_Code,1,0)+AE290</f>
        <v>1</v>
      </c>
      <c r="AG290" s="147">
        <f>IF(M2S_Eligibility_List!AG40=DataPaths_Code,1,0)+AF290</f>
        <v>1</v>
      </c>
      <c r="AH290" s="147">
        <f>IF(M2S_Eligibility_List!AH40=DataPaths_Code,1,0)+AG290</f>
        <v>1</v>
      </c>
      <c r="AI290" s="147">
        <f>IF(M2S_Eligibility_List!AI40=DataPaths_Code,1,0)+AH290</f>
        <v>1</v>
      </c>
      <c r="AJ290" s="147">
        <f>IF(M2S_Eligibility_List!AJ40=DataPaths_Code,1,0)+AI290</f>
        <v>1</v>
      </c>
      <c r="AK290" s="147">
        <f>IF(M2S_Eligibility_List!AK40=DataPaths_Code,1,0)+AJ290</f>
        <v>1</v>
      </c>
      <c r="AL290" s="147">
        <f>IF(M2S_Eligibility_List!AL40=DataPaths_Code,1,0)+AK290</f>
        <v>1</v>
      </c>
      <c r="AM290" s="147">
        <f>IF(M2S_Eligibility_List!AM40=DataPaths_Code,1,0)+AL290</f>
        <v>1</v>
      </c>
      <c r="AN290" s="147">
        <f>IF(M2S_Eligibility_List!AN40=DataPaths_Code,1,0)+AM290</f>
        <v>1</v>
      </c>
      <c r="AO290" s="147">
        <f>IF(M2S_Eligibility_List!AO40=DataPaths_Code,1,0)+AN290</f>
        <v>1</v>
      </c>
      <c r="AP290" s="147">
        <f>IF(M2S_Eligibility_List!AP40=DataPaths_Code,1,0)+AO290</f>
        <v>1</v>
      </c>
      <c r="AQ290" s="147">
        <f>IF(M2S_Eligibility_List!AQ40=DataPaths_Code,1,0)+AP290</f>
        <v>1</v>
      </c>
      <c r="AR290" s="147">
        <f>IF(M2S_Eligibility_List!AR40=DataPaths_Code,1,0)+AQ290</f>
        <v>1</v>
      </c>
      <c r="AS290" s="147">
        <f>IF(M2S_Eligibility_List!AS40=DataPaths_Code,1,0)+AR290</f>
        <v>1</v>
      </c>
      <c r="AT290" s="147">
        <f>IF(M2S_Eligibility_List!AT40=DataPaths_Code,1,0)+AS290</f>
        <v>1</v>
      </c>
      <c r="AU290" s="147">
        <f>IF(M2S_Eligibility_List!AU40=DataPaths_Code,1,0)+AT290</f>
        <v>1</v>
      </c>
      <c r="AV290" s="147">
        <f>IF(M2S_Eligibility_List!AV40=DataPaths_Code,1,0)+AU290</f>
        <v>1</v>
      </c>
      <c r="AW290" s="147">
        <f>IF(M2S_Eligibility_List!AW40=DataPaths_Code,1,0)+AV290</f>
        <v>1</v>
      </c>
      <c r="AX290" s="147">
        <f>IF(M2S_Eligibility_List!AX40=DataPaths_Code,1,0)+AW290</f>
        <v>1</v>
      </c>
      <c r="AY290" s="147">
        <f>IF(M2S_Eligibility_List!AY40=DataPaths_Code,1,0)+AX290</f>
        <v>1</v>
      </c>
      <c r="AZ290" s="147">
        <f>IF(M2S_Eligibility_List!AZ40=DataPaths_Code,1,0)+AY290</f>
        <v>1</v>
      </c>
      <c r="BA290" s="147">
        <f>IF(M2S_Eligibility_List!BA40=DataPaths_Code,1,0)+AZ290</f>
        <v>1</v>
      </c>
      <c r="BB290" s="147">
        <f>IF(M2S_Eligibility_List!BB40=DataPaths_Code,1,0)+BA290</f>
        <v>1</v>
      </c>
      <c r="BC290" s="147">
        <f>IF(M2S_Eligibility_List!BC40=DataPaths_Code,1,0)+BB290</f>
        <v>1</v>
      </c>
      <c r="BD290" s="147">
        <f>IF(M2S_Eligibility_List!BD40=DataPaths_Code,1,0)+BC290</f>
        <v>1</v>
      </c>
      <c r="BE290" s="147">
        <f>IF(M2S_Eligibility_List!BE40=DataPaths_Code,1,0)+BD290</f>
        <v>1</v>
      </c>
      <c r="BF290" s="147">
        <f>IF(M2S_Eligibility_List!BF40=DataPaths_Code,1,0)+BE290</f>
        <v>1</v>
      </c>
      <c r="BG290" s="147">
        <f>IF(M2S_Eligibility_List!BG40=DataPaths_Code,1,0)+BF290</f>
        <v>1</v>
      </c>
      <c r="BH290" s="147">
        <f>IF(M2S_Eligibility_List!BH40=DataPaths_Code,1,0)+BG290</f>
        <v>1</v>
      </c>
      <c r="BI290" s="147">
        <f>IF(M2S_Eligibility_List!BI40=DataPaths_Code,1,0)+BH290</f>
        <v>1</v>
      </c>
      <c r="BJ290" s="147">
        <f>IF(M2S_Eligibility_List!BJ40=DataPaths_Code,1,0)+BI290</f>
        <v>1</v>
      </c>
      <c r="BK290" s="147">
        <f>IF(M2S_Eligibility_List!BK40=DataPaths_Code,1,0)+BJ290</f>
        <v>1</v>
      </c>
      <c r="BL290" s="147">
        <f>IF(M2S_Eligibility_List!BL40=DataPaths_Code,1,0)+BK290</f>
        <v>1</v>
      </c>
      <c r="BM290" s="147">
        <f>IF(M2S_Eligibility_List!BM40=DataPaths_Code,1,0)+BL290</f>
        <v>1</v>
      </c>
      <c r="BN290" s="147">
        <f>IF(M2S_Eligibility_List!BN40=DataPaths_Code,1,0)+BM290</f>
        <v>1</v>
      </c>
      <c r="BO290" s="147">
        <f>IF(M2S_Eligibility_List!BO40=DataPaths_Code,1,0)+BN290</f>
        <v>1</v>
      </c>
      <c r="BP290" s="147">
        <f>IF(M2S_Eligibility_List!BP40=DataPaths_Code,1,0)+BO290</f>
        <v>1</v>
      </c>
      <c r="BQ290" s="147">
        <f>IF(M2S_Eligibility_List!BQ40=DataPaths_Code,1,0)+BP290</f>
        <v>1</v>
      </c>
      <c r="BR290" s="147">
        <f>IF(M2S_Eligibility_List!BR40=DataPaths_Code,1,0)+BQ290</f>
        <v>1</v>
      </c>
      <c r="BS290" s="147">
        <f>IF(M2S_Eligibility_List!BS40=DataPaths_Code,1,0)+BR290</f>
        <v>1</v>
      </c>
      <c r="BT290" s="147">
        <f>IF(M2S_Eligibility_List!BT40=DataPaths_Code,1,0)+BS290</f>
        <v>1</v>
      </c>
      <c r="BU290" s="147">
        <f>IF(M2S_Eligibility_List!BU40=DataPaths_Code,1,0)+BT290</f>
        <v>1</v>
      </c>
      <c r="BV290" s="147">
        <f>IF(M2S_Eligibility_List!BV40=DataPaths_Code,1,0)+BU290</f>
        <v>1</v>
      </c>
      <c r="BW290" s="147">
        <f>IF(M2S_Eligibility_List!BW40=DataPaths_Code,1,0)+BV290</f>
        <v>1</v>
      </c>
    </row>
    <row r="291" spans="1:75" ht="20.100000000000001" customHeight="1">
      <c r="A291" s="145"/>
      <c r="B291" s="170" t="str">
        <f>IF(M2S_Eligibility_List!$B41&lt;&gt;"",RIGHT(M2S_Eligibility_List!$B41,LEN(M2S_Eligibility_List!$B41)-LEN(nmADwSP)),0)</f>
        <v>AutoCAD Map 3D</v>
      </c>
      <c r="C291" s="147">
        <f>IF(M2S_Eligibility_List!C41=DataPaths_Code,1,0)</f>
        <v>1</v>
      </c>
      <c r="D291" s="147">
        <f>IF(M2S_Eligibility_List!D41=DataPaths_Code,1,0)+C291</f>
        <v>2</v>
      </c>
      <c r="E291" s="147">
        <f>IF(M2S_Eligibility_List!E41=DataPaths_Code,1,0)+D291</f>
        <v>2</v>
      </c>
      <c r="F291" s="147">
        <f>IF(M2S_Eligibility_List!F41=DataPaths_Code,1,0)+E291</f>
        <v>2</v>
      </c>
      <c r="G291" s="147">
        <f>IF(M2S_Eligibility_List!G41=DataPaths_Code,1,0)+F291</f>
        <v>2</v>
      </c>
      <c r="H291" s="147">
        <f>IF(M2S_Eligibility_List!H41=DataPaths_Code,1,0)+G291</f>
        <v>2</v>
      </c>
      <c r="I291" s="147">
        <f>IF(M2S_Eligibility_List!I41=DataPaths_Code,1,0)+H291</f>
        <v>2</v>
      </c>
      <c r="J291" s="147">
        <f>IF(M2S_Eligibility_List!J41=DataPaths_Code,1,0)+I291</f>
        <v>2</v>
      </c>
      <c r="K291" s="147">
        <f>IF(M2S_Eligibility_List!K41=DataPaths_Code,1,0)+J291</f>
        <v>2</v>
      </c>
      <c r="L291" s="147">
        <f>IF(M2S_Eligibility_List!L41=DataPaths_Code,1,0)+K291</f>
        <v>2</v>
      </c>
      <c r="M291" s="147">
        <f>IF(M2S_Eligibility_List!M41=DataPaths_Code,1,0)+L291</f>
        <v>3</v>
      </c>
      <c r="N291" s="147">
        <f>IF(M2S_Eligibility_List!N41=DataPaths_Code,1,0)+M291</f>
        <v>3</v>
      </c>
      <c r="O291" s="147">
        <f>IF(M2S_Eligibility_List!O41=DataPaths_Code,1,0)+N291</f>
        <v>3</v>
      </c>
      <c r="P291" s="147">
        <f>IF(M2S_Eligibility_List!P41=DataPaths_Code,1,0)+O291</f>
        <v>3</v>
      </c>
      <c r="Q291" s="147">
        <f>IF(M2S_Eligibility_List!Q41=DataPaths_Code,1,0)+P291</f>
        <v>3</v>
      </c>
      <c r="R291" s="147">
        <f>IF(M2S_Eligibility_List!R41=DataPaths_Code,1,0)+Q291</f>
        <v>3</v>
      </c>
      <c r="S291" s="147">
        <f>IF(M2S_Eligibility_List!S41=DataPaths_Code,1,0)+R291</f>
        <v>3</v>
      </c>
      <c r="T291" s="147">
        <f>IF(M2S_Eligibility_List!T41=DataPaths_Code,1,0)+S291</f>
        <v>3</v>
      </c>
      <c r="U291" s="147">
        <f>IF(M2S_Eligibility_List!U41=DataPaths_Code,1,0)+T291</f>
        <v>3</v>
      </c>
      <c r="V291" s="147">
        <f>IF(M2S_Eligibility_List!V41=DataPaths_Code,1,0)+U291</f>
        <v>3</v>
      </c>
      <c r="W291" s="147">
        <f>IF(M2S_Eligibility_List!W41=DataPaths_Code,1,0)+V291</f>
        <v>3</v>
      </c>
      <c r="X291" s="147">
        <f>IF(M2S_Eligibility_List!X41=DataPaths_Code,1,0)+W291</f>
        <v>3</v>
      </c>
      <c r="Y291" s="147">
        <f>IF(M2S_Eligibility_List!Y41=DataPaths_Code,1,0)+X291</f>
        <v>3</v>
      </c>
      <c r="Z291" s="147">
        <f>IF(M2S_Eligibility_List!Z41=DataPaths_Code,1,0)+Y291</f>
        <v>3</v>
      </c>
      <c r="AA291" s="147">
        <f>IF(M2S_Eligibility_List!AA41=DataPaths_Code,1,0)+Z291</f>
        <v>3</v>
      </c>
      <c r="AB291" s="147">
        <f>IF(M2S_Eligibility_List!AB41=DataPaths_Code,1,0)+AA291</f>
        <v>3</v>
      </c>
      <c r="AC291" s="147">
        <f>IF(M2S_Eligibility_List!AC41=DataPaths_Code,1,0)+AB291</f>
        <v>3</v>
      </c>
      <c r="AD291" s="147">
        <f>IF(M2S_Eligibility_List!AD41=DataPaths_Code,1,0)+AC291</f>
        <v>3</v>
      </c>
      <c r="AE291" s="147">
        <f>IF(M2S_Eligibility_List!AE41=DataPaths_Code,1,0)+AD291</f>
        <v>3</v>
      </c>
      <c r="AF291" s="147">
        <f>IF(M2S_Eligibility_List!AF41=DataPaths_Code,1,0)+AE291</f>
        <v>3</v>
      </c>
      <c r="AG291" s="147">
        <f>IF(M2S_Eligibility_List!AG41=DataPaths_Code,1,0)+AF291</f>
        <v>3</v>
      </c>
      <c r="AH291" s="147">
        <f>IF(M2S_Eligibility_List!AH41=DataPaths_Code,1,0)+AG291</f>
        <v>3</v>
      </c>
      <c r="AI291" s="147">
        <f>IF(M2S_Eligibility_List!AI41=DataPaths_Code,1,0)+AH291</f>
        <v>3</v>
      </c>
      <c r="AJ291" s="147">
        <f>IF(M2S_Eligibility_List!AJ41=DataPaths_Code,1,0)+AI291</f>
        <v>3</v>
      </c>
      <c r="AK291" s="147">
        <f>IF(M2S_Eligibility_List!AK41=DataPaths_Code,1,0)+AJ291</f>
        <v>3</v>
      </c>
      <c r="AL291" s="147">
        <f>IF(M2S_Eligibility_List!AL41=DataPaths_Code,1,0)+AK291</f>
        <v>3</v>
      </c>
      <c r="AM291" s="147">
        <f>IF(M2S_Eligibility_List!AM41=DataPaths_Code,1,0)+AL291</f>
        <v>3</v>
      </c>
      <c r="AN291" s="147">
        <f>IF(M2S_Eligibility_List!AN41=DataPaths_Code,1,0)+AM291</f>
        <v>3</v>
      </c>
      <c r="AO291" s="147">
        <f>IF(M2S_Eligibility_List!AO41=DataPaths_Code,1,0)+AN291</f>
        <v>3</v>
      </c>
      <c r="AP291" s="147">
        <f>IF(M2S_Eligibility_List!AP41=DataPaths_Code,1,0)+AO291</f>
        <v>3</v>
      </c>
      <c r="AQ291" s="147">
        <f>IF(M2S_Eligibility_List!AQ41=DataPaths_Code,1,0)+AP291</f>
        <v>3</v>
      </c>
      <c r="AR291" s="147">
        <f>IF(M2S_Eligibility_List!AR41=DataPaths_Code,1,0)+AQ291</f>
        <v>3</v>
      </c>
      <c r="AS291" s="147">
        <f>IF(M2S_Eligibility_List!AS41=DataPaths_Code,1,0)+AR291</f>
        <v>3</v>
      </c>
      <c r="AT291" s="147">
        <f>IF(M2S_Eligibility_List!AT41=DataPaths_Code,1,0)+AS291</f>
        <v>3</v>
      </c>
      <c r="AU291" s="147">
        <f>IF(M2S_Eligibility_List!AU41=DataPaths_Code,1,0)+AT291</f>
        <v>3</v>
      </c>
      <c r="AV291" s="147">
        <f>IF(M2S_Eligibility_List!AV41=DataPaths_Code,1,0)+AU291</f>
        <v>3</v>
      </c>
      <c r="AW291" s="147">
        <f>IF(M2S_Eligibility_List!AW41=DataPaths_Code,1,0)+AV291</f>
        <v>3</v>
      </c>
      <c r="AX291" s="147">
        <f>IF(M2S_Eligibility_List!AX41=DataPaths_Code,1,0)+AW291</f>
        <v>3</v>
      </c>
      <c r="AY291" s="147">
        <f>IF(M2S_Eligibility_List!AY41=DataPaths_Code,1,0)+AX291</f>
        <v>3</v>
      </c>
      <c r="AZ291" s="147">
        <f>IF(M2S_Eligibility_List!AZ41=DataPaths_Code,1,0)+AY291</f>
        <v>3</v>
      </c>
      <c r="BA291" s="147">
        <f>IF(M2S_Eligibility_List!BA41=DataPaths_Code,1,0)+AZ291</f>
        <v>3</v>
      </c>
      <c r="BB291" s="147">
        <f>IF(M2S_Eligibility_List!BB41=DataPaths_Code,1,0)+BA291</f>
        <v>3</v>
      </c>
      <c r="BC291" s="147">
        <f>IF(M2S_Eligibility_List!BC41=DataPaths_Code,1,0)+BB291</f>
        <v>3</v>
      </c>
      <c r="BD291" s="147">
        <f>IF(M2S_Eligibility_List!BD41=DataPaths_Code,1,0)+BC291</f>
        <v>3</v>
      </c>
      <c r="BE291" s="147">
        <f>IF(M2S_Eligibility_List!BE41=DataPaths_Code,1,0)+BD291</f>
        <v>3</v>
      </c>
      <c r="BF291" s="147">
        <f>IF(M2S_Eligibility_List!BF41=DataPaths_Code,1,0)+BE291</f>
        <v>3</v>
      </c>
      <c r="BG291" s="147">
        <f>IF(M2S_Eligibility_List!BG41=DataPaths_Code,1,0)+BF291</f>
        <v>3</v>
      </c>
      <c r="BH291" s="147">
        <f>IF(M2S_Eligibility_List!BH41=DataPaths_Code,1,0)+BG291</f>
        <v>3</v>
      </c>
      <c r="BI291" s="147">
        <f>IF(M2S_Eligibility_List!BI41=DataPaths_Code,1,0)+BH291</f>
        <v>3</v>
      </c>
      <c r="BJ291" s="147">
        <f>IF(M2S_Eligibility_List!BJ41=DataPaths_Code,1,0)+BI291</f>
        <v>3</v>
      </c>
      <c r="BK291" s="147">
        <f>IF(M2S_Eligibility_List!BK41=DataPaths_Code,1,0)+BJ291</f>
        <v>3</v>
      </c>
      <c r="BL291" s="147">
        <f>IF(M2S_Eligibility_List!BL41=DataPaths_Code,1,0)+BK291</f>
        <v>3</v>
      </c>
      <c r="BM291" s="147">
        <f>IF(M2S_Eligibility_List!BM41=DataPaths_Code,1,0)+BL291</f>
        <v>3</v>
      </c>
      <c r="BN291" s="147">
        <f>IF(M2S_Eligibility_List!BN41=DataPaths_Code,1,0)+BM291</f>
        <v>3</v>
      </c>
      <c r="BO291" s="147">
        <f>IF(M2S_Eligibility_List!BO41=DataPaths_Code,1,0)+BN291</f>
        <v>3</v>
      </c>
      <c r="BP291" s="147">
        <f>IF(M2S_Eligibility_List!BP41=DataPaths_Code,1,0)+BO291</f>
        <v>3</v>
      </c>
      <c r="BQ291" s="147">
        <f>IF(M2S_Eligibility_List!BQ41=DataPaths_Code,1,0)+BP291</f>
        <v>3</v>
      </c>
      <c r="BR291" s="147">
        <f>IF(M2S_Eligibility_List!BR41=DataPaths_Code,1,0)+BQ291</f>
        <v>3</v>
      </c>
      <c r="BS291" s="147">
        <f>IF(M2S_Eligibility_List!BS41=DataPaths_Code,1,0)+BR291</f>
        <v>3</v>
      </c>
      <c r="BT291" s="147">
        <f>IF(M2S_Eligibility_List!BT41=DataPaths_Code,1,0)+BS291</f>
        <v>3</v>
      </c>
      <c r="BU291" s="147">
        <f>IF(M2S_Eligibility_List!BU41=DataPaths_Code,1,0)+BT291</f>
        <v>3</v>
      </c>
      <c r="BV291" s="147">
        <f>IF(M2S_Eligibility_List!BV41=DataPaths_Code,1,0)+BU291</f>
        <v>3</v>
      </c>
      <c r="BW291" s="147">
        <f>IF(M2S_Eligibility_List!BW41=DataPaths_Code,1,0)+BV291</f>
        <v>3</v>
      </c>
    </row>
    <row r="292" spans="1:75" ht="20.100000000000001" customHeight="1">
      <c r="A292" s="145"/>
      <c r="B292" s="170" t="str">
        <f>IF(M2S_Eligibility_List!$B42&lt;&gt;"",RIGHT(M2S_Eligibility_List!$B42,LEN(M2S_Eligibility_List!$B42)-LEN(nmADwSP)),0)</f>
        <v>AutoCAD Mechanical</v>
      </c>
      <c r="C292" s="147">
        <f>IF(M2S_Eligibility_List!C42=DataPaths_Code,1,0)</f>
        <v>1</v>
      </c>
      <c r="D292" s="147">
        <f>IF(M2S_Eligibility_List!D42=DataPaths_Code,1,0)+C292</f>
        <v>2</v>
      </c>
      <c r="E292" s="147">
        <f>IF(M2S_Eligibility_List!E42=DataPaths_Code,1,0)+D292</f>
        <v>2</v>
      </c>
      <c r="F292" s="147">
        <f>IF(M2S_Eligibility_List!F42=DataPaths_Code,1,0)+E292</f>
        <v>2</v>
      </c>
      <c r="G292" s="147">
        <f>IF(M2S_Eligibility_List!G42=DataPaths_Code,1,0)+F292</f>
        <v>2</v>
      </c>
      <c r="H292" s="147">
        <f>IF(M2S_Eligibility_List!H42=DataPaths_Code,1,0)+G292</f>
        <v>2</v>
      </c>
      <c r="I292" s="147">
        <f>IF(M2S_Eligibility_List!I42=DataPaths_Code,1,0)+H292</f>
        <v>2</v>
      </c>
      <c r="J292" s="147">
        <f>IF(M2S_Eligibility_List!J42=DataPaths_Code,1,0)+I292</f>
        <v>2</v>
      </c>
      <c r="K292" s="147">
        <f>IF(M2S_Eligibility_List!K42=DataPaths_Code,1,0)+J292</f>
        <v>2</v>
      </c>
      <c r="L292" s="147">
        <f>IF(M2S_Eligibility_List!L42=DataPaths_Code,1,0)+K292</f>
        <v>2</v>
      </c>
      <c r="M292" s="147">
        <f>IF(M2S_Eligibility_List!M42=DataPaths_Code,1,0)+L292</f>
        <v>3</v>
      </c>
      <c r="N292" s="147">
        <f>IF(M2S_Eligibility_List!N42=DataPaths_Code,1,0)+M292</f>
        <v>3</v>
      </c>
      <c r="O292" s="147">
        <f>IF(M2S_Eligibility_List!O42=DataPaths_Code,1,0)+N292</f>
        <v>3</v>
      </c>
      <c r="P292" s="147">
        <f>IF(M2S_Eligibility_List!P42=DataPaths_Code,1,0)+O292</f>
        <v>3</v>
      </c>
      <c r="Q292" s="147">
        <f>IF(M2S_Eligibility_List!Q42=DataPaths_Code,1,0)+P292</f>
        <v>3</v>
      </c>
      <c r="R292" s="147">
        <f>IF(M2S_Eligibility_List!R42=DataPaths_Code,1,0)+Q292</f>
        <v>3</v>
      </c>
      <c r="S292" s="147">
        <f>IF(M2S_Eligibility_List!S42=DataPaths_Code,1,0)+R292</f>
        <v>3</v>
      </c>
      <c r="T292" s="147">
        <f>IF(M2S_Eligibility_List!T42=DataPaths_Code,1,0)+S292</f>
        <v>3</v>
      </c>
      <c r="U292" s="147">
        <f>IF(M2S_Eligibility_List!U42=DataPaths_Code,1,0)+T292</f>
        <v>3</v>
      </c>
      <c r="V292" s="147">
        <f>IF(M2S_Eligibility_List!V42=DataPaths_Code,1,0)+U292</f>
        <v>3</v>
      </c>
      <c r="W292" s="147">
        <f>IF(M2S_Eligibility_List!W42=DataPaths_Code,1,0)+V292</f>
        <v>3</v>
      </c>
      <c r="X292" s="147">
        <f>IF(M2S_Eligibility_List!X42=DataPaths_Code,1,0)+W292</f>
        <v>3</v>
      </c>
      <c r="Y292" s="147">
        <f>IF(M2S_Eligibility_List!Y42=DataPaths_Code,1,0)+X292</f>
        <v>3</v>
      </c>
      <c r="Z292" s="147">
        <f>IF(M2S_Eligibility_List!Z42=DataPaths_Code,1,0)+Y292</f>
        <v>3</v>
      </c>
      <c r="AA292" s="147">
        <f>IF(M2S_Eligibility_List!AA42=DataPaths_Code,1,0)+Z292</f>
        <v>3</v>
      </c>
      <c r="AB292" s="147">
        <f>IF(M2S_Eligibility_List!AB42=DataPaths_Code,1,0)+AA292</f>
        <v>3</v>
      </c>
      <c r="AC292" s="147">
        <f>IF(M2S_Eligibility_List!AC42=DataPaths_Code,1,0)+AB292</f>
        <v>3</v>
      </c>
      <c r="AD292" s="147">
        <f>IF(M2S_Eligibility_List!AD42=DataPaths_Code,1,0)+AC292</f>
        <v>3</v>
      </c>
      <c r="AE292" s="147">
        <f>IF(M2S_Eligibility_List!AE42=DataPaths_Code,1,0)+AD292</f>
        <v>3</v>
      </c>
      <c r="AF292" s="147">
        <f>IF(M2S_Eligibility_List!AF42=DataPaths_Code,1,0)+AE292</f>
        <v>3</v>
      </c>
      <c r="AG292" s="147">
        <f>IF(M2S_Eligibility_List!AG42=DataPaths_Code,1,0)+AF292</f>
        <v>3</v>
      </c>
      <c r="AH292" s="147">
        <f>IF(M2S_Eligibility_List!AH42=DataPaths_Code,1,0)+AG292</f>
        <v>3</v>
      </c>
      <c r="AI292" s="147">
        <f>IF(M2S_Eligibility_List!AI42=DataPaths_Code,1,0)+AH292</f>
        <v>3</v>
      </c>
      <c r="AJ292" s="147">
        <f>IF(M2S_Eligibility_List!AJ42=DataPaths_Code,1,0)+AI292</f>
        <v>3</v>
      </c>
      <c r="AK292" s="147">
        <f>IF(M2S_Eligibility_List!AK42=DataPaths_Code,1,0)+AJ292</f>
        <v>3</v>
      </c>
      <c r="AL292" s="147">
        <f>IF(M2S_Eligibility_List!AL42=DataPaths_Code,1,0)+AK292</f>
        <v>3</v>
      </c>
      <c r="AM292" s="147">
        <f>IF(M2S_Eligibility_List!AM42=DataPaths_Code,1,0)+AL292</f>
        <v>3</v>
      </c>
      <c r="AN292" s="147">
        <f>IF(M2S_Eligibility_List!AN42=DataPaths_Code,1,0)+AM292</f>
        <v>3</v>
      </c>
      <c r="AO292" s="147">
        <f>IF(M2S_Eligibility_List!AO42=DataPaths_Code,1,0)+AN292</f>
        <v>3</v>
      </c>
      <c r="AP292" s="147">
        <f>IF(M2S_Eligibility_List!AP42=DataPaths_Code,1,0)+AO292</f>
        <v>3</v>
      </c>
      <c r="AQ292" s="147">
        <f>IF(M2S_Eligibility_List!AQ42=DataPaths_Code,1,0)+AP292</f>
        <v>3</v>
      </c>
      <c r="AR292" s="147">
        <f>IF(M2S_Eligibility_List!AR42=DataPaths_Code,1,0)+AQ292</f>
        <v>3</v>
      </c>
      <c r="AS292" s="147">
        <f>IF(M2S_Eligibility_List!AS42=DataPaths_Code,1,0)+AR292</f>
        <v>3</v>
      </c>
      <c r="AT292" s="147">
        <f>IF(M2S_Eligibility_List!AT42=DataPaths_Code,1,0)+AS292</f>
        <v>3</v>
      </c>
      <c r="AU292" s="147">
        <f>IF(M2S_Eligibility_List!AU42=DataPaths_Code,1,0)+AT292</f>
        <v>3</v>
      </c>
      <c r="AV292" s="147">
        <f>IF(M2S_Eligibility_List!AV42=DataPaths_Code,1,0)+AU292</f>
        <v>3</v>
      </c>
      <c r="AW292" s="147">
        <f>IF(M2S_Eligibility_List!AW42=DataPaths_Code,1,0)+AV292</f>
        <v>3</v>
      </c>
      <c r="AX292" s="147">
        <f>IF(M2S_Eligibility_List!AX42=DataPaths_Code,1,0)+AW292</f>
        <v>3</v>
      </c>
      <c r="AY292" s="147">
        <f>IF(M2S_Eligibility_List!AY42=DataPaths_Code,1,0)+AX292</f>
        <v>3</v>
      </c>
      <c r="AZ292" s="147">
        <f>IF(M2S_Eligibility_List!AZ42=DataPaths_Code,1,0)+AY292</f>
        <v>3</v>
      </c>
      <c r="BA292" s="147">
        <f>IF(M2S_Eligibility_List!BA42=DataPaths_Code,1,0)+AZ292</f>
        <v>3</v>
      </c>
      <c r="BB292" s="147">
        <f>IF(M2S_Eligibility_List!BB42=DataPaths_Code,1,0)+BA292</f>
        <v>3</v>
      </c>
      <c r="BC292" s="147">
        <f>IF(M2S_Eligibility_List!BC42=DataPaths_Code,1,0)+BB292</f>
        <v>3</v>
      </c>
      <c r="BD292" s="147">
        <f>IF(M2S_Eligibility_List!BD42=DataPaths_Code,1,0)+BC292</f>
        <v>3</v>
      </c>
      <c r="BE292" s="147">
        <f>IF(M2S_Eligibility_List!BE42=DataPaths_Code,1,0)+BD292</f>
        <v>3</v>
      </c>
      <c r="BF292" s="147">
        <f>IF(M2S_Eligibility_List!BF42=DataPaths_Code,1,0)+BE292</f>
        <v>3</v>
      </c>
      <c r="BG292" s="147">
        <f>IF(M2S_Eligibility_List!BG42=DataPaths_Code,1,0)+BF292</f>
        <v>3</v>
      </c>
      <c r="BH292" s="147">
        <f>IF(M2S_Eligibility_List!BH42=DataPaths_Code,1,0)+BG292</f>
        <v>3</v>
      </c>
      <c r="BI292" s="147">
        <f>IF(M2S_Eligibility_List!BI42=DataPaths_Code,1,0)+BH292</f>
        <v>3</v>
      </c>
      <c r="BJ292" s="147">
        <f>IF(M2S_Eligibility_List!BJ42=DataPaths_Code,1,0)+BI292</f>
        <v>3</v>
      </c>
      <c r="BK292" s="147">
        <f>IF(M2S_Eligibility_List!BK42=DataPaths_Code,1,0)+BJ292</f>
        <v>3</v>
      </c>
      <c r="BL292" s="147">
        <f>IF(M2S_Eligibility_List!BL42=DataPaths_Code,1,0)+BK292</f>
        <v>3</v>
      </c>
      <c r="BM292" s="147">
        <f>IF(M2S_Eligibility_List!BM42=DataPaths_Code,1,0)+BL292</f>
        <v>3</v>
      </c>
      <c r="BN292" s="147">
        <f>IF(M2S_Eligibility_List!BN42=DataPaths_Code,1,0)+BM292</f>
        <v>3</v>
      </c>
      <c r="BO292" s="147">
        <f>IF(M2S_Eligibility_List!BO42=DataPaths_Code,1,0)+BN292</f>
        <v>3</v>
      </c>
      <c r="BP292" s="147">
        <f>IF(M2S_Eligibility_List!BP42=DataPaths_Code,1,0)+BO292</f>
        <v>3</v>
      </c>
      <c r="BQ292" s="147">
        <f>IF(M2S_Eligibility_List!BQ42=DataPaths_Code,1,0)+BP292</f>
        <v>3</v>
      </c>
      <c r="BR292" s="147">
        <f>IF(M2S_Eligibility_List!BR42=DataPaths_Code,1,0)+BQ292</f>
        <v>3</v>
      </c>
      <c r="BS292" s="147">
        <f>IF(M2S_Eligibility_List!BS42=DataPaths_Code,1,0)+BR292</f>
        <v>3</v>
      </c>
      <c r="BT292" s="147">
        <f>IF(M2S_Eligibility_List!BT42=DataPaths_Code,1,0)+BS292</f>
        <v>3</v>
      </c>
      <c r="BU292" s="147">
        <f>IF(M2S_Eligibility_List!BU42=DataPaths_Code,1,0)+BT292</f>
        <v>3</v>
      </c>
      <c r="BV292" s="147">
        <f>IF(M2S_Eligibility_List!BV42=DataPaths_Code,1,0)+BU292</f>
        <v>3</v>
      </c>
      <c r="BW292" s="147">
        <f>IF(M2S_Eligibility_List!BW42=DataPaths_Code,1,0)+BV292</f>
        <v>3</v>
      </c>
    </row>
    <row r="293" spans="1:75" ht="20.100000000000001" customHeight="1">
      <c r="A293" s="145"/>
      <c r="B293" s="170" t="str">
        <f>IF(M2S_Eligibility_List!$B43&lt;&gt;"",RIGHT(M2S_Eligibility_List!$B43,LEN(M2S_Eligibility_List!$B43)-LEN(nmADwSP)),0)</f>
        <v>AutoCAD MEP</v>
      </c>
      <c r="C293" s="147">
        <f>IF(M2S_Eligibility_List!C43=DataPaths_Code,1,0)</f>
        <v>1</v>
      </c>
      <c r="D293" s="147">
        <f>IF(M2S_Eligibility_List!D43=DataPaths_Code,1,0)+C293</f>
        <v>2</v>
      </c>
      <c r="E293" s="147">
        <f>IF(M2S_Eligibility_List!E43=DataPaths_Code,1,0)+D293</f>
        <v>2</v>
      </c>
      <c r="F293" s="147">
        <f>IF(M2S_Eligibility_List!F43=DataPaths_Code,1,0)+E293</f>
        <v>2</v>
      </c>
      <c r="G293" s="147">
        <f>IF(M2S_Eligibility_List!G43=DataPaths_Code,1,0)+F293</f>
        <v>2</v>
      </c>
      <c r="H293" s="147">
        <f>IF(M2S_Eligibility_List!H43=DataPaths_Code,1,0)+G293</f>
        <v>2</v>
      </c>
      <c r="I293" s="147">
        <f>IF(M2S_Eligibility_List!I43=DataPaths_Code,1,0)+H293</f>
        <v>2</v>
      </c>
      <c r="J293" s="147">
        <f>IF(M2S_Eligibility_List!J43=DataPaths_Code,1,0)+I293</f>
        <v>2</v>
      </c>
      <c r="K293" s="147">
        <f>IF(M2S_Eligibility_List!K43=DataPaths_Code,1,0)+J293</f>
        <v>2</v>
      </c>
      <c r="L293" s="147">
        <f>IF(M2S_Eligibility_List!L43=DataPaths_Code,1,0)+K293</f>
        <v>2</v>
      </c>
      <c r="M293" s="147">
        <f>IF(M2S_Eligibility_List!M43=DataPaths_Code,1,0)+L293</f>
        <v>3</v>
      </c>
      <c r="N293" s="147">
        <f>IF(M2S_Eligibility_List!N43=DataPaths_Code,1,0)+M293</f>
        <v>3</v>
      </c>
      <c r="O293" s="147">
        <f>IF(M2S_Eligibility_List!O43=DataPaths_Code,1,0)+N293</f>
        <v>3</v>
      </c>
      <c r="P293" s="147">
        <f>IF(M2S_Eligibility_List!P43=DataPaths_Code,1,0)+O293</f>
        <v>3</v>
      </c>
      <c r="Q293" s="147">
        <f>IF(M2S_Eligibility_List!Q43=DataPaths_Code,1,0)+P293</f>
        <v>3</v>
      </c>
      <c r="R293" s="147">
        <f>IF(M2S_Eligibility_List!R43=DataPaths_Code,1,0)+Q293</f>
        <v>3</v>
      </c>
      <c r="S293" s="147">
        <f>IF(M2S_Eligibility_List!S43=DataPaths_Code,1,0)+R293</f>
        <v>3</v>
      </c>
      <c r="T293" s="147">
        <f>IF(M2S_Eligibility_List!T43=DataPaths_Code,1,0)+S293</f>
        <v>3</v>
      </c>
      <c r="U293" s="147">
        <f>IF(M2S_Eligibility_List!U43=DataPaths_Code,1,0)+T293</f>
        <v>3</v>
      </c>
      <c r="V293" s="147">
        <f>IF(M2S_Eligibility_List!V43=DataPaths_Code,1,0)+U293</f>
        <v>3</v>
      </c>
      <c r="W293" s="147">
        <f>IF(M2S_Eligibility_List!W43=DataPaths_Code,1,0)+V293</f>
        <v>3</v>
      </c>
      <c r="X293" s="147">
        <f>IF(M2S_Eligibility_List!X43=DataPaths_Code,1,0)+W293</f>
        <v>3</v>
      </c>
      <c r="Y293" s="147">
        <f>IF(M2S_Eligibility_List!Y43=DataPaths_Code,1,0)+X293</f>
        <v>3</v>
      </c>
      <c r="Z293" s="147">
        <f>IF(M2S_Eligibility_List!Z43=DataPaths_Code,1,0)+Y293</f>
        <v>3</v>
      </c>
      <c r="AA293" s="147">
        <f>IF(M2S_Eligibility_List!AA43=DataPaths_Code,1,0)+Z293</f>
        <v>3</v>
      </c>
      <c r="AB293" s="147">
        <f>IF(M2S_Eligibility_List!AB43=DataPaths_Code,1,0)+AA293</f>
        <v>3</v>
      </c>
      <c r="AC293" s="147">
        <f>IF(M2S_Eligibility_List!AC43=DataPaths_Code,1,0)+AB293</f>
        <v>3</v>
      </c>
      <c r="AD293" s="147">
        <f>IF(M2S_Eligibility_List!AD43=DataPaths_Code,1,0)+AC293</f>
        <v>3</v>
      </c>
      <c r="AE293" s="147">
        <f>IF(M2S_Eligibility_List!AE43=DataPaths_Code,1,0)+AD293</f>
        <v>3</v>
      </c>
      <c r="AF293" s="147">
        <f>IF(M2S_Eligibility_List!AF43=DataPaths_Code,1,0)+AE293</f>
        <v>3</v>
      </c>
      <c r="AG293" s="147">
        <f>IF(M2S_Eligibility_List!AG43=DataPaths_Code,1,0)+AF293</f>
        <v>3</v>
      </c>
      <c r="AH293" s="147">
        <f>IF(M2S_Eligibility_List!AH43=DataPaths_Code,1,0)+AG293</f>
        <v>3</v>
      </c>
      <c r="AI293" s="147">
        <f>IF(M2S_Eligibility_List!AI43=DataPaths_Code,1,0)+AH293</f>
        <v>3</v>
      </c>
      <c r="AJ293" s="147">
        <f>IF(M2S_Eligibility_List!AJ43=DataPaths_Code,1,0)+AI293</f>
        <v>3</v>
      </c>
      <c r="AK293" s="147">
        <f>IF(M2S_Eligibility_List!AK43=DataPaths_Code,1,0)+AJ293</f>
        <v>3</v>
      </c>
      <c r="AL293" s="147">
        <f>IF(M2S_Eligibility_List!AL43=DataPaths_Code,1,0)+AK293</f>
        <v>3</v>
      </c>
      <c r="AM293" s="147">
        <f>IF(M2S_Eligibility_List!AM43=DataPaths_Code,1,0)+AL293</f>
        <v>3</v>
      </c>
      <c r="AN293" s="147">
        <f>IF(M2S_Eligibility_List!AN43=DataPaths_Code,1,0)+AM293</f>
        <v>3</v>
      </c>
      <c r="AO293" s="147">
        <f>IF(M2S_Eligibility_List!AO43=DataPaths_Code,1,0)+AN293</f>
        <v>3</v>
      </c>
      <c r="AP293" s="147">
        <f>IF(M2S_Eligibility_List!AP43=DataPaths_Code,1,0)+AO293</f>
        <v>3</v>
      </c>
      <c r="AQ293" s="147">
        <f>IF(M2S_Eligibility_List!AQ43=DataPaths_Code,1,0)+AP293</f>
        <v>3</v>
      </c>
      <c r="AR293" s="147">
        <f>IF(M2S_Eligibility_List!AR43=DataPaths_Code,1,0)+AQ293</f>
        <v>3</v>
      </c>
      <c r="AS293" s="147">
        <f>IF(M2S_Eligibility_List!AS43=DataPaths_Code,1,0)+AR293</f>
        <v>3</v>
      </c>
      <c r="AT293" s="147">
        <f>IF(M2S_Eligibility_List!AT43=DataPaths_Code,1,0)+AS293</f>
        <v>3</v>
      </c>
      <c r="AU293" s="147">
        <f>IF(M2S_Eligibility_List!AU43=DataPaths_Code,1,0)+AT293</f>
        <v>3</v>
      </c>
      <c r="AV293" s="147">
        <f>IF(M2S_Eligibility_List!AV43=DataPaths_Code,1,0)+AU293</f>
        <v>3</v>
      </c>
      <c r="AW293" s="147">
        <f>IF(M2S_Eligibility_List!AW43=DataPaths_Code,1,0)+AV293</f>
        <v>3</v>
      </c>
      <c r="AX293" s="147">
        <f>IF(M2S_Eligibility_List!AX43=DataPaths_Code,1,0)+AW293</f>
        <v>3</v>
      </c>
      <c r="AY293" s="147">
        <f>IF(M2S_Eligibility_List!AY43=DataPaths_Code,1,0)+AX293</f>
        <v>3</v>
      </c>
      <c r="AZ293" s="147">
        <f>IF(M2S_Eligibility_List!AZ43=DataPaths_Code,1,0)+AY293</f>
        <v>3</v>
      </c>
      <c r="BA293" s="147">
        <f>IF(M2S_Eligibility_List!BA43=DataPaths_Code,1,0)+AZ293</f>
        <v>3</v>
      </c>
      <c r="BB293" s="147">
        <f>IF(M2S_Eligibility_List!BB43=DataPaths_Code,1,0)+BA293</f>
        <v>3</v>
      </c>
      <c r="BC293" s="147">
        <f>IF(M2S_Eligibility_List!BC43=DataPaths_Code,1,0)+BB293</f>
        <v>3</v>
      </c>
      <c r="BD293" s="147">
        <f>IF(M2S_Eligibility_List!BD43=DataPaths_Code,1,0)+BC293</f>
        <v>3</v>
      </c>
      <c r="BE293" s="147">
        <f>IF(M2S_Eligibility_List!BE43=DataPaths_Code,1,0)+BD293</f>
        <v>3</v>
      </c>
      <c r="BF293" s="147">
        <f>IF(M2S_Eligibility_List!BF43=DataPaths_Code,1,0)+BE293</f>
        <v>3</v>
      </c>
      <c r="BG293" s="147">
        <f>IF(M2S_Eligibility_List!BG43=DataPaths_Code,1,0)+BF293</f>
        <v>3</v>
      </c>
      <c r="BH293" s="147">
        <f>IF(M2S_Eligibility_List!BH43=DataPaths_Code,1,0)+BG293</f>
        <v>3</v>
      </c>
      <c r="BI293" s="147">
        <f>IF(M2S_Eligibility_List!BI43=DataPaths_Code,1,0)+BH293</f>
        <v>3</v>
      </c>
      <c r="BJ293" s="147">
        <f>IF(M2S_Eligibility_List!BJ43=DataPaths_Code,1,0)+BI293</f>
        <v>3</v>
      </c>
      <c r="BK293" s="147">
        <f>IF(M2S_Eligibility_List!BK43=DataPaths_Code,1,0)+BJ293</f>
        <v>3</v>
      </c>
      <c r="BL293" s="147">
        <f>IF(M2S_Eligibility_List!BL43=DataPaths_Code,1,0)+BK293</f>
        <v>3</v>
      </c>
      <c r="BM293" s="147">
        <f>IF(M2S_Eligibility_List!BM43=DataPaths_Code,1,0)+BL293</f>
        <v>3</v>
      </c>
      <c r="BN293" s="147">
        <f>IF(M2S_Eligibility_List!BN43=DataPaths_Code,1,0)+BM293</f>
        <v>3</v>
      </c>
      <c r="BO293" s="147">
        <f>IF(M2S_Eligibility_List!BO43=DataPaths_Code,1,0)+BN293</f>
        <v>3</v>
      </c>
      <c r="BP293" s="147">
        <f>IF(M2S_Eligibility_List!BP43=DataPaths_Code,1,0)+BO293</f>
        <v>3</v>
      </c>
      <c r="BQ293" s="147">
        <f>IF(M2S_Eligibility_List!BQ43=DataPaths_Code,1,0)+BP293</f>
        <v>3</v>
      </c>
      <c r="BR293" s="147">
        <f>IF(M2S_Eligibility_List!BR43=DataPaths_Code,1,0)+BQ293</f>
        <v>3</v>
      </c>
      <c r="BS293" s="147">
        <f>IF(M2S_Eligibility_List!BS43=DataPaths_Code,1,0)+BR293</f>
        <v>3</v>
      </c>
      <c r="BT293" s="147">
        <f>IF(M2S_Eligibility_List!BT43=DataPaths_Code,1,0)+BS293</f>
        <v>3</v>
      </c>
      <c r="BU293" s="147">
        <f>IF(M2S_Eligibility_List!BU43=DataPaths_Code,1,0)+BT293</f>
        <v>3</v>
      </c>
      <c r="BV293" s="147">
        <f>IF(M2S_Eligibility_List!BV43=DataPaths_Code,1,0)+BU293</f>
        <v>3</v>
      </c>
      <c r="BW293" s="147">
        <f>IF(M2S_Eligibility_List!BW43=DataPaths_Code,1,0)+BV293</f>
        <v>3</v>
      </c>
    </row>
    <row r="294" spans="1:75" ht="20.100000000000001" customHeight="1">
      <c r="A294" s="145"/>
      <c r="B294" s="170" t="str">
        <f>IF(M2S_Eligibility_List!$B44&lt;&gt;"",RIGHT(M2S_Eligibility_List!$B44,LEN(M2S_Eligibility_List!$B44)-LEN(nmADwSP)),0)</f>
        <v>AutoCAD P&amp;ID</v>
      </c>
      <c r="C294" s="147">
        <f>IF(M2S_Eligibility_List!C44=DataPaths_Code,1,0)</f>
        <v>1</v>
      </c>
      <c r="D294" s="147">
        <f>IF(M2S_Eligibility_List!D44=DataPaths_Code,1,0)+C294</f>
        <v>2</v>
      </c>
      <c r="E294" s="147">
        <f>IF(M2S_Eligibility_List!E44=DataPaths_Code,1,0)+D294</f>
        <v>2</v>
      </c>
      <c r="F294" s="147">
        <f>IF(M2S_Eligibility_List!F44=DataPaths_Code,1,0)+E294</f>
        <v>2</v>
      </c>
      <c r="G294" s="147">
        <f>IF(M2S_Eligibility_List!G44=DataPaths_Code,1,0)+F294</f>
        <v>2</v>
      </c>
      <c r="H294" s="147">
        <f>IF(M2S_Eligibility_List!H44=DataPaths_Code,1,0)+G294</f>
        <v>2</v>
      </c>
      <c r="I294" s="147">
        <f>IF(M2S_Eligibility_List!I44=DataPaths_Code,1,0)+H294</f>
        <v>2</v>
      </c>
      <c r="J294" s="147">
        <f>IF(M2S_Eligibility_List!J44=DataPaths_Code,1,0)+I294</f>
        <v>2</v>
      </c>
      <c r="K294" s="147">
        <f>IF(M2S_Eligibility_List!K44=DataPaths_Code,1,0)+J294</f>
        <v>2</v>
      </c>
      <c r="L294" s="147">
        <f>IF(M2S_Eligibility_List!L44=DataPaths_Code,1,0)+K294</f>
        <v>2</v>
      </c>
      <c r="M294" s="147">
        <f>IF(M2S_Eligibility_List!M44=DataPaths_Code,1,0)+L294</f>
        <v>2</v>
      </c>
      <c r="N294" s="147">
        <f>IF(M2S_Eligibility_List!N44=DataPaths_Code,1,0)+M294</f>
        <v>2</v>
      </c>
      <c r="O294" s="147">
        <f>IF(M2S_Eligibility_List!O44=DataPaths_Code,1,0)+N294</f>
        <v>2</v>
      </c>
      <c r="P294" s="147">
        <f>IF(M2S_Eligibility_List!P44=DataPaths_Code,1,0)+O294</f>
        <v>2</v>
      </c>
      <c r="Q294" s="147">
        <f>IF(M2S_Eligibility_List!Q44=DataPaths_Code,1,0)+P294</f>
        <v>2</v>
      </c>
      <c r="R294" s="147">
        <f>IF(M2S_Eligibility_List!R44=DataPaths_Code,1,0)+Q294</f>
        <v>2</v>
      </c>
      <c r="S294" s="147">
        <f>IF(M2S_Eligibility_List!S44=DataPaths_Code,1,0)+R294</f>
        <v>2</v>
      </c>
      <c r="T294" s="147">
        <f>IF(M2S_Eligibility_List!T44=DataPaths_Code,1,0)+S294</f>
        <v>2</v>
      </c>
      <c r="U294" s="147">
        <f>IF(M2S_Eligibility_List!U44=DataPaths_Code,1,0)+T294</f>
        <v>2</v>
      </c>
      <c r="V294" s="147">
        <f>IF(M2S_Eligibility_List!V44=DataPaths_Code,1,0)+U294</f>
        <v>2</v>
      </c>
      <c r="W294" s="147">
        <f>IF(M2S_Eligibility_List!W44=DataPaths_Code,1,0)+V294</f>
        <v>2</v>
      </c>
      <c r="X294" s="147">
        <f>IF(M2S_Eligibility_List!X44=DataPaths_Code,1,0)+W294</f>
        <v>2</v>
      </c>
      <c r="Y294" s="147">
        <f>IF(M2S_Eligibility_List!Y44=DataPaths_Code,1,0)+X294</f>
        <v>2</v>
      </c>
      <c r="Z294" s="147">
        <f>IF(M2S_Eligibility_List!Z44=DataPaths_Code,1,0)+Y294</f>
        <v>2</v>
      </c>
      <c r="AA294" s="147">
        <f>IF(M2S_Eligibility_List!AA44=DataPaths_Code,1,0)+Z294</f>
        <v>2</v>
      </c>
      <c r="AB294" s="147">
        <f>IF(M2S_Eligibility_List!AB44=DataPaths_Code,1,0)+AA294</f>
        <v>2</v>
      </c>
      <c r="AC294" s="147">
        <f>IF(M2S_Eligibility_List!AC44=DataPaths_Code,1,0)+AB294</f>
        <v>2</v>
      </c>
      <c r="AD294" s="147">
        <f>IF(M2S_Eligibility_List!AD44=DataPaths_Code,1,0)+AC294</f>
        <v>2</v>
      </c>
      <c r="AE294" s="147">
        <f>IF(M2S_Eligibility_List!AE44=DataPaths_Code,1,0)+AD294</f>
        <v>2</v>
      </c>
      <c r="AF294" s="147">
        <f>IF(M2S_Eligibility_List!AF44=DataPaths_Code,1,0)+AE294</f>
        <v>2</v>
      </c>
      <c r="AG294" s="147">
        <f>IF(M2S_Eligibility_List!AG44=DataPaths_Code,1,0)+AF294</f>
        <v>2</v>
      </c>
      <c r="AH294" s="147">
        <f>IF(M2S_Eligibility_List!AH44=DataPaths_Code,1,0)+AG294</f>
        <v>2</v>
      </c>
      <c r="AI294" s="147">
        <f>IF(M2S_Eligibility_List!AI44=DataPaths_Code,1,0)+AH294</f>
        <v>2</v>
      </c>
      <c r="AJ294" s="147">
        <f>IF(M2S_Eligibility_List!AJ44=DataPaths_Code,1,0)+AI294</f>
        <v>2</v>
      </c>
      <c r="AK294" s="147">
        <f>IF(M2S_Eligibility_List!AK44=DataPaths_Code,1,0)+AJ294</f>
        <v>2</v>
      </c>
      <c r="AL294" s="147">
        <f>IF(M2S_Eligibility_List!AL44=DataPaths_Code,1,0)+AK294</f>
        <v>2</v>
      </c>
      <c r="AM294" s="147">
        <f>IF(M2S_Eligibility_List!AM44=DataPaths_Code,1,0)+AL294</f>
        <v>2</v>
      </c>
      <c r="AN294" s="147">
        <f>IF(M2S_Eligibility_List!AN44=DataPaths_Code,1,0)+AM294</f>
        <v>2</v>
      </c>
      <c r="AO294" s="147">
        <f>IF(M2S_Eligibility_List!AO44=DataPaths_Code,1,0)+AN294</f>
        <v>2</v>
      </c>
      <c r="AP294" s="147">
        <f>IF(M2S_Eligibility_List!AP44=DataPaths_Code,1,0)+AO294</f>
        <v>2</v>
      </c>
      <c r="AQ294" s="147">
        <f>IF(M2S_Eligibility_List!AQ44=DataPaths_Code,1,0)+AP294</f>
        <v>2</v>
      </c>
      <c r="AR294" s="147">
        <f>IF(M2S_Eligibility_List!AR44=DataPaths_Code,1,0)+AQ294</f>
        <v>2</v>
      </c>
      <c r="AS294" s="147">
        <f>IF(M2S_Eligibility_List!AS44=DataPaths_Code,1,0)+AR294</f>
        <v>2</v>
      </c>
      <c r="AT294" s="147">
        <f>IF(M2S_Eligibility_List!AT44=DataPaths_Code,1,0)+AS294</f>
        <v>2</v>
      </c>
      <c r="AU294" s="147">
        <f>IF(M2S_Eligibility_List!AU44=DataPaths_Code,1,0)+AT294</f>
        <v>2</v>
      </c>
      <c r="AV294" s="147">
        <f>IF(M2S_Eligibility_List!AV44=DataPaths_Code,1,0)+AU294</f>
        <v>2</v>
      </c>
      <c r="AW294" s="147">
        <f>IF(M2S_Eligibility_List!AW44=DataPaths_Code,1,0)+AV294</f>
        <v>2</v>
      </c>
      <c r="AX294" s="147">
        <f>IF(M2S_Eligibility_List!AX44=DataPaths_Code,1,0)+AW294</f>
        <v>2</v>
      </c>
      <c r="AY294" s="147">
        <f>IF(M2S_Eligibility_List!AY44=DataPaths_Code,1,0)+AX294</f>
        <v>2</v>
      </c>
      <c r="AZ294" s="147">
        <f>IF(M2S_Eligibility_List!AZ44=DataPaths_Code,1,0)+AY294</f>
        <v>2</v>
      </c>
      <c r="BA294" s="147">
        <f>IF(M2S_Eligibility_List!BA44=DataPaths_Code,1,0)+AZ294</f>
        <v>2</v>
      </c>
      <c r="BB294" s="147">
        <f>IF(M2S_Eligibility_List!BB44=DataPaths_Code,1,0)+BA294</f>
        <v>2</v>
      </c>
      <c r="BC294" s="147">
        <f>IF(M2S_Eligibility_List!BC44=DataPaths_Code,1,0)+BB294</f>
        <v>2</v>
      </c>
      <c r="BD294" s="147">
        <f>IF(M2S_Eligibility_List!BD44=DataPaths_Code,1,0)+BC294</f>
        <v>2</v>
      </c>
      <c r="BE294" s="147">
        <f>IF(M2S_Eligibility_List!BE44=DataPaths_Code,1,0)+BD294</f>
        <v>2</v>
      </c>
      <c r="BF294" s="147">
        <f>IF(M2S_Eligibility_List!BF44=DataPaths_Code,1,0)+BE294</f>
        <v>2</v>
      </c>
      <c r="BG294" s="147">
        <f>IF(M2S_Eligibility_List!BG44=DataPaths_Code,1,0)+BF294</f>
        <v>2</v>
      </c>
      <c r="BH294" s="147">
        <f>IF(M2S_Eligibility_List!BH44=DataPaths_Code,1,0)+BG294</f>
        <v>2</v>
      </c>
      <c r="BI294" s="147">
        <f>IF(M2S_Eligibility_List!BI44=DataPaths_Code,1,0)+BH294</f>
        <v>2</v>
      </c>
      <c r="BJ294" s="147">
        <f>IF(M2S_Eligibility_List!BJ44=DataPaths_Code,1,0)+BI294</f>
        <v>2</v>
      </c>
      <c r="BK294" s="147">
        <f>IF(M2S_Eligibility_List!BK44=DataPaths_Code,1,0)+BJ294</f>
        <v>2</v>
      </c>
      <c r="BL294" s="147">
        <f>IF(M2S_Eligibility_List!BL44=DataPaths_Code,1,0)+BK294</f>
        <v>2</v>
      </c>
      <c r="BM294" s="147">
        <f>IF(M2S_Eligibility_List!BM44=DataPaths_Code,1,0)+BL294</f>
        <v>2</v>
      </c>
      <c r="BN294" s="147">
        <f>IF(M2S_Eligibility_List!BN44=DataPaths_Code,1,0)+BM294</f>
        <v>2</v>
      </c>
      <c r="BO294" s="147">
        <f>IF(M2S_Eligibility_List!BO44=DataPaths_Code,1,0)+BN294</f>
        <v>2</v>
      </c>
      <c r="BP294" s="147">
        <f>IF(M2S_Eligibility_List!BP44=DataPaths_Code,1,0)+BO294</f>
        <v>2</v>
      </c>
      <c r="BQ294" s="147">
        <f>IF(M2S_Eligibility_List!BQ44=DataPaths_Code,1,0)+BP294</f>
        <v>2</v>
      </c>
      <c r="BR294" s="147">
        <f>IF(M2S_Eligibility_List!BR44=DataPaths_Code,1,0)+BQ294</f>
        <v>2</v>
      </c>
      <c r="BS294" s="147">
        <f>IF(M2S_Eligibility_List!BS44=DataPaths_Code,1,0)+BR294</f>
        <v>2</v>
      </c>
      <c r="BT294" s="147">
        <f>IF(M2S_Eligibility_List!BT44=DataPaths_Code,1,0)+BS294</f>
        <v>2</v>
      </c>
      <c r="BU294" s="147">
        <f>IF(M2S_Eligibility_List!BU44=DataPaths_Code,1,0)+BT294</f>
        <v>2</v>
      </c>
      <c r="BV294" s="147">
        <f>IF(M2S_Eligibility_List!BV44=DataPaths_Code,1,0)+BU294</f>
        <v>2</v>
      </c>
      <c r="BW294" s="147">
        <f>IF(M2S_Eligibility_List!BW44=DataPaths_Code,1,0)+BV294</f>
        <v>2</v>
      </c>
    </row>
    <row r="295" spans="1:75" ht="20.100000000000001" customHeight="1">
      <c r="A295" s="145"/>
      <c r="B295" s="170" t="str">
        <f>IF(M2S_Eligibility_List!$B45&lt;&gt;"",RIGHT(M2S_Eligibility_List!$B45,LEN(M2S_Eligibility_List!$B45)-LEN(nmADwSP)),0)</f>
        <v>AutoCAD Plant 3D*</v>
      </c>
      <c r="C295" s="147">
        <f>IF(M2S_Eligibility_List!C45=DataPaths_Code,1,0)</f>
        <v>1</v>
      </c>
      <c r="D295" s="147">
        <f>IF(M2S_Eligibility_List!D45=DataPaths_Code,1,0)+C295</f>
        <v>2</v>
      </c>
      <c r="E295" s="147">
        <f>IF(M2S_Eligibility_List!E45=DataPaths_Code,1,0)+D295</f>
        <v>2</v>
      </c>
      <c r="F295" s="147">
        <f>IF(M2S_Eligibility_List!F45=DataPaths_Code,1,0)+E295</f>
        <v>2</v>
      </c>
      <c r="G295" s="147">
        <f>IF(M2S_Eligibility_List!G45=DataPaths_Code,1,0)+F295</f>
        <v>2</v>
      </c>
      <c r="H295" s="147">
        <f>IF(M2S_Eligibility_List!H45=DataPaths_Code,1,0)+G295</f>
        <v>2</v>
      </c>
      <c r="I295" s="147">
        <f>IF(M2S_Eligibility_List!I45=DataPaths_Code,1,0)+H295</f>
        <v>2</v>
      </c>
      <c r="J295" s="147">
        <f>IF(M2S_Eligibility_List!J45=DataPaths_Code,1,0)+I295</f>
        <v>2</v>
      </c>
      <c r="K295" s="147">
        <f>IF(M2S_Eligibility_List!K45=DataPaths_Code,1,0)+J295</f>
        <v>2</v>
      </c>
      <c r="L295" s="147">
        <f>IF(M2S_Eligibility_List!L45=DataPaths_Code,1,0)+K295</f>
        <v>2</v>
      </c>
      <c r="M295" s="147">
        <f>IF(M2S_Eligibility_List!M45=DataPaths_Code,1,0)+L295</f>
        <v>3</v>
      </c>
      <c r="N295" s="147">
        <f>IF(M2S_Eligibility_List!N45=DataPaths_Code,1,0)+M295</f>
        <v>3</v>
      </c>
      <c r="O295" s="147">
        <f>IF(M2S_Eligibility_List!O45=DataPaths_Code,1,0)+N295</f>
        <v>3</v>
      </c>
      <c r="P295" s="147">
        <f>IF(M2S_Eligibility_List!P45=DataPaths_Code,1,0)+O295</f>
        <v>3</v>
      </c>
      <c r="Q295" s="147">
        <f>IF(M2S_Eligibility_List!Q45=DataPaths_Code,1,0)+P295</f>
        <v>3</v>
      </c>
      <c r="R295" s="147">
        <f>IF(M2S_Eligibility_List!R45=DataPaths_Code,1,0)+Q295</f>
        <v>3</v>
      </c>
      <c r="S295" s="147">
        <f>IF(M2S_Eligibility_List!S45=DataPaths_Code,1,0)+R295</f>
        <v>3</v>
      </c>
      <c r="T295" s="147">
        <f>IF(M2S_Eligibility_List!T45=DataPaths_Code,1,0)+S295</f>
        <v>3</v>
      </c>
      <c r="U295" s="147">
        <f>IF(M2S_Eligibility_List!U45=DataPaths_Code,1,0)+T295</f>
        <v>3</v>
      </c>
      <c r="V295" s="147">
        <f>IF(M2S_Eligibility_List!V45=DataPaths_Code,1,0)+U295</f>
        <v>3</v>
      </c>
      <c r="W295" s="147">
        <f>IF(M2S_Eligibility_List!W45=DataPaths_Code,1,0)+V295</f>
        <v>3</v>
      </c>
      <c r="X295" s="147">
        <f>IF(M2S_Eligibility_List!X45=DataPaths_Code,1,0)+W295</f>
        <v>3</v>
      </c>
      <c r="Y295" s="147">
        <f>IF(M2S_Eligibility_List!Y45=DataPaths_Code,1,0)+X295</f>
        <v>3</v>
      </c>
      <c r="Z295" s="147">
        <f>IF(M2S_Eligibility_List!Z45=DataPaths_Code,1,0)+Y295</f>
        <v>3</v>
      </c>
      <c r="AA295" s="147">
        <f>IF(M2S_Eligibility_List!AA45=DataPaths_Code,1,0)+Z295</f>
        <v>3</v>
      </c>
      <c r="AB295" s="147">
        <f>IF(M2S_Eligibility_List!AB45=DataPaths_Code,1,0)+AA295</f>
        <v>3</v>
      </c>
      <c r="AC295" s="147">
        <f>IF(M2S_Eligibility_List!AC45=DataPaths_Code,1,0)+AB295</f>
        <v>3</v>
      </c>
      <c r="AD295" s="147">
        <f>IF(M2S_Eligibility_List!AD45=DataPaths_Code,1,0)+AC295</f>
        <v>3</v>
      </c>
      <c r="AE295" s="147">
        <f>IF(M2S_Eligibility_List!AE45=DataPaths_Code,1,0)+AD295</f>
        <v>3</v>
      </c>
      <c r="AF295" s="147">
        <f>IF(M2S_Eligibility_List!AF45=DataPaths_Code,1,0)+AE295</f>
        <v>3</v>
      </c>
      <c r="AG295" s="147">
        <f>IF(M2S_Eligibility_List!AG45=DataPaths_Code,1,0)+AF295</f>
        <v>3</v>
      </c>
      <c r="AH295" s="147">
        <f>IF(M2S_Eligibility_List!AH45=DataPaths_Code,1,0)+AG295</f>
        <v>3</v>
      </c>
      <c r="AI295" s="147">
        <f>IF(M2S_Eligibility_List!AI45=DataPaths_Code,1,0)+AH295</f>
        <v>3</v>
      </c>
      <c r="AJ295" s="147">
        <f>IF(M2S_Eligibility_List!AJ45=DataPaths_Code,1,0)+AI295</f>
        <v>3</v>
      </c>
      <c r="AK295" s="147">
        <f>IF(M2S_Eligibility_List!AK45=DataPaths_Code,1,0)+AJ295</f>
        <v>3</v>
      </c>
      <c r="AL295" s="147">
        <f>IF(M2S_Eligibility_List!AL45=DataPaths_Code,1,0)+AK295</f>
        <v>3</v>
      </c>
      <c r="AM295" s="147">
        <f>IF(M2S_Eligibility_List!AM45=DataPaths_Code,1,0)+AL295</f>
        <v>3</v>
      </c>
      <c r="AN295" s="147">
        <f>IF(M2S_Eligibility_List!AN45=DataPaths_Code,1,0)+AM295</f>
        <v>3</v>
      </c>
      <c r="AO295" s="147">
        <f>IF(M2S_Eligibility_List!AO45=DataPaths_Code,1,0)+AN295</f>
        <v>3</v>
      </c>
      <c r="AP295" s="147">
        <f>IF(M2S_Eligibility_List!AP45=DataPaths_Code,1,0)+AO295</f>
        <v>3</v>
      </c>
      <c r="AQ295" s="147">
        <f>IF(M2S_Eligibility_List!AQ45=DataPaths_Code,1,0)+AP295</f>
        <v>3</v>
      </c>
      <c r="AR295" s="147">
        <f>IF(M2S_Eligibility_List!AR45=DataPaths_Code,1,0)+AQ295</f>
        <v>3</v>
      </c>
      <c r="AS295" s="147">
        <f>IF(M2S_Eligibility_List!AS45=DataPaths_Code,1,0)+AR295</f>
        <v>3</v>
      </c>
      <c r="AT295" s="147">
        <f>IF(M2S_Eligibility_List!AT45=DataPaths_Code,1,0)+AS295</f>
        <v>3</v>
      </c>
      <c r="AU295" s="147">
        <f>IF(M2S_Eligibility_List!AU45=DataPaths_Code,1,0)+AT295</f>
        <v>3</v>
      </c>
      <c r="AV295" s="147">
        <f>IF(M2S_Eligibility_List!AV45=DataPaths_Code,1,0)+AU295</f>
        <v>3</v>
      </c>
      <c r="AW295" s="147">
        <f>IF(M2S_Eligibility_List!AW45=DataPaths_Code,1,0)+AV295</f>
        <v>3</v>
      </c>
      <c r="AX295" s="147">
        <f>IF(M2S_Eligibility_List!AX45=DataPaths_Code,1,0)+AW295</f>
        <v>3</v>
      </c>
      <c r="AY295" s="147">
        <f>IF(M2S_Eligibility_List!AY45=DataPaths_Code,1,0)+AX295</f>
        <v>3</v>
      </c>
      <c r="AZ295" s="147">
        <f>IF(M2S_Eligibility_List!AZ45=DataPaths_Code,1,0)+AY295</f>
        <v>3</v>
      </c>
      <c r="BA295" s="147">
        <f>IF(M2S_Eligibility_List!BA45=DataPaths_Code,1,0)+AZ295</f>
        <v>3</v>
      </c>
      <c r="BB295" s="147">
        <f>IF(M2S_Eligibility_List!BB45=DataPaths_Code,1,0)+BA295</f>
        <v>3</v>
      </c>
      <c r="BC295" s="147">
        <f>IF(M2S_Eligibility_List!BC45=DataPaths_Code,1,0)+BB295</f>
        <v>3</v>
      </c>
      <c r="BD295" s="147">
        <f>IF(M2S_Eligibility_List!BD45=DataPaths_Code,1,0)+BC295</f>
        <v>3</v>
      </c>
      <c r="BE295" s="147">
        <f>IF(M2S_Eligibility_List!BE45=DataPaths_Code,1,0)+BD295</f>
        <v>3</v>
      </c>
      <c r="BF295" s="147">
        <f>IF(M2S_Eligibility_List!BF45=DataPaths_Code,1,0)+BE295</f>
        <v>3</v>
      </c>
      <c r="BG295" s="147">
        <f>IF(M2S_Eligibility_List!BG45=DataPaths_Code,1,0)+BF295</f>
        <v>3</v>
      </c>
      <c r="BH295" s="147">
        <f>IF(M2S_Eligibility_List!BH45=DataPaths_Code,1,0)+BG295</f>
        <v>3</v>
      </c>
      <c r="BI295" s="147">
        <f>IF(M2S_Eligibility_List!BI45=DataPaths_Code,1,0)+BH295</f>
        <v>3</v>
      </c>
      <c r="BJ295" s="147">
        <f>IF(M2S_Eligibility_List!BJ45=DataPaths_Code,1,0)+BI295</f>
        <v>3</v>
      </c>
      <c r="BK295" s="147">
        <f>IF(M2S_Eligibility_List!BK45=DataPaths_Code,1,0)+BJ295</f>
        <v>3</v>
      </c>
      <c r="BL295" s="147">
        <f>IF(M2S_Eligibility_List!BL45=DataPaths_Code,1,0)+BK295</f>
        <v>3</v>
      </c>
      <c r="BM295" s="147">
        <f>IF(M2S_Eligibility_List!BM45=DataPaths_Code,1,0)+BL295</f>
        <v>3</v>
      </c>
      <c r="BN295" s="147">
        <f>IF(M2S_Eligibility_List!BN45=DataPaths_Code,1,0)+BM295</f>
        <v>3</v>
      </c>
      <c r="BO295" s="147">
        <f>IF(M2S_Eligibility_List!BO45=DataPaths_Code,1,0)+BN295</f>
        <v>3</v>
      </c>
      <c r="BP295" s="147">
        <f>IF(M2S_Eligibility_List!BP45=DataPaths_Code,1,0)+BO295</f>
        <v>3</v>
      </c>
      <c r="BQ295" s="147">
        <f>IF(M2S_Eligibility_List!BQ45=DataPaths_Code,1,0)+BP295</f>
        <v>3</v>
      </c>
      <c r="BR295" s="147">
        <f>IF(M2S_Eligibility_List!BR45=DataPaths_Code,1,0)+BQ295</f>
        <v>3</v>
      </c>
      <c r="BS295" s="147">
        <f>IF(M2S_Eligibility_List!BS45=DataPaths_Code,1,0)+BR295</f>
        <v>3</v>
      </c>
      <c r="BT295" s="147">
        <f>IF(M2S_Eligibility_List!BT45=DataPaths_Code,1,0)+BS295</f>
        <v>3</v>
      </c>
      <c r="BU295" s="147">
        <f>IF(M2S_Eligibility_List!BU45=DataPaths_Code,1,0)+BT295</f>
        <v>3</v>
      </c>
      <c r="BV295" s="147">
        <f>IF(M2S_Eligibility_List!BV45=DataPaths_Code,1,0)+BU295</f>
        <v>3</v>
      </c>
      <c r="BW295" s="147">
        <f>IF(M2S_Eligibility_List!BW45=DataPaths_Code,1,0)+BV295</f>
        <v>3</v>
      </c>
    </row>
    <row r="296" spans="1:75" ht="20.100000000000001" customHeight="1">
      <c r="A296" s="145"/>
      <c r="B296" s="170" t="str">
        <f>IF(M2S_Eligibility_List!$B46&lt;&gt;"",RIGHT(M2S_Eligibility_List!$B46,LEN(M2S_Eligibility_List!$B46)-LEN(nmADwSP)),0)</f>
        <v>AutoCAD Raster Design</v>
      </c>
      <c r="C296" s="147">
        <f>IF(M2S_Eligibility_List!C46=DataPaths_Code,1,0)</f>
        <v>1</v>
      </c>
      <c r="D296" s="147">
        <f>IF(M2S_Eligibility_List!D46=DataPaths_Code,1,0)+C296</f>
        <v>2</v>
      </c>
      <c r="E296" s="147">
        <f>IF(M2S_Eligibility_List!E46=DataPaths_Code,1,0)+D296</f>
        <v>2</v>
      </c>
      <c r="F296" s="147">
        <f>IF(M2S_Eligibility_List!F46=DataPaths_Code,1,0)+E296</f>
        <v>2</v>
      </c>
      <c r="G296" s="147">
        <f>IF(M2S_Eligibility_List!G46=DataPaths_Code,1,0)+F296</f>
        <v>2</v>
      </c>
      <c r="H296" s="147">
        <f>IF(M2S_Eligibility_List!H46=DataPaths_Code,1,0)+G296</f>
        <v>2</v>
      </c>
      <c r="I296" s="147">
        <f>IF(M2S_Eligibility_List!I46=DataPaths_Code,1,0)+H296</f>
        <v>2</v>
      </c>
      <c r="J296" s="147">
        <f>IF(M2S_Eligibility_List!J46=DataPaths_Code,1,0)+I296</f>
        <v>2</v>
      </c>
      <c r="K296" s="147">
        <f>IF(M2S_Eligibility_List!K46=DataPaths_Code,1,0)+J296</f>
        <v>2</v>
      </c>
      <c r="L296" s="147">
        <f>IF(M2S_Eligibility_List!L46=DataPaths_Code,1,0)+K296</f>
        <v>2</v>
      </c>
      <c r="M296" s="147">
        <f>IF(M2S_Eligibility_List!M46=DataPaths_Code,1,0)+L296</f>
        <v>3</v>
      </c>
      <c r="N296" s="147">
        <f>IF(M2S_Eligibility_List!N46=DataPaths_Code,1,0)+M296</f>
        <v>3</v>
      </c>
      <c r="O296" s="147">
        <f>IF(M2S_Eligibility_List!O46=DataPaths_Code,1,0)+N296</f>
        <v>3</v>
      </c>
      <c r="P296" s="147">
        <f>IF(M2S_Eligibility_List!P46=DataPaths_Code,1,0)+O296</f>
        <v>3</v>
      </c>
      <c r="Q296" s="147">
        <f>IF(M2S_Eligibility_List!Q46=DataPaths_Code,1,0)+P296</f>
        <v>3</v>
      </c>
      <c r="R296" s="147">
        <f>IF(M2S_Eligibility_List!R46=DataPaths_Code,1,0)+Q296</f>
        <v>3</v>
      </c>
      <c r="S296" s="147">
        <f>IF(M2S_Eligibility_List!S46=DataPaths_Code,1,0)+R296</f>
        <v>3</v>
      </c>
      <c r="T296" s="147">
        <f>IF(M2S_Eligibility_List!T46=DataPaths_Code,1,0)+S296</f>
        <v>3</v>
      </c>
      <c r="U296" s="147">
        <f>IF(M2S_Eligibility_List!U46=DataPaths_Code,1,0)+T296</f>
        <v>3</v>
      </c>
      <c r="V296" s="147">
        <f>IF(M2S_Eligibility_List!V46=DataPaths_Code,1,0)+U296</f>
        <v>3</v>
      </c>
      <c r="W296" s="147">
        <f>IF(M2S_Eligibility_List!W46=DataPaths_Code,1,0)+V296</f>
        <v>3</v>
      </c>
      <c r="X296" s="147">
        <f>IF(M2S_Eligibility_List!X46=DataPaths_Code,1,0)+W296</f>
        <v>3</v>
      </c>
      <c r="Y296" s="147">
        <f>IF(M2S_Eligibility_List!Y46=DataPaths_Code,1,0)+X296</f>
        <v>3</v>
      </c>
      <c r="Z296" s="147">
        <f>IF(M2S_Eligibility_List!Z46=DataPaths_Code,1,0)+Y296</f>
        <v>3</v>
      </c>
      <c r="AA296" s="147">
        <f>IF(M2S_Eligibility_List!AA46=DataPaths_Code,1,0)+Z296</f>
        <v>3</v>
      </c>
      <c r="AB296" s="147">
        <f>IF(M2S_Eligibility_List!AB46=DataPaths_Code,1,0)+AA296</f>
        <v>3</v>
      </c>
      <c r="AC296" s="147">
        <f>IF(M2S_Eligibility_List!AC46=DataPaths_Code,1,0)+AB296</f>
        <v>3</v>
      </c>
      <c r="AD296" s="147">
        <f>IF(M2S_Eligibility_List!AD46=DataPaths_Code,1,0)+AC296</f>
        <v>3</v>
      </c>
      <c r="AE296" s="147">
        <f>IF(M2S_Eligibility_List!AE46=DataPaths_Code,1,0)+AD296</f>
        <v>3</v>
      </c>
      <c r="AF296" s="147">
        <f>IF(M2S_Eligibility_List!AF46=DataPaths_Code,1,0)+AE296</f>
        <v>3</v>
      </c>
      <c r="AG296" s="147">
        <f>IF(M2S_Eligibility_List!AG46=DataPaths_Code,1,0)+AF296</f>
        <v>3</v>
      </c>
      <c r="AH296" s="147">
        <f>IF(M2S_Eligibility_List!AH46=DataPaths_Code,1,0)+AG296</f>
        <v>3</v>
      </c>
      <c r="AI296" s="147">
        <f>IF(M2S_Eligibility_List!AI46=DataPaths_Code,1,0)+AH296</f>
        <v>3</v>
      </c>
      <c r="AJ296" s="147">
        <f>IF(M2S_Eligibility_List!AJ46=DataPaths_Code,1,0)+AI296</f>
        <v>3</v>
      </c>
      <c r="AK296" s="147">
        <f>IF(M2S_Eligibility_List!AK46=DataPaths_Code,1,0)+AJ296</f>
        <v>3</v>
      </c>
      <c r="AL296" s="147">
        <f>IF(M2S_Eligibility_List!AL46=DataPaths_Code,1,0)+AK296</f>
        <v>3</v>
      </c>
      <c r="AM296" s="147">
        <f>IF(M2S_Eligibility_List!AM46=DataPaths_Code,1,0)+AL296</f>
        <v>3</v>
      </c>
      <c r="AN296" s="147">
        <f>IF(M2S_Eligibility_List!AN46=DataPaths_Code,1,0)+AM296</f>
        <v>3</v>
      </c>
      <c r="AO296" s="147">
        <f>IF(M2S_Eligibility_List!AO46=DataPaths_Code,1,0)+AN296</f>
        <v>3</v>
      </c>
      <c r="AP296" s="147">
        <f>IF(M2S_Eligibility_List!AP46=DataPaths_Code,1,0)+AO296</f>
        <v>3</v>
      </c>
      <c r="AQ296" s="147">
        <f>IF(M2S_Eligibility_List!AQ46=DataPaths_Code,1,0)+AP296</f>
        <v>3</v>
      </c>
      <c r="AR296" s="147">
        <f>IF(M2S_Eligibility_List!AR46=DataPaths_Code,1,0)+AQ296</f>
        <v>3</v>
      </c>
      <c r="AS296" s="147">
        <f>IF(M2S_Eligibility_List!AS46=DataPaths_Code,1,0)+AR296</f>
        <v>3</v>
      </c>
      <c r="AT296" s="147">
        <f>IF(M2S_Eligibility_List!AT46=DataPaths_Code,1,0)+AS296</f>
        <v>3</v>
      </c>
      <c r="AU296" s="147">
        <f>IF(M2S_Eligibility_List!AU46=DataPaths_Code,1,0)+AT296</f>
        <v>3</v>
      </c>
      <c r="AV296" s="147">
        <f>IF(M2S_Eligibility_List!AV46=DataPaths_Code,1,0)+AU296</f>
        <v>3</v>
      </c>
      <c r="AW296" s="147">
        <f>IF(M2S_Eligibility_List!AW46=DataPaths_Code,1,0)+AV296</f>
        <v>3</v>
      </c>
      <c r="AX296" s="147">
        <f>IF(M2S_Eligibility_List!AX46=DataPaths_Code,1,0)+AW296</f>
        <v>3</v>
      </c>
      <c r="AY296" s="147">
        <f>IF(M2S_Eligibility_List!AY46=DataPaths_Code,1,0)+AX296</f>
        <v>3</v>
      </c>
      <c r="AZ296" s="147">
        <f>IF(M2S_Eligibility_List!AZ46=DataPaths_Code,1,0)+AY296</f>
        <v>3</v>
      </c>
      <c r="BA296" s="147">
        <f>IF(M2S_Eligibility_List!BA46=DataPaths_Code,1,0)+AZ296</f>
        <v>3</v>
      </c>
      <c r="BB296" s="147">
        <f>IF(M2S_Eligibility_List!BB46=DataPaths_Code,1,0)+BA296</f>
        <v>3</v>
      </c>
      <c r="BC296" s="147">
        <f>IF(M2S_Eligibility_List!BC46=DataPaths_Code,1,0)+BB296</f>
        <v>3</v>
      </c>
      <c r="BD296" s="147">
        <f>IF(M2S_Eligibility_List!BD46=DataPaths_Code,1,0)+BC296</f>
        <v>3</v>
      </c>
      <c r="BE296" s="147">
        <f>IF(M2S_Eligibility_List!BE46=DataPaths_Code,1,0)+BD296</f>
        <v>3</v>
      </c>
      <c r="BF296" s="147">
        <f>IF(M2S_Eligibility_List!BF46=DataPaths_Code,1,0)+BE296</f>
        <v>3</v>
      </c>
      <c r="BG296" s="147">
        <f>IF(M2S_Eligibility_List!BG46=DataPaths_Code,1,0)+BF296</f>
        <v>3</v>
      </c>
      <c r="BH296" s="147">
        <f>IF(M2S_Eligibility_List!BH46=DataPaths_Code,1,0)+BG296</f>
        <v>3</v>
      </c>
      <c r="BI296" s="147">
        <f>IF(M2S_Eligibility_List!BI46=DataPaths_Code,1,0)+BH296</f>
        <v>3</v>
      </c>
      <c r="BJ296" s="147">
        <f>IF(M2S_Eligibility_List!BJ46=DataPaths_Code,1,0)+BI296</f>
        <v>3</v>
      </c>
      <c r="BK296" s="147">
        <f>IF(M2S_Eligibility_List!BK46=DataPaths_Code,1,0)+BJ296</f>
        <v>3</v>
      </c>
      <c r="BL296" s="147">
        <f>IF(M2S_Eligibility_List!BL46=DataPaths_Code,1,0)+BK296</f>
        <v>3</v>
      </c>
      <c r="BM296" s="147">
        <f>IF(M2S_Eligibility_List!BM46=DataPaths_Code,1,0)+BL296</f>
        <v>3</v>
      </c>
      <c r="BN296" s="147">
        <f>IF(M2S_Eligibility_List!BN46=DataPaths_Code,1,0)+BM296</f>
        <v>3</v>
      </c>
      <c r="BO296" s="147">
        <f>IF(M2S_Eligibility_List!BO46=DataPaths_Code,1,0)+BN296</f>
        <v>3</v>
      </c>
      <c r="BP296" s="147">
        <f>IF(M2S_Eligibility_List!BP46=DataPaths_Code,1,0)+BO296</f>
        <v>3</v>
      </c>
      <c r="BQ296" s="147">
        <f>IF(M2S_Eligibility_List!BQ46=DataPaths_Code,1,0)+BP296</f>
        <v>3</v>
      </c>
      <c r="BR296" s="147">
        <f>IF(M2S_Eligibility_List!BR46=DataPaths_Code,1,0)+BQ296</f>
        <v>3</v>
      </c>
      <c r="BS296" s="147">
        <f>IF(M2S_Eligibility_List!BS46=DataPaths_Code,1,0)+BR296</f>
        <v>3</v>
      </c>
      <c r="BT296" s="147">
        <f>IF(M2S_Eligibility_List!BT46=DataPaths_Code,1,0)+BS296</f>
        <v>3</v>
      </c>
      <c r="BU296" s="147">
        <f>IF(M2S_Eligibility_List!BU46=DataPaths_Code,1,0)+BT296</f>
        <v>3</v>
      </c>
      <c r="BV296" s="147">
        <f>IF(M2S_Eligibility_List!BV46=DataPaths_Code,1,0)+BU296</f>
        <v>3</v>
      </c>
      <c r="BW296" s="147">
        <f>IF(M2S_Eligibility_List!BW46=DataPaths_Code,1,0)+BV296</f>
        <v>3</v>
      </c>
    </row>
    <row r="297" spans="1:75" ht="20.100000000000001" customHeight="1">
      <c r="A297" s="145"/>
      <c r="B297" s="170" t="str">
        <f>IF(M2S_Eligibility_List!$B47&lt;&gt;"",RIGHT(M2S_Eligibility_List!$B47,LEN(M2S_Eligibility_List!$B47)-LEN(nmADwSP)),0)</f>
        <v>AutoCAD with Advance Steel</v>
      </c>
      <c r="C297" s="147">
        <f>IF(M2S_Eligibility_List!C47=DataPaths_Code,1,0)</f>
        <v>0</v>
      </c>
      <c r="D297" s="147">
        <f>IF(M2S_Eligibility_List!D47=DataPaths_Code,1,0)+C297</f>
        <v>0</v>
      </c>
      <c r="E297" s="147">
        <f>IF(M2S_Eligibility_List!E47=DataPaths_Code,1,0)+D297</f>
        <v>0</v>
      </c>
      <c r="F297" s="147">
        <f>IF(M2S_Eligibility_List!F47=DataPaths_Code,1,0)+E297</f>
        <v>0</v>
      </c>
      <c r="G297" s="147">
        <f>IF(M2S_Eligibility_List!G47=DataPaths_Code,1,0)+F297</f>
        <v>1</v>
      </c>
      <c r="H297" s="147">
        <f>IF(M2S_Eligibility_List!H47=DataPaths_Code,1,0)+G297</f>
        <v>1</v>
      </c>
      <c r="I297" s="147">
        <f>IF(M2S_Eligibility_List!I47=DataPaths_Code,1,0)+H297</f>
        <v>1</v>
      </c>
      <c r="J297" s="147">
        <f>IF(M2S_Eligibility_List!J47=DataPaths_Code,1,0)+I297</f>
        <v>1</v>
      </c>
      <c r="K297" s="147">
        <f>IF(M2S_Eligibility_List!K47=DataPaths_Code,1,0)+J297</f>
        <v>1</v>
      </c>
      <c r="L297" s="147">
        <f>IF(M2S_Eligibility_List!L47=DataPaths_Code,1,0)+K297</f>
        <v>1</v>
      </c>
      <c r="M297" s="147">
        <f>IF(M2S_Eligibility_List!M47=DataPaths_Code,1,0)+L297</f>
        <v>1</v>
      </c>
      <c r="N297" s="147">
        <f>IF(M2S_Eligibility_List!N47=DataPaths_Code,1,0)+M297</f>
        <v>1</v>
      </c>
      <c r="O297" s="147">
        <f>IF(M2S_Eligibility_List!O47=DataPaths_Code,1,0)+N297</f>
        <v>1</v>
      </c>
      <c r="P297" s="147">
        <f>IF(M2S_Eligibility_List!P47=DataPaths_Code,1,0)+O297</f>
        <v>1</v>
      </c>
      <c r="Q297" s="147">
        <f>IF(M2S_Eligibility_List!Q47=DataPaths_Code,1,0)+P297</f>
        <v>1</v>
      </c>
      <c r="R297" s="147">
        <f>IF(M2S_Eligibility_List!R47=DataPaths_Code,1,0)+Q297</f>
        <v>1</v>
      </c>
      <c r="S297" s="147">
        <f>IF(M2S_Eligibility_List!S47=DataPaths_Code,1,0)+R297</f>
        <v>1</v>
      </c>
      <c r="T297" s="147">
        <f>IF(M2S_Eligibility_List!T47=DataPaths_Code,1,0)+S297</f>
        <v>1</v>
      </c>
      <c r="U297" s="147">
        <f>IF(M2S_Eligibility_List!U47=DataPaths_Code,1,0)+T297</f>
        <v>1</v>
      </c>
      <c r="V297" s="147">
        <f>IF(M2S_Eligibility_List!V47=DataPaths_Code,1,0)+U297</f>
        <v>1</v>
      </c>
      <c r="W297" s="147">
        <f>IF(M2S_Eligibility_List!W47=DataPaths_Code,1,0)+V297</f>
        <v>1</v>
      </c>
      <c r="X297" s="147">
        <f>IF(M2S_Eligibility_List!X47=DataPaths_Code,1,0)+W297</f>
        <v>1</v>
      </c>
      <c r="Y297" s="147">
        <f>IF(M2S_Eligibility_List!Y47=DataPaths_Code,1,0)+X297</f>
        <v>1</v>
      </c>
      <c r="Z297" s="147">
        <f>IF(M2S_Eligibility_List!Z47=DataPaths_Code,1,0)+Y297</f>
        <v>1</v>
      </c>
      <c r="AA297" s="147">
        <f>IF(M2S_Eligibility_List!AA47=DataPaths_Code,1,0)+Z297</f>
        <v>1</v>
      </c>
      <c r="AB297" s="147">
        <f>IF(M2S_Eligibility_List!AB47=DataPaths_Code,1,0)+AA297</f>
        <v>1</v>
      </c>
      <c r="AC297" s="147">
        <f>IF(M2S_Eligibility_List!AC47=DataPaths_Code,1,0)+AB297</f>
        <v>1</v>
      </c>
      <c r="AD297" s="147">
        <f>IF(M2S_Eligibility_List!AD47=DataPaths_Code,1,0)+AC297</f>
        <v>1</v>
      </c>
      <c r="AE297" s="147">
        <f>IF(M2S_Eligibility_List!AE47=DataPaths_Code,1,0)+AD297</f>
        <v>1</v>
      </c>
      <c r="AF297" s="147">
        <f>IF(M2S_Eligibility_List!AF47=DataPaths_Code,1,0)+AE297</f>
        <v>1</v>
      </c>
      <c r="AG297" s="147">
        <f>IF(M2S_Eligibility_List!AG47=DataPaths_Code,1,0)+AF297</f>
        <v>1</v>
      </c>
      <c r="AH297" s="147">
        <f>IF(M2S_Eligibility_List!AH47=DataPaths_Code,1,0)+AG297</f>
        <v>1</v>
      </c>
      <c r="AI297" s="147">
        <f>IF(M2S_Eligibility_List!AI47=DataPaths_Code,1,0)+AH297</f>
        <v>1</v>
      </c>
      <c r="AJ297" s="147">
        <f>IF(M2S_Eligibility_List!AJ47=DataPaths_Code,1,0)+AI297</f>
        <v>1</v>
      </c>
      <c r="AK297" s="147">
        <f>IF(M2S_Eligibility_List!AK47=DataPaths_Code,1,0)+AJ297</f>
        <v>1</v>
      </c>
      <c r="AL297" s="147">
        <f>IF(M2S_Eligibility_List!AL47=DataPaths_Code,1,0)+AK297</f>
        <v>1</v>
      </c>
      <c r="AM297" s="147">
        <f>IF(M2S_Eligibility_List!AM47=DataPaths_Code,1,0)+AL297</f>
        <v>1</v>
      </c>
      <c r="AN297" s="147">
        <f>IF(M2S_Eligibility_List!AN47=DataPaths_Code,1,0)+AM297</f>
        <v>1</v>
      </c>
      <c r="AO297" s="147">
        <f>IF(M2S_Eligibility_List!AO47=DataPaths_Code,1,0)+AN297</f>
        <v>1</v>
      </c>
      <c r="AP297" s="147">
        <f>IF(M2S_Eligibility_List!AP47=DataPaths_Code,1,0)+AO297</f>
        <v>1</v>
      </c>
      <c r="AQ297" s="147">
        <f>IF(M2S_Eligibility_List!AQ47=DataPaths_Code,1,0)+AP297</f>
        <v>1</v>
      </c>
      <c r="AR297" s="147">
        <f>IF(M2S_Eligibility_List!AR47=DataPaths_Code,1,0)+AQ297</f>
        <v>1</v>
      </c>
      <c r="AS297" s="147">
        <f>IF(M2S_Eligibility_List!AS47=DataPaths_Code,1,0)+AR297</f>
        <v>1</v>
      </c>
      <c r="AT297" s="147">
        <f>IF(M2S_Eligibility_List!AT47=DataPaths_Code,1,0)+AS297</f>
        <v>1</v>
      </c>
      <c r="AU297" s="147">
        <f>IF(M2S_Eligibility_List!AU47=DataPaths_Code,1,0)+AT297</f>
        <v>1</v>
      </c>
      <c r="AV297" s="147">
        <f>IF(M2S_Eligibility_List!AV47=DataPaths_Code,1,0)+AU297</f>
        <v>1</v>
      </c>
      <c r="AW297" s="147">
        <f>IF(M2S_Eligibility_List!AW47=DataPaths_Code,1,0)+AV297</f>
        <v>1</v>
      </c>
      <c r="AX297" s="147">
        <f>IF(M2S_Eligibility_List!AX47=DataPaths_Code,1,0)+AW297</f>
        <v>1</v>
      </c>
      <c r="AY297" s="147">
        <f>IF(M2S_Eligibility_List!AY47=DataPaths_Code,1,0)+AX297</f>
        <v>1</v>
      </c>
      <c r="AZ297" s="147">
        <f>IF(M2S_Eligibility_List!AZ47=DataPaths_Code,1,0)+AY297</f>
        <v>1</v>
      </c>
      <c r="BA297" s="147">
        <f>IF(M2S_Eligibility_List!BA47=DataPaths_Code,1,0)+AZ297</f>
        <v>1</v>
      </c>
      <c r="BB297" s="147">
        <f>IF(M2S_Eligibility_List!BB47=DataPaths_Code,1,0)+BA297</f>
        <v>1</v>
      </c>
      <c r="BC297" s="147">
        <f>IF(M2S_Eligibility_List!BC47=DataPaths_Code,1,0)+BB297</f>
        <v>1</v>
      </c>
      <c r="BD297" s="147">
        <f>IF(M2S_Eligibility_List!BD47=DataPaths_Code,1,0)+BC297</f>
        <v>1</v>
      </c>
      <c r="BE297" s="147">
        <f>IF(M2S_Eligibility_List!BE47=DataPaths_Code,1,0)+BD297</f>
        <v>1</v>
      </c>
      <c r="BF297" s="147">
        <f>IF(M2S_Eligibility_List!BF47=DataPaths_Code,1,0)+BE297</f>
        <v>1</v>
      </c>
      <c r="BG297" s="147">
        <f>IF(M2S_Eligibility_List!BG47=DataPaths_Code,1,0)+BF297</f>
        <v>1</v>
      </c>
      <c r="BH297" s="147">
        <f>IF(M2S_Eligibility_List!BH47=DataPaths_Code,1,0)+BG297</f>
        <v>1</v>
      </c>
      <c r="BI297" s="147">
        <f>IF(M2S_Eligibility_List!BI47=DataPaths_Code,1,0)+BH297</f>
        <v>1</v>
      </c>
      <c r="BJ297" s="147">
        <f>IF(M2S_Eligibility_List!BJ47=DataPaths_Code,1,0)+BI297</f>
        <v>1</v>
      </c>
      <c r="BK297" s="147">
        <f>IF(M2S_Eligibility_List!BK47=DataPaths_Code,1,0)+BJ297</f>
        <v>1</v>
      </c>
      <c r="BL297" s="147">
        <f>IF(M2S_Eligibility_List!BL47=DataPaths_Code,1,0)+BK297</f>
        <v>1</v>
      </c>
      <c r="BM297" s="147">
        <f>IF(M2S_Eligibility_List!BM47=DataPaths_Code,1,0)+BL297</f>
        <v>1</v>
      </c>
      <c r="BN297" s="147">
        <f>IF(M2S_Eligibility_List!BN47=DataPaths_Code,1,0)+BM297</f>
        <v>1</v>
      </c>
      <c r="BO297" s="147">
        <f>IF(M2S_Eligibility_List!BO47=DataPaths_Code,1,0)+BN297</f>
        <v>1</v>
      </c>
      <c r="BP297" s="147">
        <f>IF(M2S_Eligibility_List!BP47=DataPaths_Code,1,0)+BO297</f>
        <v>1</v>
      </c>
      <c r="BQ297" s="147">
        <f>IF(M2S_Eligibility_List!BQ47=DataPaths_Code,1,0)+BP297</f>
        <v>1</v>
      </c>
      <c r="BR297" s="147">
        <f>IF(M2S_Eligibility_List!BR47=DataPaths_Code,1,0)+BQ297</f>
        <v>1</v>
      </c>
      <c r="BS297" s="147">
        <f>IF(M2S_Eligibility_List!BS47=DataPaths_Code,1,0)+BR297</f>
        <v>1</v>
      </c>
      <c r="BT297" s="147">
        <f>IF(M2S_Eligibility_List!BT47=DataPaths_Code,1,0)+BS297</f>
        <v>1</v>
      </c>
      <c r="BU297" s="147">
        <f>IF(M2S_Eligibility_List!BU47=DataPaths_Code,1,0)+BT297</f>
        <v>1</v>
      </c>
      <c r="BV297" s="147">
        <f>IF(M2S_Eligibility_List!BV47=DataPaths_Code,1,0)+BU297</f>
        <v>1</v>
      </c>
      <c r="BW297" s="147">
        <f>IF(M2S_Eligibility_List!BW47=DataPaths_Code,1,0)+BV297</f>
        <v>1</v>
      </c>
    </row>
    <row r="298" spans="1:75" ht="20.100000000000001" customHeight="1">
      <c r="A298" s="145"/>
      <c r="B298" s="170" t="str">
        <f>IF(M2S_Eligibility_List!$B48&lt;&gt;"",RIGHT(M2S_Eligibility_List!$B48,LEN(M2S_Eligibility_List!$B48)-LEN(nmADwSP)),0)</f>
        <v>Building Design Suite Premium</v>
      </c>
      <c r="C298" s="147">
        <f>IF(M2S_Eligibility_List!C48=DataPaths_Code,1,0)</f>
        <v>1</v>
      </c>
      <c r="D298" s="147">
        <f>IF(M2S_Eligibility_List!D48=DataPaths_Code,1,0)+C298</f>
        <v>2</v>
      </c>
      <c r="E298" s="147">
        <f>IF(M2S_Eligibility_List!E48=DataPaths_Code,1,0)+D298</f>
        <v>2</v>
      </c>
      <c r="F298" s="147">
        <f>IF(M2S_Eligibility_List!F48=DataPaths_Code,1,0)+E298</f>
        <v>2</v>
      </c>
      <c r="G298" s="147">
        <f>IF(M2S_Eligibility_List!G48=DataPaths_Code,1,0)+F298</f>
        <v>2</v>
      </c>
      <c r="H298" s="147">
        <f>IF(M2S_Eligibility_List!H48=DataPaths_Code,1,0)+G298</f>
        <v>2</v>
      </c>
      <c r="I298" s="147">
        <f>IF(M2S_Eligibility_List!I48=DataPaths_Code,1,0)+H298</f>
        <v>2</v>
      </c>
      <c r="J298" s="147">
        <f>IF(M2S_Eligibility_List!J48=DataPaths_Code,1,0)+I298</f>
        <v>2</v>
      </c>
      <c r="K298" s="147">
        <f>IF(M2S_Eligibility_List!K48=DataPaths_Code,1,0)+J298</f>
        <v>2</v>
      </c>
      <c r="L298" s="147">
        <f>IF(M2S_Eligibility_List!L48=DataPaths_Code,1,0)+K298</f>
        <v>2</v>
      </c>
      <c r="M298" s="147">
        <f>IF(M2S_Eligibility_List!M48=DataPaths_Code,1,0)+L298</f>
        <v>2</v>
      </c>
      <c r="N298" s="147">
        <f>IF(M2S_Eligibility_List!N48=DataPaths_Code,1,0)+M298</f>
        <v>2</v>
      </c>
      <c r="O298" s="147">
        <f>IF(M2S_Eligibility_List!O48=DataPaths_Code,1,0)+N298</f>
        <v>2</v>
      </c>
      <c r="P298" s="147">
        <f>IF(M2S_Eligibility_List!P48=DataPaths_Code,1,0)+O298</f>
        <v>2</v>
      </c>
      <c r="Q298" s="147">
        <f>IF(M2S_Eligibility_List!Q48=DataPaths_Code,1,0)+P298</f>
        <v>2</v>
      </c>
      <c r="R298" s="147">
        <f>IF(M2S_Eligibility_List!R48=DataPaths_Code,1,0)+Q298</f>
        <v>2</v>
      </c>
      <c r="S298" s="147">
        <f>IF(M2S_Eligibility_List!S48=DataPaths_Code,1,0)+R298</f>
        <v>2</v>
      </c>
      <c r="T298" s="147">
        <f>IF(M2S_Eligibility_List!T48=DataPaths_Code,1,0)+S298</f>
        <v>2</v>
      </c>
      <c r="U298" s="147">
        <f>IF(M2S_Eligibility_List!U48=DataPaths_Code,1,0)+T298</f>
        <v>2</v>
      </c>
      <c r="V298" s="147">
        <f>IF(M2S_Eligibility_List!V48=DataPaths_Code,1,0)+U298</f>
        <v>2</v>
      </c>
      <c r="W298" s="147">
        <f>IF(M2S_Eligibility_List!W48=DataPaths_Code,1,0)+V298</f>
        <v>2</v>
      </c>
      <c r="X298" s="147">
        <f>IF(M2S_Eligibility_List!X48=DataPaths_Code,1,0)+W298</f>
        <v>2</v>
      </c>
      <c r="Y298" s="147">
        <f>IF(M2S_Eligibility_List!Y48=DataPaths_Code,1,0)+X298</f>
        <v>2</v>
      </c>
      <c r="Z298" s="147">
        <f>IF(M2S_Eligibility_List!Z48=DataPaths_Code,1,0)+Y298</f>
        <v>2</v>
      </c>
      <c r="AA298" s="147">
        <f>IF(M2S_Eligibility_List!AA48=DataPaths_Code,1,0)+Z298</f>
        <v>2</v>
      </c>
      <c r="AB298" s="147">
        <f>IF(M2S_Eligibility_List!AB48=DataPaths_Code,1,0)+AA298</f>
        <v>2</v>
      </c>
      <c r="AC298" s="147">
        <f>IF(M2S_Eligibility_List!AC48=DataPaths_Code,1,0)+AB298</f>
        <v>2</v>
      </c>
      <c r="AD298" s="147">
        <f>IF(M2S_Eligibility_List!AD48=DataPaths_Code,1,0)+AC298</f>
        <v>2</v>
      </c>
      <c r="AE298" s="147">
        <f>IF(M2S_Eligibility_List!AE48=DataPaths_Code,1,0)+AD298</f>
        <v>2</v>
      </c>
      <c r="AF298" s="147">
        <f>IF(M2S_Eligibility_List!AF48=DataPaths_Code,1,0)+AE298</f>
        <v>2</v>
      </c>
      <c r="AG298" s="147">
        <f>IF(M2S_Eligibility_List!AG48=DataPaths_Code,1,0)+AF298</f>
        <v>2</v>
      </c>
      <c r="AH298" s="147">
        <f>IF(M2S_Eligibility_List!AH48=DataPaths_Code,1,0)+AG298</f>
        <v>2</v>
      </c>
      <c r="AI298" s="147">
        <f>IF(M2S_Eligibility_List!AI48=DataPaths_Code,1,0)+AH298</f>
        <v>2</v>
      </c>
      <c r="AJ298" s="147">
        <f>IF(M2S_Eligibility_List!AJ48=DataPaths_Code,1,0)+AI298</f>
        <v>2</v>
      </c>
      <c r="AK298" s="147">
        <f>IF(M2S_Eligibility_List!AK48=DataPaths_Code,1,0)+AJ298</f>
        <v>2</v>
      </c>
      <c r="AL298" s="147">
        <f>IF(M2S_Eligibility_List!AL48=DataPaths_Code,1,0)+AK298</f>
        <v>2</v>
      </c>
      <c r="AM298" s="147">
        <f>IF(M2S_Eligibility_List!AM48=DataPaths_Code,1,0)+AL298</f>
        <v>2</v>
      </c>
      <c r="AN298" s="147">
        <f>IF(M2S_Eligibility_List!AN48=DataPaths_Code,1,0)+AM298</f>
        <v>2</v>
      </c>
      <c r="AO298" s="147">
        <f>IF(M2S_Eligibility_List!AO48=DataPaths_Code,1,0)+AN298</f>
        <v>2</v>
      </c>
      <c r="AP298" s="147">
        <f>IF(M2S_Eligibility_List!AP48=DataPaths_Code,1,0)+AO298</f>
        <v>2</v>
      </c>
      <c r="AQ298" s="147">
        <f>IF(M2S_Eligibility_List!AQ48=DataPaths_Code,1,0)+AP298</f>
        <v>2</v>
      </c>
      <c r="AR298" s="147">
        <f>IF(M2S_Eligibility_List!AR48=DataPaths_Code,1,0)+AQ298</f>
        <v>2</v>
      </c>
      <c r="AS298" s="147">
        <f>IF(M2S_Eligibility_List!AS48=DataPaths_Code,1,0)+AR298</f>
        <v>2</v>
      </c>
      <c r="AT298" s="147">
        <f>IF(M2S_Eligibility_List!AT48=DataPaths_Code,1,0)+AS298</f>
        <v>2</v>
      </c>
      <c r="AU298" s="147">
        <f>IF(M2S_Eligibility_List!AU48=DataPaths_Code,1,0)+AT298</f>
        <v>2</v>
      </c>
      <c r="AV298" s="147">
        <f>IF(M2S_Eligibility_List!AV48=DataPaths_Code,1,0)+AU298</f>
        <v>2</v>
      </c>
      <c r="AW298" s="147">
        <f>IF(M2S_Eligibility_List!AW48=DataPaths_Code,1,0)+AV298</f>
        <v>2</v>
      </c>
      <c r="AX298" s="147">
        <f>IF(M2S_Eligibility_List!AX48=DataPaths_Code,1,0)+AW298</f>
        <v>2</v>
      </c>
      <c r="AY298" s="147">
        <f>IF(M2S_Eligibility_List!AY48=DataPaths_Code,1,0)+AX298</f>
        <v>2</v>
      </c>
      <c r="AZ298" s="147">
        <f>IF(M2S_Eligibility_List!AZ48=DataPaths_Code,1,0)+AY298</f>
        <v>2</v>
      </c>
      <c r="BA298" s="147">
        <f>IF(M2S_Eligibility_List!BA48=DataPaths_Code,1,0)+AZ298</f>
        <v>2</v>
      </c>
      <c r="BB298" s="147">
        <f>IF(M2S_Eligibility_List!BB48=DataPaths_Code,1,0)+BA298</f>
        <v>2</v>
      </c>
      <c r="BC298" s="147">
        <f>IF(M2S_Eligibility_List!BC48=DataPaths_Code,1,0)+BB298</f>
        <v>2</v>
      </c>
      <c r="BD298" s="147">
        <f>IF(M2S_Eligibility_List!BD48=DataPaths_Code,1,0)+BC298</f>
        <v>2</v>
      </c>
      <c r="BE298" s="147">
        <f>IF(M2S_Eligibility_List!BE48=DataPaths_Code,1,0)+BD298</f>
        <v>2</v>
      </c>
      <c r="BF298" s="147">
        <f>IF(M2S_Eligibility_List!BF48=DataPaths_Code,1,0)+BE298</f>
        <v>2</v>
      </c>
      <c r="BG298" s="147">
        <f>IF(M2S_Eligibility_List!BG48=DataPaths_Code,1,0)+BF298</f>
        <v>2</v>
      </c>
      <c r="BH298" s="147">
        <f>IF(M2S_Eligibility_List!BH48=DataPaths_Code,1,0)+BG298</f>
        <v>2</v>
      </c>
      <c r="BI298" s="147">
        <f>IF(M2S_Eligibility_List!BI48=DataPaths_Code,1,0)+BH298</f>
        <v>2</v>
      </c>
      <c r="BJ298" s="147">
        <f>IF(M2S_Eligibility_List!BJ48=DataPaths_Code,1,0)+BI298</f>
        <v>2</v>
      </c>
      <c r="BK298" s="147">
        <f>IF(M2S_Eligibility_List!BK48=DataPaths_Code,1,0)+BJ298</f>
        <v>2</v>
      </c>
      <c r="BL298" s="147">
        <f>IF(M2S_Eligibility_List!BL48=DataPaths_Code,1,0)+BK298</f>
        <v>2</v>
      </c>
      <c r="BM298" s="147">
        <f>IF(M2S_Eligibility_List!BM48=DataPaths_Code,1,0)+BL298</f>
        <v>2</v>
      </c>
      <c r="BN298" s="147">
        <f>IF(M2S_Eligibility_List!BN48=DataPaths_Code,1,0)+BM298</f>
        <v>2</v>
      </c>
      <c r="BO298" s="147">
        <f>IF(M2S_Eligibility_List!BO48=DataPaths_Code,1,0)+BN298</f>
        <v>2</v>
      </c>
      <c r="BP298" s="147">
        <f>IF(M2S_Eligibility_List!BP48=DataPaths_Code,1,0)+BO298</f>
        <v>2</v>
      </c>
      <c r="BQ298" s="147">
        <f>IF(M2S_Eligibility_List!BQ48=DataPaths_Code,1,0)+BP298</f>
        <v>2</v>
      </c>
      <c r="BR298" s="147">
        <f>IF(M2S_Eligibility_List!BR48=DataPaths_Code,1,0)+BQ298</f>
        <v>2</v>
      </c>
      <c r="BS298" s="147">
        <f>IF(M2S_Eligibility_List!BS48=DataPaths_Code,1,0)+BR298</f>
        <v>2</v>
      </c>
      <c r="BT298" s="147">
        <f>IF(M2S_Eligibility_List!BT48=DataPaths_Code,1,0)+BS298</f>
        <v>2</v>
      </c>
      <c r="BU298" s="147">
        <f>IF(M2S_Eligibility_List!BU48=DataPaths_Code,1,0)+BT298</f>
        <v>2</v>
      </c>
      <c r="BV298" s="147">
        <f>IF(M2S_Eligibility_List!BV48=DataPaths_Code,1,0)+BU298</f>
        <v>2</v>
      </c>
      <c r="BW298" s="147">
        <f>IF(M2S_Eligibility_List!BW48=DataPaths_Code,1,0)+BV298</f>
        <v>2</v>
      </c>
    </row>
    <row r="299" spans="1:75" ht="20.100000000000001" customHeight="1">
      <c r="A299" s="145"/>
      <c r="B299" s="170" t="str">
        <f>IF(M2S_Eligibility_List!$B49&lt;&gt;"",RIGHT(M2S_Eligibility_List!$B49,LEN(M2S_Eligibility_List!$B49)-LEN(nmADwSP)),0)</f>
        <v>Building Design Suite Standard</v>
      </c>
      <c r="C299" s="147">
        <f>IF(M2S_Eligibility_List!C49=DataPaths_Code,1,0)</f>
        <v>1</v>
      </c>
      <c r="D299" s="147">
        <f>IF(M2S_Eligibility_List!D49=DataPaths_Code,1,0)+C299</f>
        <v>2</v>
      </c>
      <c r="E299" s="147">
        <f>IF(M2S_Eligibility_List!E49=DataPaths_Code,1,0)+D299</f>
        <v>2</v>
      </c>
      <c r="F299" s="147">
        <f>IF(M2S_Eligibility_List!F49=DataPaths_Code,1,0)+E299</f>
        <v>2</v>
      </c>
      <c r="G299" s="147">
        <f>IF(M2S_Eligibility_List!G49=DataPaths_Code,1,0)+F299</f>
        <v>2</v>
      </c>
      <c r="H299" s="147">
        <f>IF(M2S_Eligibility_List!H49=DataPaths_Code,1,0)+G299</f>
        <v>2</v>
      </c>
      <c r="I299" s="147">
        <f>IF(M2S_Eligibility_List!I49=DataPaths_Code,1,0)+H299</f>
        <v>2</v>
      </c>
      <c r="J299" s="147">
        <f>IF(M2S_Eligibility_List!J49=DataPaths_Code,1,0)+I299</f>
        <v>2</v>
      </c>
      <c r="K299" s="147">
        <f>IF(M2S_Eligibility_List!K49=DataPaths_Code,1,0)+J299</f>
        <v>2</v>
      </c>
      <c r="L299" s="147">
        <f>IF(M2S_Eligibility_List!L49=DataPaths_Code,1,0)+K299</f>
        <v>2</v>
      </c>
      <c r="M299" s="147">
        <f>IF(M2S_Eligibility_List!M49=DataPaths_Code,1,0)+L299</f>
        <v>3</v>
      </c>
      <c r="N299" s="147">
        <f>IF(M2S_Eligibility_List!N49=DataPaths_Code,1,0)+M299</f>
        <v>3</v>
      </c>
      <c r="O299" s="147">
        <f>IF(M2S_Eligibility_List!O49=DataPaths_Code,1,0)+N299</f>
        <v>3</v>
      </c>
      <c r="P299" s="147">
        <f>IF(M2S_Eligibility_List!P49=DataPaths_Code,1,0)+O299</f>
        <v>3</v>
      </c>
      <c r="Q299" s="147">
        <f>IF(M2S_Eligibility_List!Q49=DataPaths_Code,1,0)+P299</f>
        <v>3</v>
      </c>
      <c r="R299" s="147">
        <f>IF(M2S_Eligibility_List!R49=DataPaths_Code,1,0)+Q299</f>
        <v>3</v>
      </c>
      <c r="S299" s="147">
        <f>IF(M2S_Eligibility_List!S49=DataPaths_Code,1,0)+R299</f>
        <v>3</v>
      </c>
      <c r="T299" s="147">
        <f>IF(M2S_Eligibility_List!T49=DataPaths_Code,1,0)+S299</f>
        <v>3</v>
      </c>
      <c r="U299" s="147">
        <f>IF(M2S_Eligibility_List!U49=DataPaths_Code,1,0)+T299</f>
        <v>3</v>
      </c>
      <c r="V299" s="147">
        <f>IF(M2S_Eligibility_List!V49=DataPaths_Code,1,0)+U299</f>
        <v>3</v>
      </c>
      <c r="W299" s="147">
        <f>IF(M2S_Eligibility_List!W49=DataPaths_Code,1,0)+V299</f>
        <v>3</v>
      </c>
      <c r="X299" s="147">
        <f>IF(M2S_Eligibility_List!X49=DataPaths_Code,1,0)+W299</f>
        <v>3</v>
      </c>
      <c r="Y299" s="147">
        <f>IF(M2S_Eligibility_List!Y49=DataPaths_Code,1,0)+X299</f>
        <v>3</v>
      </c>
      <c r="Z299" s="147">
        <f>IF(M2S_Eligibility_List!Z49=DataPaths_Code,1,0)+Y299</f>
        <v>3</v>
      </c>
      <c r="AA299" s="147">
        <f>IF(M2S_Eligibility_List!AA49=DataPaths_Code,1,0)+Z299</f>
        <v>3</v>
      </c>
      <c r="AB299" s="147">
        <f>IF(M2S_Eligibility_List!AB49=DataPaths_Code,1,0)+AA299</f>
        <v>3</v>
      </c>
      <c r="AC299" s="147">
        <f>IF(M2S_Eligibility_List!AC49=DataPaths_Code,1,0)+AB299</f>
        <v>3</v>
      </c>
      <c r="AD299" s="147">
        <f>IF(M2S_Eligibility_List!AD49=DataPaths_Code,1,0)+AC299</f>
        <v>3</v>
      </c>
      <c r="AE299" s="147">
        <f>IF(M2S_Eligibility_List!AE49=DataPaths_Code,1,0)+AD299</f>
        <v>3</v>
      </c>
      <c r="AF299" s="147">
        <f>IF(M2S_Eligibility_List!AF49=DataPaths_Code,1,0)+AE299</f>
        <v>3</v>
      </c>
      <c r="AG299" s="147">
        <f>IF(M2S_Eligibility_List!AG49=DataPaths_Code,1,0)+AF299</f>
        <v>3</v>
      </c>
      <c r="AH299" s="147">
        <f>IF(M2S_Eligibility_List!AH49=DataPaths_Code,1,0)+AG299</f>
        <v>3</v>
      </c>
      <c r="AI299" s="147">
        <f>IF(M2S_Eligibility_List!AI49=DataPaths_Code,1,0)+AH299</f>
        <v>3</v>
      </c>
      <c r="AJ299" s="147">
        <f>IF(M2S_Eligibility_List!AJ49=DataPaths_Code,1,0)+AI299</f>
        <v>3</v>
      </c>
      <c r="AK299" s="147">
        <f>IF(M2S_Eligibility_List!AK49=DataPaths_Code,1,0)+AJ299</f>
        <v>3</v>
      </c>
      <c r="AL299" s="147">
        <f>IF(M2S_Eligibility_List!AL49=DataPaths_Code,1,0)+AK299</f>
        <v>3</v>
      </c>
      <c r="AM299" s="147">
        <f>IF(M2S_Eligibility_List!AM49=DataPaths_Code,1,0)+AL299</f>
        <v>3</v>
      </c>
      <c r="AN299" s="147">
        <f>IF(M2S_Eligibility_List!AN49=DataPaths_Code,1,0)+AM299</f>
        <v>3</v>
      </c>
      <c r="AO299" s="147">
        <f>IF(M2S_Eligibility_List!AO49=DataPaths_Code,1,0)+AN299</f>
        <v>3</v>
      </c>
      <c r="AP299" s="147">
        <f>IF(M2S_Eligibility_List!AP49=DataPaths_Code,1,0)+AO299</f>
        <v>3</v>
      </c>
      <c r="AQ299" s="147">
        <f>IF(M2S_Eligibility_List!AQ49=DataPaths_Code,1,0)+AP299</f>
        <v>3</v>
      </c>
      <c r="AR299" s="147">
        <f>IF(M2S_Eligibility_List!AR49=DataPaths_Code,1,0)+AQ299</f>
        <v>3</v>
      </c>
      <c r="AS299" s="147">
        <f>IF(M2S_Eligibility_List!AS49=DataPaths_Code,1,0)+AR299</f>
        <v>3</v>
      </c>
      <c r="AT299" s="147">
        <f>IF(M2S_Eligibility_List!AT49=DataPaths_Code,1,0)+AS299</f>
        <v>3</v>
      </c>
      <c r="AU299" s="147">
        <f>IF(M2S_Eligibility_List!AU49=DataPaths_Code,1,0)+AT299</f>
        <v>3</v>
      </c>
      <c r="AV299" s="147">
        <f>IF(M2S_Eligibility_List!AV49=DataPaths_Code,1,0)+AU299</f>
        <v>3</v>
      </c>
      <c r="AW299" s="147">
        <f>IF(M2S_Eligibility_List!AW49=DataPaths_Code,1,0)+AV299</f>
        <v>3</v>
      </c>
      <c r="AX299" s="147">
        <f>IF(M2S_Eligibility_List!AX49=DataPaths_Code,1,0)+AW299</f>
        <v>3</v>
      </c>
      <c r="AY299" s="147">
        <f>IF(M2S_Eligibility_List!AY49=DataPaths_Code,1,0)+AX299</f>
        <v>3</v>
      </c>
      <c r="AZ299" s="147">
        <f>IF(M2S_Eligibility_List!AZ49=DataPaths_Code,1,0)+AY299</f>
        <v>3</v>
      </c>
      <c r="BA299" s="147">
        <f>IF(M2S_Eligibility_List!BA49=DataPaths_Code,1,0)+AZ299</f>
        <v>3</v>
      </c>
      <c r="BB299" s="147">
        <f>IF(M2S_Eligibility_List!BB49=DataPaths_Code,1,0)+BA299</f>
        <v>3</v>
      </c>
      <c r="BC299" s="147">
        <f>IF(M2S_Eligibility_List!BC49=DataPaths_Code,1,0)+BB299</f>
        <v>3</v>
      </c>
      <c r="BD299" s="147">
        <f>IF(M2S_Eligibility_List!BD49=DataPaths_Code,1,0)+BC299</f>
        <v>3</v>
      </c>
      <c r="BE299" s="147">
        <f>IF(M2S_Eligibility_List!BE49=DataPaths_Code,1,0)+BD299</f>
        <v>3</v>
      </c>
      <c r="BF299" s="147">
        <f>IF(M2S_Eligibility_List!BF49=DataPaths_Code,1,0)+BE299</f>
        <v>3</v>
      </c>
      <c r="BG299" s="147">
        <f>IF(M2S_Eligibility_List!BG49=DataPaths_Code,1,0)+BF299</f>
        <v>3</v>
      </c>
      <c r="BH299" s="147">
        <f>IF(M2S_Eligibility_List!BH49=DataPaths_Code,1,0)+BG299</f>
        <v>3</v>
      </c>
      <c r="BI299" s="147">
        <f>IF(M2S_Eligibility_List!BI49=DataPaths_Code,1,0)+BH299</f>
        <v>3</v>
      </c>
      <c r="BJ299" s="147">
        <f>IF(M2S_Eligibility_List!BJ49=DataPaths_Code,1,0)+BI299</f>
        <v>3</v>
      </c>
      <c r="BK299" s="147">
        <f>IF(M2S_Eligibility_List!BK49=DataPaths_Code,1,0)+BJ299</f>
        <v>3</v>
      </c>
      <c r="BL299" s="147">
        <f>IF(M2S_Eligibility_List!BL49=DataPaths_Code,1,0)+BK299</f>
        <v>3</v>
      </c>
      <c r="BM299" s="147">
        <f>IF(M2S_Eligibility_List!BM49=DataPaths_Code,1,0)+BL299</f>
        <v>3</v>
      </c>
      <c r="BN299" s="147">
        <f>IF(M2S_Eligibility_List!BN49=DataPaths_Code,1,0)+BM299</f>
        <v>3</v>
      </c>
      <c r="BO299" s="147">
        <f>IF(M2S_Eligibility_List!BO49=DataPaths_Code,1,0)+BN299</f>
        <v>3</v>
      </c>
      <c r="BP299" s="147">
        <f>IF(M2S_Eligibility_List!BP49=DataPaths_Code,1,0)+BO299</f>
        <v>3</v>
      </c>
      <c r="BQ299" s="147">
        <f>IF(M2S_Eligibility_List!BQ49=DataPaths_Code,1,0)+BP299</f>
        <v>3</v>
      </c>
      <c r="BR299" s="147">
        <f>IF(M2S_Eligibility_List!BR49=DataPaths_Code,1,0)+BQ299</f>
        <v>3</v>
      </c>
      <c r="BS299" s="147">
        <f>IF(M2S_Eligibility_List!BS49=DataPaths_Code,1,0)+BR299</f>
        <v>3</v>
      </c>
      <c r="BT299" s="147">
        <f>IF(M2S_Eligibility_List!BT49=DataPaths_Code,1,0)+BS299</f>
        <v>3</v>
      </c>
      <c r="BU299" s="147">
        <f>IF(M2S_Eligibility_List!BU49=DataPaths_Code,1,0)+BT299</f>
        <v>3</v>
      </c>
      <c r="BV299" s="147">
        <f>IF(M2S_Eligibility_List!BV49=DataPaths_Code,1,0)+BU299</f>
        <v>3</v>
      </c>
      <c r="BW299" s="147">
        <f>IF(M2S_Eligibility_List!BW49=DataPaths_Code,1,0)+BV299</f>
        <v>3</v>
      </c>
    </row>
    <row r="300" spans="1:75" ht="20.100000000000001" customHeight="1">
      <c r="A300" s="145"/>
      <c r="B300" s="170" t="str">
        <f>IF(M2S_Eligibility_List!$B50&lt;&gt;"",RIGHT(M2S_Eligibility_List!$B50,LEN(M2S_Eligibility_List!$B50)-LEN(nmADwSP)),0)</f>
        <v>Building Design Suite Ultimate</v>
      </c>
      <c r="C300" s="147">
        <f>IF(M2S_Eligibility_List!C50=DataPaths_Code,1,0)</f>
        <v>1</v>
      </c>
      <c r="D300" s="147">
        <f>IF(M2S_Eligibility_List!D50=DataPaths_Code,1,0)+C300</f>
        <v>2</v>
      </c>
      <c r="E300" s="147">
        <f>IF(M2S_Eligibility_List!E50=DataPaths_Code,1,0)+D300</f>
        <v>2</v>
      </c>
      <c r="F300" s="147">
        <f>IF(M2S_Eligibility_List!F50=DataPaths_Code,1,0)+E300</f>
        <v>2</v>
      </c>
      <c r="G300" s="147">
        <f>IF(M2S_Eligibility_List!G50=DataPaths_Code,1,0)+F300</f>
        <v>2</v>
      </c>
      <c r="H300" s="147">
        <f>IF(M2S_Eligibility_List!H50=DataPaths_Code,1,0)+G300</f>
        <v>2</v>
      </c>
      <c r="I300" s="147">
        <f>IF(M2S_Eligibility_List!I50=DataPaths_Code,1,0)+H300</f>
        <v>2</v>
      </c>
      <c r="J300" s="147">
        <f>IF(M2S_Eligibility_List!J50=DataPaths_Code,1,0)+I300</f>
        <v>2</v>
      </c>
      <c r="K300" s="147">
        <f>IF(M2S_Eligibility_List!K50=DataPaths_Code,1,0)+J300</f>
        <v>2</v>
      </c>
      <c r="L300" s="147">
        <f>IF(M2S_Eligibility_List!L50=DataPaths_Code,1,0)+K300</f>
        <v>2</v>
      </c>
      <c r="M300" s="147">
        <f>IF(M2S_Eligibility_List!M50=DataPaths_Code,1,0)+L300</f>
        <v>2</v>
      </c>
      <c r="N300" s="147">
        <f>IF(M2S_Eligibility_List!N50=DataPaths_Code,1,0)+M300</f>
        <v>2</v>
      </c>
      <c r="O300" s="147">
        <f>IF(M2S_Eligibility_List!O50=DataPaths_Code,1,0)+N300</f>
        <v>2</v>
      </c>
      <c r="P300" s="147">
        <f>IF(M2S_Eligibility_List!P50=DataPaths_Code,1,0)+O300</f>
        <v>2</v>
      </c>
      <c r="Q300" s="147">
        <f>IF(M2S_Eligibility_List!Q50=DataPaths_Code,1,0)+P300</f>
        <v>2</v>
      </c>
      <c r="R300" s="147">
        <f>IF(M2S_Eligibility_List!R50=DataPaths_Code,1,0)+Q300</f>
        <v>2</v>
      </c>
      <c r="S300" s="147">
        <f>IF(M2S_Eligibility_List!S50=DataPaths_Code,1,0)+R300</f>
        <v>2</v>
      </c>
      <c r="T300" s="147">
        <f>IF(M2S_Eligibility_List!T50=DataPaths_Code,1,0)+S300</f>
        <v>2</v>
      </c>
      <c r="U300" s="147">
        <f>IF(M2S_Eligibility_List!U50=DataPaths_Code,1,0)+T300</f>
        <v>2</v>
      </c>
      <c r="V300" s="147">
        <f>IF(M2S_Eligibility_List!V50=DataPaths_Code,1,0)+U300</f>
        <v>2</v>
      </c>
      <c r="W300" s="147">
        <f>IF(M2S_Eligibility_List!W50=DataPaths_Code,1,0)+V300</f>
        <v>2</v>
      </c>
      <c r="X300" s="147">
        <f>IF(M2S_Eligibility_List!X50=DataPaths_Code,1,0)+W300</f>
        <v>2</v>
      </c>
      <c r="Y300" s="147">
        <f>IF(M2S_Eligibility_List!Y50=DataPaths_Code,1,0)+X300</f>
        <v>2</v>
      </c>
      <c r="Z300" s="147">
        <f>IF(M2S_Eligibility_List!Z50=DataPaths_Code,1,0)+Y300</f>
        <v>2</v>
      </c>
      <c r="AA300" s="147">
        <f>IF(M2S_Eligibility_List!AA50=DataPaths_Code,1,0)+Z300</f>
        <v>2</v>
      </c>
      <c r="AB300" s="147">
        <f>IF(M2S_Eligibility_List!AB50=DataPaths_Code,1,0)+AA300</f>
        <v>2</v>
      </c>
      <c r="AC300" s="147">
        <f>IF(M2S_Eligibility_List!AC50=DataPaths_Code,1,0)+AB300</f>
        <v>2</v>
      </c>
      <c r="AD300" s="147">
        <f>IF(M2S_Eligibility_List!AD50=DataPaths_Code,1,0)+AC300</f>
        <v>2</v>
      </c>
      <c r="AE300" s="147">
        <f>IF(M2S_Eligibility_List!AE50=DataPaths_Code,1,0)+AD300</f>
        <v>2</v>
      </c>
      <c r="AF300" s="147">
        <f>IF(M2S_Eligibility_List!AF50=DataPaths_Code,1,0)+AE300</f>
        <v>2</v>
      </c>
      <c r="AG300" s="147">
        <f>IF(M2S_Eligibility_List!AG50=DataPaths_Code,1,0)+AF300</f>
        <v>2</v>
      </c>
      <c r="AH300" s="147">
        <f>IF(M2S_Eligibility_List!AH50=DataPaths_Code,1,0)+AG300</f>
        <v>2</v>
      </c>
      <c r="AI300" s="147">
        <f>IF(M2S_Eligibility_List!AI50=DataPaths_Code,1,0)+AH300</f>
        <v>2</v>
      </c>
      <c r="AJ300" s="147">
        <f>IF(M2S_Eligibility_List!AJ50=DataPaths_Code,1,0)+AI300</f>
        <v>2</v>
      </c>
      <c r="AK300" s="147">
        <f>IF(M2S_Eligibility_List!AK50=DataPaths_Code,1,0)+AJ300</f>
        <v>2</v>
      </c>
      <c r="AL300" s="147">
        <f>IF(M2S_Eligibility_List!AL50=DataPaths_Code,1,0)+AK300</f>
        <v>2</v>
      </c>
      <c r="AM300" s="147">
        <f>IF(M2S_Eligibility_List!AM50=DataPaths_Code,1,0)+AL300</f>
        <v>2</v>
      </c>
      <c r="AN300" s="147">
        <f>IF(M2S_Eligibility_List!AN50=DataPaths_Code,1,0)+AM300</f>
        <v>2</v>
      </c>
      <c r="AO300" s="147">
        <f>IF(M2S_Eligibility_List!AO50=DataPaths_Code,1,0)+AN300</f>
        <v>2</v>
      </c>
      <c r="AP300" s="147">
        <f>IF(M2S_Eligibility_List!AP50=DataPaths_Code,1,0)+AO300</f>
        <v>2</v>
      </c>
      <c r="AQ300" s="147">
        <f>IF(M2S_Eligibility_List!AQ50=DataPaths_Code,1,0)+AP300</f>
        <v>2</v>
      </c>
      <c r="AR300" s="147">
        <f>IF(M2S_Eligibility_List!AR50=DataPaths_Code,1,0)+AQ300</f>
        <v>2</v>
      </c>
      <c r="AS300" s="147">
        <f>IF(M2S_Eligibility_List!AS50=DataPaths_Code,1,0)+AR300</f>
        <v>2</v>
      </c>
      <c r="AT300" s="147">
        <f>IF(M2S_Eligibility_List!AT50=DataPaths_Code,1,0)+AS300</f>
        <v>2</v>
      </c>
      <c r="AU300" s="147">
        <f>IF(M2S_Eligibility_List!AU50=DataPaths_Code,1,0)+AT300</f>
        <v>2</v>
      </c>
      <c r="AV300" s="147">
        <f>IF(M2S_Eligibility_List!AV50=DataPaths_Code,1,0)+AU300</f>
        <v>2</v>
      </c>
      <c r="AW300" s="147">
        <f>IF(M2S_Eligibility_List!AW50=DataPaths_Code,1,0)+AV300</f>
        <v>2</v>
      </c>
      <c r="AX300" s="147">
        <f>IF(M2S_Eligibility_List!AX50=DataPaths_Code,1,0)+AW300</f>
        <v>2</v>
      </c>
      <c r="AY300" s="147">
        <f>IF(M2S_Eligibility_List!AY50=DataPaths_Code,1,0)+AX300</f>
        <v>2</v>
      </c>
      <c r="AZ300" s="147">
        <f>IF(M2S_Eligibility_List!AZ50=DataPaths_Code,1,0)+AY300</f>
        <v>2</v>
      </c>
      <c r="BA300" s="147">
        <f>IF(M2S_Eligibility_List!BA50=DataPaths_Code,1,0)+AZ300</f>
        <v>2</v>
      </c>
      <c r="BB300" s="147">
        <f>IF(M2S_Eligibility_List!BB50=DataPaths_Code,1,0)+BA300</f>
        <v>2</v>
      </c>
      <c r="BC300" s="147">
        <f>IF(M2S_Eligibility_List!BC50=DataPaths_Code,1,0)+BB300</f>
        <v>2</v>
      </c>
      <c r="BD300" s="147">
        <f>IF(M2S_Eligibility_List!BD50=DataPaths_Code,1,0)+BC300</f>
        <v>2</v>
      </c>
      <c r="BE300" s="147">
        <f>IF(M2S_Eligibility_List!BE50=DataPaths_Code,1,0)+BD300</f>
        <v>2</v>
      </c>
      <c r="BF300" s="147">
        <f>IF(M2S_Eligibility_List!BF50=DataPaths_Code,1,0)+BE300</f>
        <v>2</v>
      </c>
      <c r="BG300" s="147">
        <f>IF(M2S_Eligibility_List!BG50=DataPaths_Code,1,0)+BF300</f>
        <v>2</v>
      </c>
      <c r="BH300" s="147">
        <f>IF(M2S_Eligibility_List!BH50=DataPaths_Code,1,0)+BG300</f>
        <v>2</v>
      </c>
      <c r="BI300" s="147">
        <f>IF(M2S_Eligibility_List!BI50=DataPaths_Code,1,0)+BH300</f>
        <v>2</v>
      </c>
      <c r="BJ300" s="147">
        <f>IF(M2S_Eligibility_List!BJ50=DataPaths_Code,1,0)+BI300</f>
        <v>2</v>
      </c>
      <c r="BK300" s="147">
        <f>IF(M2S_Eligibility_List!BK50=DataPaths_Code,1,0)+BJ300</f>
        <v>2</v>
      </c>
      <c r="BL300" s="147">
        <f>IF(M2S_Eligibility_List!BL50=DataPaths_Code,1,0)+BK300</f>
        <v>2</v>
      </c>
      <c r="BM300" s="147">
        <f>IF(M2S_Eligibility_List!BM50=DataPaths_Code,1,0)+BL300</f>
        <v>2</v>
      </c>
      <c r="BN300" s="147">
        <f>IF(M2S_Eligibility_List!BN50=DataPaths_Code,1,0)+BM300</f>
        <v>2</v>
      </c>
      <c r="BO300" s="147">
        <f>IF(M2S_Eligibility_List!BO50=DataPaths_Code,1,0)+BN300</f>
        <v>2</v>
      </c>
      <c r="BP300" s="147">
        <f>IF(M2S_Eligibility_List!BP50=DataPaths_Code,1,0)+BO300</f>
        <v>2</v>
      </c>
      <c r="BQ300" s="147">
        <f>IF(M2S_Eligibility_List!BQ50=DataPaths_Code,1,0)+BP300</f>
        <v>2</v>
      </c>
      <c r="BR300" s="147">
        <f>IF(M2S_Eligibility_List!BR50=DataPaths_Code,1,0)+BQ300</f>
        <v>2</v>
      </c>
      <c r="BS300" s="147">
        <f>IF(M2S_Eligibility_List!BS50=DataPaths_Code,1,0)+BR300</f>
        <v>2</v>
      </c>
      <c r="BT300" s="147">
        <f>IF(M2S_Eligibility_List!BT50=DataPaths_Code,1,0)+BS300</f>
        <v>2</v>
      </c>
      <c r="BU300" s="147">
        <f>IF(M2S_Eligibility_List!BU50=DataPaths_Code,1,0)+BT300</f>
        <v>2</v>
      </c>
      <c r="BV300" s="147">
        <f>IF(M2S_Eligibility_List!BV50=DataPaths_Code,1,0)+BU300</f>
        <v>2</v>
      </c>
      <c r="BW300" s="147">
        <f>IF(M2S_Eligibility_List!BW50=DataPaths_Code,1,0)+BV300</f>
        <v>2</v>
      </c>
    </row>
    <row r="301" spans="1:75" ht="20.100000000000001" customHeight="1">
      <c r="A301" s="145"/>
      <c r="B301" s="170" t="str">
        <f>IF(M2S_Eligibility_List!$B51&lt;&gt;"",RIGHT(M2S_Eligibility_List!$B51,LEN(M2S_Eligibility_List!$B51)-LEN(nmADwSP)),0)</f>
        <v>CFD</v>
      </c>
      <c r="C301" s="147">
        <f>IF(M2S_Eligibility_List!C51=DataPaths_Code,1,0)</f>
        <v>0</v>
      </c>
      <c r="D301" s="147">
        <f>IF(M2S_Eligibility_List!D51=DataPaths_Code,1,0)+C301</f>
        <v>0</v>
      </c>
      <c r="E301" s="147">
        <f>IF(M2S_Eligibility_List!E51=DataPaths_Code,1,0)+D301</f>
        <v>0</v>
      </c>
      <c r="F301" s="147">
        <f>IF(M2S_Eligibility_List!F51=DataPaths_Code,1,0)+E301</f>
        <v>0</v>
      </c>
      <c r="G301" s="147">
        <f>IF(M2S_Eligibility_List!G51=DataPaths_Code,1,0)+F301</f>
        <v>0</v>
      </c>
      <c r="H301" s="147">
        <f>IF(M2S_Eligibility_List!H51=DataPaths_Code,1,0)+G301</f>
        <v>0</v>
      </c>
      <c r="I301" s="147">
        <f>IF(M2S_Eligibility_List!I51=DataPaths_Code,1,0)+H301</f>
        <v>0</v>
      </c>
      <c r="J301" s="147">
        <f>IF(M2S_Eligibility_List!J51=DataPaths_Code,1,0)+I301</f>
        <v>0</v>
      </c>
      <c r="K301" s="147">
        <f>IF(M2S_Eligibility_List!K51=DataPaths_Code,1,0)+J301</f>
        <v>0</v>
      </c>
      <c r="L301" s="147">
        <f>IF(M2S_Eligibility_List!L51=DataPaths_Code,1,0)+K301</f>
        <v>0</v>
      </c>
      <c r="M301" s="147">
        <f>IF(M2S_Eligibility_List!M51=DataPaths_Code,1,0)+L301</f>
        <v>0</v>
      </c>
      <c r="N301" s="147">
        <f>IF(M2S_Eligibility_List!N51=DataPaths_Code,1,0)+M301</f>
        <v>0</v>
      </c>
      <c r="O301" s="147">
        <f>IF(M2S_Eligibility_List!O51=DataPaths_Code,1,0)+N301</f>
        <v>0</v>
      </c>
      <c r="P301" s="147">
        <f>IF(M2S_Eligibility_List!P51=DataPaths_Code,1,0)+O301</f>
        <v>0</v>
      </c>
      <c r="Q301" s="147">
        <f>IF(M2S_Eligibility_List!Q51=DataPaths_Code,1,0)+P301</f>
        <v>0</v>
      </c>
      <c r="R301" s="147">
        <f>IF(M2S_Eligibility_List!R51=DataPaths_Code,1,0)+Q301</f>
        <v>0</v>
      </c>
      <c r="S301" s="147">
        <f>IF(M2S_Eligibility_List!S51=DataPaths_Code,1,0)+R301</f>
        <v>1</v>
      </c>
      <c r="T301" s="147">
        <f>IF(M2S_Eligibility_List!T51=DataPaths_Code,1,0)+S301</f>
        <v>2</v>
      </c>
      <c r="U301" s="147">
        <f>IF(M2S_Eligibility_List!U51=DataPaths_Code,1,0)+T301</f>
        <v>2</v>
      </c>
      <c r="V301" s="147">
        <f>IF(M2S_Eligibility_List!V51=DataPaths_Code,1,0)+U301</f>
        <v>2</v>
      </c>
      <c r="W301" s="147">
        <f>IF(M2S_Eligibility_List!W51=DataPaths_Code,1,0)+V301</f>
        <v>2</v>
      </c>
      <c r="X301" s="147">
        <f>IF(M2S_Eligibility_List!X51=DataPaths_Code,1,0)+W301</f>
        <v>2</v>
      </c>
      <c r="Y301" s="147">
        <f>IF(M2S_Eligibility_List!Y51=DataPaths_Code,1,0)+X301</f>
        <v>2</v>
      </c>
      <c r="Z301" s="147">
        <f>IF(M2S_Eligibility_List!Z51=DataPaths_Code,1,0)+Y301</f>
        <v>2</v>
      </c>
      <c r="AA301" s="147">
        <f>IF(M2S_Eligibility_List!AA51=DataPaths_Code,1,0)+Z301</f>
        <v>2</v>
      </c>
      <c r="AB301" s="147">
        <f>IF(M2S_Eligibility_List!AB51=DataPaths_Code,1,0)+AA301</f>
        <v>2</v>
      </c>
      <c r="AC301" s="147">
        <f>IF(M2S_Eligibility_List!AC51=DataPaths_Code,1,0)+AB301</f>
        <v>2</v>
      </c>
      <c r="AD301" s="147">
        <f>IF(M2S_Eligibility_List!AD51=DataPaths_Code,1,0)+AC301</f>
        <v>2</v>
      </c>
      <c r="AE301" s="147">
        <f>IF(M2S_Eligibility_List!AE51=DataPaths_Code,1,0)+AD301</f>
        <v>2</v>
      </c>
      <c r="AF301" s="147">
        <f>IF(M2S_Eligibility_List!AF51=DataPaths_Code,1,0)+AE301</f>
        <v>2</v>
      </c>
      <c r="AG301" s="147">
        <f>IF(M2S_Eligibility_List!AG51=DataPaths_Code,1,0)+AF301</f>
        <v>2</v>
      </c>
      <c r="AH301" s="147">
        <f>IF(M2S_Eligibility_List!AH51=DataPaths_Code,1,0)+AG301</f>
        <v>2</v>
      </c>
      <c r="AI301" s="147">
        <f>IF(M2S_Eligibility_List!AI51=DataPaths_Code,1,0)+AH301</f>
        <v>2</v>
      </c>
      <c r="AJ301" s="147">
        <f>IF(M2S_Eligibility_List!AJ51=DataPaths_Code,1,0)+AI301</f>
        <v>2</v>
      </c>
      <c r="AK301" s="147">
        <f>IF(M2S_Eligibility_List!AK51=DataPaths_Code,1,0)+AJ301</f>
        <v>2</v>
      </c>
      <c r="AL301" s="147">
        <f>IF(M2S_Eligibility_List!AL51=DataPaths_Code,1,0)+AK301</f>
        <v>2</v>
      </c>
      <c r="AM301" s="147">
        <f>IF(M2S_Eligibility_List!AM51=DataPaths_Code,1,0)+AL301</f>
        <v>2</v>
      </c>
      <c r="AN301" s="147">
        <f>IF(M2S_Eligibility_List!AN51=DataPaths_Code,1,0)+AM301</f>
        <v>2</v>
      </c>
      <c r="AO301" s="147">
        <f>IF(M2S_Eligibility_List!AO51=DataPaths_Code,1,0)+AN301</f>
        <v>2</v>
      </c>
      <c r="AP301" s="147">
        <f>IF(M2S_Eligibility_List!AP51=DataPaths_Code,1,0)+AO301</f>
        <v>2</v>
      </c>
      <c r="AQ301" s="147">
        <f>IF(M2S_Eligibility_List!AQ51=DataPaths_Code,1,0)+AP301</f>
        <v>2</v>
      </c>
      <c r="AR301" s="147">
        <f>IF(M2S_Eligibility_List!AR51=DataPaths_Code,1,0)+AQ301</f>
        <v>2</v>
      </c>
      <c r="AS301" s="147">
        <f>IF(M2S_Eligibility_List!AS51=DataPaths_Code,1,0)+AR301</f>
        <v>2</v>
      </c>
      <c r="AT301" s="147">
        <f>IF(M2S_Eligibility_List!AT51=DataPaths_Code,1,0)+AS301</f>
        <v>2</v>
      </c>
      <c r="AU301" s="147">
        <f>IF(M2S_Eligibility_List!AU51=DataPaths_Code,1,0)+AT301</f>
        <v>2</v>
      </c>
      <c r="AV301" s="147">
        <f>IF(M2S_Eligibility_List!AV51=DataPaths_Code,1,0)+AU301</f>
        <v>2</v>
      </c>
      <c r="AW301" s="147">
        <f>IF(M2S_Eligibility_List!AW51=DataPaths_Code,1,0)+AV301</f>
        <v>2</v>
      </c>
      <c r="AX301" s="147">
        <f>IF(M2S_Eligibility_List!AX51=DataPaths_Code,1,0)+AW301</f>
        <v>2</v>
      </c>
      <c r="AY301" s="147">
        <f>IF(M2S_Eligibility_List!AY51=DataPaths_Code,1,0)+AX301</f>
        <v>2</v>
      </c>
      <c r="AZ301" s="147">
        <f>IF(M2S_Eligibility_List!AZ51=DataPaths_Code,1,0)+AY301</f>
        <v>2</v>
      </c>
      <c r="BA301" s="147">
        <f>IF(M2S_Eligibility_List!BA51=DataPaths_Code,1,0)+AZ301</f>
        <v>2</v>
      </c>
      <c r="BB301" s="147">
        <f>IF(M2S_Eligibility_List!BB51=DataPaths_Code,1,0)+BA301</f>
        <v>2</v>
      </c>
      <c r="BC301" s="147">
        <f>IF(M2S_Eligibility_List!BC51=DataPaths_Code,1,0)+BB301</f>
        <v>2</v>
      </c>
      <c r="BD301" s="147">
        <f>IF(M2S_Eligibility_List!BD51=DataPaths_Code,1,0)+BC301</f>
        <v>2</v>
      </c>
      <c r="BE301" s="147">
        <f>IF(M2S_Eligibility_List!BE51=DataPaths_Code,1,0)+BD301</f>
        <v>2</v>
      </c>
      <c r="BF301" s="147">
        <f>IF(M2S_Eligibility_List!BF51=DataPaths_Code,1,0)+BE301</f>
        <v>2</v>
      </c>
      <c r="BG301" s="147">
        <f>IF(M2S_Eligibility_List!BG51=DataPaths_Code,1,0)+BF301</f>
        <v>2</v>
      </c>
      <c r="BH301" s="147">
        <f>IF(M2S_Eligibility_List!BH51=DataPaths_Code,1,0)+BG301</f>
        <v>2</v>
      </c>
      <c r="BI301" s="147">
        <f>IF(M2S_Eligibility_List!BI51=DataPaths_Code,1,0)+BH301</f>
        <v>2</v>
      </c>
      <c r="BJ301" s="147">
        <f>IF(M2S_Eligibility_List!BJ51=DataPaths_Code,1,0)+BI301</f>
        <v>2</v>
      </c>
      <c r="BK301" s="147">
        <f>IF(M2S_Eligibility_List!BK51=DataPaths_Code,1,0)+BJ301</f>
        <v>2</v>
      </c>
      <c r="BL301" s="147">
        <f>IF(M2S_Eligibility_List!BL51=DataPaths_Code,1,0)+BK301</f>
        <v>2</v>
      </c>
      <c r="BM301" s="147">
        <f>IF(M2S_Eligibility_List!BM51=DataPaths_Code,1,0)+BL301</f>
        <v>2</v>
      </c>
      <c r="BN301" s="147">
        <f>IF(M2S_Eligibility_List!BN51=DataPaths_Code,1,0)+BM301</f>
        <v>2</v>
      </c>
      <c r="BO301" s="147">
        <f>IF(M2S_Eligibility_List!BO51=DataPaths_Code,1,0)+BN301</f>
        <v>2</v>
      </c>
      <c r="BP301" s="147">
        <f>IF(M2S_Eligibility_List!BP51=DataPaths_Code,1,0)+BO301</f>
        <v>2</v>
      </c>
      <c r="BQ301" s="147">
        <f>IF(M2S_Eligibility_List!BQ51=DataPaths_Code,1,0)+BP301</f>
        <v>2</v>
      </c>
      <c r="BR301" s="147">
        <f>IF(M2S_Eligibility_List!BR51=DataPaths_Code,1,0)+BQ301</f>
        <v>2</v>
      </c>
      <c r="BS301" s="147">
        <f>IF(M2S_Eligibility_List!BS51=DataPaths_Code,1,0)+BR301</f>
        <v>2</v>
      </c>
      <c r="BT301" s="147">
        <f>IF(M2S_Eligibility_List!BT51=DataPaths_Code,1,0)+BS301</f>
        <v>2</v>
      </c>
      <c r="BU301" s="147">
        <f>IF(M2S_Eligibility_List!BU51=DataPaths_Code,1,0)+BT301</f>
        <v>2</v>
      </c>
      <c r="BV301" s="147">
        <f>IF(M2S_Eligibility_List!BV51=DataPaths_Code,1,0)+BU301</f>
        <v>2</v>
      </c>
      <c r="BW301" s="147">
        <f>IF(M2S_Eligibility_List!BW51=DataPaths_Code,1,0)+BV301</f>
        <v>2</v>
      </c>
    </row>
    <row r="302" spans="1:75" ht="20.100000000000001" customHeight="1">
      <c r="A302" s="145"/>
      <c r="B302" s="170" t="str">
        <f>IF(M2S_Eligibility_List!$B52&lt;&gt;"",RIGHT(M2S_Eligibility_List!$B52,LEN(M2S_Eligibility_List!$B52)-LEN(nmADwSP)),0)</f>
        <v>CFD Premium (formerly CFD Advanced)</v>
      </c>
      <c r="C302" s="147">
        <f>IF(M2S_Eligibility_List!C52=DataPaths_Code,1,0)</f>
        <v>0</v>
      </c>
      <c r="D302" s="147">
        <f>IF(M2S_Eligibility_List!D52=DataPaths_Code,1,0)+C302</f>
        <v>0</v>
      </c>
      <c r="E302" s="147">
        <f>IF(M2S_Eligibility_List!E52=DataPaths_Code,1,0)+D302</f>
        <v>0</v>
      </c>
      <c r="F302" s="147">
        <f>IF(M2S_Eligibility_List!F52=DataPaths_Code,1,0)+E302</f>
        <v>0</v>
      </c>
      <c r="G302" s="147">
        <f>IF(M2S_Eligibility_List!G52=DataPaths_Code,1,0)+F302</f>
        <v>0</v>
      </c>
      <c r="H302" s="147">
        <f>IF(M2S_Eligibility_List!H52=DataPaths_Code,1,0)+G302</f>
        <v>0</v>
      </c>
      <c r="I302" s="147">
        <f>IF(M2S_Eligibility_List!I52=DataPaths_Code,1,0)+H302</f>
        <v>0</v>
      </c>
      <c r="J302" s="147">
        <f>IF(M2S_Eligibility_List!J52=DataPaths_Code,1,0)+I302</f>
        <v>0</v>
      </c>
      <c r="K302" s="147">
        <f>IF(M2S_Eligibility_List!K52=DataPaths_Code,1,0)+J302</f>
        <v>0</v>
      </c>
      <c r="L302" s="147">
        <f>IF(M2S_Eligibility_List!L52=DataPaths_Code,1,0)+K302</f>
        <v>0</v>
      </c>
      <c r="M302" s="147">
        <f>IF(M2S_Eligibility_List!M52=DataPaths_Code,1,0)+L302</f>
        <v>0</v>
      </c>
      <c r="N302" s="147">
        <f>IF(M2S_Eligibility_List!N52=DataPaths_Code,1,0)+M302</f>
        <v>0</v>
      </c>
      <c r="O302" s="147">
        <f>IF(M2S_Eligibility_List!O52=DataPaths_Code,1,0)+N302</f>
        <v>0</v>
      </c>
      <c r="P302" s="147">
        <f>IF(M2S_Eligibility_List!P52=DataPaths_Code,1,0)+O302</f>
        <v>0</v>
      </c>
      <c r="Q302" s="147">
        <f>IF(M2S_Eligibility_List!Q52=DataPaths_Code,1,0)+P302</f>
        <v>0</v>
      </c>
      <c r="R302" s="147">
        <f>IF(M2S_Eligibility_List!R52=DataPaths_Code,1,0)+Q302</f>
        <v>0</v>
      </c>
      <c r="S302" s="147">
        <f>IF(M2S_Eligibility_List!S52=DataPaths_Code,1,0)+R302</f>
        <v>1</v>
      </c>
      <c r="T302" s="147">
        <f>IF(M2S_Eligibility_List!T52=DataPaths_Code,1,0)+S302</f>
        <v>2</v>
      </c>
      <c r="U302" s="147">
        <f>IF(M2S_Eligibility_List!U52=DataPaths_Code,1,0)+T302</f>
        <v>2</v>
      </c>
      <c r="V302" s="147">
        <f>IF(M2S_Eligibility_List!V52=DataPaths_Code,1,0)+U302</f>
        <v>2</v>
      </c>
      <c r="W302" s="147">
        <f>IF(M2S_Eligibility_List!W52=DataPaths_Code,1,0)+V302</f>
        <v>2</v>
      </c>
      <c r="X302" s="147">
        <f>IF(M2S_Eligibility_List!X52=DataPaths_Code,1,0)+W302</f>
        <v>2</v>
      </c>
      <c r="Y302" s="147">
        <f>IF(M2S_Eligibility_List!Y52=DataPaths_Code,1,0)+X302</f>
        <v>2</v>
      </c>
      <c r="Z302" s="147">
        <f>IF(M2S_Eligibility_List!Z52=DataPaths_Code,1,0)+Y302</f>
        <v>2</v>
      </c>
      <c r="AA302" s="147">
        <f>IF(M2S_Eligibility_List!AA52=DataPaths_Code,1,0)+Z302</f>
        <v>2</v>
      </c>
      <c r="AB302" s="147">
        <f>IF(M2S_Eligibility_List!AB52=DataPaths_Code,1,0)+AA302</f>
        <v>2</v>
      </c>
      <c r="AC302" s="147">
        <f>IF(M2S_Eligibility_List!AC52=DataPaths_Code,1,0)+AB302</f>
        <v>2</v>
      </c>
      <c r="AD302" s="147">
        <f>IF(M2S_Eligibility_List!AD52=DataPaths_Code,1,0)+AC302</f>
        <v>2</v>
      </c>
      <c r="AE302" s="147">
        <f>IF(M2S_Eligibility_List!AE52=DataPaths_Code,1,0)+AD302</f>
        <v>2</v>
      </c>
      <c r="AF302" s="147">
        <f>IF(M2S_Eligibility_List!AF52=DataPaths_Code,1,0)+AE302</f>
        <v>2</v>
      </c>
      <c r="AG302" s="147">
        <f>IF(M2S_Eligibility_List!AG52=DataPaths_Code,1,0)+AF302</f>
        <v>2</v>
      </c>
      <c r="AH302" s="147">
        <f>IF(M2S_Eligibility_List!AH52=DataPaths_Code,1,0)+AG302</f>
        <v>2</v>
      </c>
      <c r="AI302" s="147">
        <f>IF(M2S_Eligibility_List!AI52=DataPaths_Code,1,0)+AH302</f>
        <v>2</v>
      </c>
      <c r="AJ302" s="147">
        <f>IF(M2S_Eligibility_List!AJ52=DataPaths_Code,1,0)+AI302</f>
        <v>2</v>
      </c>
      <c r="AK302" s="147">
        <f>IF(M2S_Eligibility_List!AK52=DataPaths_Code,1,0)+AJ302</f>
        <v>2</v>
      </c>
      <c r="AL302" s="147">
        <f>IF(M2S_Eligibility_List!AL52=DataPaths_Code,1,0)+AK302</f>
        <v>2</v>
      </c>
      <c r="AM302" s="147">
        <f>IF(M2S_Eligibility_List!AM52=DataPaths_Code,1,0)+AL302</f>
        <v>2</v>
      </c>
      <c r="AN302" s="147">
        <f>IF(M2S_Eligibility_List!AN52=DataPaths_Code,1,0)+AM302</f>
        <v>2</v>
      </c>
      <c r="AO302" s="147">
        <f>IF(M2S_Eligibility_List!AO52=DataPaths_Code,1,0)+AN302</f>
        <v>2</v>
      </c>
      <c r="AP302" s="147">
        <f>IF(M2S_Eligibility_List!AP52=DataPaths_Code,1,0)+AO302</f>
        <v>2</v>
      </c>
      <c r="AQ302" s="147">
        <f>IF(M2S_Eligibility_List!AQ52=DataPaths_Code,1,0)+AP302</f>
        <v>2</v>
      </c>
      <c r="AR302" s="147">
        <f>IF(M2S_Eligibility_List!AR52=DataPaths_Code,1,0)+AQ302</f>
        <v>2</v>
      </c>
      <c r="AS302" s="147">
        <f>IF(M2S_Eligibility_List!AS52=DataPaths_Code,1,0)+AR302</f>
        <v>2</v>
      </c>
      <c r="AT302" s="147">
        <f>IF(M2S_Eligibility_List!AT52=DataPaths_Code,1,0)+AS302</f>
        <v>2</v>
      </c>
      <c r="AU302" s="147">
        <f>IF(M2S_Eligibility_List!AU52=DataPaths_Code,1,0)+AT302</f>
        <v>2</v>
      </c>
      <c r="AV302" s="147">
        <f>IF(M2S_Eligibility_List!AV52=DataPaths_Code,1,0)+AU302</f>
        <v>2</v>
      </c>
      <c r="AW302" s="147">
        <f>IF(M2S_Eligibility_List!AW52=DataPaths_Code,1,0)+AV302</f>
        <v>2</v>
      </c>
      <c r="AX302" s="147">
        <f>IF(M2S_Eligibility_List!AX52=DataPaths_Code,1,0)+AW302</f>
        <v>2</v>
      </c>
      <c r="AY302" s="147">
        <f>IF(M2S_Eligibility_List!AY52=DataPaths_Code,1,0)+AX302</f>
        <v>2</v>
      </c>
      <c r="AZ302" s="147">
        <f>IF(M2S_Eligibility_List!AZ52=DataPaths_Code,1,0)+AY302</f>
        <v>2</v>
      </c>
      <c r="BA302" s="147">
        <f>IF(M2S_Eligibility_List!BA52=DataPaths_Code,1,0)+AZ302</f>
        <v>2</v>
      </c>
      <c r="BB302" s="147">
        <f>IF(M2S_Eligibility_List!BB52=DataPaths_Code,1,0)+BA302</f>
        <v>2</v>
      </c>
      <c r="BC302" s="147">
        <f>IF(M2S_Eligibility_List!BC52=DataPaths_Code,1,0)+BB302</f>
        <v>2</v>
      </c>
      <c r="BD302" s="147">
        <f>IF(M2S_Eligibility_List!BD52=DataPaths_Code,1,0)+BC302</f>
        <v>2</v>
      </c>
      <c r="BE302" s="147">
        <f>IF(M2S_Eligibility_List!BE52=DataPaths_Code,1,0)+BD302</f>
        <v>2</v>
      </c>
      <c r="BF302" s="147">
        <f>IF(M2S_Eligibility_List!BF52=DataPaths_Code,1,0)+BE302</f>
        <v>2</v>
      </c>
      <c r="BG302" s="147">
        <f>IF(M2S_Eligibility_List!BG52=DataPaths_Code,1,0)+BF302</f>
        <v>2</v>
      </c>
      <c r="BH302" s="147">
        <f>IF(M2S_Eligibility_List!BH52=DataPaths_Code,1,0)+BG302</f>
        <v>2</v>
      </c>
      <c r="BI302" s="147">
        <f>IF(M2S_Eligibility_List!BI52=DataPaths_Code,1,0)+BH302</f>
        <v>2</v>
      </c>
      <c r="BJ302" s="147">
        <f>IF(M2S_Eligibility_List!BJ52=DataPaths_Code,1,0)+BI302</f>
        <v>2</v>
      </c>
      <c r="BK302" s="147">
        <f>IF(M2S_Eligibility_List!BK52=DataPaths_Code,1,0)+BJ302</f>
        <v>2</v>
      </c>
      <c r="BL302" s="147">
        <f>IF(M2S_Eligibility_List!BL52=DataPaths_Code,1,0)+BK302</f>
        <v>2</v>
      </c>
      <c r="BM302" s="147">
        <f>IF(M2S_Eligibility_List!BM52=DataPaths_Code,1,0)+BL302</f>
        <v>2</v>
      </c>
      <c r="BN302" s="147">
        <f>IF(M2S_Eligibility_List!BN52=DataPaths_Code,1,0)+BM302</f>
        <v>2</v>
      </c>
      <c r="BO302" s="147">
        <f>IF(M2S_Eligibility_List!BO52=DataPaths_Code,1,0)+BN302</f>
        <v>2</v>
      </c>
      <c r="BP302" s="147">
        <f>IF(M2S_Eligibility_List!BP52=DataPaths_Code,1,0)+BO302</f>
        <v>2</v>
      </c>
      <c r="BQ302" s="147">
        <f>IF(M2S_Eligibility_List!BQ52=DataPaths_Code,1,0)+BP302</f>
        <v>2</v>
      </c>
      <c r="BR302" s="147">
        <f>IF(M2S_Eligibility_List!BR52=DataPaths_Code,1,0)+BQ302</f>
        <v>2</v>
      </c>
      <c r="BS302" s="147">
        <f>IF(M2S_Eligibility_List!BS52=DataPaths_Code,1,0)+BR302</f>
        <v>2</v>
      </c>
      <c r="BT302" s="147">
        <f>IF(M2S_Eligibility_List!BT52=DataPaths_Code,1,0)+BS302</f>
        <v>2</v>
      </c>
      <c r="BU302" s="147">
        <f>IF(M2S_Eligibility_List!BU52=DataPaths_Code,1,0)+BT302</f>
        <v>2</v>
      </c>
      <c r="BV302" s="147">
        <f>IF(M2S_Eligibility_List!BV52=DataPaths_Code,1,0)+BU302</f>
        <v>2</v>
      </c>
      <c r="BW302" s="147">
        <f>IF(M2S_Eligibility_List!BW52=DataPaths_Code,1,0)+BV302</f>
        <v>2</v>
      </c>
    </row>
    <row r="303" spans="1:75" ht="20.100000000000001" customHeight="1">
      <c r="A303" s="145"/>
      <c r="B303" s="170" t="str">
        <f>IF(M2S_Eligibility_List!$B53&lt;&gt;"",RIGHT(M2S_Eligibility_List!$B53,LEN(M2S_Eligibility_List!$B53)-LEN(nmADwSP)),0)</f>
        <v>CFD Ultimate (formerly CFD Motion)</v>
      </c>
      <c r="C303" s="147">
        <f>IF(M2S_Eligibility_List!C53=DataPaths_Code,1,0)</f>
        <v>0</v>
      </c>
      <c r="D303" s="147">
        <f>IF(M2S_Eligibility_List!D53=DataPaths_Code,1,0)+C303</f>
        <v>0</v>
      </c>
      <c r="E303" s="147">
        <f>IF(M2S_Eligibility_List!E53=DataPaths_Code,1,0)+D303</f>
        <v>0</v>
      </c>
      <c r="F303" s="147">
        <f>IF(M2S_Eligibility_List!F53=DataPaths_Code,1,0)+E303</f>
        <v>0</v>
      </c>
      <c r="G303" s="147">
        <f>IF(M2S_Eligibility_List!G53=DataPaths_Code,1,0)+F303</f>
        <v>0</v>
      </c>
      <c r="H303" s="147">
        <f>IF(M2S_Eligibility_List!H53=DataPaths_Code,1,0)+G303</f>
        <v>0</v>
      </c>
      <c r="I303" s="147">
        <f>IF(M2S_Eligibility_List!I53=DataPaths_Code,1,0)+H303</f>
        <v>0</v>
      </c>
      <c r="J303" s="147">
        <f>IF(M2S_Eligibility_List!J53=DataPaths_Code,1,0)+I303</f>
        <v>0</v>
      </c>
      <c r="K303" s="147">
        <f>IF(M2S_Eligibility_List!K53=DataPaths_Code,1,0)+J303</f>
        <v>0</v>
      </c>
      <c r="L303" s="147">
        <f>IF(M2S_Eligibility_List!L53=DataPaths_Code,1,0)+K303</f>
        <v>0</v>
      </c>
      <c r="M303" s="147">
        <f>IF(M2S_Eligibility_List!M53=DataPaths_Code,1,0)+L303</f>
        <v>0</v>
      </c>
      <c r="N303" s="147">
        <f>IF(M2S_Eligibility_List!N53=DataPaths_Code,1,0)+M303</f>
        <v>0</v>
      </c>
      <c r="O303" s="147">
        <f>IF(M2S_Eligibility_List!O53=DataPaths_Code,1,0)+N303</f>
        <v>0</v>
      </c>
      <c r="P303" s="147">
        <f>IF(M2S_Eligibility_List!P53=DataPaths_Code,1,0)+O303</f>
        <v>0</v>
      </c>
      <c r="Q303" s="147">
        <f>IF(M2S_Eligibility_List!Q53=DataPaths_Code,1,0)+P303</f>
        <v>0</v>
      </c>
      <c r="R303" s="147">
        <f>IF(M2S_Eligibility_List!R53=DataPaths_Code,1,0)+Q303</f>
        <v>0</v>
      </c>
      <c r="S303" s="147">
        <f>IF(M2S_Eligibility_List!S53=DataPaths_Code,1,0)+R303</f>
        <v>0</v>
      </c>
      <c r="T303" s="147">
        <f>IF(M2S_Eligibility_List!T53=DataPaths_Code,1,0)+S303</f>
        <v>1</v>
      </c>
      <c r="U303" s="147">
        <f>IF(M2S_Eligibility_List!U53=DataPaths_Code,1,0)+T303</f>
        <v>1</v>
      </c>
      <c r="V303" s="147">
        <f>IF(M2S_Eligibility_List!V53=DataPaths_Code,1,0)+U303</f>
        <v>1</v>
      </c>
      <c r="W303" s="147">
        <f>IF(M2S_Eligibility_List!W53=DataPaths_Code,1,0)+V303</f>
        <v>1</v>
      </c>
      <c r="X303" s="147">
        <f>IF(M2S_Eligibility_List!X53=DataPaths_Code,1,0)+W303</f>
        <v>1</v>
      </c>
      <c r="Y303" s="147">
        <f>IF(M2S_Eligibility_List!Y53=DataPaths_Code,1,0)+X303</f>
        <v>1</v>
      </c>
      <c r="Z303" s="147">
        <f>IF(M2S_Eligibility_List!Z53=DataPaths_Code,1,0)+Y303</f>
        <v>1</v>
      </c>
      <c r="AA303" s="147">
        <f>IF(M2S_Eligibility_List!AA53=DataPaths_Code,1,0)+Z303</f>
        <v>1</v>
      </c>
      <c r="AB303" s="147">
        <f>IF(M2S_Eligibility_List!AB53=DataPaths_Code,1,0)+AA303</f>
        <v>1</v>
      </c>
      <c r="AC303" s="147">
        <f>IF(M2S_Eligibility_List!AC53=DataPaths_Code,1,0)+AB303</f>
        <v>1</v>
      </c>
      <c r="AD303" s="147">
        <f>IF(M2S_Eligibility_List!AD53=DataPaths_Code,1,0)+AC303</f>
        <v>1</v>
      </c>
      <c r="AE303" s="147">
        <f>IF(M2S_Eligibility_List!AE53=DataPaths_Code,1,0)+AD303</f>
        <v>1</v>
      </c>
      <c r="AF303" s="147">
        <f>IF(M2S_Eligibility_List!AF53=DataPaths_Code,1,0)+AE303</f>
        <v>1</v>
      </c>
      <c r="AG303" s="147">
        <f>IF(M2S_Eligibility_List!AG53=DataPaths_Code,1,0)+AF303</f>
        <v>1</v>
      </c>
      <c r="AH303" s="147">
        <f>IF(M2S_Eligibility_List!AH53=DataPaths_Code,1,0)+AG303</f>
        <v>1</v>
      </c>
      <c r="AI303" s="147">
        <f>IF(M2S_Eligibility_List!AI53=DataPaths_Code,1,0)+AH303</f>
        <v>1</v>
      </c>
      <c r="AJ303" s="147">
        <f>IF(M2S_Eligibility_List!AJ53=DataPaths_Code,1,0)+AI303</f>
        <v>1</v>
      </c>
      <c r="AK303" s="147">
        <f>IF(M2S_Eligibility_List!AK53=DataPaths_Code,1,0)+AJ303</f>
        <v>1</v>
      </c>
      <c r="AL303" s="147">
        <f>IF(M2S_Eligibility_List!AL53=DataPaths_Code,1,0)+AK303</f>
        <v>1</v>
      </c>
      <c r="AM303" s="147">
        <f>IF(M2S_Eligibility_List!AM53=DataPaths_Code,1,0)+AL303</f>
        <v>1</v>
      </c>
      <c r="AN303" s="147">
        <f>IF(M2S_Eligibility_List!AN53=DataPaths_Code,1,0)+AM303</f>
        <v>1</v>
      </c>
      <c r="AO303" s="147">
        <f>IF(M2S_Eligibility_List!AO53=DataPaths_Code,1,0)+AN303</f>
        <v>1</v>
      </c>
      <c r="AP303" s="147">
        <f>IF(M2S_Eligibility_List!AP53=DataPaths_Code,1,0)+AO303</f>
        <v>1</v>
      </c>
      <c r="AQ303" s="147">
        <f>IF(M2S_Eligibility_List!AQ53=DataPaths_Code,1,0)+AP303</f>
        <v>1</v>
      </c>
      <c r="AR303" s="147">
        <f>IF(M2S_Eligibility_List!AR53=DataPaths_Code,1,0)+AQ303</f>
        <v>1</v>
      </c>
      <c r="AS303" s="147">
        <f>IF(M2S_Eligibility_List!AS53=DataPaths_Code,1,0)+AR303</f>
        <v>1</v>
      </c>
      <c r="AT303" s="147">
        <f>IF(M2S_Eligibility_List!AT53=DataPaths_Code,1,0)+AS303</f>
        <v>1</v>
      </c>
      <c r="AU303" s="147">
        <f>IF(M2S_Eligibility_List!AU53=DataPaths_Code,1,0)+AT303</f>
        <v>1</v>
      </c>
      <c r="AV303" s="147">
        <f>IF(M2S_Eligibility_List!AV53=DataPaths_Code,1,0)+AU303</f>
        <v>1</v>
      </c>
      <c r="AW303" s="147">
        <f>IF(M2S_Eligibility_List!AW53=DataPaths_Code,1,0)+AV303</f>
        <v>1</v>
      </c>
      <c r="AX303" s="147">
        <f>IF(M2S_Eligibility_List!AX53=DataPaths_Code,1,0)+AW303</f>
        <v>1</v>
      </c>
      <c r="AY303" s="147">
        <f>IF(M2S_Eligibility_List!AY53=DataPaths_Code,1,0)+AX303</f>
        <v>1</v>
      </c>
      <c r="AZ303" s="147">
        <f>IF(M2S_Eligibility_List!AZ53=DataPaths_Code,1,0)+AY303</f>
        <v>1</v>
      </c>
      <c r="BA303" s="147">
        <f>IF(M2S_Eligibility_List!BA53=DataPaths_Code,1,0)+AZ303</f>
        <v>1</v>
      </c>
      <c r="BB303" s="147">
        <f>IF(M2S_Eligibility_List!BB53=DataPaths_Code,1,0)+BA303</f>
        <v>1</v>
      </c>
      <c r="BC303" s="147">
        <f>IF(M2S_Eligibility_List!BC53=DataPaths_Code,1,0)+BB303</f>
        <v>1</v>
      </c>
      <c r="BD303" s="147">
        <f>IF(M2S_Eligibility_List!BD53=DataPaths_Code,1,0)+BC303</f>
        <v>1</v>
      </c>
      <c r="BE303" s="147">
        <f>IF(M2S_Eligibility_List!BE53=DataPaths_Code,1,0)+BD303</f>
        <v>1</v>
      </c>
      <c r="BF303" s="147">
        <f>IF(M2S_Eligibility_List!BF53=DataPaths_Code,1,0)+BE303</f>
        <v>1</v>
      </c>
      <c r="BG303" s="147">
        <f>IF(M2S_Eligibility_List!BG53=DataPaths_Code,1,0)+BF303</f>
        <v>1</v>
      </c>
      <c r="BH303" s="147">
        <f>IF(M2S_Eligibility_List!BH53=DataPaths_Code,1,0)+BG303</f>
        <v>1</v>
      </c>
      <c r="BI303" s="147">
        <f>IF(M2S_Eligibility_List!BI53=DataPaths_Code,1,0)+BH303</f>
        <v>1</v>
      </c>
      <c r="BJ303" s="147">
        <f>IF(M2S_Eligibility_List!BJ53=DataPaths_Code,1,0)+BI303</f>
        <v>1</v>
      </c>
      <c r="BK303" s="147">
        <f>IF(M2S_Eligibility_List!BK53=DataPaths_Code,1,0)+BJ303</f>
        <v>1</v>
      </c>
      <c r="BL303" s="147">
        <f>IF(M2S_Eligibility_List!BL53=DataPaths_Code,1,0)+BK303</f>
        <v>1</v>
      </c>
      <c r="BM303" s="147">
        <f>IF(M2S_Eligibility_List!BM53=DataPaths_Code,1,0)+BL303</f>
        <v>1</v>
      </c>
      <c r="BN303" s="147">
        <f>IF(M2S_Eligibility_List!BN53=DataPaths_Code,1,0)+BM303</f>
        <v>1</v>
      </c>
      <c r="BO303" s="147">
        <f>IF(M2S_Eligibility_List!BO53=DataPaths_Code,1,0)+BN303</f>
        <v>1</v>
      </c>
      <c r="BP303" s="147">
        <f>IF(M2S_Eligibility_List!BP53=DataPaths_Code,1,0)+BO303</f>
        <v>1</v>
      </c>
      <c r="BQ303" s="147">
        <f>IF(M2S_Eligibility_List!BQ53=DataPaths_Code,1,0)+BP303</f>
        <v>1</v>
      </c>
      <c r="BR303" s="147">
        <f>IF(M2S_Eligibility_List!BR53=DataPaths_Code,1,0)+BQ303</f>
        <v>1</v>
      </c>
      <c r="BS303" s="147">
        <f>IF(M2S_Eligibility_List!BS53=DataPaths_Code,1,0)+BR303</f>
        <v>1</v>
      </c>
      <c r="BT303" s="147">
        <f>IF(M2S_Eligibility_List!BT53=DataPaths_Code,1,0)+BS303</f>
        <v>1</v>
      </c>
      <c r="BU303" s="147">
        <f>IF(M2S_Eligibility_List!BU53=DataPaths_Code,1,0)+BT303</f>
        <v>1</v>
      </c>
      <c r="BV303" s="147">
        <f>IF(M2S_Eligibility_List!BV53=DataPaths_Code,1,0)+BU303</f>
        <v>1</v>
      </c>
      <c r="BW303" s="147">
        <f>IF(M2S_Eligibility_List!BW53=DataPaths_Code,1,0)+BV303</f>
        <v>1</v>
      </c>
    </row>
    <row r="304" spans="1:75" ht="20.100000000000001" customHeight="1">
      <c r="A304" s="145"/>
      <c r="B304" s="170" t="str">
        <f>IF(M2S_Eligibility_List!$B54&lt;&gt;"",RIGHT(M2S_Eligibility_List!$B54,LEN(M2S_Eligibility_List!$B54)-LEN(nmADwSP)),0)</f>
        <v>Entertainment Creation Suite Ultimate</v>
      </c>
      <c r="C304" s="147">
        <f>IF(M2S_Eligibility_List!C54=DataPaths_Code,1,0)</f>
        <v>0</v>
      </c>
      <c r="D304" s="147">
        <f>IF(M2S_Eligibility_List!D54=DataPaths_Code,1,0)+C304</f>
        <v>0</v>
      </c>
      <c r="E304" s="147">
        <f>IF(M2S_Eligibility_List!E54=DataPaths_Code,1,0)+D304</f>
        <v>1</v>
      </c>
      <c r="F304" s="147">
        <f>IF(M2S_Eligibility_List!F54=DataPaths_Code,1,0)+E304</f>
        <v>1</v>
      </c>
      <c r="G304" s="147">
        <f>IF(M2S_Eligibility_List!G54=DataPaths_Code,1,0)+F304</f>
        <v>1</v>
      </c>
      <c r="H304" s="147">
        <f>IF(M2S_Eligibility_List!H54=DataPaths_Code,1,0)+G304</f>
        <v>1</v>
      </c>
      <c r="I304" s="147">
        <f>IF(M2S_Eligibility_List!I54=DataPaths_Code,1,0)+H304</f>
        <v>1</v>
      </c>
      <c r="J304" s="147">
        <f>IF(M2S_Eligibility_List!J54=DataPaths_Code,1,0)+I304</f>
        <v>1</v>
      </c>
      <c r="K304" s="147">
        <f>IF(M2S_Eligibility_List!K54=DataPaths_Code,1,0)+J304</f>
        <v>1</v>
      </c>
      <c r="L304" s="147">
        <f>IF(M2S_Eligibility_List!L54=DataPaths_Code,1,0)+K304</f>
        <v>1</v>
      </c>
      <c r="M304" s="147">
        <f>IF(M2S_Eligibility_List!M54=DataPaths_Code,1,0)+L304</f>
        <v>1</v>
      </c>
      <c r="N304" s="147">
        <f>IF(M2S_Eligibility_List!N54=DataPaths_Code,1,0)+M304</f>
        <v>1</v>
      </c>
      <c r="O304" s="147">
        <f>IF(M2S_Eligibility_List!O54=DataPaths_Code,1,0)+N304</f>
        <v>1</v>
      </c>
      <c r="P304" s="147">
        <f>IF(M2S_Eligibility_List!P54=DataPaths_Code,1,0)+O304</f>
        <v>1</v>
      </c>
      <c r="Q304" s="147">
        <f>IF(M2S_Eligibility_List!Q54=DataPaths_Code,1,0)+P304</f>
        <v>1</v>
      </c>
      <c r="R304" s="147">
        <f>IF(M2S_Eligibility_List!R54=DataPaths_Code,1,0)+Q304</f>
        <v>1</v>
      </c>
      <c r="S304" s="147">
        <f>IF(M2S_Eligibility_List!S54=DataPaths_Code,1,0)+R304</f>
        <v>1</v>
      </c>
      <c r="T304" s="147">
        <f>IF(M2S_Eligibility_List!T54=DataPaths_Code,1,0)+S304</f>
        <v>1</v>
      </c>
      <c r="U304" s="147">
        <f>IF(M2S_Eligibility_List!U54=DataPaths_Code,1,0)+T304</f>
        <v>1</v>
      </c>
      <c r="V304" s="147">
        <f>IF(M2S_Eligibility_List!V54=DataPaths_Code,1,0)+U304</f>
        <v>1</v>
      </c>
      <c r="W304" s="147">
        <f>IF(M2S_Eligibility_List!W54=DataPaths_Code,1,0)+V304</f>
        <v>1</v>
      </c>
      <c r="X304" s="147">
        <f>IF(M2S_Eligibility_List!X54=DataPaths_Code,1,0)+W304</f>
        <v>1</v>
      </c>
      <c r="Y304" s="147">
        <f>IF(M2S_Eligibility_List!Y54=DataPaths_Code,1,0)+X304</f>
        <v>1</v>
      </c>
      <c r="Z304" s="147">
        <f>IF(M2S_Eligibility_List!Z54=DataPaths_Code,1,0)+Y304</f>
        <v>1</v>
      </c>
      <c r="AA304" s="147">
        <f>IF(M2S_Eligibility_List!AA54=DataPaths_Code,1,0)+Z304</f>
        <v>1</v>
      </c>
      <c r="AB304" s="147">
        <f>IF(M2S_Eligibility_List!AB54=DataPaths_Code,1,0)+AA304</f>
        <v>1</v>
      </c>
      <c r="AC304" s="147">
        <f>IF(M2S_Eligibility_List!AC54=DataPaths_Code,1,0)+AB304</f>
        <v>1</v>
      </c>
      <c r="AD304" s="147">
        <f>IF(M2S_Eligibility_List!AD54=DataPaths_Code,1,0)+AC304</f>
        <v>1</v>
      </c>
      <c r="AE304" s="147">
        <f>IF(M2S_Eligibility_List!AE54=DataPaths_Code,1,0)+AD304</f>
        <v>1</v>
      </c>
      <c r="AF304" s="147">
        <f>IF(M2S_Eligibility_List!AF54=DataPaths_Code,1,0)+AE304</f>
        <v>1</v>
      </c>
      <c r="AG304" s="147">
        <f>IF(M2S_Eligibility_List!AG54=DataPaths_Code,1,0)+AF304</f>
        <v>1</v>
      </c>
      <c r="AH304" s="147">
        <f>IF(M2S_Eligibility_List!AH54=DataPaths_Code,1,0)+AG304</f>
        <v>1</v>
      </c>
      <c r="AI304" s="147">
        <f>IF(M2S_Eligibility_List!AI54=DataPaths_Code,1,0)+AH304</f>
        <v>1</v>
      </c>
      <c r="AJ304" s="147">
        <f>IF(M2S_Eligibility_List!AJ54=DataPaths_Code,1,0)+AI304</f>
        <v>1</v>
      </c>
      <c r="AK304" s="147">
        <f>IF(M2S_Eligibility_List!AK54=DataPaths_Code,1,0)+AJ304</f>
        <v>1</v>
      </c>
      <c r="AL304" s="147">
        <f>IF(M2S_Eligibility_List!AL54=DataPaths_Code,1,0)+AK304</f>
        <v>1</v>
      </c>
      <c r="AM304" s="147">
        <f>IF(M2S_Eligibility_List!AM54=DataPaths_Code,1,0)+AL304</f>
        <v>1</v>
      </c>
      <c r="AN304" s="147">
        <f>IF(M2S_Eligibility_List!AN54=DataPaths_Code,1,0)+AM304</f>
        <v>1</v>
      </c>
      <c r="AO304" s="147">
        <f>IF(M2S_Eligibility_List!AO54=DataPaths_Code,1,0)+AN304</f>
        <v>1</v>
      </c>
      <c r="AP304" s="147">
        <f>IF(M2S_Eligibility_List!AP54=DataPaths_Code,1,0)+AO304</f>
        <v>1</v>
      </c>
      <c r="AQ304" s="147">
        <f>IF(M2S_Eligibility_List!AQ54=DataPaths_Code,1,0)+AP304</f>
        <v>1</v>
      </c>
      <c r="AR304" s="147">
        <f>IF(M2S_Eligibility_List!AR54=DataPaths_Code,1,0)+AQ304</f>
        <v>1</v>
      </c>
      <c r="AS304" s="147">
        <f>IF(M2S_Eligibility_List!AS54=DataPaths_Code,1,0)+AR304</f>
        <v>1</v>
      </c>
      <c r="AT304" s="147">
        <f>IF(M2S_Eligibility_List!AT54=DataPaths_Code,1,0)+AS304</f>
        <v>1</v>
      </c>
      <c r="AU304" s="147">
        <f>IF(M2S_Eligibility_List!AU54=DataPaths_Code,1,0)+AT304</f>
        <v>1</v>
      </c>
      <c r="AV304" s="147">
        <f>IF(M2S_Eligibility_List!AV54=DataPaths_Code,1,0)+AU304</f>
        <v>1</v>
      </c>
      <c r="AW304" s="147">
        <f>IF(M2S_Eligibility_List!AW54=DataPaths_Code,1,0)+AV304</f>
        <v>1</v>
      </c>
      <c r="AX304" s="147">
        <f>IF(M2S_Eligibility_List!AX54=DataPaths_Code,1,0)+AW304</f>
        <v>1</v>
      </c>
      <c r="AY304" s="147">
        <f>IF(M2S_Eligibility_List!AY54=DataPaths_Code,1,0)+AX304</f>
        <v>1</v>
      </c>
      <c r="AZ304" s="147">
        <f>IF(M2S_Eligibility_List!AZ54=DataPaths_Code,1,0)+AY304</f>
        <v>1</v>
      </c>
      <c r="BA304" s="147">
        <f>IF(M2S_Eligibility_List!BA54=DataPaths_Code,1,0)+AZ304</f>
        <v>1</v>
      </c>
      <c r="BB304" s="147">
        <f>IF(M2S_Eligibility_List!BB54=DataPaths_Code,1,0)+BA304</f>
        <v>1</v>
      </c>
      <c r="BC304" s="147">
        <f>IF(M2S_Eligibility_List!BC54=DataPaths_Code,1,0)+BB304</f>
        <v>1</v>
      </c>
      <c r="BD304" s="147">
        <f>IF(M2S_Eligibility_List!BD54=DataPaths_Code,1,0)+BC304</f>
        <v>1</v>
      </c>
      <c r="BE304" s="147">
        <f>IF(M2S_Eligibility_List!BE54=DataPaths_Code,1,0)+BD304</f>
        <v>1</v>
      </c>
      <c r="BF304" s="147">
        <f>IF(M2S_Eligibility_List!BF54=DataPaths_Code,1,0)+BE304</f>
        <v>1</v>
      </c>
      <c r="BG304" s="147">
        <f>IF(M2S_Eligibility_List!BG54=DataPaths_Code,1,0)+BF304</f>
        <v>1</v>
      </c>
      <c r="BH304" s="147">
        <f>IF(M2S_Eligibility_List!BH54=DataPaths_Code,1,0)+BG304</f>
        <v>1</v>
      </c>
      <c r="BI304" s="147">
        <f>IF(M2S_Eligibility_List!BI54=DataPaths_Code,1,0)+BH304</f>
        <v>1</v>
      </c>
      <c r="BJ304" s="147">
        <f>IF(M2S_Eligibility_List!BJ54=DataPaths_Code,1,0)+BI304</f>
        <v>1</v>
      </c>
      <c r="BK304" s="147">
        <f>IF(M2S_Eligibility_List!BK54=DataPaths_Code,1,0)+BJ304</f>
        <v>1</v>
      </c>
      <c r="BL304" s="147">
        <f>IF(M2S_Eligibility_List!BL54=DataPaths_Code,1,0)+BK304</f>
        <v>1</v>
      </c>
      <c r="BM304" s="147">
        <f>IF(M2S_Eligibility_List!BM54=DataPaths_Code,1,0)+BL304</f>
        <v>1</v>
      </c>
      <c r="BN304" s="147">
        <f>IF(M2S_Eligibility_List!BN54=DataPaths_Code,1,0)+BM304</f>
        <v>1</v>
      </c>
      <c r="BO304" s="147">
        <f>IF(M2S_Eligibility_List!BO54=DataPaths_Code,1,0)+BN304</f>
        <v>1</v>
      </c>
      <c r="BP304" s="147">
        <f>IF(M2S_Eligibility_List!BP54=DataPaths_Code,1,0)+BO304</f>
        <v>1</v>
      </c>
      <c r="BQ304" s="147">
        <f>IF(M2S_Eligibility_List!BQ54=DataPaths_Code,1,0)+BP304</f>
        <v>1</v>
      </c>
      <c r="BR304" s="147">
        <f>IF(M2S_Eligibility_List!BR54=DataPaths_Code,1,0)+BQ304</f>
        <v>1</v>
      </c>
      <c r="BS304" s="147">
        <f>IF(M2S_Eligibility_List!BS54=DataPaths_Code,1,0)+BR304</f>
        <v>1</v>
      </c>
      <c r="BT304" s="147">
        <f>IF(M2S_Eligibility_List!BT54=DataPaths_Code,1,0)+BS304</f>
        <v>1</v>
      </c>
      <c r="BU304" s="147">
        <f>IF(M2S_Eligibility_List!BU54=DataPaths_Code,1,0)+BT304</f>
        <v>1</v>
      </c>
      <c r="BV304" s="147">
        <f>IF(M2S_Eligibility_List!BV54=DataPaths_Code,1,0)+BU304</f>
        <v>1</v>
      </c>
      <c r="BW304" s="147">
        <f>IF(M2S_Eligibility_List!BW54=DataPaths_Code,1,0)+BV304</f>
        <v>1</v>
      </c>
    </row>
    <row r="305" spans="1:75" ht="20.100000000000001" customHeight="1">
      <c r="A305" s="145"/>
      <c r="B305" s="170" t="str">
        <f>IF(M2S_Eligibility_List!$B55&lt;&gt;"",RIGHT(M2S_Eligibility_List!$B55,LEN(M2S_Eligibility_List!$B55)-LEN(nmADwSP)),0)</f>
        <v>Fabrication CADmep</v>
      </c>
      <c r="C305" s="147">
        <f>IF(M2S_Eligibility_List!C55=DataPaths_Code,1,0)</f>
        <v>1</v>
      </c>
      <c r="D305" s="147">
        <f>IF(M2S_Eligibility_List!D55=DataPaths_Code,1,0)+C305</f>
        <v>1</v>
      </c>
      <c r="E305" s="147">
        <f>IF(M2S_Eligibility_List!E55=DataPaths_Code,1,0)+D305</f>
        <v>1</v>
      </c>
      <c r="F305" s="147">
        <f>IF(M2S_Eligibility_List!F55=DataPaths_Code,1,0)+E305</f>
        <v>1</v>
      </c>
      <c r="G305" s="147">
        <f>IF(M2S_Eligibility_List!G55=DataPaths_Code,1,0)+F305</f>
        <v>1</v>
      </c>
      <c r="H305" s="147">
        <f>IF(M2S_Eligibility_List!H55=DataPaths_Code,1,0)+G305</f>
        <v>1</v>
      </c>
      <c r="I305" s="147">
        <f>IF(M2S_Eligibility_List!I55=DataPaths_Code,1,0)+H305</f>
        <v>1</v>
      </c>
      <c r="J305" s="147">
        <f>IF(M2S_Eligibility_List!J55=DataPaths_Code,1,0)+I305</f>
        <v>1</v>
      </c>
      <c r="K305" s="147">
        <f>IF(M2S_Eligibility_List!K55=DataPaths_Code,1,0)+J305</f>
        <v>1</v>
      </c>
      <c r="L305" s="147">
        <f>IF(M2S_Eligibility_List!L55=DataPaths_Code,1,0)+K305</f>
        <v>1</v>
      </c>
      <c r="M305" s="147">
        <f>IF(M2S_Eligibility_List!M55=DataPaths_Code,1,0)+L305</f>
        <v>1</v>
      </c>
      <c r="N305" s="147">
        <f>IF(M2S_Eligibility_List!N55=DataPaths_Code,1,0)+M305</f>
        <v>1</v>
      </c>
      <c r="O305" s="147">
        <f>IF(M2S_Eligibility_List!O55=DataPaths_Code,1,0)+N305</f>
        <v>1</v>
      </c>
      <c r="P305" s="147">
        <f>IF(M2S_Eligibility_List!P55=DataPaths_Code,1,0)+O305</f>
        <v>1</v>
      </c>
      <c r="Q305" s="147">
        <f>IF(M2S_Eligibility_List!Q55=DataPaths_Code,1,0)+P305</f>
        <v>1</v>
      </c>
      <c r="R305" s="147">
        <f>IF(M2S_Eligibility_List!R55=DataPaths_Code,1,0)+Q305</f>
        <v>1</v>
      </c>
      <c r="S305" s="147">
        <f>IF(M2S_Eligibility_List!S55=DataPaths_Code,1,0)+R305</f>
        <v>1</v>
      </c>
      <c r="T305" s="147">
        <f>IF(M2S_Eligibility_List!T55=DataPaths_Code,1,0)+S305</f>
        <v>1</v>
      </c>
      <c r="U305" s="147">
        <f>IF(M2S_Eligibility_List!U55=DataPaths_Code,1,0)+T305</f>
        <v>2</v>
      </c>
      <c r="V305" s="147">
        <f>IF(M2S_Eligibility_List!V55=DataPaths_Code,1,0)+U305</f>
        <v>2</v>
      </c>
      <c r="W305" s="147">
        <f>IF(M2S_Eligibility_List!W55=DataPaths_Code,1,0)+V305</f>
        <v>2</v>
      </c>
      <c r="X305" s="147">
        <f>IF(M2S_Eligibility_List!X55=DataPaths_Code,1,0)+W305</f>
        <v>2</v>
      </c>
      <c r="Y305" s="147">
        <f>IF(M2S_Eligibility_List!Y55=DataPaths_Code,1,0)+X305</f>
        <v>2</v>
      </c>
      <c r="Z305" s="147">
        <f>IF(M2S_Eligibility_List!Z55=DataPaths_Code,1,0)+Y305</f>
        <v>2</v>
      </c>
      <c r="AA305" s="147">
        <f>IF(M2S_Eligibility_List!AA55=DataPaths_Code,1,0)+Z305</f>
        <v>2</v>
      </c>
      <c r="AB305" s="147">
        <f>IF(M2S_Eligibility_List!AB55=DataPaths_Code,1,0)+AA305</f>
        <v>2</v>
      </c>
      <c r="AC305" s="147">
        <f>IF(M2S_Eligibility_List!AC55=DataPaths_Code,1,0)+AB305</f>
        <v>2</v>
      </c>
      <c r="AD305" s="147">
        <f>IF(M2S_Eligibility_List!AD55=DataPaths_Code,1,0)+AC305</f>
        <v>2</v>
      </c>
      <c r="AE305" s="147">
        <f>IF(M2S_Eligibility_List!AE55=DataPaths_Code,1,0)+AD305</f>
        <v>2</v>
      </c>
      <c r="AF305" s="147">
        <f>IF(M2S_Eligibility_List!AF55=DataPaths_Code,1,0)+AE305</f>
        <v>2</v>
      </c>
      <c r="AG305" s="147">
        <f>IF(M2S_Eligibility_List!AG55=DataPaths_Code,1,0)+AF305</f>
        <v>2</v>
      </c>
      <c r="AH305" s="147">
        <f>IF(M2S_Eligibility_List!AH55=DataPaths_Code,1,0)+AG305</f>
        <v>2</v>
      </c>
      <c r="AI305" s="147">
        <f>IF(M2S_Eligibility_List!AI55=DataPaths_Code,1,0)+AH305</f>
        <v>2</v>
      </c>
      <c r="AJ305" s="147">
        <f>IF(M2S_Eligibility_List!AJ55=DataPaths_Code,1,0)+AI305</f>
        <v>2</v>
      </c>
      <c r="AK305" s="147">
        <f>IF(M2S_Eligibility_List!AK55=DataPaths_Code,1,0)+AJ305</f>
        <v>2</v>
      </c>
      <c r="AL305" s="147">
        <f>IF(M2S_Eligibility_List!AL55=DataPaths_Code,1,0)+AK305</f>
        <v>2</v>
      </c>
      <c r="AM305" s="147">
        <f>IF(M2S_Eligibility_List!AM55=DataPaths_Code,1,0)+AL305</f>
        <v>2</v>
      </c>
      <c r="AN305" s="147">
        <f>IF(M2S_Eligibility_List!AN55=DataPaths_Code,1,0)+AM305</f>
        <v>2</v>
      </c>
      <c r="AO305" s="147">
        <f>IF(M2S_Eligibility_List!AO55=DataPaths_Code,1,0)+AN305</f>
        <v>2</v>
      </c>
      <c r="AP305" s="147">
        <f>IF(M2S_Eligibility_List!AP55=DataPaths_Code,1,0)+AO305</f>
        <v>2</v>
      </c>
      <c r="AQ305" s="147">
        <f>IF(M2S_Eligibility_List!AQ55=DataPaths_Code,1,0)+AP305</f>
        <v>2</v>
      </c>
      <c r="AR305" s="147">
        <f>IF(M2S_Eligibility_List!AR55=DataPaths_Code,1,0)+AQ305</f>
        <v>2</v>
      </c>
      <c r="AS305" s="147">
        <f>IF(M2S_Eligibility_List!AS55=DataPaths_Code,1,0)+AR305</f>
        <v>2</v>
      </c>
      <c r="AT305" s="147">
        <f>IF(M2S_Eligibility_List!AT55=DataPaths_Code,1,0)+AS305</f>
        <v>2</v>
      </c>
      <c r="AU305" s="147">
        <f>IF(M2S_Eligibility_List!AU55=DataPaths_Code,1,0)+AT305</f>
        <v>2</v>
      </c>
      <c r="AV305" s="147">
        <f>IF(M2S_Eligibility_List!AV55=DataPaths_Code,1,0)+AU305</f>
        <v>2</v>
      </c>
      <c r="AW305" s="147">
        <f>IF(M2S_Eligibility_List!AW55=DataPaths_Code,1,0)+AV305</f>
        <v>2</v>
      </c>
      <c r="AX305" s="147">
        <f>IF(M2S_Eligibility_List!AX55=DataPaths_Code,1,0)+AW305</f>
        <v>2</v>
      </c>
      <c r="AY305" s="147">
        <f>IF(M2S_Eligibility_List!AY55=DataPaths_Code,1,0)+AX305</f>
        <v>2</v>
      </c>
      <c r="AZ305" s="147">
        <f>IF(M2S_Eligibility_List!AZ55=DataPaths_Code,1,0)+AY305</f>
        <v>2</v>
      </c>
      <c r="BA305" s="147">
        <f>IF(M2S_Eligibility_List!BA55=DataPaths_Code,1,0)+AZ305</f>
        <v>2</v>
      </c>
      <c r="BB305" s="147">
        <f>IF(M2S_Eligibility_List!BB55=DataPaths_Code,1,0)+BA305</f>
        <v>2</v>
      </c>
      <c r="BC305" s="147">
        <f>IF(M2S_Eligibility_List!BC55=DataPaths_Code,1,0)+BB305</f>
        <v>2</v>
      </c>
      <c r="BD305" s="147">
        <f>IF(M2S_Eligibility_List!BD55=DataPaths_Code,1,0)+BC305</f>
        <v>2</v>
      </c>
      <c r="BE305" s="147">
        <f>IF(M2S_Eligibility_List!BE55=DataPaths_Code,1,0)+BD305</f>
        <v>2</v>
      </c>
      <c r="BF305" s="147">
        <f>IF(M2S_Eligibility_List!BF55=DataPaths_Code,1,0)+BE305</f>
        <v>2</v>
      </c>
      <c r="BG305" s="147">
        <f>IF(M2S_Eligibility_List!BG55=DataPaths_Code,1,0)+BF305</f>
        <v>2</v>
      </c>
      <c r="BH305" s="147">
        <f>IF(M2S_Eligibility_List!BH55=DataPaths_Code,1,0)+BG305</f>
        <v>2</v>
      </c>
      <c r="BI305" s="147">
        <f>IF(M2S_Eligibility_List!BI55=DataPaths_Code,1,0)+BH305</f>
        <v>2</v>
      </c>
      <c r="BJ305" s="147">
        <f>IF(M2S_Eligibility_List!BJ55=DataPaths_Code,1,0)+BI305</f>
        <v>2</v>
      </c>
      <c r="BK305" s="147">
        <f>IF(M2S_Eligibility_List!BK55=DataPaths_Code,1,0)+BJ305</f>
        <v>2</v>
      </c>
      <c r="BL305" s="147">
        <f>IF(M2S_Eligibility_List!BL55=DataPaths_Code,1,0)+BK305</f>
        <v>2</v>
      </c>
      <c r="BM305" s="147">
        <f>IF(M2S_Eligibility_List!BM55=DataPaths_Code,1,0)+BL305</f>
        <v>2</v>
      </c>
      <c r="BN305" s="147">
        <f>IF(M2S_Eligibility_List!BN55=DataPaths_Code,1,0)+BM305</f>
        <v>2</v>
      </c>
      <c r="BO305" s="147">
        <f>IF(M2S_Eligibility_List!BO55=DataPaths_Code,1,0)+BN305</f>
        <v>2</v>
      </c>
      <c r="BP305" s="147">
        <f>IF(M2S_Eligibility_List!BP55=DataPaths_Code,1,0)+BO305</f>
        <v>2</v>
      </c>
      <c r="BQ305" s="147">
        <f>IF(M2S_Eligibility_List!BQ55=DataPaths_Code,1,0)+BP305</f>
        <v>2</v>
      </c>
      <c r="BR305" s="147">
        <f>IF(M2S_Eligibility_List!BR55=DataPaths_Code,1,0)+BQ305</f>
        <v>2</v>
      </c>
      <c r="BS305" s="147">
        <f>IF(M2S_Eligibility_List!BS55=DataPaths_Code,1,0)+BR305</f>
        <v>2</v>
      </c>
      <c r="BT305" s="147">
        <f>IF(M2S_Eligibility_List!BT55=DataPaths_Code,1,0)+BS305</f>
        <v>2</v>
      </c>
      <c r="BU305" s="147">
        <f>IF(M2S_Eligibility_List!BU55=DataPaths_Code,1,0)+BT305</f>
        <v>2</v>
      </c>
      <c r="BV305" s="147">
        <f>IF(M2S_Eligibility_List!BV55=DataPaths_Code,1,0)+BU305</f>
        <v>2</v>
      </c>
      <c r="BW305" s="147">
        <f>IF(M2S_Eligibility_List!BW55=DataPaths_Code,1,0)+BV305</f>
        <v>2</v>
      </c>
    </row>
    <row r="306" spans="1:75" ht="20.100000000000001" customHeight="1">
      <c r="A306" s="145"/>
      <c r="B306" s="170" t="str">
        <f>IF(M2S_Eligibility_List!$B56&lt;&gt;"",RIGHT(M2S_Eligibility_List!$B56,LEN(M2S_Eligibility_List!$B56)-LEN(nmADwSP)),0)</f>
        <v>Fabrication CAMduct</v>
      </c>
      <c r="C306" s="147">
        <f>IF(M2S_Eligibility_List!C56=DataPaths_Code,1,0)</f>
        <v>0</v>
      </c>
      <c r="D306" s="147">
        <f>IF(M2S_Eligibility_List!D56=DataPaths_Code,1,0)+C306</f>
        <v>0</v>
      </c>
      <c r="E306" s="147">
        <f>IF(M2S_Eligibility_List!E56=DataPaths_Code,1,0)+D306</f>
        <v>0</v>
      </c>
      <c r="F306" s="147">
        <f>IF(M2S_Eligibility_List!F56=DataPaths_Code,1,0)+E306</f>
        <v>0</v>
      </c>
      <c r="G306" s="147">
        <f>IF(M2S_Eligibility_List!G56=DataPaths_Code,1,0)+F306</f>
        <v>0</v>
      </c>
      <c r="H306" s="147">
        <f>IF(M2S_Eligibility_List!H56=DataPaths_Code,1,0)+G306</f>
        <v>0</v>
      </c>
      <c r="I306" s="147">
        <f>IF(M2S_Eligibility_List!I56=DataPaths_Code,1,0)+H306</f>
        <v>0</v>
      </c>
      <c r="J306" s="147">
        <f>IF(M2S_Eligibility_List!J56=DataPaths_Code,1,0)+I306</f>
        <v>0</v>
      </c>
      <c r="K306" s="147">
        <f>IF(M2S_Eligibility_List!K56=DataPaths_Code,1,0)+J306</f>
        <v>0</v>
      </c>
      <c r="L306" s="147">
        <f>IF(M2S_Eligibility_List!L56=DataPaths_Code,1,0)+K306</f>
        <v>0</v>
      </c>
      <c r="M306" s="147">
        <f>IF(M2S_Eligibility_List!M56=DataPaths_Code,1,0)+L306</f>
        <v>0</v>
      </c>
      <c r="N306" s="147">
        <f>IF(M2S_Eligibility_List!N56=DataPaths_Code,1,0)+M306</f>
        <v>0</v>
      </c>
      <c r="O306" s="147">
        <f>IF(M2S_Eligibility_List!O56=DataPaths_Code,1,0)+N306</f>
        <v>0</v>
      </c>
      <c r="P306" s="147">
        <f>IF(M2S_Eligibility_List!P56=DataPaths_Code,1,0)+O306</f>
        <v>0</v>
      </c>
      <c r="Q306" s="147">
        <f>IF(M2S_Eligibility_List!Q56=DataPaths_Code,1,0)+P306</f>
        <v>0</v>
      </c>
      <c r="R306" s="147">
        <f>IF(M2S_Eligibility_List!R56=DataPaths_Code,1,0)+Q306</f>
        <v>0</v>
      </c>
      <c r="S306" s="147">
        <f>IF(M2S_Eligibility_List!S56=DataPaths_Code,1,0)+R306</f>
        <v>0</v>
      </c>
      <c r="T306" s="147">
        <f>IF(M2S_Eligibility_List!T56=DataPaths_Code,1,0)+S306</f>
        <v>0</v>
      </c>
      <c r="U306" s="147">
        <f>IF(M2S_Eligibility_List!U56=DataPaths_Code,1,0)+T306</f>
        <v>0</v>
      </c>
      <c r="V306" s="147">
        <f>IF(M2S_Eligibility_List!V56=DataPaths_Code,1,0)+U306</f>
        <v>1</v>
      </c>
      <c r="W306" s="147">
        <f>IF(M2S_Eligibility_List!W56=DataPaths_Code,1,0)+V306</f>
        <v>1</v>
      </c>
      <c r="X306" s="147">
        <f>IF(M2S_Eligibility_List!X56=DataPaths_Code,1,0)+W306</f>
        <v>1</v>
      </c>
      <c r="Y306" s="147">
        <f>IF(M2S_Eligibility_List!Y56=DataPaths_Code,1,0)+X306</f>
        <v>1</v>
      </c>
      <c r="Z306" s="147">
        <f>IF(M2S_Eligibility_List!Z56=DataPaths_Code,1,0)+Y306</f>
        <v>1</v>
      </c>
      <c r="AA306" s="147">
        <f>IF(M2S_Eligibility_List!AA56=DataPaths_Code,1,0)+Z306</f>
        <v>1</v>
      </c>
      <c r="AB306" s="147">
        <f>IF(M2S_Eligibility_List!AB56=DataPaths_Code,1,0)+AA306</f>
        <v>1</v>
      </c>
      <c r="AC306" s="147">
        <f>IF(M2S_Eligibility_List!AC56=DataPaths_Code,1,0)+AB306</f>
        <v>1</v>
      </c>
      <c r="AD306" s="147">
        <f>IF(M2S_Eligibility_List!AD56=DataPaths_Code,1,0)+AC306</f>
        <v>1</v>
      </c>
      <c r="AE306" s="147">
        <f>IF(M2S_Eligibility_List!AE56=DataPaths_Code,1,0)+AD306</f>
        <v>1</v>
      </c>
      <c r="AF306" s="147">
        <f>IF(M2S_Eligibility_List!AF56=DataPaths_Code,1,0)+AE306</f>
        <v>1</v>
      </c>
      <c r="AG306" s="147">
        <f>IF(M2S_Eligibility_List!AG56=DataPaths_Code,1,0)+AF306</f>
        <v>1</v>
      </c>
      <c r="AH306" s="147">
        <f>IF(M2S_Eligibility_List!AH56=DataPaths_Code,1,0)+AG306</f>
        <v>1</v>
      </c>
      <c r="AI306" s="147">
        <f>IF(M2S_Eligibility_List!AI56=DataPaths_Code,1,0)+AH306</f>
        <v>1</v>
      </c>
      <c r="AJ306" s="147">
        <f>IF(M2S_Eligibility_List!AJ56=DataPaths_Code,1,0)+AI306</f>
        <v>1</v>
      </c>
      <c r="AK306" s="147">
        <f>IF(M2S_Eligibility_List!AK56=DataPaths_Code,1,0)+AJ306</f>
        <v>1</v>
      </c>
      <c r="AL306" s="147">
        <f>IF(M2S_Eligibility_List!AL56=DataPaths_Code,1,0)+AK306</f>
        <v>1</v>
      </c>
      <c r="AM306" s="147">
        <f>IF(M2S_Eligibility_List!AM56=DataPaths_Code,1,0)+AL306</f>
        <v>1</v>
      </c>
      <c r="AN306" s="147">
        <f>IF(M2S_Eligibility_List!AN56=DataPaths_Code,1,0)+AM306</f>
        <v>1</v>
      </c>
      <c r="AO306" s="147">
        <f>IF(M2S_Eligibility_List!AO56=DataPaths_Code,1,0)+AN306</f>
        <v>1</v>
      </c>
      <c r="AP306" s="147">
        <f>IF(M2S_Eligibility_List!AP56=DataPaths_Code,1,0)+AO306</f>
        <v>1</v>
      </c>
      <c r="AQ306" s="147">
        <f>IF(M2S_Eligibility_List!AQ56=DataPaths_Code,1,0)+AP306</f>
        <v>1</v>
      </c>
      <c r="AR306" s="147">
        <f>IF(M2S_Eligibility_List!AR56=DataPaths_Code,1,0)+AQ306</f>
        <v>1</v>
      </c>
      <c r="AS306" s="147">
        <f>IF(M2S_Eligibility_List!AS56=DataPaths_Code,1,0)+AR306</f>
        <v>1</v>
      </c>
      <c r="AT306" s="147">
        <f>IF(M2S_Eligibility_List!AT56=DataPaths_Code,1,0)+AS306</f>
        <v>1</v>
      </c>
      <c r="AU306" s="147">
        <f>IF(M2S_Eligibility_List!AU56=DataPaths_Code,1,0)+AT306</f>
        <v>1</v>
      </c>
      <c r="AV306" s="147">
        <f>IF(M2S_Eligibility_List!AV56=DataPaths_Code,1,0)+AU306</f>
        <v>1</v>
      </c>
      <c r="AW306" s="147">
        <f>IF(M2S_Eligibility_List!AW56=DataPaths_Code,1,0)+AV306</f>
        <v>1</v>
      </c>
      <c r="AX306" s="147">
        <f>IF(M2S_Eligibility_List!AX56=DataPaths_Code,1,0)+AW306</f>
        <v>1</v>
      </c>
      <c r="AY306" s="147">
        <f>IF(M2S_Eligibility_List!AY56=DataPaths_Code,1,0)+AX306</f>
        <v>1</v>
      </c>
      <c r="AZ306" s="147">
        <f>IF(M2S_Eligibility_List!AZ56=DataPaths_Code,1,0)+AY306</f>
        <v>1</v>
      </c>
      <c r="BA306" s="147">
        <f>IF(M2S_Eligibility_List!BA56=DataPaths_Code,1,0)+AZ306</f>
        <v>1</v>
      </c>
      <c r="BB306" s="147">
        <f>IF(M2S_Eligibility_List!BB56=DataPaths_Code,1,0)+BA306</f>
        <v>1</v>
      </c>
      <c r="BC306" s="147">
        <f>IF(M2S_Eligibility_List!BC56=DataPaths_Code,1,0)+BB306</f>
        <v>1</v>
      </c>
      <c r="BD306" s="147">
        <f>IF(M2S_Eligibility_List!BD56=DataPaths_Code,1,0)+BC306</f>
        <v>1</v>
      </c>
      <c r="BE306" s="147">
        <f>IF(M2S_Eligibility_List!BE56=DataPaths_Code,1,0)+BD306</f>
        <v>1</v>
      </c>
      <c r="BF306" s="147">
        <f>IF(M2S_Eligibility_List!BF56=DataPaths_Code,1,0)+BE306</f>
        <v>1</v>
      </c>
      <c r="BG306" s="147">
        <f>IF(M2S_Eligibility_List!BG56=DataPaths_Code,1,0)+BF306</f>
        <v>1</v>
      </c>
      <c r="BH306" s="147">
        <f>IF(M2S_Eligibility_List!BH56=DataPaths_Code,1,0)+BG306</f>
        <v>1</v>
      </c>
      <c r="BI306" s="147">
        <f>IF(M2S_Eligibility_List!BI56=DataPaths_Code,1,0)+BH306</f>
        <v>1</v>
      </c>
      <c r="BJ306" s="147">
        <f>IF(M2S_Eligibility_List!BJ56=DataPaths_Code,1,0)+BI306</f>
        <v>1</v>
      </c>
      <c r="BK306" s="147">
        <f>IF(M2S_Eligibility_List!BK56=DataPaths_Code,1,0)+BJ306</f>
        <v>1</v>
      </c>
      <c r="BL306" s="147">
        <f>IF(M2S_Eligibility_List!BL56=DataPaths_Code,1,0)+BK306</f>
        <v>1</v>
      </c>
      <c r="BM306" s="147">
        <f>IF(M2S_Eligibility_List!BM56=DataPaths_Code,1,0)+BL306</f>
        <v>1</v>
      </c>
      <c r="BN306" s="147">
        <f>IF(M2S_Eligibility_List!BN56=DataPaths_Code,1,0)+BM306</f>
        <v>1</v>
      </c>
      <c r="BO306" s="147">
        <f>IF(M2S_Eligibility_List!BO56=DataPaths_Code,1,0)+BN306</f>
        <v>1</v>
      </c>
      <c r="BP306" s="147">
        <f>IF(M2S_Eligibility_List!BP56=DataPaths_Code,1,0)+BO306</f>
        <v>1</v>
      </c>
      <c r="BQ306" s="147">
        <f>IF(M2S_Eligibility_List!BQ56=DataPaths_Code,1,0)+BP306</f>
        <v>1</v>
      </c>
      <c r="BR306" s="147">
        <f>IF(M2S_Eligibility_List!BR56=DataPaths_Code,1,0)+BQ306</f>
        <v>1</v>
      </c>
      <c r="BS306" s="147">
        <f>IF(M2S_Eligibility_List!BS56=DataPaths_Code,1,0)+BR306</f>
        <v>1</v>
      </c>
      <c r="BT306" s="147">
        <f>IF(M2S_Eligibility_List!BT56=DataPaths_Code,1,0)+BS306</f>
        <v>1</v>
      </c>
      <c r="BU306" s="147">
        <f>IF(M2S_Eligibility_List!BU56=DataPaths_Code,1,0)+BT306</f>
        <v>1</v>
      </c>
      <c r="BV306" s="147">
        <f>IF(M2S_Eligibility_List!BV56=DataPaths_Code,1,0)+BU306</f>
        <v>1</v>
      </c>
      <c r="BW306" s="147">
        <f>IF(M2S_Eligibility_List!BW56=DataPaths_Code,1,0)+BV306</f>
        <v>1</v>
      </c>
    </row>
    <row r="307" spans="1:75" ht="20.100000000000001" customHeight="1">
      <c r="A307" s="145"/>
      <c r="B307" s="170" t="str">
        <f>IF(M2S_Eligibility_List!$B57&lt;&gt;"",RIGHT(M2S_Eligibility_List!$B57,LEN(M2S_Eligibility_List!$B57)-LEN(nmADwSP)),0)</f>
        <v>Fabrication ESTmep</v>
      </c>
      <c r="C307" s="147">
        <f>IF(M2S_Eligibility_List!C57=DataPaths_Code,1,0)</f>
        <v>0</v>
      </c>
      <c r="D307" s="147">
        <f>IF(M2S_Eligibility_List!D57=DataPaths_Code,1,0)+C307</f>
        <v>0</v>
      </c>
      <c r="E307" s="147">
        <f>IF(M2S_Eligibility_List!E57=DataPaths_Code,1,0)+D307</f>
        <v>0</v>
      </c>
      <c r="F307" s="147">
        <f>IF(M2S_Eligibility_List!F57=DataPaths_Code,1,0)+E307</f>
        <v>0</v>
      </c>
      <c r="G307" s="147">
        <f>IF(M2S_Eligibility_List!G57=DataPaths_Code,1,0)+F307</f>
        <v>0</v>
      </c>
      <c r="H307" s="147">
        <f>IF(M2S_Eligibility_List!H57=DataPaths_Code,1,0)+G307</f>
        <v>0</v>
      </c>
      <c r="I307" s="147">
        <f>IF(M2S_Eligibility_List!I57=DataPaths_Code,1,0)+H307</f>
        <v>0</v>
      </c>
      <c r="J307" s="147">
        <f>IF(M2S_Eligibility_List!J57=DataPaths_Code,1,0)+I307</f>
        <v>0</v>
      </c>
      <c r="K307" s="147">
        <f>IF(M2S_Eligibility_List!K57=DataPaths_Code,1,0)+J307</f>
        <v>0</v>
      </c>
      <c r="L307" s="147">
        <f>IF(M2S_Eligibility_List!L57=DataPaths_Code,1,0)+K307</f>
        <v>0</v>
      </c>
      <c r="M307" s="147">
        <f>IF(M2S_Eligibility_List!M57=DataPaths_Code,1,0)+L307</f>
        <v>0</v>
      </c>
      <c r="N307" s="147">
        <f>IF(M2S_Eligibility_List!N57=DataPaths_Code,1,0)+M307</f>
        <v>0</v>
      </c>
      <c r="O307" s="147">
        <f>IF(M2S_Eligibility_List!O57=DataPaths_Code,1,0)+N307</f>
        <v>0</v>
      </c>
      <c r="P307" s="147">
        <f>IF(M2S_Eligibility_List!P57=DataPaths_Code,1,0)+O307</f>
        <v>0</v>
      </c>
      <c r="Q307" s="147">
        <f>IF(M2S_Eligibility_List!Q57=DataPaths_Code,1,0)+P307</f>
        <v>0</v>
      </c>
      <c r="R307" s="147">
        <f>IF(M2S_Eligibility_List!R57=DataPaths_Code,1,0)+Q307</f>
        <v>0</v>
      </c>
      <c r="S307" s="147">
        <f>IF(M2S_Eligibility_List!S57=DataPaths_Code,1,0)+R307</f>
        <v>0</v>
      </c>
      <c r="T307" s="147">
        <f>IF(M2S_Eligibility_List!T57=DataPaths_Code,1,0)+S307</f>
        <v>0</v>
      </c>
      <c r="U307" s="147">
        <f>IF(M2S_Eligibility_List!U57=DataPaths_Code,1,0)+T307</f>
        <v>0</v>
      </c>
      <c r="V307" s="147">
        <f>IF(M2S_Eligibility_List!V57=DataPaths_Code,1,0)+U307</f>
        <v>0</v>
      </c>
      <c r="W307" s="147">
        <f>IF(M2S_Eligibility_List!W57=DataPaths_Code,1,0)+V307</f>
        <v>1</v>
      </c>
      <c r="X307" s="147">
        <f>IF(M2S_Eligibility_List!X57=DataPaths_Code,1,0)+W307</f>
        <v>1</v>
      </c>
      <c r="Y307" s="147">
        <f>IF(M2S_Eligibility_List!Y57=DataPaths_Code,1,0)+X307</f>
        <v>1</v>
      </c>
      <c r="Z307" s="147">
        <f>IF(M2S_Eligibility_List!Z57=DataPaths_Code,1,0)+Y307</f>
        <v>1</v>
      </c>
      <c r="AA307" s="147">
        <f>IF(M2S_Eligibility_List!AA57=DataPaths_Code,1,0)+Z307</f>
        <v>1</v>
      </c>
      <c r="AB307" s="147">
        <f>IF(M2S_Eligibility_List!AB57=DataPaths_Code,1,0)+AA307</f>
        <v>1</v>
      </c>
      <c r="AC307" s="147">
        <f>IF(M2S_Eligibility_List!AC57=DataPaths_Code,1,0)+AB307</f>
        <v>1</v>
      </c>
      <c r="AD307" s="147">
        <f>IF(M2S_Eligibility_List!AD57=DataPaths_Code,1,0)+AC307</f>
        <v>1</v>
      </c>
      <c r="AE307" s="147">
        <f>IF(M2S_Eligibility_List!AE57=DataPaths_Code,1,0)+AD307</f>
        <v>1</v>
      </c>
      <c r="AF307" s="147">
        <f>IF(M2S_Eligibility_List!AF57=DataPaths_Code,1,0)+AE307</f>
        <v>1</v>
      </c>
      <c r="AG307" s="147">
        <f>IF(M2S_Eligibility_List!AG57=DataPaths_Code,1,0)+AF307</f>
        <v>1</v>
      </c>
      <c r="AH307" s="147">
        <f>IF(M2S_Eligibility_List!AH57=DataPaths_Code,1,0)+AG307</f>
        <v>1</v>
      </c>
      <c r="AI307" s="147">
        <f>IF(M2S_Eligibility_List!AI57=DataPaths_Code,1,0)+AH307</f>
        <v>1</v>
      </c>
      <c r="AJ307" s="147">
        <f>IF(M2S_Eligibility_List!AJ57=DataPaths_Code,1,0)+AI307</f>
        <v>1</v>
      </c>
      <c r="AK307" s="147">
        <f>IF(M2S_Eligibility_List!AK57=DataPaths_Code,1,0)+AJ307</f>
        <v>1</v>
      </c>
      <c r="AL307" s="147">
        <f>IF(M2S_Eligibility_List!AL57=DataPaths_Code,1,0)+AK307</f>
        <v>1</v>
      </c>
      <c r="AM307" s="147">
        <f>IF(M2S_Eligibility_List!AM57=DataPaths_Code,1,0)+AL307</f>
        <v>1</v>
      </c>
      <c r="AN307" s="147">
        <f>IF(M2S_Eligibility_List!AN57=DataPaths_Code,1,0)+AM307</f>
        <v>1</v>
      </c>
      <c r="AO307" s="147">
        <f>IF(M2S_Eligibility_List!AO57=DataPaths_Code,1,0)+AN307</f>
        <v>1</v>
      </c>
      <c r="AP307" s="147">
        <f>IF(M2S_Eligibility_List!AP57=DataPaths_Code,1,0)+AO307</f>
        <v>1</v>
      </c>
      <c r="AQ307" s="147">
        <f>IF(M2S_Eligibility_List!AQ57=DataPaths_Code,1,0)+AP307</f>
        <v>1</v>
      </c>
      <c r="AR307" s="147">
        <f>IF(M2S_Eligibility_List!AR57=DataPaths_Code,1,0)+AQ307</f>
        <v>1</v>
      </c>
      <c r="AS307" s="147">
        <f>IF(M2S_Eligibility_List!AS57=DataPaths_Code,1,0)+AR307</f>
        <v>1</v>
      </c>
      <c r="AT307" s="147">
        <f>IF(M2S_Eligibility_List!AT57=DataPaths_Code,1,0)+AS307</f>
        <v>1</v>
      </c>
      <c r="AU307" s="147">
        <f>IF(M2S_Eligibility_List!AU57=DataPaths_Code,1,0)+AT307</f>
        <v>1</v>
      </c>
      <c r="AV307" s="147">
        <f>IF(M2S_Eligibility_List!AV57=DataPaths_Code,1,0)+AU307</f>
        <v>1</v>
      </c>
      <c r="AW307" s="147">
        <f>IF(M2S_Eligibility_List!AW57=DataPaths_Code,1,0)+AV307</f>
        <v>1</v>
      </c>
      <c r="AX307" s="147">
        <f>IF(M2S_Eligibility_List!AX57=DataPaths_Code,1,0)+AW307</f>
        <v>1</v>
      </c>
      <c r="AY307" s="147">
        <f>IF(M2S_Eligibility_List!AY57=DataPaths_Code,1,0)+AX307</f>
        <v>1</v>
      </c>
      <c r="AZ307" s="147">
        <f>IF(M2S_Eligibility_List!AZ57=DataPaths_Code,1,0)+AY307</f>
        <v>1</v>
      </c>
      <c r="BA307" s="147">
        <f>IF(M2S_Eligibility_List!BA57=DataPaths_Code,1,0)+AZ307</f>
        <v>1</v>
      </c>
      <c r="BB307" s="147">
        <f>IF(M2S_Eligibility_List!BB57=DataPaths_Code,1,0)+BA307</f>
        <v>1</v>
      </c>
      <c r="BC307" s="147">
        <f>IF(M2S_Eligibility_List!BC57=DataPaths_Code,1,0)+BB307</f>
        <v>1</v>
      </c>
      <c r="BD307" s="147">
        <f>IF(M2S_Eligibility_List!BD57=DataPaths_Code,1,0)+BC307</f>
        <v>1</v>
      </c>
      <c r="BE307" s="147">
        <f>IF(M2S_Eligibility_List!BE57=DataPaths_Code,1,0)+BD307</f>
        <v>1</v>
      </c>
      <c r="BF307" s="147">
        <f>IF(M2S_Eligibility_List!BF57=DataPaths_Code,1,0)+BE307</f>
        <v>1</v>
      </c>
      <c r="BG307" s="147">
        <f>IF(M2S_Eligibility_List!BG57=DataPaths_Code,1,0)+BF307</f>
        <v>1</v>
      </c>
      <c r="BH307" s="147">
        <f>IF(M2S_Eligibility_List!BH57=DataPaths_Code,1,0)+BG307</f>
        <v>1</v>
      </c>
      <c r="BI307" s="147">
        <f>IF(M2S_Eligibility_List!BI57=DataPaths_Code,1,0)+BH307</f>
        <v>1</v>
      </c>
      <c r="BJ307" s="147">
        <f>IF(M2S_Eligibility_List!BJ57=DataPaths_Code,1,0)+BI307</f>
        <v>1</v>
      </c>
      <c r="BK307" s="147">
        <f>IF(M2S_Eligibility_List!BK57=DataPaths_Code,1,0)+BJ307</f>
        <v>1</v>
      </c>
      <c r="BL307" s="147">
        <f>IF(M2S_Eligibility_List!BL57=DataPaths_Code,1,0)+BK307</f>
        <v>1</v>
      </c>
      <c r="BM307" s="147">
        <f>IF(M2S_Eligibility_List!BM57=DataPaths_Code,1,0)+BL307</f>
        <v>1</v>
      </c>
      <c r="BN307" s="147">
        <f>IF(M2S_Eligibility_List!BN57=DataPaths_Code,1,0)+BM307</f>
        <v>1</v>
      </c>
      <c r="BO307" s="147">
        <f>IF(M2S_Eligibility_List!BO57=DataPaths_Code,1,0)+BN307</f>
        <v>1</v>
      </c>
      <c r="BP307" s="147">
        <f>IF(M2S_Eligibility_List!BP57=DataPaths_Code,1,0)+BO307</f>
        <v>1</v>
      </c>
      <c r="BQ307" s="147">
        <f>IF(M2S_Eligibility_List!BQ57=DataPaths_Code,1,0)+BP307</f>
        <v>1</v>
      </c>
      <c r="BR307" s="147">
        <f>IF(M2S_Eligibility_List!BR57=DataPaths_Code,1,0)+BQ307</f>
        <v>1</v>
      </c>
      <c r="BS307" s="147">
        <f>IF(M2S_Eligibility_List!BS57=DataPaths_Code,1,0)+BR307</f>
        <v>1</v>
      </c>
      <c r="BT307" s="147">
        <f>IF(M2S_Eligibility_List!BT57=DataPaths_Code,1,0)+BS307</f>
        <v>1</v>
      </c>
      <c r="BU307" s="147">
        <f>IF(M2S_Eligibility_List!BU57=DataPaths_Code,1,0)+BT307</f>
        <v>1</v>
      </c>
      <c r="BV307" s="147">
        <f>IF(M2S_Eligibility_List!BV57=DataPaths_Code,1,0)+BU307</f>
        <v>1</v>
      </c>
      <c r="BW307" s="147">
        <f>IF(M2S_Eligibility_List!BW57=DataPaths_Code,1,0)+BV307</f>
        <v>1</v>
      </c>
    </row>
    <row r="308" spans="1:75" ht="20.100000000000001" customHeight="1">
      <c r="A308" s="145"/>
      <c r="B308" s="170" t="str">
        <f>IF(M2S_Eligibility_List!$B58&lt;&gt;"",RIGHT(M2S_Eligibility_List!$B58,LEN(M2S_Eligibility_List!$B58)-LEN(nmADwSP)),0)</f>
        <v>Factory Design Suite Premium</v>
      </c>
      <c r="C308" s="147">
        <f>IF(M2S_Eligibility_List!C58=DataPaths_Code,1,0)</f>
        <v>1</v>
      </c>
      <c r="D308" s="147">
        <f>IF(M2S_Eligibility_List!D58=DataPaths_Code,1,0)+C308</f>
        <v>2</v>
      </c>
      <c r="E308" s="147">
        <f>IF(M2S_Eligibility_List!E58=DataPaths_Code,1,0)+D308</f>
        <v>2</v>
      </c>
      <c r="F308" s="147">
        <f>IF(M2S_Eligibility_List!F58=DataPaths_Code,1,0)+E308</f>
        <v>2</v>
      </c>
      <c r="G308" s="147">
        <f>IF(M2S_Eligibility_List!G58=DataPaths_Code,1,0)+F308</f>
        <v>2</v>
      </c>
      <c r="H308" s="147">
        <f>IF(M2S_Eligibility_List!H58=DataPaths_Code,1,0)+G308</f>
        <v>2</v>
      </c>
      <c r="I308" s="147">
        <f>IF(M2S_Eligibility_List!I58=DataPaths_Code,1,0)+H308</f>
        <v>2</v>
      </c>
      <c r="J308" s="147">
        <f>IF(M2S_Eligibility_List!J58=DataPaths_Code,1,0)+I308</f>
        <v>2</v>
      </c>
      <c r="K308" s="147">
        <f>IF(M2S_Eligibility_List!K58=DataPaths_Code,1,0)+J308</f>
        <v>2</v>
      </c>
      <c r="L308" s="147">
        <f>IF(M2S_Eligibility_List!L58=DataPaths_Code,1,0)+K308</f>
        <v>2</v>
      </c>
      <c r="M308" s="147">
        <f>IF(M2S_Eligibility_List!M58=DataPaths_Code,1,0)+L308</f>
        <v>2</v>
      </c>
      <c r="N308" s="147">
        <f>IF(M2S_Eligibility_List!N58=DataPaths_Code,1,0)+M308</f>
        <v>2</v>
      </c>
      <c r="O308" s="147">
        <f>IF(M2S_Eligibility_List!O58=DataPaths_Code,1,0)+N308</f>
        <v>2</v>
      </c>
      <c r="P308" s="147">
        <f>IF(M2S_Eligibility_List!P58=DataPaths_Code,1,0)+O308</f>
        <v>2</v>
      </c>
      <c r="Q308" s="147">
        <f>IF(M2S_Eligibility_List!Q58=DataPaths_Code,1,0)+P308</f>
        <v>2</v>
      </c>
      <c r="R308" s="147">
        <f>IF(M2S_Eligibility_List!R58=DataPaths_Code,1,0)+Q308</f>
        <v>2</v>
      </c>
      <c r="S308" s="147">
        <f>IF(M2S_Eligibility_List!S58=DataPaths_Code,1,0)+R308</f>
        <v>2</v>
      </c>
      <c r="T308" s="147">
        <f>IF(M2S_Eligibility_List!T58=DataPaths_Code,1,0)+S308</f>
        <v>2</v>
      </c>
      <c r="U308" s="147">
        <f>IF(M2S_Eligibility_List!U58=DataPaths_Code,1,0)+T308</f>
        <v>2</v>
      </c>
      <c r="V308" s="147">
        <f>IF(M2S_Eligibility_List!V58=DataPaths_Code,1,0)+U308</f>
        <v>2</v>
      </c>
      <c r="W308" s="147">
        <f>IF(M2S_Eligibility_List!W58=DataPaths_Code,1,0)+V308</f>
        <v>2</v>
      </c>
      <c r="X308" s="147">
        <f>IF(M2S_Eligibility_List!X58=DataPaths_Code,1,0)+W308</f>
        <v>2</v>
      </c>
      <c r="Y308" s="147">
        <f>IF(M2S_Eligibility_List!Y58=DataPaths_Code,1,0)+X308</f>
        <v>2</v>
      </c>
      <c r="Z308" s="147">
        <f>IF(M2S_Eligibility_List!Z58=DataPaths_Code,1,0)+Y308</f>
        <v>2</v>
      </c>
      <c r="AA308" s="147">
        <f>IF(M2S_Eligibility_List!AA58=DataPaths_Code,1,0)+Z308</f>
        <v>2</v>
      </c>
      <c r="AB308" s="147">
        <f>IF(M2S_Eligibility_List!AB58=DataPaths_Code,1,0)+AA308</f>
        <v>2</v>
      </c>
      <c r="AC308" s="147">
        <f>IF(M2S_Eligibility_List!AC58=DataPaths_Code,1,0)+AB308</f>
        <v>2</v>
      </c>
      <c r="AD308" s="147">
        <f>IF(M2S_Eligibility_List!AD58=DataPaths_Code,1,0)+AC308</f>
        <v>2</v>
      </c>
      <c r="AE308" s="147">
        <f>IF(M2S_Eligibility_List!AE58=DataPaths_Code,1,0)+AD308</f>
        <v>2</v>
      </c>
      <c r="AF308" s="147">
        <f>IF(M2S_Eligibility_List!AF58=DataPaths_Code,1,0)+AE308</f>
        <v>2</v>
      </c>
      <c r="AG308" s="147">
        <f>IF(M2S_Eligibility_List!AG58=DataPaths_Code,1,0)+AF308</f>
        <v>2</v>
      </c>
      <c r="AH308" s="147">
        <f>IF(M2S_Eligibility_List!AH58=DataPaths_Code,1,0)+AG308</f>
        <v>2</v>
      </c>
      <c r="AI308" s="147">
        <f>IF(M2S_Eligibility_List!AI58=DataPaths_Code,1,0)+AH308</f>
        <v>2</v>
      </c>
      <c r="AJ308" s="147">
        <f>IF(M2S_Eligibility_List!AJ58=DataPaths_Code,1,0)+AI308</f>
        <v>2</v>
      </c>
      <c r="AK308" s="147">
        <f>IF(M2S_Eligibility_List!AK58=DataPaths_Code,1,0)+AJ308</f>
        <v>2</v>
      </c>
      <c r="AL308" s="147">
        <f>IF(M2S_Eligibility_List!AL58=DataPaths_Code,1,0)+AK308</f>
        <v>2</v>
      </c>
      <c r="AM308" s="147">
        <f>IF(M2S_Eligibility_List!AM58=DataPaths_Code,1,0)+AL308</f>
        <v>2</v>
      </c>
      <c r="AN308" s="147">
        <f>IF(M2S_Eligibility_List!AN58=DataPaths_Code,1,0)+AM308</f>
        <v>2</v>
      </c>
      <c r="AO308" s="147">
        <f>IF(M2S_Eligibility_List!AO58=DataPaths_Code,1,0)+AN308</f>
        <v>2</v>
      </c>
      <c r="AP308" s="147">
        <f>IF(M2S_Eligibility_List!AP58=DataPaths_Code,1,0)+AO308</f>
        <v>2</v>
      </c>
      <c r="AQ308" s="147">
        <f>IF(M2S_Eligibility_List!AQ58=DataPaths_Code,1,0)+AP308</f>
        <v>2</v>
      </c>
      <c r="AR308" s="147">
        <f>IF(M2S_Eligibility_List!AR58=DataPaths_Code,1,0)+AQ308</f>
        <v>2</v>
      </c>
      <c r="AS308" s="147">
        <f>IF(M2S_Eligibility_List!AS58=DataPaths_Code,1,0)+AR308</f>
        <v>2</v>
      </c>
      <c r="AT308" s="147">
        <f>IF(M2S_Eligibility_List!AT58=DataPaths_Code,1,0)+AS308</f>
        <v>2</v>
      </c>
      <c r="AU308" s="147">
        <f>IF(M2S_Eligibility_List!AU58=DataPaths_Code,1,0)+AT308</f>
        <v>2</v>
      </c>
      <c r="AV308" s="147">
        <f>IF(M2S_Eligibility_List!AV58=DataPaths_Code,1,0)+AU308</f>
        <v>2</v>
      </c>
      <c r="AW308" s="147">
        <f>IF(M2S_Eligibility_List!AW58=DataPaths_Code,1,0)+AV308</f>
        <v>2</v>
      </c>
      <c r="AX308" s="147">
        <f>IF(M2S_Eligibility_List!AX58=DataPaths_Code,1,0)+AW308</f>
        <v>2</v>
      </c>
      <c r="AY308" s="147">
        <f>IF(M2S_Eligibility_List!AY58=DataPaths_Code,1,0)+AX308</f>
        <v>2</v>
      </c>
      <c r="AZ308" s="147">
        <f>IF(M2S_Eligibility_List!AZ58=DataPaths_Code,1,0)+AY308</f>
        <v>2</v>
      </c>
      <c r="BA308" s="147">
        <f>IF(M2S_Eligibility_List!BA58=DataPaths_Code,1,0)+AZ308</f>
        <v>2</v>
      </c>
      <c r="BB308" s="147">
        <f>IF(M2S_Eligibility_List!BB58=DataPaths_Code,1,0)+BA308</f>
        <v>2</v>
      </c>
      <c r="BC308" s="147">
        <f>IF(M2S_Eligibility_List!BC58=DataPaths_Code,1,0)+BB308</f>
        <v>2</v>
      </c>
      <c r="BD308" s="147">
        <f>IF(M2S_Eligibility_List!BD58=DataPaths_Code,1,0)+BC308</f>
        <v>2</v>
      </c>
      <c r="BE308" s="147">
        <f>IF(M2S_Eligibility_List!BE58=DataPaths_Code,1,0)+BD308</f>
        <v>2</v>
      </c>
      <c r="BF308" s="147">
        <f>IF(M2S_Eligibility_List!BF58=DataPaths_Code,1,0)+BE308</f>
        <v>2</v>
      </c>
      <c r="BG308" s="147">
        <f>IF(M2S_Eligibility_List!BG58=DataPaths_Code,1,0)+BF308</f>
        <v>2</v>
      </c>
      <c r="BH308" s="147">
        <f>IF(M2S_Eligibility_List!BH58=DataPaths_Code,1,0)+BG308</f>
        <v>2</v>
      </c>
      <c r="BI308" s="147">
        <f>IF(M2S_Eligibility_List!BI58=DataPaths_Code,1,0)+BH308</f>
        <v>2</v>
      </c>
      <c r="BJ308" s="147">
        <f>IF(M2S_Eligibility_List!BJ58=DataPaths_Code,1,0)+BI308</f>
        <v>2</v>
      </c>
      <c r="BK308" s="147">
        <f>IF(M2S_Eligibility_List!BK58=DataPaths_Code,1,0)+BJ308</f>
        <v>2</v>
      </c>
      <c r="BL308" s="147">
        <f>IF(M2S_Eligibility_List!BL58=DataPaths_Code,1,0)+BK308</f>
        <v>2</v>
      </c>
      <c r="BM308" s="147">
        <f>IF(M2S_Eligibility_List!BM58=DataPaths_Code,1,0)+BL308</f>
        <v>2</v>
      </c>
      <c r="BN308" s="147">
        <f>IF(M2S_Eligibility_List!BN58=DataPaths_Code,1,0)+BM308</f>
        <v>2</v>
      </c>
      <c r="BO308" s="147">
        <f>IF(M2S_Eligibility_List!BO58=DataPaths_Code,1,0)+BN308</f>
        <v>2</v>
      </c>
      <c r="BP308" s="147">
        <f>IF(M2S_Eligibility_List!BP58=DataPaths_Code,1,0)+BO308</f>
        <v>2</v>
      </c>
      <c r="BQ308" s="147">
        <f>IF(M2S_Eligibility_List!BQ58=DataPaths_Code,1,0)+BP308</f>
        <v>2</v>
      </c>
      <c r="BR308" s="147">
        <f>IF(M2S_Eligibility_List!BR58=DataPaths_Code,1,0)+BQ308</f>
        <v>2</v>
      </c>
      <c r="BS308" s="147">
        <f>IF(M2S_Eligibility_List!BS58=DataPaths_Code,1,0)+BR308</f>
        <v>2</v>
      </c>
      <c r="BT308" s="147">
        <f>IF(M2S_Eligibility_List!BT58=DataPaths_Code,1,0)+BS308</f>
        <v>2</v>
      </c>
      <c r="BU308" s="147">
        <f>IF(M2S_Eligibility_List!BU58=DataPaths_Code,1,0)+BT308</f>
        <v>2</v>
      </c>
      <c r="BV308" s="147">
        <f>IF(M2S_Eligibility_List!BV58=DataPaths_Code,1,0)+BU308</f>
        <v>2</v>
      </c>
      <c r="BW308" s="147">
        <f>IF(M2S_Eligibility_List!BW58=DataPaths_Code,1,0)+BV308</f>
        <v>2</v>
      </c>
    </row>
    <row r="309" spans="1:75" ht="20.100000000000001" customHeight="1">
      <c r="A309" s="145"/>
      <c r="B309" s="170" t="str">
        <f>IF(M2S_Eligibility_List!$B59&lt;&gt;"",RIGHT(M2S_Eligibility_List!$B59,LEN(M2S_Eligibility_List!$B59)-LEN(nmADwSP)),0)</f>
        <v>Factory Design Suite Standard</v>
      </c>
      <c r="C309" s="147">
        <f>IF(M2S_Eligibility_List!C59=DataPaths_Code,1,0)</f>
        <v>1</v>
      </c>
      <c r="D309" s="147">
        <f>IF(M2S_Eligibility_List!D59=DataPaths_Code,1,0)+C309</f>
        <v>2</v>
      </c>
      <c r="E309" s="147">
        <f>IF(M2S_Eligibility_List!E59=DataPaths_Code,1,0)+D309</f>
        <v>2</v>
      </c>
      <c r="F309" s="147">
        <f>IF(M2S_Eligibility_List!F59=DataPaths_Code,1,0)+E309</f>
        <v>2</v>
      </c>
      <c r="G309" s="147">
        <f>IF(M2S_Eligibility_List!G59=DataPaths_Code,1,0)+F309</f>
        <v>2</v>
      </c>
      <c r="H309" s="147">
        <f>IF(M2S_Eligibility_List!H59=DataPaths_Code,1,0)+G309</f>
        <v>2</v>
      </c>
      <c r="I309" s="147">
        <f>IF(M2S_Eligibility_List!I59=DataPaths_Code,1,0)+H309</f>
        <v>2</v>
      </c>
      <c r="J309" s="147">
        <f>IF(M2S_Eligibility_List!J59=DataPaths_Code,1,0)+I309</f>
        <v>2</v>
      </c>
      <c r="K309" s="147">
        <f>IF(M2S_Eligibility_List!K59=DataPaths_Code,1,0)+J309</f>
        <v>2</v>
      </c>
      <c r="L309" s="147">
        <f>IF(M2S_Eligibility_List!L59=DataPaths_Code,1,0)+K309</f>
        <v>2</v>
      </c>
      <c r="M309" s="147">
        <f>IF(M2S_Eligibility_List!M59=DataPaths_Code,1,0)+L309</f>
        <v>3</v>
      </c>
      <c r="N309" s="147">
        <f>IF(M2S_Eligibility_List!N59=DataPaths_Code,1,0)+M309</f>
        <v>3</v>
      </c>
      <c r="O309" s="147">
        <f>IF(M2S_Eligibility_List!O59=DataPaths_Code,1,0)+N309</f>
        <v>3</v>
      </c>
      <c r="P309" s="147">
        <f>IF(M2S_Eligibility_List!P59=DataPaths_Code,1,0)+O309</f>
        <v>3</v>
      </c>
      <c r="Q309" s="147">
        <f>IF(M2S_Eligibility_List!Q59=DataPaths_Code,1,0)+P309</f>
        <v>3</v>
      </c>
      <c r="R309" s="147">
        <f>IF(M2S_Eligibility_List!R59=DataPaths_Code,1,0)+Q309</f>
        <v>3</v>
      </c>
      <c r="S309" s="147">
        <f>IF(M2S_Eligibility_List!S59=DataPaths_Code,1,0)+R309</f>
        <v>3</v>
      </c>
      <c r="T309" s="147">
        <f>IF(M2S_Eligibility_List!T59=DataPaths_Code,1,0)+S309</f>
        <v>3</v>
      </c>
      <c r="U309" s="147">
        <f>IF(M2S_Eligibility_List!U59=DataPaths_Code,1,0)+T309</f>
        <v>3</v>
      </c>
      <c r="V309" s="147">
        <f>IF(M2S_Eligibility_List!V59=DataPaths_Code,1,0)+U309</f>
        <v>3</v>
      </c>
      <c r="W309" s="147">
        <f>IF(M2S_Eligibility_List!W59=DataPaths_Code,1,0)+V309</f>
        <v>3</v>
      </c>
      <c r="X309" s="147">
        <f>IF(M2S_Eligibility_List!X59=DataPaths_Code,1,0)+W309</f>
        <v>3</v>
      </c>
      <c r="Y309" s="147">
        <f>IF(M2S_Eligibility_List!Y59=DataPaths_Code,1,0)+X309</f>
        <v>3</v>
      </c>
      <c r="Z309" s="147">
        <f>IF(M2S_Eligibility_List!Z59=DataPaths_Code,1,0)+Y309</f>
        <v>3</v>
      </c>
      <c r="AA309" s="147">
        <f>IF(M2S_Eligibility_List!AA59=DataPaths_Code,1,0)+Z309</f>
        <v>3</v>
      </c>
      <c r="AB309" s="147">
        <f>IF(M2S_Eligibility_List!AB59=DataPaths_Code,1,0)+AA309</f>
        <v>3</v>
      </c>
      <c r="AC309" s="147">
        <f>IF(M2S_Eligibility_List!AC59=DataPaths_Code,1,0)+AB309</f>
        <v>3</v>
      </c>
      <c r="AD309" s="147">
        <f>IF(M2S_Eligibility_List!AD59=DataPaths_Code,1,0)+AC309</f>
        <v>3</v>
      </c>
      <c r="AE309" s="147">
        <f>IF(M2S_Eligibility_List!AE59=DataPaths_Code,1,0)+AD309</f>
        <v>3</v>
      </c>
      <c r="AF309" s="147">
        <f>IF(M2S_Eligibility_List!AF59=DataPaths_Code,1,0)+AE309</f>
        <v>3</v>
      </c>
      <c r="AG309" s="147">
        <f>IF(M2S_Eligibility_List!AG59=DataPaths_Code,1,0)+AF309</f>
        <v>3</v>
      </c>
      <c r="AH309" s="147">
        <f>IF(M2S_Eligibility_List!AH59=DataPaths_Code,1,0)+AG309</f>
        <v>3</v>
      </c>
      <c r="AI309" s="147">
        <f>IF(M2S_Eligibility_List!AI59=DataPaths_Code,1,0)+AH309</f>
        <v>3</v>
      </c>
      <c r="AJ309" s="147">
        <f>IF(M2S_Eligibility_List!AJ59=DataPaths_Code,1,0)+AI309</f>
        <v>3</v>
      </c>
      <c r="AK309" s="147">
        <f>IF(M2S_Eligibility_List!AK59=DataPaths_Code,1,0)+AJ309</f>
        <v>3</v>
      </c>
      <c r="AL309" s="147">
        <f>IF(M2S_Eligibility_List!AL59=DataPaths_Code,1,0)+AK309</f>
        <v>3</v>
      </c>
      <c r="AM309" s="147">
        <f>IF(M2S_Eligibility_List!AM59=DataPaths_Code,1,0)+AL309</f>
        <v>3</v>
      </c>
      <c r="AN309" s="147">
        <f>IF(M2S_Eligibility_List!AN59=DataPaths_Code,1,0)+AM309</f>
        <v>3</v>
      </c>
      <c r="AO309" s="147">
        <f>IF(M2S_Eligibility_List!AO59=DataPaths_Code,1,0)+AN309</f>
        <v>3</v>
      </c>
      <c r="AP309" s="147">
        <f>IF(M2S_Eligibility_List!AP59=DataPaths_Code,1,0)+AO309</f>
        <v>3</v>
      </c>
      <c r="AQ309" s="147">
        <f>IF(M2S_Eligibility_List!AQ59=DataPaths_Code,1,0)+AP309</f>
        <v>3</v>
      </c>
      <c r="AR309" s="147">
        <f>IF(M2S_Eligibility_List!AR59=DataPaths_Code,1,0)+AQ309</f>
        <v>3</v>
      </c>
      <c r="AS309" s="147">
        <f>IF(M2S_Eligibility_List!AS59=DataPaths_Code,1,0)+AR309</f>
        <v>3</v>
      </c>
      <c r="AT309" s="147">
        <f>IF(M2S_Eligibility_List!AT59=DataPaths_Code,1,0)+AS309</f>
        <v>3</v>
      </c>
      <c r="AU309" s="147">
        <f>IF(M2S_Eligibility_List!AU59=DataPaths_Code,1,0)+AT309</f>
        <v>3</v>
      </c>
      <c r="AV309" s="147">
        <f>IF(M2S_Eligibility_List!AV59=DataPaths_Code,1,0)+AU309</f>
        <v>3</v>
      </c>
      <c r="AW309" s="147">
        <f>IF(M2S_Eligibility_List!AW59=DataPaths_Code,1,0)+AV309</f>
        <v>3</v>
      </c>
      <c r="AX309" s="147">
        <f>IF(M2S_Eligibility_List!AX59=DataPaths_Code,1,0)+AW309</f>
        <v>3</v>
      </c>
      <c r="AY309" s="147">
        <f>IF(M2S_Eligibility_List!AY59=DataPaths_Code,1,0)+AX309</f>
        <v>3</v>
      </c>
      <c r="AZ309" s="147">
        <f>IF(M2S_Eligibility_List!AZ59=DataPaths_Code,1,0)+AY309</f>
        <v>3</v>
      </c>
      <c r="BA309" s="147">
        <f>IF(M2S_Eligibility_List!BA59=DataPaths_Code,1,0)+AZ309</f>
        <v>3</v>
      </c>
      <c r="BB309" s="147">
        <f>IF(M2S_Eligibility_List!BB59=DataPaths_Code,1,0)+BA309</f>
        <v>3</v>
      </c>
      <c r="BC309" s="147">
        <f>IF(M2S_Eligibility_List!BC59=DataPaths_Code,1,0)+BB309</f>
        <v>3</v>
      </c>
      <c r="BD309" s="147">
        <f>IF(M2S_Eligibility_List!BD59=DataPaths_Code,1,0)+BC309</f>
        <v>3</v>
      </c>
      <c r="BE309" s="147">
        <f>IF(M2S_Eligibility_List!BE59=DataPaths_Code,1,0)+BD309</f>
        <v>3</v>
      </c>
      <c r="BF309" s="147">
        <f>IF(M2S_Eligibility_List!BF59=DataPaths_Code,1,0)+BE309</f>
        <v>3</v>
      </c>
      <c r="BG309" s="147">
        <f>IF(M2S_Eligibility_List!BG59=DataPaths_Code,1,0)+BF309</f>
        <v>3</v>
      </c>
      <c r="BH309" s="147">
        <f>IF(M2S_Eligibility_List!BH59=DataPaths_Code,1,0)+BG309</f>
        <v>3</v>
      </c>
      <c r="BI309" s="147">
        <f>IF(M2S_Eligibility_List!BI59=DataPaths_Code,1,0)+BH309</f>
        <v>3</v>
      </c>
      <c r="BJ309" s="147">
        <f>IF(M2S_Eligibility_List!BJ59=DataPaths_Code,1,0)+BI309</f>
        <v>3</v>
      </c>
      <c r="BK309" s="147">
        <f>IF(M2S_Eligibility_List!BK59=DataPaths_Code,1,0)+BJ309</f>
        <v>3</v>
      </c>
      <c r="BL309" s="147">
        <f>IF(M2S_Eligibility_List!BL59=DataPaths_Code,1,0)+BK309</f>
        <v>3</v>
      </c>
      <c r="BM309" s="147">
        <f>IF(M2S_Eligibility_List!BM59=DataPaths_Code,1,0)+BL309</f>
        <v>3</v>
      </c>
      <c r="BN309" s="147">
        <f>IF(M2S_Eligibility_List!BN59=DataPaths_Code,1,0)+BM309</f>
        <v>3</v>
      </c>
      <c r="BO309" s="147">
        <f>IF(M2S_Eligibility_List!BO59=DataPaths_Code,1,0)+BN309</f>
        <v>3</v>
      </c>
      <c r="BP309" s="147">
        <f>IF(M2S_Eligibility_List!BP59=DataPaths_Code,1,0)+BO309</f>
        <v>3</v>
      </c>
      <c r="BQ309" s="147">
        <f>IF(M2S_Eligibility_List!BQ59=DataPaths_Code,1,0)+BP309</f>
        <v>3</v>
      </c>
      <c r="BR309" s="147">
        <f>IF(M2S_Eligibility_List!BR59=DataPaths_Code,1,0)+BQ309</f>
        <v>3</v>
      </c>
      <c r="BS309" s="147">
        <f>IF(M2S_Eligibility_List!BS59=DataPaths_Code,1,0)+BR309</f>
        <v>3</v>
      </c>
      <c r="BT309" s="147">
        <f>IF(M2S_Eligibility_List!BT59=DataPaths_Code,1,0)+BS309</f>
        <v>3</v>
      </c>
      <c r="BU309" s="147">
        <f>IF(M2S_Eligibility_List!BU59=DataPaths_Code,1,0)+BT309</f>
        <v>3</v>
      </c>
      <c r="BV309" s="147">
        <f>IF(M2S_Eligibility_List!BV59=DataPaths_Code,1,0)+BU309</f>
        <v>3</v>
      </c>
      <c r="BW309" s="147">
        <f>IF(M2S_Eligibility_List!BW59=DataPaths_Code,1,0)+BV309</f>
        <v>3</v>
      </c>
    </row>
    <row r="310" spans="1:75" ht="20.100000000000001" customHeight="1">
      <c r="A310" s="145"/>
      <c r="B310" s="170" t="str">
        <f>IF(M2S_Eligibility_List!$B60&lt;&gt;"",RIGHT(M2S_Eligibility_List!$B60,LEN(M2S_Eligibility_List!$B60)-LEN(nmADwSP)),0)</f>
        <v>Factory Design Suite Ultimate</v>
      </c>
      <c r="C310" s="147">
        <f>IF(M2S_Eligibility_List!C60=DataPaths_Code,1,0)</f>
        <v>1</v>
      </c>
      <c r="D310" s="147">
        <f>IF(M2S_Eligibility_List!D60=DataPaths_Code,1,0)+C310</f>
        <v>2</v>
      </c>
      <c r="E310" s="147">
        <f>IF(M2S_Eligibility_List!E60=DataPaths_Code,1,0)+D310</f>
        <v>2</v>
      </c>
      <c r="F310" s="147">
        <f>IF(M2S_Eligibility_List!F60=DataPaths_Code,1,0)+E310</f>
        <v>2</v>
      </c>
      <c r="G310" s="147">
        <f>IF(M2S_Eligibility_List!G60=DataPaths_Code,1,0)+F310</f>
        <v>2</v>
      </c>
      <c r="H310" s="147">
        <f>IF(M2S_Eligibility_List!H60=DataPaths_Code,1,0)+G310</f>
        <v>2</v>
      </c>
      <c r="I310" s="147">
        <f>IF(M2S_Eligibility_List!I60=DataPaths_Code,1,0)+H310</f>
        <v>2</v>
      </c>
      <c r="J310" s="147">
        <f>IF(M2S_Eligibility_List!J60=DataPaths_Code,1,0)+I310</f>
        <v>2</v>
      </c>
      <c r="K310" s="147">
        <f>IF(M2S_Eligibility_List!K60=DataPaths_Code,1,0)+J310</f>
        <v>2</v>
      </c>
      <c r="L310" s="147">
        <f>IF(M2S_Eligibility_List!L60=DataPaths_Code,1,0)+K310</f>
        <v>2</v>
      </c>
      <c r="M310" s="147">
        <f>IF(M2S_Eligibility_List!M60=DataPaths_Code,1,0)+L310</f>
        <v>2</v>
      </c>
      <c r="N310" s="147">
        <f>IF(M2S_Eligibility_List!N60=DataPaths_Code,1,0)+M310</f>
        <v>2</v>
      </c>
      <c r="O310" s="147">
        <f>IF(M2S_Eligibility_List!O60=DataPaths_Code,1,0)+N310</f>
        <v>2</v>
      </c>
      <c r="P310" s="147">
        <f>IF(M2S_Eligibility_List!P60=DataPaths_Code,1,0)+O310</f>
        <v>2</v>
      </c>
      <c r="Q310" s="147">
        <f>IF(M2S_Eligibility_List!Q60=DataPaths_Code,1,0)+P310</f>
        <v>2</v>
      </c>
      <c r="R310" s="147">
        <f>IF(M2S_Eligibility_List!R60=DataPaths_Code,1,0)+Q310</f>
        <v>2</v>
      </c>
      <c r="S310" s="147">
        <f>IF(M2S_Eligibility_List!S60=DataPaths_Code,1,0)+R310</f>
        <v>2</v>
      </c>
      <c r="T310" s="147">
        <f>IF(M2S_Eligibility_List!T60=DataPaths_Code,1,0)+S310</f>
        <v>2</v>
      </c>
      <c r="U310" s="147">
        <f>IF(M2S_Eligibility_List!U60=DataPaths_Code,1,0)+T310</f>
        <v>2</v>
      </c>
      <c r="V310" s="147">
        <f>IF(M2S_Eligibility_List!V60=DataPaths_Code,1,0)+U310</f>
        <v>2</v>
      </c>
      <c r="W310" s="147">
        <f>IF(M2S_Eligibility_List!W60=DataPaths_Code,1,0)+V310</f>
        <v>2</v>
      </c>
      <c r="X310" s="147">
        <f>IF(M2S_Eligibility_List!X60=DataPaths_Code,1,0)+W310</f>
        <v>2</v>
      </c>
      <c r="Y310" s="147">
        <f>IF(M2S_Eligibility_List!Y60=DataPaths_Code,1,0)+X310</f>
        <v>2</v>
      </c>
      <c r="Z310" s="147">
        <f>IF(M2S_Eligibility_List!Z60=DataPaths_Code,1,0)+Y310</f>
        <v>2</v>
      </c>
      <c r="AA310" s="147">
        <f>IF(M2S_Eligibility_List!AA60=DataPaths_Code,1,0)+Z310</f>
        <v>2</v>
      </c>
      <c r="AB310" s="147">
        <f>IF(M2S_Eligibility_List!AB60=DataPaths_Code,1,0)+AA310</f>
        <v>2</v>
      </c>
      <c r="AC310" s="147">
        <f>IF(M2S_Eligibility_List!AC60=DataPaths_Code,1,0)+AB310</f>
        <v>2</v>
      </c>
      <c r="AD310" s="147">
        <f>IF(M2S_Eligibility_List!AD60=DataPaths_Code,1,0)+AC310</f>
        <v>2</v>
      </c>
      <c r="AE310" s="147">
        <f>IF(M2S_Eligibility_List!AE60=DataPaths_Code,1,0)+AD310</f>
        <v>2</v>
      </c>
      <c r="AF310" s="147">
        <f>IF(M2S_Eligibility_List!AF60=DataPaths_Code,1,0)+AE310</f>
        <v>2</v>
      </c>
      <c r="AG310" s="147">
        <f>IF(M2S_Eligibility_List!AG60=DataPaths_Code,1,0)+AF310</f>
        <v>2</v>
      </c>
      <c r="AH310" s="147">
        <f>IF(M2S_Eligibility_List!AH60=DataPaths_Code,1,0)+AG310</f>
        <v>2</v>
      </c>
      <c r="AI310" s="147">
        <f>IF(M2S_Eligibility_List!AI60=DataPaths_Code,1,0)+AH310</f>
        <v>2</v>
      </c>
      <c r="AJ310" s="147">
        <f>IF(M2S_Eligibility_List!AJ60=DataPaths_Code,1,0)+AI310</f>
        <v>2</v>
      </c>
      <c r="AK310" s="147">
        <f>IF(M2S_Eligibility_List!AK60=DataPaths_Code,1,0)+AJ310</f>
        <v>2</v>
      </c>
      <c r="AL310" s="147">
        <f>IF(M2S_Eligibility_List!AL60=DataPaths_Code,1,0)+AK310</f>
        <v>2</v>
      </c>
      <c r="AM310" s="147">
        <f>IF(M2S_Eligibility_List!AM60=DataPaths_Code,1,0)+AL310</f>
        <v>2</v>
      </c>
      <c r="AN310" s="147">
        <f>IF(M2S_Eligibility_List!AN60=DataPaths_Code,1,0)+AM310</f>
        <v>2</v>
      </c>
      <c r="AO310" s="147">
        <f>IF(M2S_Eligibility_List!AO60=DataPaths_Code,1,0)+AN310</f>
        <v>2</v>
      </c>
      <c r="AP310" s="147">
        <f>IF(M2S_Eligibility_List!AP60=DataPaths_Code,1,0)+AO310</f>
        <v>2</v>
      </c>
      <c r="AQ310" s="147">
        <f>IF(M2S_Eligibility_List!AQ60=DataPaths_Code,1,0)+AP310</f>
        <v>2</v>
      </c>
      <c r="AR310" s="147">
        <f>IF(M2S_Eligibility_List!AR60=DataPaths_Code,1,0)+AQ310</f>
        <v>2</v>
      </c>
      <c r="AS310" s="147">
        <f>IF(M2S_Eligibility_List!AS60=DataPaths_Code,1,0)+AR310</f>
        <v>2</v>
      </c>
      <c r="AT310" s="147">
        <f>IF(M2S_Eligibility_List!AT60=DataPaths_Code,1,0)+AS310</f>
        <v>2</v>
      </c>
      <c r="AU310" s="147">
        <f>IF(M2S_Eligibility_List!AU60=DataPaths_Code,1,0)+AT310</f>
        <v>2</v>
      </c>
      <c r="AV310" s="147">
        <f>IF(M2S_Eligibility_List!AV60=DataPaths_Code,1,0)+AU310</f>
        <v>2</v>
      </c>
      <c r="AW310" s="147">
        <f>IF(M2S_Eligibility_List!AW60=DataPaths_Code,1,0)+AV310</f>
        <v>2</v>
      </c>
      <c r="AX310" s="147">
        <f>IF(M2S_Eligibility_List!AX60=DataPaths_Code,1,0)+AW310</f>
        <v>2</v>
      </c>
      <c r="AY310" s="147">
        <f>IF(M2S_Eligibility_List!AY60=DataPaths_Code,1,0)+AX310</f>
        <v>2</v>
      </c>
      <c r="AZ310" s="147">
        <f>IF(M2S_Eligibility_List!AZ60=DataPaths_Code,1,0)+AY310</f>
        <v>2</v>
      </c>
      <c r="BA310" s="147">
        <f>IF(M2S_Eligibility_List!BA60=DataPaths_Code,1,0)+AZ310</f>
        <v>2</v>
      </c>
      <c r="BB310" s="147">
        <f>IF(M2S_Eligibility_List!BB60=DataPaths_Code,1,0)+BA310</f>
        <v>2</v>
      </c>
      <c r="BC310" s="147">
        <f>IF(M2S_Eligibility_List!BC60=DataPaths_Code,1,0)+BB310</f>
        <v>2</v>
      </c>
      <c r="BD310" s="147">
        <f>IF(M2S_Eligibility_List!BD60=DataPaths_Code,1,0)+BC310</f>
        <v>2</v>
      </c>
      <c r="BE310" s="147">
        <f>IF(M2S_Eligibility_List!BE60=DataPaths_Code,1,0)+BD310</f>
        <v>2</v>
      </c>
      <c r="BF310" s="147">
        <f>IF(M2S_Eligibility_List!BF60=DataPaths_Code,1,0)+BE310</f>
        <v>2</v>
      </c>
      <c r="BG310" s="147">
        <f>IF(M2S_Eligibility_List!BG60=DataPaths_Code,1,0)+BF310</f>
        <v>2</v>
      </c>
      <c r="BH310" s="147">
        <f>IF(M2S_Eligibility_List!BH60=DataPaths_Code,1,0)+BG310</f>
        <v>2</v>
      </c>
      <c r="BI310" s="147">
        <f>IF(M2S_Eligibility_List!BI60=DataPaths_Code,1,0)+BH310</f>
        <v>2</v>
      </c>
      <c r="BJ310" s="147">
        <f>IF(M2S_Eligibility_List!BJ60=DataPaths_Code,1,0)+BI310</f>
        <v>2</v>
      </c>
      <c r="BK310" s="147">
        <f>IF(M2S_Eligibility_List!BK60=DataPaths_Code,1,0)+BJ310</f>
        <v>2</v>
      </c>
      <c r="BL310" s="147">
        <f>IF(M2S_Eligibility_List!BL60=DataPaths_Code,1,0)+BK310</f>
        <v>2</v>
      </c>
      <c r="BM310" s="147">
        <f>IF(M2S_Eligibility_List!BM60=DataPaths_Code,1,0)+BL310</f>
        <v>2</v>
      </c>
      <c r="BN310" s="147">
        <f>IF(M2S_Eligibility_List!BN60=DataPaths_Code,1,0)+BM310</f>
        <v>2</v>
      </c>
      <c r="BO310" s="147">
        <f>IF(M2S_Eligibility_List!BO60=DataPaths_Code,1,0)+BN310</f>
        <v>2</v>
      </c>
      <c r="BP310" s="147">
        <f>IF(M2S_Eligibility_List!BP60=DataPaths_Code,1,0)+BO310</f>
        <v>2</v>
      </c>
      <c r="BQ310" s="147">
        <f>IF(M2S_Eligibility_List!BQ60=DataPaths_Code,1,0)+BP310</f>
        <v>2</v>
      </c>
      <c r="BR310" s="147">
        <f>IF(M2S_Eligibility_List!BR60=DataPaths_Code,1,0)+BQ310</f>
        <v>2</v>
      </c>
      <c r="BS310" s="147">
        <f>IF(M2S_Eligibility_List!BS60=DataPaths_Code,1,0)+BR310</f>
        <v>2</v>
      </c>
      <c r="BT310" s="147">
        <f>IF(M2S_Eligibility_List!BT60=DataPaths_Code,1,0)+BS310</f>
        <v>2</v>
      </c>
      <c r="BU310" s="147">
        <f>IF(M2S_Eligibility_List!BU60=DataPaths_Code,1,0)+BT310</f>
        <v>2</v>
      </c>
      <c r="BV310" s="147">
        <f>IF(M2S_Eligibility_List!BV60=DataPaths_Code,1,0)+BU310</f>
        <v>2</v>
      </c>
      <c r="BW310" s="147">
        <f>IF(M2S_Eligibility_List!BW60=DataPaths_Code,1,0)+BV310</f>
        <v>2</v>
      </c>
    </row>
    <row r="311" spans="1:75" ht="20.100000000000001" customHeight="1">
      <c r="A311" s="145"/>
      <c r="B311" s="170" t="str">
        <f>IF(M2S_Eligibility_List!$B61&lt;&gt;"",RIGHT(M2S_Eligibility_List!$B61,LEN(M2S_Eligibility_List!$B61)-LEN(nmADwSP)),0)</f>
        <v>FeatureCAM - Premium</v>
      </c>
      <c r="C311" s="147">
        <f>IF(M2S_Eligibility_List!C61=DataPaths_Code,1,0)</f>
        <v>0</v>
      </c>
      <c r="D311" s="147">
        <f>IF(M2S_Eligibility_List!D61=DataPaths_Code,1,0)+C311</f>
        <v>0</v>
      </c>
      <c r="E311" s="147">
        <f>IF(M2S_Eligibility_List!E61=DataPaths_Code,1,0)+D311</f>
        <v>0</v>
      </c>
      <c r="F311" s="147">
        <f>IF(M2S_Eligibility_List!F61=DataPaths_Code,1,0)+E311</f>
        <v>0</v>
      </c>
      <c r="G311" s="147">
        <f>IF(M2S_Eligibility_List!G61=DataPaths_Code,1,0)+F311</f>
        <v>0</v>
      </c>
      <c r="H311" s="147">
        <f>IF(M2S_Eligibility_List!H61=DataPaths_Code,1,0)+G311</f>
        <v>0</v>
      </c>
      <c r="I311" s="147">
        <f>IF(M2S_Eligibility_List!I61=DataPaths_Code,1,0)+H311</f>
        <v>0</v>
      </c>
      <c r="J311" s="147">
        <f>IF(M2S_Eligibility_List!J61=DataPaths_Code,1,0)+I311</f>
        <v>0</v>
      </c>
      <c r="K311" s="147">
        <f>IF(M2S_Eligibility_List!K61=DataPaths_Code,1,0)+J311</f>
        <v>0</v>
      </c>
      <c r="L311" s="147">
        <f>IF(M2S_Eligibility_List!L61=DataPaths_Code,1,0)+K311</f>
        <v>0</v>
      </c>
      <c r="M311" s="147">
        <f>IF(M2S_Eligibility_List!M61=DataPaths_Code,1,0)+L311</f>
        <v>0</v>
      </c>
      <c r="N311" s="147">
        <f>IF(M2S_Eligibility_List!N61=DataPaths_Code,1,0)+M311</f>
        <v>0</v>
      </c>
      <c r="O311" s="147">
        <f>IF(M2S_Eligibility_List!O61=DataPaths_Code,1,0)+N311</f>
        <v>0</v>
      </c>
      <c r="P311" s="147">
        <f>IF(M2S_Eligibility_List!P61=DataPaths_Code,1,0)+O311</f>
        <v>0</v>
      </c>
      <c r="Q311" s="147">
        <f>IF(M2S_Eligibility_List!Q61=DataPaths_Code,1,0)+P311</f>
        <v>0</v>
      </c>
      <c r="R311" s="147">
        <f>IF(M2S_Eligibility_List!R61=DataPaths_Code,1,0)+Q311</f>
        <v>0</v>
      </c>
      <c r="S311" s="147">
        <f>IF(M2S_Eligibility_List!S61=DataPaths_Code,1,0)+R311</f>
        <v>0</v>
      </c>
      <c r="T311" s="147">
        <f>IF(M2S_Eligibility_List!T61=DataPaths_Code,1,0)+S311</f>
        <v>0</v>
      </c>
      <c r="U311" s="147">
        <f>IF(M2S_Eligibility_List!U61=DataPaths_Code,1,0)+T311</f>
        <v>0</v>
      </c>
      <c r="V311" s="147">
        <f>IF(M2S_Eligibility_List!V61=DataPaths_Code,1,0)+U311</f>
        <v>0</v>
      </c>
      <c r="W311" s="147">
        <f>IF(M2S_Eligibility_List!W61=DataPaths_Code,1,0)+V311</f>
        <v>0</v>
      </c>
      <c r="X311" s="147">
        <f>IF(M2S_Eligibility_List!X61=DataPaths_Code,1,0)+W311</f>
        <v>0</v>
      </c>
      <c r="Y311" s="147">
        <f>IF(M2S_Eligibility_List!Y61=DataPaths_Code,1,0)+X311</f>
        <v>0</v>
      </c>
      <c r="Z311" s="147">
        <f>IF(M2S_Eligibility_List!Z61=DataPaths_Code,1,0)+Y311</f>
        <v>0</v>
      </c>
      <c r="AA311" s="147">
        <f>IF(M2S_Eligibility_List!AA61=DataPaths_Code,1,0)+Z311</f>
        <v>0</v>
      </c>
      <c r="AB311" s="147">
        <f>IF(M2S_Eligibility_List!AB61=DataPaths_Code,1,0)+AA311</f>
        <v>0</v>
      </c>
      <c r="AC311" s="147">
        <f>IF(M2S_Eligibility_List!AC61=DataPaths_Code,1,0)+AB311</f>
        <v>0</v>
      </c>
      <c r="AD311" s="147">
        <f>IF(M2S_Eligibility_List!AD61=DataPaths_Code,1,0)+AC311</f>
        <v>0</v>
      </c>
      <c r="AE311" s="147">
        <f>IF(M2S_Eligibility_List!AE61=DataPaths_Code,1,0)+AD311</f>
        <v>0</v>
      </c>
      <c r="AF311" s="147">
        <f>IF(M2S_Eligibility_List!AF61=DataPaths_Code,1,0)+AE311</f>
        <v>0</v>
      </c>
      <c r="AG311" s="147">
        <f>IF(M2S_Eligibility_List!AG61=DataPaths_Code,1,0)+AF311</f>
        <v>0</v>
      </c>
      <c r="AH311" s="147">
        <f>IF(M2S_Eligibility_List!AH61=DataPaths_Code,1,0)+AG311</f>
        <v>0</v>
      </c>
      <c r="AI311" s="147">
        <f>IF(M2S_Eligibility_List!AI61=DataPaths_Code,1,0)+AH311</f>
        <v>0</v>
      </c>
      <c r="AJ311" s="147">
        <f>IF(M2S_Eligibility_List!AJ61=DataPaths_Code,1,0)+AI311</f>
        <v>0</v>
      </c>
      <c r="AK311" s="147">
        <f>IF(M2S_Eligibility_List!AK61=DataPaths_Code,1,0)+AJ311</f>
        <v>0</v>
      </c>
      <c r="AL311" s="147">
        <f>IF(M2S_Eligibility_List!AL61=DataPaths_Code,1,0)+AK311</f>
        <v>0</v>
      </c>
      <c r="AM311" s="147">
        <f>IF(M2S_Eligibility_List!AM61=DataPaths_Code,1,0)+AL311</f>
        <v>0</v>
      </c>
      <c r="AN311" s="147">
        <f>IF(M2S_Eligibility_List!AN61=DataPaths_Code,1,0)+AM311</f>
        <v>0</v>
      </c>
      <c r="AO311" s="147">
        <f>IF(M2S_Eligibility_List!AO61=DataPaths_Code,1,0)+AN311</f>
        <v>0</v>
      </c>
      <c r="AP311" s="147">
        <f>IF(M2S_Eligibility_List!AP61=DataPaths_Code,1,0)+AO311</f>
        <v>0</v>
      </c>
      <c r="AQ311" s="147">
        <f>IF(M2S_Eligibility_List!AQ61=DataPaths_Code,1,0)+AP311</f>
        <v>0</v>
      </c>
      <c r="AR311" s="147">
        <f>IF(M2S_Eligibility_List!AR61=DataPaths_Code,1,0)+AQ311</f>
        <v>0</v>
      </c>
      <c r="AS311" s="147">
        <f>IF(M2S_Eligibility_List!AS61=DataPaths_Code,1,0)+AR311</f>
        <v>0</v>
      </c>
      <c r="AT311" s="147">
        <f>IF(M2S_Eligibility_List!AT61=DataPaths_Code,1,0)+AS311</f>
        <v>0</v>
      </c>
      <c r="AU311" s="147">
        <f>IF(M2S_Eligibility_List!AU61=DataPaths_Code,1,0)+AT311</f>
        <v>0</v>
      </c>
      <c r="AV311" s="147">
        <f>IF(M2S_Eligibility_List!AV61=DataPaths_Code,1,0)+AU311</f>
        <v>0</v>
      </c>
      <c r="AW311" s="147">
        <f>IF(M2S_Eligibility_List!AW61=DataPaths_Code,1,0)+AV311</f>
        <v>0</v>
      </c>
      <c r="AX311" s="147">
        <f>IF(M2S_Eligibility_List!AX61=DataPaths_Code,1,0)+AW311</f>
        <v>0</v>
      </c>
      <c r="AY311" s="147">
        <f>IF(M2S_Eligibility_List!AY61=DataPaths_Code,1,0)+AX311</f>
        <v>0</v>
      </c>
      <c r="AZ311" s="147">
        <f>IF(M2S_Eligibility_List!AZ61=DataPaths_Code,1,0)+AY311</f>
        <v>0</v>
      </c>
      <c r="BA311" s="147">
        <f>IF(M2S_Eligibility_List!BA61=DataPaths_Code,1,0)+AZ311</f>
        <v>0</v>
      </c>
      <c r="BB311" s="147">
        <f>IF(M2S_Eligibility_List!BB61=DataPaths_Code,1,0)+BA311</f>
        <v>0</v>
      </c>
      <c r="BC311" s="147">
        <f>IF(M2S_Eligibility_List!BC61=DataPaths_Code,1,0)+BB311</f>
        <v>0</v>
      </c>
      <c r="BD311" s="147">
        <f>IF(M2S_Eligibility_List!BD61=DataPaths_Code,1,0)+BC311</f>
        <v>0</v>
      </c>
      <c r="BE311" s="147">
        <f>IF(M2S_Eligibility_List!BE61=DataPaths_Code,1,0)+BD311</f>
        <v>0</v>
      </c>
      <c r="BF311" s="147">
        <f>IF(M2S_Eligibility_List!BF61=DataPaths_Code,1,0)+BE311</f>
        <v>0</v>
      </c>
      <c r="BG311" s="147">
        <f>IF(M2S_Eligibility_List!BG61=DataPaths_Code,1,0)+BF311</f>
        <v>0</v>
      </c>
      <c r="BH311" s="147">
        <f>IF(M2S_Eligibility_List!BH61=DataPaths_Code,1,0)+BG311</f>
        <v>0</v>
      </c>
      <c r="BI311" s="147">
        <f>IF(M2S_Eligibility_List!BI61=DataPaths_Code,1,0)+BH311</f>
        <v>0</v>
      </c>
      <c r="BJ311" s="147">
        <f>IF(M2S_Eligibility_List!BJ61=DataPaths_Code,1,0)+BI311</f>
        <v>0</v>
      </c>
      <c r="BK311" s="147">
        <f>IF(M2S_Eligibility_List!BK61=DataPaths_Code,1,0)+BJ311</f>
        <v>0</v>
      </c>
      <c r="BL311" s="147">
        <f>IF(M2S_Eligibility_List!BL61=DataPaths_Code,1,0)+BK311</f>
        <v>0</v>
      </c>
      <c r="BM311" s="147">
        <f>IF(M2S_Eligibility_List!BM61=DataPaths_Code,1,0)+BL311</f>
        <v>0</v>
      </c>
      <c r="BN311" s="147">
        <f>IF(M2S_Eligibility_List!BN61=DataPaths_Code,1,0)+BM311</f>
        <v>0</v>
      </c>
      <c r="BO311" s="147">
        <f>IF(M2S_Eligibility_List!BO61=DataPaths_Code,1,0)+BN311</f>
        <v>0</v>
      </c>
      <c r="BP311" s="147">
        <f>IF(M2S_Eligibility_List!BP61=DataPaths_Code,1,0)+BO311</f>
        <v>0</v>
      </c>
      <c r="BQ311" s="147">
        <f>IF(M2S_Eligibility_List!BQ61=DataPaths_Code,1,0)+BP311</f>
        <v>0</v>
      </c>
      <c r="BR311" s="147">
        <f>IF(M2S_Eligibility_List!BR61=DataPaths_Code,1,0)+BQ311</f>
        <v>0</v>
      </c>
      <c r="BS311" s="147">
        <f>IF(M2S_Eligibility_List!BS61=DataPaths_Code,1,0)+BR311</f>
        <v>0</v>
      </c>
      <c r="BT311" s="147">
        <f>IF(M2S_Eligibility_List!BT61=DataPaths_Code,1,0)+BS311</f>
        <v>1</v>
      </c>
      <c r="BU311" s="147">
        <f>IF(M2S_Eligibility_List!BU61=DataPaths_Code,1,0)+BT311</f>
        <v>1</v>
      </c>
      <c r="BV311" s="147">
        <f>IF(M2S_Eligibility_List!BV61=DataPaths_Code,1,0)+BU311</f>
        <v>2</v>
      </c>
      <c r="BW311" s="147">
        <f>IF(M2S_Eligibility_List!BW61=DataPaths_Code,1,0)+BV311</f>
        <v>2</v>
      </c>
    </row>
    <row r="312" spans="1:75" ht="20.100000000000001" customHeight="1">
      <c r="A312" s="145"/>
      <c r="B312" s="170" t="str">
        <f>IF(M2S_Eligibility_List!$B62&lt;&gt;"",RIGHT(M2S_Eligibility_List!$B62,LEN(M2S_Eligibility_List!$B62)-LEN(nmADwSP)),0)</f>
        <v>FeatureCAM - Standard</v>
      </c>
      <c r="C312" s="147">
        <f>IF(M2S_Eligibility_List!C62=DataPaths_Code,1,0)</f>
        <v>0</v>
      </c>
      <c r="D312" s="147">
        <f>IF(M2S_Eligibility_List!D62=DataPaths_Code,1,0)+C312</f>
        <v>0</v>
      </c>
      <c r="E312" s="147">
        <f>IF(M2S_Eligibility_List!E62=DataPaths_Code,1,0)+D312</f>
        <v>0</v>
      </c>
      <c r="F312" s="147">
        <f>IF(M2S_Eligibility_List!F62=DataPaths_Code,1,0)+E312</f>
        <v>0</v>
      </c>
      <c r="G312" s="147">
        <f>IF(M2S_Eligibility_List!G62=DataPaths_Code,1,0)+F312</f>
        <v>0</v>
      </c>
      <c r="H312" s="147">
        <f>IF(M2S_Eligibility_List!H62=DataPaths_Code,1,0)+G312</f>
        <v>0</v>
      </c>
      <c r="I312" s="147">
        <f>IF(M2S_Eligibility_List!I62=DataPaths_Code,1,0)+H312</f>
        <v>0</v>
      </c>
      <c r="J312" s="147">
        <f>IF(M2S_Eligibility_List!J62=DataPaths_Code,1,0)+I312</f>
        <v>0</v>
      </c>
      <c r="K312" s="147">
        <f>IF(M2S_Eligibility_List!K62=DataPaths_Code,1,0)+J312</f>
        <v>0</v>
      </c>
      <c r="L312" s="147">
        <f>IF(M2S_Eligibility_List!L62=DataPaths_Code,1,0)+K312</f>
        <v>0</v>
      </c>
      <c r="M312" s="147">
        <f>IF(M2S_Eligibility_List!M62=DataPaths_Code,1,0)+L312</f>
        <v>0</v>
      </c>
      <c r="N312" s="147">
        <f>IF(M2S_Eligibility_List!N62=DataPaths_Code,1,0)+M312</f>
        <v>0</v>
      </c>
      <c r="O312" s="147">
        <f>IF(M2S_Eligibility_List!O62=DataPaths_Code,1,0)+N312</f>
        <v>0</v>
      </c>
      <c r="P312" s="147">
        <f>IF(M2S_Eligibility_List!P62=DataPaths_Code,1,0)+O312</f>
        <v>0</v>
      </c>
      <c r="Q312" s="147">
        <f>IF(M2S_Eligibility_List!Q62=DataPaths_Code,1,0)+P312</f>
        <v>0</v>
      </c>
      <c r="R312" s="147">
        <f>IF(M2S_Eligibility_List!R62=DataPaths_Code,1,0)+Q312</f>
        <v>0</v>
      </c>
      <c r="S312" s="147">
        <f>IF(M2S_Eligibility_List!S62=DataPaths_Code,1,0)+R312</f>
        <v>0</v>
      </c>
      <c r="T312" s="147">
        <f>IF(M2S_Eligibility_List!T62=DataPaths_Code,1,0)+S312</f>
        <v>0</v>
      </c>
      <c r="U312" s="147">
        <f>IF(M2S_Eligibility_List!U62=DataPaths_Code,1,0)+T312</f>
        <v>0</v>
      </c>
      <c r="V312" s="147">
        <f>IF(M2S_Eligibility_List!V62=DataPaths_Code,1,0)+U312</f>
        <v>0</v>
      </c>
      <c r="W312" s="147">
        <f>IF(M2S_Eligibility_List!W62=DataPaths_Code,1,0)+V312</f>
        <v>0</v>
      </c>
      <c r="X312" s="147">
        <f>IF(M2S_Eligibility_List!X62=DataPaths_Code,1,0)+W312</f>
        <v>0</v>
      </c>
      <c r="Y312" s="147">
        <f>IF(M2S_Eligibility_List!Y62=DataPaths_Code,1,0)+X312</f>
        <v>0</v>
      </c>
      <c r="Z312" s="147">
        <f>IF(M2S_Eligibility_List!Z62=DataPaths_Code,1,0)+Y312</f>
        <v>0</v>
      </c>
      <c r="AA312" s="147">
        <f>IF(M2S_Eligibility_List!AA62=DataPaths_Code,1,0)+Z312</f>
        <v>0</v>
      </c>
      <c r="AB312" s="147">
        <f>IF(M2S_Eligibility_List!AB62=DataPaths_Code,1,0)+AA312</f>
        <v>0</v>
      </c>
      <c r="AC312" s="147">
        <f>IF(M2S_Eligibility_List!AC62=DataPaths_Code,1,0)+AB312</f>
        <v>0</v>
      </c>
      <c r="AD312" s="147">
        <f>IF(M2S_Eligibility_List!AD62=DataPaths_Code,1,0)+AC312</f>
        <v>0</v>
      </c>
      <c r="AE312" s="147">
        <f>IF(M2S_Eligibility_List!AE62=DataPaths_Code,1,0)+AD312</f>
        <v>0</v>
      </c>
      <c r="AF312" s="147">
        <f>IF(M2S_Eligibility_List!AF62=DataPaths_Code,1,0)+AE312</f>
        <v>0</v>
      </c>
      <c r="AG312" s="147">
        <f>IF(M2S_Eligibility_List!AG62=DataPaths_Code,1,0)+AF312</f>
        <v>0</v>
      </c>
      <c r="AH312" s="147">
        <f>IF(M2S_Eligibility_List!AH62=DataPaths_Code,1,0)+AG312</f>
        <v>0</v>
      </c>
      <c r="AI312" s="147">
        <f>IF(M2S_Eligibility_List!AI62=DataPaths_Code,1,0)+AH312</f>
        <v>0</v>
      </c>
      <c r="AJ312" s="147">
        <f>IF(M2S_Eligibility_List!AJ62=DataPaths_Code,1,0)+AI312</f>
        <v>0</v>
      </c>
      <c r="AK312" s="147">
        <f>IF(M2S_Eligibility_List!AK62=DataPaths_Code,1,0)+AJ312</f>
        <v>0</v>
      </c>
      <c r="AL312" s="147">
        <f>IF(M2S_Eligibility_List!AL62=DataPaths_Code,1,0)+AK312</f>
        <v>0</v>
      </c>
      <c r="AM312" s="147">
        <f>IF(M2S_Eligibility_List!AM62=DataPaths_Code,1,0)+AL312</f>
        <v>0</v>
      </c>
      <c r="AN312" s="147">
        <f>IF(M2S_Eligibility_List!AN62=DataPaths_Code,1,0)+AM312</f>
        <v>0</v>
      </c>
      <c r="AO312" s="147">
        <f>IF(M2S_Eligibility_List!AO62=DataPaths_Code,1,0)+AN312</f>
        <v>0</v>
      </c>
      <c r="AP312" s="147">
        <f>IF(M2S_Eligibility_List!AP62=DataPaths_Code,1,0)+AO312</f>
        <v>0</v>
      </c>
      <c r="AQ312" s="147">
        <f>IF(M2S_Eligibility_List!AQ62=DataPaths_Code,1,0)+AP312</f>
        <v>0</v>
      </c>
      <c r="AR312" s="147">
        <f>IF(M2S_Eligibility_List!AR62=DataPaths_Code,1,0)+AQ312</f>
        <v>0</v>
      </c>
      <c r="AS312" s="147">
        <f>IF(M2S_Eligibility_List!AS62=DataPaths_Code,1,0)+AR312</f>
        <v>0</v>
      </c>
      <c r="AT312" s="147">
        <f>IF(M2S_Eligibility_List!AT62=DataPaths_Code,1,0)+AS312</f>
        <v>0</v>
      </c>
      <c r="AU312" s="147">
        <f>IF(M2S_Eligibility_List!AU62=DataPaths_Code,1,0)+AT312</f>
        <v>0</v>
      </c>
      <c r="AV312" s="147">
        <f>IF(M2S_Eligibility_List!AV62=DataPaths_Code,1,0)+AU312</f>
        <v>0</v>
      </c>
      <c r="AW312" s="147">
        <f>IF(M2S_Eligibility_List!AW62=DataPaths_Code,1,0)+AV312</f>
        <v>0</v>
      </c>
      <c r="AX312" s="147">
        <f>IF(M2S_Eligibility_List!AX62=DataPaths_Code,1,0)+AW312</f>
        <v>0</v>
      </c>
      <c r="AY312" s="147">
        <f>IF(M2S_Eligibility_List!AY62=DataPaths_Code,1,0)+AX312</f>
        <v>0</v>
      </c>
      <c r="AZ312" s="147">
        <f>IF(M2S_Eligibility_List!AZ62=DataPaths_Code,1,0)+AY312</f>
        <v>0</v>
      </c>
      <c r="BA312" s="147">
        <f>IF(M2S_Eligibility_List!BA62=DataPaths_Code,1,0)+AZ312</f>
        <v>0</v>
      </c>
      <c r="BB312" s="147">
        <f>IF(M2S_Eligibility_List!BB62=DataPaths_Code,1,0)+BA312</f>
        <v>0</v>
      </c>
      <c r="BC312" s="147">
        <f>IF(M2S_Eligibility_List!BC62=DataPaths_Code,1,0)+BB312</f>
        <v>0</v>
      </c>
      <c r="BD312" s="147">
        <f>IF(M2S_Eligibility_List!BD62=DataPaths_Code,1,0)+BC312</f>
        <v>0</v>
      </c>
      <c r="BE312" s="147">
        <f>IF(M2S_Eligibility_List!BE62=DataPaths_Code,1,0)+BD312</f>
        <v>0</v>
      </c>
      <c r="BF312" s="147">
        <f>IF(M2S_Eligibility_List!BF62=DataPaths_Code,1,0)+BE312</f>
        <v>0</v>
      </c>
      <c r="BG312" s="147">
        <f>IF(M2S_Eligibility_List!BG62=DataPaths_Code,1,0)+BF312</f>
        <v>0</v>
      </c>
      <c r="BH312" s="147">
        <f>IF(M2S_Eligibility_List!BH62=DataPaths_Code,1,0)+BG312</f>
        <v>0</v>
      </c>
      <c r="BI312" s="147">
        <f>IF(M2S_Eligibility_List!BI62=DataPaths_Code,1,0)+BH312</f>
        <v>0</v>
      </c>
      <c r="BJ312" s="147">
        <f>IF(M2S_Eligibility_List!BJ62=DataPaths_Code,1,0)+BI312</f>
        <v>0</v>
      </c>
      <c r="BK312" s="147">
        <f>IF(M2S_Eligibility_List!BK62=DataPaths_Code,1,0)+BJ312</f>
        <v>0</v>
      </c>
      <c r="BL312" s="147">
        <f>IF(M2S_Eligibility_List!BL62=DataPaths_Code,1,0)+BK312</f>
        <v>0</v>
      </c>
      <c r="BM312" s="147">
        <f>IF(M2S_Eligibility_List!BM62=DataPaths_Code,1,0)+BL312</f>
        <v>0</v>
      </c>
      <c r="BN312" s="147">
        <f>IF(M2S_Eligibility_List!BN62=DataPaths_Code,1,0)+BM312</f>
        <v>0</v>
      </c>
      <c r="BO312" s="147">
        <f>IF(M2S_Eligibility_List!BO62=DataPaths_Code,1,0)+BN312</f>
        <v>0</v>
      </c>
      <c r="BP312" s="147">
        <f>IF(M2S_Eligibility_List!BP62=DataPaths_Code,1,0)+BO312</f>
        <v>0</v>
      </c>
      <c r="BQ312" s="147">
        <f>IF(M2S_Eligibility_List!BQ62=DataPaths_Code,1,0)+BP312</f>
        <v>0</v>
      </c>
      <c r="BR312" s="147">
        <f>IF(M2S_Eligibility_List!BR62=DataPaths_Code,1,0)+BQ312</f>
        <v>0</v>
      </c>
      <c r="BS312" s="147">
        <f>IF(M2S_Eligibility_List!BS62=DataPaths_Code,1,0)+BR312</f>
        <v>0</v>
      </c>
      <c r="BT312" s="147">
        <f>IF(M2S_Eligibility_List!BT62=DataPaths_Code,1,0)+BS312</f>
        <v>1</v>
      </c>
      <c r="BU312" s="147">
        <f>IF(M2S_Eligibility_List!BU62=DataPaths_Code,1,0)+BT312</f>
        <v>2</v>
      </c>
      <c r="BV312" s="147">
        <f>IF(M2S_Eligibility_List!BV62=DataPaths_Code,1,0)+BU312</f>
        <v>3</v>
      </c>
      <c r="BW312" s="147">
        <f>IF(M2S_Eligibility_List!BW62=DataPaths_Code,1,0)+BV312</f>
        <v>3</v>
      </c>
    </row>
    <row r="313" spans="1:75" ht="20.100000000000001" customHeight="1">
      <c r="A313" s="145"/>
      <c r="B313" s="170" t="str">
        <f>IF(M2S_Eligibility_List!$B63&lt;&gt;"",RIGHT(M2S_Eligibility_List!$B63,LEN(M2S_Eligibility_List!$B63)-LEN(nmADwSP)),0)</f>
        <v>FeatureCAM - Ultimate</v>
      </c>
      <c r="C313" s="147">
        <f>IF(M2S_Eligibility_List!C63=DataPaths_Code,1,0)</f>
        <v>0</v>
      </c>
      <c r="D313" s="147">
        <f>IF(M2S_Eligibility_List!D63=DataPaths_Code,1,0)+C313</f>
        <v>0</v>
      </c>
      <c r="E313" s="147">
        <f>IF(M2S_Eligibility_List!E63=DataPaths_Code,1,0)+D313</f>
        <v>0</v>
      </c>
      <c r="F313" s="147">
        <f>IF(M2S_Eligibility_List!F63=DataPaths_Code,1,0)+E313</f>
        <v>0</v>
      </c>
      <c r="G313" s="147">
        <f>IF(M2S_Eligibility_List!G63=DataPaths_Code,1,0)+F313</f>
        <v>0</v>
      </c>
      <c r="H313" s="147">
        <f>IF(M2S_Eligibility_List!H63=DataPaths_Code,1,0)+G313</f>
        <v>0</v>
      </c>
      <c r="I313" s="147">
        <f>IF(M2S_Eligibility_List!I63=DataPaths_Code,1,0)+H313</f>
        <v>0</v>
      </c>
      <c r="J313" s="147">
        <f>IF(M2S_Eligibility_List!J63=DataPaths_Code,1,0)+I313</f>
        <v>0</v>
      </c>
      <c r="K313" s="147">
        <f>IF(M2S_Eligibility_List!K63=DataPaths_Code,1,0)+J313</f>
        <v>0</v>
      </c>
      <c r="L313" s="147">
        <f>IF(M2S_Eligibility_List!L63=DataPaths_Code,1,0)+K313</f>
        <v>0</v>
      </c>
      <c r="M313" s="147">
        <f>IF(M2S_Eligibility_List!M63=DataPaths_Code,1,0)+L313</f>
        <v>0</v>
      </c>
      <c r="N313" s="147">
        <f>IF(M2S_Eligibility_List!N63=DataPaths_Code,1,0)+M313</f>
        <v>0</v>
      </c>
      <c r="O313" s="147">
        <f>IF(M2S_Eligibility_List!O63=DataPaths_Code,1,0)+N313</f>
        <v>0</v>
      </c>
      <c r="P313" s="147">
        <f>IF(M2S_Eligibility_List!P63=DataPaths_Code,1,0)+O313</f>
        <v>0</v>
      </c>
      <c r="Q313" s="147">
        <f>IF(M2S_Eligibility_List!Q63=DataPaths_Code,1,0)+P313</f>
        <v>0</v>
      </c>
      <c r="R313" s="147">
        <f>IF(M2S_Eligibility_List!R63=DataPaths_Code,1,0)+Q313</f>
        <v>0</v>
      </c>
      <c r="S313" s="147">
        <f>IF(M2S_Eligibility_List!S63=DataPaths_Code,1,0)+R313</f>
        <v>0</v>
      </c>
      <c r="T313" s="147">
        <f>IF(M2S_Eligibility_List!T63=DataPaths_Code,1,0)+S313</f>
        <v>0</v>
      </c>
      <c r="U313" s="147">
        <f>IF(M2S_Eligibility_List!U63=DataPaths_Code,1,0)+T313</f>
        <v>0</v>
      </c>
      <c r="V313" s="147">
        <f>IF(M2S_Eligibility_List!V63=DataPaths_Code,1,0)+U313</f>
        <v>0</v>
      </c>
      <c r="W313" s="147">
        <f>IF(M2S_Eligibility_List!W63=DataPaths_Code,1,0)+V313</f>
        <v>0</v>
      </c>
      <c r="X313" s="147">
        <f>IF(M2S_Eligibility_List!X63=DataPaths_Code,1,0)+W313</f>
        <v>0</v>
      </c>
      <c r="Y313" s="147">
        <f>IF(M2S_Eligibility_List!Y63=DataPaths_Code,1,0)+X313</f>
        <v>0</v>
      </c>
      <c r="Z313" s="147">
        <f>IF(M2S_Eligibility_List!Z63=DataPaths_Code,1,0)+Y313</f>
        <v>0</v>
      </c>
      <c r="AA313" s="147">
        <f>IF(M2S_Eligibility_List!AA63=DataPaths_Code,1,0)+Z313</f>
        <v>0</v>
      </c>
      <c r="AB313" s="147">
        <f>IF(M2S_Eligibility_List!AB63=DataPaths_Code,1,0)+AA313</f>
        <v>0</v>
      </c>
      <c r="AC313" s="147">
        <f>IF(M2S_Eligibility_List!AC63=DataPaths_Code,1,0)+AB313</f>
        <v>0</v>
      </c>
      <c r="AD313" s="147">
        <f>IF(M2S_Eligibility_List!AD63=DataPaths_Code,1,0)+AC313</f>
        <v>0</v>
      </c>
      <c r="AE313" s="147">
        <f>IF(M2S_Eligibility_List!AE63=DataPaths_Code,1,0)+AD313</f>
        <v>0</v>
      </c>
      <c r="AF313" s="147">
        <f>IF(M2S_Eligibility_List!AF63=DataPaths_Code,1,0)+AE313</f>
        <v>0</v>
      </c>
      <c r="AG313" s="147">
        <f>IF(M2S_Eligibility_List!AG63=DataPaths_Code,1,0)+AF313</f>
        <v>0</v>
      </c>
      <c r="AH313" s="147">
        <f>IF(M2S_Eligibility_List!AH63=DataPaths_Code,1,0)+AG313</f>
        <v>0</v>
      </c>
      <c r="AI313" s="147">
        <f>IF(M2S_Eligibility_List!AI63=DataPaths_Code,1,0)+AH313</f>
        <v>0</v>
      </c>
      <c r="AJ313" s="147">
        <f>IF(M2S_Eligibility_List!AJ63=DataPaths_Code,1,0)+AI313</f>
        <v>0</v>
      </c>
      <c r="AK313" s="147">
        <f>IF(M2S_Eligibility_List!AK63=DataPaths_Code,1,0)+AJ313</f>
        <v>0</v>
      </c>
      <c r="AL313" s="147">
        <f>IF(M2S_Eligibility_List!AL63=DataPaths_Code,1,0)+AK313</f>
        <v>0</v>
      </c>
      <c r="AM313" s="147">
        <f>IF(M2S_Eligibility_List!AM63=DataPaths_Code,1,0)+AL313</f>
        <v>0</v>
      </c>
      <c r="AN313" s="147">
        <f>IF(M2S_Eligibility_List!AN63=DataPaths_Code,1,0)+AM313</f>
        <v>0</v>
      </c>
      <c r="AO313" s="147">
        <f>IF(M2S_Eligibility_List!AO63=DataPaths_Code,1,0)+AN313</f>
        <v>0</v>
      </c>
      <c r="AP313" s="147">
        <f>IF(M2S_Eligibility_List!AP63=DataPaths_Code,1,0)+AO313</f>
        <v>0</v>
      </c>
      <c r="AQ313" s="147">
        <f>IF(M2S_Eligibility_List!AQ63=DataPaths_Code,1,0)+AP313</f>
        <v>0</v>
      </c>
      <c r="AR313" s="147">
        <f>IF(M2S_Eligibility_List!AR63=DataPaths_Code,1,0)+AQ313</f>
        <v>0</v>
      </c>
      <c r="AS313" s="147">
        <f>IF(M2S_Eligibility_List!AS63=DataPaths_Code,1,0)+AR313</f>
        <v>0</v>
      </c>
      <c r="AT313" s="147">
        <f>IF(M2S_Eligibility_List!AT63=DataPaths_Code,1,0)+AS313</f>
        <v>0</v>
      </c>
      <c r="AU313" s="147">
        <f>IF(M2S_Eligibility_List!AU63=DataPaths_Code,1,0)+AT313</f>
        <v>0</v>
      </c>
      <c r="AV313" s="147">
        <f>IF(M2S_Eligibility_List!AV63=DataPaths_Code,1,0)+AU313</f>
        <v>0</v>
      </c>
      <c r="AW313" s="147">
        <f>IF(M2S_Eligibility_List!AW63=DataPaths_Code,1,0)+AV313</f>
        <v>0</v>
      </c>
      <c r="AX313" s="147">
        <f>IF(M2S_Eligibility_List!AX63=DataPaths_Code,1,0)+AW313</f>
        <v>0</v>
      </c>
      <c r="AY313" s="147">
        <f>IF(M2S_Eligibility_List!AY63=DataPaths_Code,1,0)+AX313</f>
        <v>0</v>
      </c>
      <c r="AZ313" s="147">
        <f>IF(M2S_Eligibility_List!AZ63=DataPaths_Code,1,0)+AY313</f>
        <v>0</v>
      </c>
      <c r="BA313" s="147">
        <f>IF(M2S_Eligibility_List!BA63=DataPaths_Code,1,0)+AZ313</f>
        <v>0</v>
      </c>
      <c r="BB313" s="147">
        <f>IF(M2S_Eligibility_List!BB63=DataPaths_Code,1,0)+BA313</f>
        <v>0</v>
      </c>
      <c r="BC313" s="147">
        <f>IF(M2S_Eligibility_List!BC63=DataPaths_Code,1,0)+BB313</f>
        <v>0</v>
      </c>
      <c r="BD313" s="147">
        <f>IF(M2S_Eligibility_List!BD63=DataPaths_Code,1,0)+BC313</f>
        <v>0</v>
      </c>
      <c r="BE313" s="147">
        <f>IF(M2S_Eligibility_List!BE63=DataPaths_Code,1,0)+BD313</f>
        <v>0</v>
      </c>
      <c r="BF313" s="147">
        <f>IF(M2S_Eligibility_List!BF63=DataPaths_Code,1,0)+BE313</f>
        <v>0</v>
      </c>
      <c r="BG313" s="147">
        <f>IF(M2S_Eligibility_List!BG63=DataPaths_Code,1,0)+BF313</f>
        <v>0</v>
      </c>
      <c r="BH313" s="147">
        <f>IF(M2S_Eligibility_List!BH63=DataPaths_Code,1,0)+BG313</f>
        <v>0</v>
      </c>
      <c r="BI313" s="147">
        <f>IF(M2S_Eligibility_List!BI63=DataPaths_Code,1,0)+BH313</f>
        <v>0</v>
      </c>
      <c r="BJ313" s="147">
        <f>IF(M2S_Eligibility_List!BJ63=DataPaths_Code,1,0)+BI313</f>
        <v>0</v>
      </c>
      <c r="BK313" s="147">
        <f>IF(M2S_Eligibility_List!BK63=DataPaths_Code,1,0)+BJ313</f>
        <v>0</v>
      </c>
      <c r="BL313" s="147">
        <f>IF(M2S_Eligibility_List!BL63=DataPaths_Code,1,0)+BK313</f>
        <v>0</v>
      </c>
      <c r="BM313" s="147">
        <f>IF(M2S_Eligibility_List!BM63=DataPaths_Code,1,0)+BL313</f>
        <v>0</v>
      </c>
      <c r="BN313" s="147">
        <f>IF(M2S_Eligibility_List!BN63=DataPaths_Code,1,0)+BM313</f>
        <v>0</v>
      </c>
      <c r="BO313" s="147">
        <f>IF(M2S_Eligibility_List!BO63=DataPaths_Code,1,0)+BN313</f>
        <v>0</v>
      </c>
      <c r="BP313" s="147">
        <f>IF(M2S_Eligibility_List!BP63=DataPaths_Code,1,0)+BO313</f>
        <v>0</v>
      </c>
      <c r="BQ313" s="147">
        <f>IF(M2S_Eligibility_List!BQ63=DataPaths_Code,1,0)+BP313</f>
        <v>0</v>
      </c>
      <c r="BR313" s="147">
        <f>IF(M2S_Eligibility_List!BR63=DataPaths_Code,1,0)+BQ313</f>
        <v>0</v>
      </c>
      <c r="BS313" s="147">
        <f>IF(M2S_Eligibility_List!BS63=DataPaths_Code,1,0)+BR313</f>
        <v>0</v>
      </c>
      <c r="BT313" s="147">
        <f>IF(M2S_Eligibility_List!BT63=DataPaths_Code,1,0)+BS313</f>
        <v>0</v>
      </c>
      <c r="BU313" s="147">
        <f>IF(M2S_Eligibility_List!BU63=DataPaths_Code,1,0)+BT313</f>
        <v>0</v>
      </c>
      <c r="BV313" s="147">
        <f>IF(M2S_Eligibility_List!BV63=DataPaths_Code,1,0)+BU313</f>
        <v>1</v>
      </c>
      <c r="BW313" s="147">
        <f>IF(M2S_Eligibility_List!BW63=DataPaths_Code,1,0)+BV313</f>
        <v>1</v>
      </c>
    </row>
    <row r="314" spans="1:75" ht="20.100000000000001" customHeight="1">
      <c r="A314" s="145"/>
      <c r="B314" s="170" t="str">
        <f>IF(M2S_Eligibility_List!$B64&lt;&gt;"",RIGHT(M2S_Eligibility_List!$B64,LEN(M2S_Eligibility_List!$B64)-LEN(nmADwSP)),0)</f>
        <v>Helius Composite</v>
      </c>
      <c r="C314" s="147">
        <f>IF(M2S_Eligibility_List!C64=DataPaths_Code,1,0)</f>
        <v>0</v>
      </c>
      <c r="D314" s="147">
        <f>IF(M2S_Eligibility_List!D64=DataPaths_Code,1,0)+C314</f>
        <v>0</v>
      </c>
      <c r="E314" s="147">
        <f>IF(M2S_Eligibility_List!E64=DataPaths_Code,1,0)+D314</f>
        <v>0</v>
      </c>
      <c r="F314" s="147">
        <f>IF(M2S_Eligibility_List!F64=DataPaths_Code,1,0)+E314</f>
        <v>0</v>
      </c>
      <c r="G314" s="147">
        <f>IF(M2S_Eligibility_List!G64=DataPaths_Code,1,0)+F314</f>
        <v>0</v>
      </c>
      <c r="H314" s="147">
        <f>IF(M2S_Eligibility_List!H64=DataPaths_Code,1,0)+G314</f>
        <v>0</v>
      </c>
      <c r="I314" s="147">
        <f>IF(M2S_Eligibility_List!I64=DataPaths_Code,1,0)+H314</f>
        <v>0</v>
      </c>
      <c r="J314" s="147">
        <f>IF(M2S_Eligibility_List!J64=DataPaths_Code,1,0)+I314</f>
        <v>0</v>
      </c>
      <c r="K314" s="147">
        <f>IF(M2S_Eligibility_List!K64=DataPaths_Code,1,0)+J314</f>
        <v>0</v>
      </c>
      <c r="L314" s="147">
        <f>IF(M2S_Eligibility_List!L64=DataPaths_Code,1,0)+K314</f>
        <v>0</v>
      </c>
      <c r="M314" s="147">
        <f>IF(M2S_Eligibility_List!M64=DataPaths_Code,1,0)+L314</f>
        <v>0</v>
      </c>
      <c r="N314" s="147">
        <f>IF(M2S_Eligibility_List!N64=DataPaths_Code,1,0)+M314</f>
        <v>0</v>
      </c>
      <c r="O314" s="147">
        <f>IF(M2S_Eligibility_List!O64=DataPaths_Code,1,0)+N314</f>
        <v>0</v>
      </c>
      <c r="P314" s="147">
        <f>IF(M2S_Eligibility_List!P64=DataPaths_Code,1,0)+O314</f>
        <v>0</v>
      </c>
      <c r="Q314" s="147">
        <f>IF(M2S_Eligibility_List!Q64=DataPaths_Code,1,0)+P314</f>
        <v>0</v>
      </c>
      <c r="R314" s="147">
        <f>IF(M2S_Eligibility_List!R64=DataPaths_Code,1,0)+Q314</f>
        <v>0</v>
      </c>
      <c r="S314" s="147">
        <f>IF(M2S_Eligibility_List!S64=DataPaths_Code,1,0)+R314</f>
        <v>0</v>
      </c>
      <c r="T314" s="147">
        <f>IF(M2S_Eligibility_List!T64=DataPaths_Code,1,0)+S314</f>
        <v>0</v>
      </c>
      <c r="U314" s="147">
        <f>IF(M2S_Eligibility_List!U64=DataPaths_Code,1,0)+T314</f>
        <v>0</v>
      </c>
      <c r="V314" s="147">
        <f>IF(M2S_Eligibility_List!V64=DataPaths_Code,1,0)+U314</f>
        <v>0</v>
      </c>
      <c r="W314" s="147">
        <f>IF(M2S_Eligibility_List!W64=DataPaths_Code,1,0)+V314</f>
        <v>0</v>
      </c>
      <c r="X314" s="147">
        <f>IF(M2S_Eligibility_List!X64=DataPaths_Code,1,0)+W314</f>
        <v>1</v>
      </c>
      <c r="Y314" s="147">
        <f>IF(M2S_Eligibility_List!Y64=DataPaths_Code,1,0)+X314</f>
        <v>1</v>
      </c>
      <c r="Z314" s="147">
        <f>IF(M2S_Eligibility_List!Z64=DataPaths_Code,1,0)+Y314</f>
        <v>1</v>
      </c>
      <c r="AA314" s="147">
        <f>IF(M2S_Eligibility_List!AA64=DataPaths_Code,1,0)+Z314</f>
        <v>1</v>
      </c>
      <c r="AB314" s="147">
        <f>IF(M2S_Eligibility_List!AB64=DataPaths_Code,1,0)+AA314</f>
        <v>1</v>
      </c>
      <c r="AC314" s="147">
        <f>IF(M2S_Eligibility_List!AC64=DataPaths_Code,1,0)+AB314</f>
        <v>1</v>
      </c>
      <c r="AD314" s="147">
        <f>IF(M2S_Eligibility_List!AD64=DataPaths_Code,1,0)+AC314</f>
        <v>1</v>
      </c>
      <c r="AE314" s="147">
        <f>IF(M2S_Eligibility_List!AE64=DataPaths_Code,1,0)+AD314</f>
        <v>1</v>
      </c>
      <c r="AF314" s="147">
        <f>IF(M2S_Eligibility_List!AF64=DataPaths_Code,1,0)+AE314</f>
        <v>1</v>
      </c>
      <c r="AG314" s="147">
        <f>IF(M2S_Eligibility_List!AG64=DataPaths_Code,1,0)+AF314</f>
        <v>1</v>
      </c>
      <c r="AH314" s="147">
        <f>IF(M2S_Eligibility_List!AH64=DataPaths_Code,1,0)+AG314</f>
        <v>1</v>
      </c>
      <c r="AI314" s="147">
        <f>IF(M2S_Eligibility_List!AI64=DataPaths_Code,1,0)+AH314</f>
        <v>1</v>
      </c>
      <c r="AJ314" s="147">
        <f>IF(M2S_Eligibility_List!AJ64=DataPaths_Code,1,0)+AI314</f>
        <v>1</v>
      </c>
      <c r="AK314" s="147">
        <f>IF(M2S_Eligibility_List!AK64=DataPaths_Code,1,0)+AJ314</f>
        <v>1</v>
      </c>
      <c r="AL314" s="147">
        <f>IF(M2S_Eligibility_List!AL64=DataPaths_Code,1,0)+AK314</f>
        <v>1</v>
      </c>
      <c r="AM314" s="147">
        <f>IF(M2S_Eligibility_List!AM64=DataPaths_Code,1,0)+AL314</f>
        <v>1</v>
      </c>
      <c r="AN314" s="147">
        <f>IF(M2S_Eligibility_List!AN64=DataPaths_Code,1,0)+AM314</f>
        <v>1</v>
      </c>
      <c r="AO314" s="147">
        <f>IF(M2S_Eligibility_List!AO64=DataPaths_Code,1,0)+AN314</f>
        <v>1</v>
      </c>
      <c r="AP314" s="147">
        <f>IF(M2S_Eligibility_List!AP64=DataPaths_Code,1,0)+AO314</f>
        <v>1</v>
      </c>
      <c r="AQ314" s="147">
        <f>IF(M2S_Eligibility_List!AQ64=DataPaths_Code,1,0)+AP314</f>
        <v>1</v>
      </c>
      <c r="AR314" s="147">
        <f>IF(M2S_Eligibility_List!AR64=DataPaths_Code,1,0)+AQ314</f>
        <v>1</v>
      </c>
      <c r="AS314" s="147">
        <f>IF(M2S_Eligibility_List!AS64=DataPaths_Code,1,0)+AR314</f>
        <v>1</v>
      </c>
      <c r="AT314" s="147">
        <f>IF(M2S_Eligibility_List!AT64=DataPaths_Code,1,0)+AS314</f>
        <v>1</v>
      </c>
      <c r="AU314" s="147">
        <f>IF(M2S_Eligibility_List!AU64=DataPaths_Code,1,0)+AT314</f>
        <v>1</v>
      </c>
      <c r="AV314" s="147">
        <f>IF(M2S_Eligibility_List!AV64=DataPaths_Code,1,0)+AU314</f>
        <v>1</v>
      </c>
      <c r="AW314" s="147">
        <f>IF(M2S_Eligibility_List!AW64=DataPaths_Code,1,0)+AV314</f>
        <v>1</v>
      </c>
      <c r="AX314" s="147">
        <f>IF(M2S_Eligibility_List!AX64=DataPaths_Code,1,0)+AW314</f>
        <v>1</v>
      </c>
      <c r="AY314" s="147">
        <f>IF(M2S_Eligibility_List!AY64=DataPaths_Code,1,0)+AX314</f>
        <v>1</v>
      </c>
      <c r="AZ314" s="147">
        <f>IF(M2S_Eligibility_List!AZ64=DataPaths_Code,1,0)+AY314</f>
        <v>1</v>
      </c>
      <c r="BA314" s="147">
        <f>IF(M2S_Eligibility_List!BA64=DataPaths_Code,1,0)+AZ314</f>
        <v>1</v>
      </c>
      <c r="BB314" s="147">
        <f>IF(M2S_Eligibility_List!BB64=DataPaths_Code,1,0)+BA314</f>
        <v>1</v>
      </c>
      <c r="BC314" s="147">
        <f>IF(M2S_Eligibility_List!BC64=DataPaths_Code,1,0)+BB314</f>
        <v>1</v>
      </c>
      <c r="BD314" s="147">
        <f>IF(M2S_Eligibility_List!BD64=DataPaths_Code,1,0)+BC314</f>
        <v>1</v>
      </c>
      <c r="BE314" s="147">
        <f>IF(M2S_Eligibility_List!BE64=DataPaths_Code,1,0)+BD314</f>
        <v>1</v>
      </c>
      <c r="BF314" s="147">
        <f>IF(M2S_Eligibility_List!BF64=DataPaths_Code,1,0)+BE314</f>
        <v>1</v>
      </c>
      <c r="BG314" s="147">
        <f>IF(M2S_Eligibility_List!BG64=DataPaths_Code,1,0)+BF314</f>
        <v>1</v>
      </c>
      <c r="BH314" s="147">
        <f>IF(M2S_Eligibility_List!BH64=DataPaths_Code,1,0)+BG314</f>
        <v>1</v>
      </c>
      <c r="BI314" s="147">
        <f>IF(M2S_Eligibility_List!BI64=DataPaths_Code,1,0)+BH314</f>
        <v>1</v>
      </c>
      <c r="BJ314" s="147">
        <f>IF(M2S_Eligibility_List!BJ64=DataPaths_Code,1,0)+BI314</f>
        <v>1</v>
      </c>
      <c r="BK314" s="147">
        <f>IF(M2S_Eligibility_List!BK64=DataPaths_Code,1,0)+BJ314</f>
        <v>1</v>
      </c>
      <c r="BL314" s="147">
        <f>IF(M2S_Eligibility_List!BL64=DataPaths_Code,1,0)+BK314</f>
        <v>1</v>
      </c>
      <c r="BM314" s="147">
        <f>IF(M2S_Eligibility_List!BM64=DataPaths_Code,1,0)+BL314</f>
        <v>1</v>
      </c>
      <c r="BN314" s="147">
        <f>IF(M2S_Eligibility_List!BN64=DataPaths_Code,1,0)+BM314</f>
        <v>1</v>
      </c>
      <c r="BO314" s="147">
        <f>IF(M2S_Eligibility_List!BO64=DataPaths_Code,1,0)+BN314</f>
        <v>1</v>
      </c>
      <c r="BP314" s="147">
        <f>IF(M2S_Eligibility_List!BP64=DataPaths_Code,1,0)+BO314</f>
        <v>1</v>
      </c>
      <c r="BQ314" s="147">
        <f>IF(M2S_Eligibility_List!BQ64=DataPaths_Code,1,0)+BP314</f>
        <v>1</v>
      </c>
      <c r="BR314" s="147">
        <f>IF(M2S_Eligibility_List!BR64=DataPaths_Code,1,0)+BQ314</f>
        <v>1</v>
      </c>
      <c r="BS314" s="147">
        <f>IF(M2S_Eligibility_List!BS64=DataPaths_Code,1,0)+BR314</f>
        <v>1</v>
      </c>
      <c r="BT314" s="147">
        <f>IF(M2S_Eligibility_List!BT64=DataPaths_Code,1,0)+BS314</f>
        <v>1</v>
      </c>
      <c r="BU314" s="147">
        <f>IF(M2S_Eligibility_List!BU64=DataPaths_Code,1,0)+BT314</f>
        <v>1</v>
      </c>
      <c r="BV314" s="147">
        <f>IF(M2S_Eligibility_List!BV64=DataPaths_Code,1,0)+BU314</f>
        <v>1</v>
      </c>
      <c r="BW314" s="147">
        <f>IF(M2S_Eligibility_List!BW64=DataPaths_Code,1,0)+BV314</f>
        <v>1</v>
      </c>
    </row>
    <row r="315" spans="1:75" ht="20.100000000000001" customHeight="1">
      <c r="A315" s="145"/>
      <c r="B315" s="170" t="str">
        <f>IF(M2S_Eligibility_List!$B65&lt;&gt;"",RIGHT(M2S_Eligibility_List!$B65,LEN(M2S_Eligibility_List!$B65)-LEN(nmADwSP)),0)</f>
        <v>HSM - Premium</v>
      </c>
      <c r="C315" s="147">
        <f>IF(M2S_Eligibility_List!C65=DataPaths_Code,1,0)</f>
        <v>0</v>
      </c>
      <c r="D315" s="147">
        <f>IF(M2S_Eligibility_List!D65=DataPaths_Code,1,0)+C315</f>
        <v>1</v>
      </c>
      <c r="E315" s="147">
        <f>IF(M2S_Eligibility_List!E65=DataPaths_Code,1,0)+D315</f>
        <v>1</v>
      </c>
      <c r="F315" s="147">
        <f>IF(M2S_Eligibility_List!F65=DataPaths_Code,1,0)+E315</f>
        <v>1</v>
      </c>
      <c r="G315" s="147">
        <f>IF(M2S_Eligibility_List!G65=DataPaths_Code,1,0)+F315</f>
        <v>1</v>
      </c>
      <c r="H315" s="147">
        <f>IF(M2S_Eligibility_List!H65=DataPaths_Code,1,0)+G315</f>
        <v>1</v>
      </c>
      <c r="I315" s="147">
        <f>IF(M2S_Eligibility_List!I65=DataPaths_Code,1,0)+H315</f>
        <v>1</v>
      </c>
      <c r="J315" s="147">
        <f>IF(M2S_Eligibility_List!J65=DataPaths_Code,1,0)+I315</f>
        <v>1</v>
      </c>
      <c r="K315" s="147">
        <f>IF(M2S_Eligibility_List!K65=DataPaths_Code,1,0)+J315</f>
        <v>1</v>
      </c>
      <c r="L315" s="147">
        <f>IF(M2S_Eligibility_List!L65=DataPaths_Code,1,0)+K315</f>
        <v>1</v>
      </c>
      <c r="M315" s="147">
        <f>IF(M2S_Eligibility_List!M65=DataPaths_Code,1,0)+L315</f>
        <v>1</v>
      </c>
      <c r="N315" s="147">
        <f>IF(M2S_Eligibility_List!N65=DataPaths_Code,1,0)+M315</f>
        <v>1</v>
      </c>
      <c r="O315" s="147">
        <f>IF(M2S_Eligibility_List!O65=DataPaths_Code,1,0)+N315</f>
        <v>1</v>
      </c>
      <c r="P315" s="147">
        <f>IF(M2S_Eligibility_List!P65=DataPaths_Code,1,0)+O315</f>
        <v>1</v>
      </c>
      <c r="Q315" s="147">
        <f>IF(M2S_Eligibility_List!Q65=DataPaths_Code,1,0)+P315</f>
        <v>1</v>
      </c>
      <c r="R315" s="147">
        <f>IF(M2S_Eligibility_List!R65=DataPaths_Code,1,0)+Q315</f>
        <v>1</v>
      </c>
      <c r="S315" s="147">
        <f>IF(M2S_Eligibility_List!S65=DataPaths_Code,1,0)+R315</f>
        <v>1</v>
      </c>
      <c r="T315" s="147">
        <f>IF(M2S_Eligibility_List!T65=DataPaths_Code,1,0)+S315</f>
        <v>1</v>
      </c>
      <c r="U315" s="147">
        <f>IF(M2S_Eligibility_List!U65=DataPaths_Code,1,0)+T315</f>
        <v>1</v>
      </c>
      <c r="V315" s="147">
        <f>IF(M2S_Eligibility_List!V65=DataPaths_Code,1,0)+U315</f>
        <v>1</v>
      </c>
      <c r="W315" s="147">
        <f>IF(M2S_Eligibility_List!W65=DataPaths_Code,1,0)+V315</f>
        <v>1</v>
      </c>
      <c r="X315" s="147">
        <f>IF(M2S_Eligibility_List!X65=DataPaths_Code,1,0)+W315</f>
        <v>1</v>
      </c>
      <c r="Y315" s="147">
        <f>IF(M2S_Eligibility_List!Y65=DataPaths_Code,1,0)+X315</f>
        <v>1</v>
      </c>
      <c r="Z315" s="147">
        <f>IF(M2S_Eligibility_List!Z65=DataPaths_Code,1,0)+Y315</f>
        <v>1</v>
      </c>
      <c r="AA315" s="147">
        <f>IF(M2S_Eligibility_List!AA65=DataPaths_Code,1,0)+Z315</f>
        <v>1</v>
      </c>
      <c r="AB315" s="147">
        <f>IF(M2S_Eligibility_List!AB65=DataPaths_Code,1,0)+AA315</f>
        <v>1</v>
      </c>
      <c r="AC315" s="147">
        <f>IF(M2S_Eligibility_List!AC65=DataPaths_Code,1,0)+AB315</f>
        <v>1</v>
      </c>
      <c r="AD315" s="147">
        <f>IF(M2S_Eligibility_List!AD65=DataPaths_Code,1,0)+AC315</f>
        <v>1</v>
      </c>
      <c r="AE315" s="147">
        <f>IF(M2S_Eligibility_List!AE65=DataPaths_Code,1,0)+AD315</f>
        <v>1</v>
      </c>
      <c r="AF315" s="147">
        <f>IF(M2S_Eligibility_List!AF65=DataPaths_Code,1,0)+AE315</f>
        <v>1</v>
      </c>
      <c r="AG315" s="147">
        <f>IF(M2S_Eligibility_List!AG65=DataPaths_Code,1,0)+AF315</f>
        <v>1</v>
      </c>
      <c r="AH315" s="147">
        <f>IF(M2S_Eligibility_List!AH65=DataPaths_Code,1,0)+AG315</f>
        <v>1</v>
      </c>
      <c r="AI315" s="147">
        <f>IF(M2S_Eligibility_List!AI65=DataPaths_Code,1,0)+AH315</f>
        <v>1</v>
      </c>
      <c r="AJ315" s="147">
        <f>IF(M2S_Eligibility_List!AJ65=DataPaths_Code,1,0)+AI315</f>
        <v>1</v>
      </c>
      <c r="AK315" s="147">
        <f>IF(M2S_Eligibility_List!AK65=DataPaths_Code,1,0)+AJ315</f>
        <v>1</v>
      </c>
      <c r="AL315" s="147">
        <f>IF(M2S_Eligibility_List!AL65=DataPaths_Code,1,0)+AK315</f>
        <v>1</v>
      </c>
      <c r="AM315" s="147">
        <f>IF(M2S_Eligibility_List!AM65=DataPaths_Code,1,0)+AL315</f>
        <v>1</v>
      </c>
      <c r="AN315" s="147">
        <f>IF(M2S_Eligibility_List!AN65=DataPaths_Code,1,0)+AM315</f>
        <v>1</v>
      </c>
      <c r="AO315" s="147">
        <f>IF(M2S_Eligibility_List!AO65=DataPaths_Code,1,0)+AN315</f>
        <v>1</v>
      </c>
      <c r="AP315" s="147">
        <f>IF(M2S_Eligibility_List!AP65=DataPaths_Code,1,0)+AO315</f>
        <v>1</v>
      </c>
      <c r="AQ315" s="147">
        <f>IF(M2S_Eligibility_List!AQ65=DataPaths_Code,1,0)+AP315</f>
        <v>1</v>
      </c>
      <c r="AR315" s="147">
        <f>IF(M2S_Eligibility_List!AR65=DataPaths_Code,1,0)+AQ315</f>
        <v>1</v>
      </c>
      <c r="AS315" s="147">
        <f>IF(M2S_Eligibility_List!AS65=DataPaths_Code,1,0)+AR315</f>
        <v>1</v>
      </c>
      <c r="AT315" s="147">
        <f>IF(M2S_Eligibility_List!AT65=DataPaths_Code,1,0)+AS315</f>
        <v>1</v>
      </c>
      <c r="AU315" s="147">
        <f>IF(M2S_Eligibility_List!AU65=DataPaths_Code,1,0)+AT315</f>
        <v>1</v>
      </c>
      <c r="AV315" s="147">
        <f>IF(M2S_Eligibility_List!AV65=DataPaths_Code,1,0)+AU315</f>
        <v>1</v>
      </c>
      <c r="AW315" s="147">
        <f>IF(M2S_Eligibility_List!AW65=DataPaths_Code,1,0)+AV315</f>
        <v>1</v>
      </c>
      <c r="AX315" s="147">
        <f>IF(M2S_Eligibility_List!AX65=DataPaths_Code,1,0)+AW315</f>
        <v>1</v>
      </c>
      <c r="AY315" s="147">
        <f>IF(M2S_Eligibility_List!AY65=DataPaths_Code,1,0)+AX315</f>
        <v>1</v>
      </c>
      <c r="AZ315" s="147">
        <f>IF(M2S_Eligibility_List!AZ65=DataPaths_Code,1,0)+AY315</f>
        <v>1</v>
      </c>
      <c r="BA315" s="147">
        <f>IF(M2S_Eligibility_List!BA65=DataPaths_Code,1,0)+AZ315</f>
        <v>1</v>
      </c>
      <c r="BB315" s="147">
        <f>IF(M2S_Eligibility_List!BB65=DataPaths_Code,1,0)+BA315</f>
        <v>1</v>
      </c>
      <c r="BC315" s="147">
        <f>IF(M2S_Eligibility_List!BC65=DataPaths_Code,1,0)+BB315</f>
        <v>1</v>
      </c>
      <c r="BD315" s="147">
        <f>IF(M2S_Eligibility_List!BD65=DataPaths_Code,1,0)+BC315</f>
        <v>1</v>
      </c>
      <c r="BE315" s="147">
        <f>IF(M2S_Eligibility_List!BE65=DataPaths_Code,1,0)+BD315</f>
        <v>1</v>
      </c>
      <c r="BF315" s="147">
        <f>IF(M2S_Eligibility_List!BF65=DataPaths_Code,1,0)+BE315</f>
        <v>1</v>
      </c>
      <c r="BG315" s="147">
        <f>IF(M2S_Eligibility_List!BG65=DataPaths_Code,1,0)+BF315</f>
        <v>1</v>
      </c>
      <c r="BH315" s="147">
        <f>IF(M2S_Eligibility_List!BH65=DataPaths_Code,1,0)+BG315</f>
        <v>1</v>
      </c>
      <c r="BI315" s="147">
        <f>IF(M2S_Eligibility_List!BI65=DataPaths_Code,1,0)+BH315</f>
        <v>1</v>
      </c>
      <c r="BJ315" s="147">
        <f>IF(M2S_Eligibility_List!BJ65=DataPaths_Code,1,0)+BI315</f>
        <v>1</v>
      </c>
      <c r="BK315" s="147">
        <f>IF(M2S_Eligibility_List!BK65=DataPaths_Code,1,0)+BJ315</f>
        <v>1</v>
      </c>
      <c r="BL315" s="147">
        <f>IF(M2S_Eligibility_List!BL65=DataPaths_Code,1,0)+BK315</f>
        <v>1</v>
      </c>
      <c r="BM315" s="147">
        <f>IF(M2S_Eligibility_List!BM65=DataPaths_Code,1,0)+BL315</f>
        <v>1</v>
      </c>
      <c r="BN315" s="147">
        <f>IF(M2S_Eligibility_List!BN65=DataPaths_Code,1,0)+BM315</f>
        <v>1</v>
      </c>
      <c r="BO315" s="147">
        <f>IF(M2S_Eligibility_List!BO65=DataPaths_Code,1,0)+BN315</f>
        <v>1</v>
      </c>
      <c r="BP315" s="147">
        <f>IF(M2S_Eligibility_List!BP65=DataPaths_Code,1,0)+BO315</f>
        <v>1</v>
      </c>
      <c r="BQ315" s="147">
        <f>IF(M2S_Eligibility_List!BQ65=DataPaths_Code,1,0)+BP315</f>
        <v>1</v>
      </c>
      <c r="BR315" s="147">
        <f>IF(M2S_Eligibility_List!BR65=DataPaths_Code,1,0)+BQ315</f>
        <v>1</v>
      </c>
      <c r="BS315" s="147">
        <f>IF(M2S_Eligibility_List!BS65=DataPaths_Code,1,0)+BR315</f>
        <v>1</v>
      </c>
      <c r="BT315" s="147">
        <f>IF(M2S_Eligibility_List!BT65=DataPaths_Code,1,0)+BS315</f>
        <v>1</v>
      </c>
      <c r="BU315" s="147">
        <f>IF(M2S_Eligibility_List!BU65=DataPaths_Code,1,0)+BT315</f>
        <v>1</v>
      </c>
      <c r="BV315" s="147">
        <f>IF(M2S_Eligibility_List!BV65=DataPaths_Code,1,0)+BU315</f>
        <v>1</v>
      </c>
      <c r="BW315" s="147">
        <f>IF(M2S_Eligibility_List!BW65=DataPaths_Code,1,0)+BV315</f>
        <v>1</v>
      </c>
    </row>
    <row r="316" spans="1:75" ht="20.100000000000001" customHeight="1">
      <c r="A316" s="145"/>
      <c r="B316" s="170" t="str">
        <f>IF(M2S_Eligibility_List!$B66&lt;&gt;"",RIGHT(M2S_Eligibility_List!$B66,LEN(M2S_Eligibility_List!$B66)-LEN(nmADwSP)),0)</f>
        <v>HSM - Ultimate</v>
      </c>
      <c r="C316" s="147">
        <f>IF(M2S_Eligibility_List!C66=DataPaths_Code,1,0)</f>
        <v>0</v>
      </c>
      <c r="D316" s="147">
        <f>IF(M2S_Eligibility_List!D66=DataPaths_Code,1,0)+C316</f>
        <v>1</v>
      </c>
      <c r="E316" s="147">
        <f>IF(M2S_Eligibility_List!E66=DataPaths_Code,1,0)+D316</f>
        <v>1</v>
      </c>
      <c r="F316" s="147">
        <f>IF(M2S_Eligibility_List!F66=DataPaths_Code,1,0)+E316</f>
        <v>1</v>
      </c>
      <c r="G316" s="147">
        <f>IF(M2S_Eligibility_List!G66=DataPaths_Code,1,0)+F316</f>
        <v>1</v>
      </c>
      <c r="H316" s="147">
        <f>IF(M2S_Eligibility_List!H66=DataPaths_Code,1,0)+G316</f>
        <v>1</v>
      </c>
      <c r="I316" s="147">
        <f>IF(M2S_Eligibility_List!I66=DataPaths_Code,1,0)+H316</f>
        <v>1</v>
      </c>
      <c r="J316" s="147">
        <f>IF(M2S_Eligibility_List!J66=DataPaths_Code,1,0)+I316</f>
        <v>1</v>
      </c>
      <c r="K316" s="147">
        <f>IF(M2S_Eligibility_List!K66=DataPaths_Code,1,0)+J316</f>
        <v>1</v>
      </c>
      <c r="L316" s="147">
        <f>IF(M2S_Eligibility_List!L66=DataPaths_Code,1,0)+K316</f>
        <v>1</v>
      </c>
      <c r="M316" s="147">
        <f>IF(M2S_Eligibility_List!M66=DataPaths_Code,1,0)+L316</f>
        <v>1</v>
      </c>
      <c r="N316" s="147">
        <f>IF(M2S_Eligibility_List!N66=DataPaths_Code,1,0)+M316</f>
        <v>1</v>
      </c>
      <c r="O316" s="147">
        <f>IF(M2S_Eligibility_List!O66=DataPaths_Code,1,0)+N316</f>
        <v>1</v>
      </c>
      <c r="P316" s="147">
        <f>IF(M2S_Eligibility_List!P66=DataPaths_Code,1,0)+O316</f>
        <v>1</v>
      </c>
      <c r="Q316" s="147">
        <f>IF(M2S_Eligibility_List!Q66=DataPaths_Code,1,0)+P316</f>
        <v>1</v>
      </c>
      <c r="R316" s="147">
        <f>IF(M2S_Eligibility_List!R66=DataPaths_Code,1,0)+Q316</f>
        <v>1</v>
      </c>
      <c r="S316" s="147">
        <f>IF(M2S_Eligibility_List!S66=DataPaths_Code,1,0)+R316</f>
        <v>1</v>
      </c>
      <c r="T316" s="147">
        <f>IF(M2S_Eligibility_List!T66=DataPaths_Code,1,0)+S316</f>
        <v>1</v>
      </c>
      <c r="U316" s="147">
        <f>IF(M2S_Eligibility_List!U66=DataPaths_Code,1,0)+T316</f>
        <v>1</v>
      </c>
      <c r="V316" s="147">
        <f>IF(M2S_Eligibility_List!V66=DataPaths_Code,1,0)+U316</f>
        <v>1</v>
      </c>
      <c r="W316" s="147">
        <f>IF(M2S_Eligibility_List!W66=DataPaths_Code,1,0)+V316</f>
        <v>1</v>
      </c>
      <c r="X316" s="147">
        <f>IF(M2S_Eligibility_List!X66=DataPaths_Code,1,0)+W316</f>
        <v>1</v>
      </c>
      <c r="Y316" s="147">
        <f>IF(M2S_Eligibility_List!Y66=DataPaths_Code,1,0)+X316</f>
        <v>1</v>
      </c>
      <c r="Z316" s="147">
        <f>IF(M2S_Eligibility_List!Z66=DataPaths_Code,1,0)+Y316</f>
        <v>1</v>
      </c>
      <c r="AA316" s="147">
        <f>IF(M2S_Eligibility_List!AA66=DataPaths_Code,1,0)+Z316</f>
        <v>1</v>
      </c>
      <c r="AB316" s="147">
        <f>IF(M2S_Eligibility_List!AB66=DataPaths_Code,1,0)+AA316</f>
        <v>1</v>
      </c>
      <c r="AC316" s="147">
        <f>IF(M2S_Eligibility_List!AC66=DataPaths_Code,1,0)+AB316</f>
        <v>1</v>
      </c>
      <c r="AD316" s="147">
        <f>IF(M2S_Eligibility_List!AD66=DataPaths_Code,1,0)+AC316</f>
        <v>1</v>
      </c>
      <c r="AE316" s="147">
        <f>IF(M2S_Eligibility_List!AE66=DataPaths_Code,1,0)+AD316</f>
        <v>1</v>
      </c>
      <c r="AF316" s="147">
        <f>IF(M2S_Eligibility_List!AF66=DataPaths_Code,1,0)+AE316</f>
        <v>1</v>
      </c>
      <c r="AG316" s="147">
        <f>IF(M2S_Eligibility_List!AG66=DataPaths_Code,1,0)+AF316</f>
        <v>1</v>
      </c>
      <c r="AH316" s="147">
        <f>IF(M2S_Eligibility_List!AH66=DataPaths_Code,1,0)+AG316</f>
        <v>1</v>
      </c>
      <c r="AI316" s="147">
        <f>IF(M2S_Eligibility_List!AI66=DataPaths_Code,1,0)+AH316</f>
        <v>1</v>
      </c>
      <c r="AJ316" s="147">
        <f>IF(M2S_Eligibility_List!AJ66=DataPaths_Code,1,0)+AI316</f>
        <v>1</v>
      </c>
      <c r="AK316" s="147">
        <f>IF(M2S_Eligibility_List!AK66=DataPaths_Code,1,0)+AJ316</f>
        <v>1</v>
      </c>
      <c r="AL316" s="147">
        <f>IF(M2S_Eligibility_List!AL66=DataPaths_Code,1,0)+AK316</f>
        <v>1</v>
      </c>
      <c r="AM316" s="147">
        <f>IF(M2S_Eligibility_List!AM66=DataPaths_Code,1,0)+AL316</f>
        <v>1</v>
      </c>
      <c r="AN316" s="147">
        <f>IF(M2S_Eligibility_List!AN66=DataPaths_Code,1,0)+AM316</f>
        <v>1</v>
      </c>
      <c r="AO316" s="147">
        <f>IF(M2S_Eligibility_List!AO66=DataPaths_Code,1,0)+AN316</f>
        <v>1</v>
      </c>
      <c r="AP316" s="147">
        <f>IF(M2S_Eligibility_List!AP66=DataPaths_Code,1,0)+AO316</f>
        <v>1</v>
      </c>
      <c r="AQ316" s="147">
        <f>IF(M2S_Eligibility_List!AQ66=DataPaths_Code,1,0)+AP316</f>
        <v>1</v>
      </c>
      <c r="AR316" s="147">
        <f>IF(M2S_Eligibility_List!AR66=DataPaths_Code,1,0)+AQ316</f>
        <v>1</v>
      </c>
      <c r="AS316" s="147">
        <f>IF(M2S_Eligibility_List!AS66=DataPaths_Code,1,0)+AR316</f>
        <v>1</v>
      </c>
      <c r="AT316" s="147">
        <f>IF(M2S_Eligibility_List!AT66=DataPaths_Code,1,0)+AS316</f>
        <v>1</v>
      </c>
      <c r="AU316" s="147">
        <f>IF(M2S_Eligibility_List!AU66=DataPaths_Code,1,0)+AT316</f>
        <v>1</v>
      </c>
      <c r="AV316" s="147">
        <f>IF(M2S_Eligibility_List!AV66=DataPaths_Code,1,0)+AU316</f>
        <v>1</v>
      </c>
      <c r="AW316" s="147">
        <f>IF(M2S_Eligibility_List!AW66=DataPaths_Code,1,0)+AV316</f>
        <v>1</v>
      </c>
      <c r="AX316" s="147">
        <f>IF(M2S_Eligibility_List!AX66=DataPaths_Code,1,0)+AW316</f>
        <v>1</v>
      </c>
      <c r="AY316" s="147">
        <f>IF(M2S_Eligibility_List!AY66=DataPaths_Code,1,0)+AX316</f>
        <v>1</v>
      </c>
      <c r="AZ316" s="147">
        <f>IF(M2S_Eligibility_List!AZ66=DataPaths_Code,1,0)+AY316</f>
        <v>1</v>
      </c>
      <c r="BA316" s="147">
        <f>IF(M2S_Eligibility_List!BA66=DataPaths_Code,1,0)+AZ316</f>
        <v>1</v>
      </c>
      <c r="BB316" s="147">
        <f>IF(M2S_Eligibility_List!BB66=DataPaths_Code,1,0)+BA316</f>
        <v>1</v>
      </c>
      <c r="BC316" s="147">
        <f>IF(M2S_Eligibility_List!BC66=DataPaths_Code,1,0)+BB316</f>
        <v>1</v>
      </c>
      <c r="BD316" s="147">
        <f>IF(M2S_Eligibility_List!BD66=DataPaths_Code,1,0)+BC316</f>
        <v>1</v>
      </c>
      <c r="BE316" s="147">
        <f>IF(M2S_Eligibility_List!BE66=DataPaths_Code,1,0)+BD316</f>
        <v>1</v>
      </c>
      <c r="BF316" s="147">
        <f>IF(M2S_Eligibility_List!BF66=DataPaths_Code,1,0)+BE316</f>
        <v>1</v>
      </c>
      <c r="BG316" s="147">
        <f>IF(M2S_Eligibility_List!BG66=DataPaths_Code,1,0)+BF316</f>
        <v>1</v>
      </c>
      <c r="BH316" s="147">
        <f>IF(M2S_Eligibility_List!BH66=DataPaths_Code,1,0)+BG316</f>
        <v>1</v>
      </c>
      <c r="BI316" s="147">
        <f>IF(M2S_Eligibility_List!BI66=DataPaths_Code,1,0)+BH316</f>
        <v>1</v>
      </c>
      <c r="BJ316" s="147">
        <f>IF(M2S_Eligibility_List!BJ66=DataPaths_Code,1,0)+BI316</f>
        <v>1</v>
      </c>
      <c r="BK316" s="147">
        <f>IF(M2S_Eligibility_List!BK66=DataPaths_Code,1,0)+BJ316</f>
        <v>1</v>
      </c>
      <c r="BL316" s="147">
        <f>IF(M2S_Eligibility_List!BL66=DataPaths_Code,1,0)+BK316</f>
        <v>1</v>
      </c>
      <c r="BM316" s="147">
        <f>IF(M2S_Eligibility_List!BM66=DataPaths_Code,1,0)+BL316</f>
        <v>1</v>
      </c>
      <c r="BN316" s="147">
        <f>IF(M2S_Eligibility_List!BN66=DataPaths_Code,1,0)+BM316</f>
        <v>1</v>
      </c>
      <c r="BO316" s="147">
        <f>IF(M2S_Eligibility_List!BO66=DataPaths_Code,1,0)+BN316</f>
        <v>1</v>
      </c>
      <c r="BP316" s="147">
        <f>IF(M2S_Eligibility_List!BP66=DataPaths_Code,1,0)+BO316</f>
        <v>1</v>
      </c>
      <c r="BQ316" s="147">
        <f>IF(M2S_Eligibility_List!BQ66=DataPaths_Code,1,0)+BP316</f>
        <v>1</v>
      </c>
      <c r="BR316" s="147">
        <f>IF(M2S_Eligibility_List!BR66=DataPaths_Code,1,0)+BQ316</f>
        <v>1</v>
      </c>
      <c r="BS316" s="147">
        <f>IF(M2S_Eligibility_List!BS66=DataPaths_Code,1,0)+BR316</f>
        <v>1</v>
      </c>
      <c r="BT316" s="147">
        <f>IF(M2S_Eligibility_List!BT66=DataPaths_Code,1,0)+BS316</f>
        <v>1</v>
      </c>
      <c r="BU316" s="147">
        <f>IF(M2S_Eligibility_List!BU66=DataPaths_Code,1,0)+BT316</f>
        <v>1</v>
      </c>
      <c r="BV316" s="147">
        <f>IF(M2S_Eligibility_List!BV66=DataPaths_Code,1,0)+BU316</f>
        <v>1</v>
      </c>
      <c r="BW316" s="147">
        <f>IF(M2S_Eligibility_List!BW66=DataPaths_Code,1,0)+BV316</f>
        <v>1</v>
      </c>
    </row>
    <row r="317" spans="1:75" ht="19.5" customHeight="1">
      <c r="A317" s="145"/>
      <c r="B317" s="170" t="str">
        <f>IF(M2S_Eligibility_List!$B67&lt;&gt;"",RIGHT(M2S_Eligibility_List!$B67,LEN(M2S_Eligibility_List!$B67)-LEN(nmADwSP)),0)</f>
        <v>Infrastructure Design Suite Premium</v>
      </c>
      <c r="C317" s="147">
        <f>IF(M2S_Eligibility_List!C67=DataPaths_Code,1,0)</f>
        <v>1</v>
      </c>
      <c r="D317" s="147">
        <f>IF(M2S_Eligibility_List!D67=DataPaths_Code,1,0)+C317</f>
        <v>2</v>
      </c>
      <c r="E317" s="147">
        <f>IF(M2S_Eligibility_List!E67=DataPaths_Code,1,0)+D317</f>
        <v>2</v>
      </c>
      <c r="F317" s="147">
        <f>IF(M2S_Eligibility_List!F67=DataPaths_Code,1,0)+E317</f>
        <v>2</v>
      </c>
      <c r="G317" s="147">
        <f>IF(M2S_Eligibility_List!G67=DataPaths_Code,1,0)+F317</f>
        <v>2</v>
      </c>
      <c r="H317" s="147">
        <f>IF(M2S_Eligibility_List!H67=DataPaths_Code,1,0)+G317</f>
        <v>2</v>
      </c>
      <c r="I317" s="147">
        <f>IF(M2S_Eligibility_List!I67=DataPaths_Code,1,0)+H317</f>
        <v>2</v>
      </c>
      <c r="J317" s="147">
        <f>IF(M2S_Eligibility_List!J67=DataPaths_Code,1,0)+I317</f>
        <v>2</v>
      </c>
      <c r="K317" s="147">
        <f>IF(M2S_Eligibility_List!K67=DataPaths_Code,1,0)+J317</f>
        <v>2</v>
      </c>
      <c r="L317" s="147">
        <f>IF(M2S_Eligibility_List!L67=DataPaths_Code,1,0)+K317</f>
        <v>2</v>
      </c>
      <c r="M317" s="147">
        <f>IF(M2S_Eligibility_List!M67=DataPaths_Code,1,0)+L317</f>
        <v>2</v>
      </c>
      <c r="N317" s="147">
        <f>IF(M2S_Eligibility_List!N67=DataPaths_Code,1,0)+M317</f>
        <v>2</v>
      </c>
      <c r="O317" s="147">
        <f>IF(M2S_Eligibility_List!O67=DataPaths_Code,1,0)+N317</f>
        <v>2</v>
      </c>
      <c r="P317" s="147">
        <f>IF(M2S_Eligibility_List!P67=DataPaths_Code,1,0)+O317</f>
        <v>2</v>
      </c>
      <c r="Q317" s="147">
        <f>IF(M2S_Eligibility_List!Q67=DataPaths_Code,1,0)+P317</f>
        <v>2</v>
      </c>
      <c r="R317" s="147">
        <f>IF(M2S_Eligibility_List!R67=DataPaths_Code,1,0)+Q317</f>
        <v>2</v>
      </c>
      <c r="S317" s="147">
        <f>IF(M2S_Eligibility_List!S67=DataPaths_Code,1,0)+R317</f>
        <v>2</v>
      </c>
      <c r="T317" s="147">
        <f>IF(M2S_Eligibility_List!T67=DataPaths_Code,1,0)+S317</f>
        <v>2</v>
      </c>
      <c r="U317" s="147">
        <f>IF(M2S_Eligibility_List!U67=DataPaths_Code,1,0)+T317</f>
        <v>2</v>
      </c>
      <c r="V317" s="147">
        <f>IF(M2S_Eligibility_List!V67=DataPaths_Code,1,0)+U317</f>
        <v>2</v>
      </c>
      <c r="W317" s="147">
        <f>IF(M2S_Eligibility_List!W67=DataPaths_Code,1,0)+V317</f>
        <v>2</v>
      </c>
      <c r="X317" s="147">
        <f>IF(M2S_Eligibility_List!X67=DataPaths_Code,1,0)+W317</f>
        <v>2</v>
      </c>
      <c r="Y317" s="147">
        <f>IF(M2S_Eligibility_List!Y67=DataPaths_Code,1,0)+X317</f>
        <v>2</v>
      </c>
      <c r="Z317" s="147">
        <f>IF(M2S_Eligibility_List!Z67=DataPaths_Code,1,0)+Y317</f>
        <v>2</v>
      </c>
      <c r="AA317" s="147">
        <f>IF(M2S_Eligibility_List!AA67=DataPaths_Code,1,0)+Z317</f>
        <v>2</v>
      </c>
      <c r="AB317" s="147">
        <f>IF(M2S_Eligibility_List!AB67=DataPaths_Code,1,0)+AA317</f>
        <v>2</v>
      </c>
      <c r="AC317" s="147">
        <f>IF(M2S_Eligibility_List!AC67=DataPaths_Code,1,0)+AB317</f>
        <v>2</v>
      </c>
      <c r="AD317" s="147">
        <f>IF(M2S_Eligibility_List!AD67=DataPaths_Code,1,0)+AC317</f>
        <v>2</v>
      </c>
      <c r="AE317" s="147">
        <f>IF(M2S_Eligibility_List!AE67=DataPaths_Code,1,0)+AD317</f>
        <v>2</v>
      </c>
      <c r="AF317" s="147">
        <f>IF(M2S_Eligibility_List!AF67=DataPaths_Code,1,0)+AE317</f>
        <v>2</v>
      </c>
      <c r="AG317" s="147">
        <f>IF(M2S_Eligibility_List!AG67=DataPaths_Code,1,0)+AF317</f>
        <v>2</v>
      </c>
      <c r="AH317" s="147">
        <f>IF(M2S_Eligibility_List!AH67=DataPaths_Code,1,0)+AG317</f>
        <v>2</v>
      </c>
      <c r="AI317" s="147">
        <f>IF(M2S_Eligibility_List!AI67=DataPaths_Code,1,0)+AH317</f>
        <v>2</v>
      </c>
      <c r="AJ317" s="147">
        <f>IF(M2S_Eligibility_List!AJ67=DataPaths_Code,1,0)+AI317</f>
        <v>2</v>
      </c>
      <c r="AK317" s="147">
        <f>IF(M2S_Eligibility_List!AK67=DataPaths_Code,1,0)+AJ317</f>
        <v>2</v>
      </c>
      <c r="AL317" s="147">
        <f>IF(M2S_Eligibility_List!AL67=DataPaths_Code,1,0)+AK317</f>
        <v>2</v>
      </c>
      <c r="AM317" s="147">
        <f>IF(M2S_Eligibility_List!AM67=DataPaths_Code,1,0)+AL317</f>
        <v>2</v>
      </c>
      <c r="AN317" s="147">
        <f>IF(M2S_Eligibility_List!AN67=DataPaths_Code,1,0)+AM317</f>
        <v>2</v>
      </c>
      <c r="AO317" s="147">
        <f>IF(M2S_Eligibility_List!AO67=DataPaths_Code,1,0)+AN317</f>
        <v>2</v>
      </c>
      <c r="AP317" s="147">
        <f>IF(M2S_Eligibility_List!AP67=DataPaths_Code,1,0)+AO317</f>
        <v>2</v>
      </c>
      <c r="AQ317" s="147">
        <f>IF(M2S_Eligibility_List!AQ67=DataPaths_Code,1,0)+AP317</f>
        <v>2</v>
      </c>
      <c r="AR317" s="147">
        <f>IF(M2S_Eligibility_List!AR67=DataPaths_Code,1,0)+AQ317</f>
        <v>2</v>
      </c>
      <c r="AS317" s="147">
        <f>IF(M2S_Eligibility_List!AS67=DataPaths_Code,1,0)+AR317</f>
        <v>2</v>
      </c>
      <c r="AT317" s="147">
        <f>IF(M2S_Eligibility_List!AT67=DataPaths_Code,1,0)+AS317</f>
        <v>2</v>
      </c>
      <c r="AU317" s="147">
        <f>IF(M2S_Eligibility_List!AU67=DataPaths_Code,1,0)+AT317</f>
        <v>2</v>
      </c>
      <c r="AV317" s="147">
        <f>IF(M2S_Eligibility_List!AV67=DataPaths_Code,1,0)+AU317</f>
        <v>2</v>
      </c>
      <c r="AW317" s="147">
        <f>IF(M2S_Eligibility_List!AW67=DataPaths_Code,1,0)+AV317</f>
        <v>2</v>
      </c>
      <c r="AX317" s="147">
        <f>IF(M2S_Eligibility_List!AX67=DataPaths_Code,1,0)+AW317</f>
        <v>2</v>
      </c>
      <c r="AY317" s="147">
        <f>IF(M2S_Eligibility_List!AY67=DataPaths_Code,1,0)+AX317</f>
        <v>2</v>
      </c>
      <c r="AZ317" s="147">
        <f>IF(M2S_Eligibility_List!AZ67=DataPaths_Code,1,0)+AY317</f>
        <v>2</v>
      </c>
      <c r="BA317" s="147">
        <f>IF(M2S_Eligibility_List!BA67=DataPaths_Code,1,0)+AZ317</f>
        <v>2</v>
      </c>
      <c r="BB317" s="147">
        <f>IF(M2S_Eligibility_List!BB67=DataPaths_Code,1,0)+BA317</f>
        <v>2</v>
      </c>
      <c r="BC317" s="147">
        <f>IF(M2S_Eligibility_List!BC67=DataPaths_Code,1,0)+BB317</f>
        <v>2</v>
      </c>
      <c r="BD317" s="147">
        <f>IF(M2S_Eligibility_List!BD67=DataPaths_Code,1,0)+BC317</f>
        <v>2</v>
      </c>
      <c r="BE317" s="147">
        <f>IF(M2S_Eligibility_List!BE67=DataPaths_Code,1,0)+BD317</f>
        <v>2</v>
      </c>
      <c r="BF317" s="147">
        <f>IF(M2S_Eligibility_List!BF67=DataPaths_Code,1,0)+BE317</f>
        <v>2</v>
      </c>
      <c r="BG317" s="147">
        <f>IF(M2S_Eligibility_List!BG67=DataPaths_Code,1,0)+BF317</f>
        <v>2</v>
      </c>
      <c r="BH317" s="147">
        <f>IF(M2S_Eligibility_List!BH67=DataPaths_Code,1,0)+BG317</f>
        <v>2</v>
      </c>
      <c r="BI317" s="147">
        <f>IF(M2S_Eligibility_List!BI67=DataPaths_Code,1,0)+BH317</f>
        <v>2</v>
      </c>
      <c r="BJ317" s="147">
        <f>IF(M2S_Eligibility_List!BJ67=DataPaths_Code,1,0)+BI317</f>
        <v>2</v>
      </c>
      <c r="BK317" s="147">
        <f>IF(M2S_Eligibility_List!BK67=DataPaths_Code,1,0)+BJ317</f>
        <v>2</v>
      </c>
      <c r="BL317" s="147">
        <f>IF(M2S_Eligibility_List!BL67=DataPaths_Code,1,0)+BK317</f>
        <v>2</v>
      </c>
      <c r="BM317" s="147">
        <f>IF(M2S_Eligibility_List!BM67=DataPaths_Code,1,0)+BL317</f>
        <v>2</v>
      </c>
      <c r="BN317" s="147">
        <f>IF(M2S_Eligibility_List!BN67=DataPaths_Code,1,0)+BM317</f>
        <v>2</v>
      </c>
      <c r="BO317" s="147">
        <f>IF(M2S_Eligibility_List!BO67=DataPaths_Code,1,0)+BN317</f>
        <v>2</v>
      </c>
      <c r="BP317" s="147">
        <f>IF(M2S_Eligibility_List!BP67=DataPaths_Code,1,0)+BO317</f>
        <v>2</v>
      </c>
      <c r="BQ317" s="147">
        <f>IF(M2S_Eligibility_List!BQ67=DataPaths_Code,1,0)+BP317</f>
        <v>2</v>
      </c>
      <c r="BR317" s="147">
        <f>IF(M2S_Eligibility_List!BR67=DataPaths_Code,1,0)+BQ317</f>
        <v>2</v>
      </c>
      <c r="BS317" s="147">
        <f>IF(M2S_Eligibility_List!BS67=DataPaths_Code,1,0)+BR317</f>
        <v>2</v>
      </c>
      <c r="BT317" s="147">
        <f>IF(M2S_Eligibility_List!BT67=DataPaths_Code,1,0)+BS317</f>
        <v>2</v>
      </c>
      <c r="BU317" s="147">
        <f>IF(M2S_Eligibility_List!BU67=DataPaths_Code,1,0)+BT317</f>
        <v>2</v>
      </c>
      <c r="BV317" s="147">
        <f>IF(M2S_Eligibility_List!BV67=DataPaths_Code,1,0)+BU317</f>
        <v>2</v>
      </c>
      <c r="BW317" s="147">
        <f>IF(M2S_Eligibility_List!BW67=DataPaths_Code,1,0)+BV317</f>
        <v>2</v>
      </c>
    </row>
    <row r="318" spans="1:75" ht="20.100000000000001" customHeight="1">
      <c r="A318" s="145"/>
      <c r="B318" s="170" t="str">
        <f>IF(M2S_Eligibility_List!$B68&lt;&gt;"",RIGHT(M2S_Eligibility_List!$B68,LEN(M2S_Eligibility_List!$B68)-LEN(nmADwSP)),0)</f>
        <v>Infrastructure Design Suite Standard</v>
      </c>
      <c r="C318" s="147">
        <f>IF(M2S_Eligibility_List!C68=DataPaths_Code,1,0)</f>
        <v>1</v>
      </c>
      <c r="D318" s="147">
        <f>IF(M2S_Eligibility_List!D68=DataPaths_Code,1,0)+C318</f>
        <v>2</v>
      </c>
      <c r="E318" s="147">
        <f>IF(M2S_Eligibility_List!E68=DataPaths_Code,1,0)+D318</f>
        <v>2</v>
      </c>
      <c r="F318" s="147">
        <f>IF(M2S_Eligibility_List!F68=DataPaths_Code,1,0)+E318</f>
        <v>2</v>
      </c>
      <c r="G318" s="147">
        <f>IF(M2S_Eligibility_List!G68=DataPaths_Code,1,0)+F318</f>
        <v>2</v>
      </c>
      <c r="H318" s="147">
        <f>IF(M2S_Eligibility_List!H68=DataPaths_Code,1,0)+G318</f>
        <v>2</v>
      </c>
      <c r="I318" s="147">
        <f>IF(M2S_Eligibility_List!I68=DataPaths_Code,1,0)+H318</f>
        <v>2</v>
      </c>
      <c r="J318" s="147">
        <f>IF(M2S_Eligibility_List!J68=DataPaths_Code,1,0)+I318</f>
        <v>2</v>
      </c>
      <c r="K318" s="147">
        <f>IF(M2S_Eligibility_List!K68=DataPaths_Code,1,0)+J318</f>
        <v>2</v>
      </c>
      <c r="L318" s="147">
        <f>IF(M2S_Eligibility_List!L68=DataPaths_Code,1,0)+K318</f>
        <v>2</v>
      </c>
      <c r="M318" s="147">
        <f>IF(M2S_Eligibility_List!M68=DataPaths_Code,1,0)+L318</f>
        <v>3</v>
      </c>
      <c r="N318" s="147">
        <f>IF(M2S_Eligibility_List!N68=DataPaths_Code,1,0)+M318</f>
        <v>3</v>
      </c>
      <c r="O318" s="147">
        <f>IF(M2S_Eligibility_List!O68=DataPaths_Code,1,0)+N318</f>
        <v>3</v>
      </c>
      <c r="P318" s="147">
        <f>IF(M2S_Eligibility_List!P68=DataPaths_Code,1,0)+O318</f>
        <v>3</v>
      </c>
      <c r="Q318" s="147">
        <f>IF(M2S_Eligibility_List!Q68=DataPaths_Code,1,0)+P318</f>
        <v>3</v>
      </c>
      <c r="R318" s="147">
        <f>IF(M2S_Eligibility_List!R68=DataPaths_Code,1,0)+Q318</f>
        <v>3</v>
      </c>
      <c r="S318" s="147">
        <f>IF(M2S_Eligibility_List!S68=DataPaths_Code,1,0)+R318</f>
        <v>3</v>
      </c>
      <c r="T318" s="147">
        <f>IF(M2S_Eligibility_List!T68=DataPaths_Code,1,0)+S318</f>
        <v>3</v>
      </c>
      <c r="U318" s="147">
        <f>IF(M2S_Eligibility_List!U68=DataPaths_Code,1,0)+T318</f>
        <v>3</v>
      </c>
      <c r="V318" s="147">
        <f>IF(M2S_Eligibility_List!V68=DataPaths_Code,1,0)+U318</f>
        <v>3</v>
      </c>
      <c r="W318" s="147">
        <f>IF(M2S_Eligibility_List!W68=DataPaths_Code,1,0)+V318</f>
        <v>3</v>
      </c>
      <c r="X318" s="147">
        <f>IF(M2S_Eligibility_List!X68=DataPaths_Code,1,0)+W318</f>
        <v>3</v>
      </c>
      <c r="Y318" s="147">
        <f>IF(M2S_Eligibility_List!Y68=DataPaths_Code,1,0)+X318</f>
        <v>3</v>
      </c>
      <c r="Z318" s="147">
        <f>IF(M2S_Eligibility_List!Z68=DataPaths_Code,1,0)+Y318</f>
        <v>3</v>
      </c>
      <c r="AA318" s="147">
        <f>IF(M2S_Eligibility_List!AA68=DataPaths_Code,1,0)+Z318</f>
        <v>3</v>
      </c>
      <c r="AB318" s="147">
        <f>IF(M2S_Eligibility_List!AB68=DataPaths_Code,1,0)+AA318</f>
        <v>3</v>
      </c>
      <c r="AC318" s="147">
        <f>IF(M2S_Eligibility_List!AC68=DataPaths_Code,1,0)+AB318</f>
        <v>3</v>
      </c>
      <c r="AD318" s="147">
        <f>IF(M2S_Eligibility_List!AD68=DataPaths_Code,1,0)+AC318</f>
        <v>3</v>
      </c>
      <c r="AE318" s="147">
        <f>IF(M2S_Eligibility_List!AE68=DataPaths_Code,1,0)+AD318</f>
        <v>3</v>
      </c>
      <c r="AF318" s="147">
        <f>IF(M2S_Eligibility_List!AF68=DataPaths_Code,1,0)+AE318</f>
        <v>3</v>
      </c>
      <c r="AG318" s="147">
        <f>IF(M2S_Eligibility_List!AG68=DataPaths_Code,1,0)+AF318</f>
        <v>3</v>
      </c>
      <c r="AH318" s="147">
        <f>IF(M2S_Eligibility_List!AH68=DataPaths_Code,1,0)+AG318</f>
        <v>3</v>
      </c>
      <c r="AI318" s="147">
        <f>IF(M2S_Eligibility_List!AI68=DataPaths_Code,1,0)+AH318</f>
        <v>3</v>
      </c>
      <c r="AJ318" s="147">
        <f>IF(M2S_Eligibility_List!AJ68=DataPaths_Code,1,0)+AI318</f>
        <v>3</v>
      </c>
      <c r="AK318" s="147">
        <f>IF(M2S_Eligibility_List!AK68=DataPaths_Code,1,0)+AJ318</f>
        <v>3</v>
      </c>
      <c r="AL318" s="147">
        <f>IF(M2S_Eligibility_List!AL68=DataPaths_Code,1,0)+AK318</f>
        <v>3</v>
      </c>
      <c r="AM318" s="147">
        <f>IF(M2S_Eligibility_List!AM68=DataPaths_Code,1,0)+AL318</f>
        <v>3</v>
      </c>
      <c r="AN318" s="147">
        <f>IF(M2S_Eligibility_List!AN68=DataPaths_Code,1,0)+AM318</f>
        <v>3</v>
      </c>
      <c r="AO318" s="147">
        <f>IF(M2S_Eligibility_List!AO68=DataPaths_Code,1,0)+AN318</f>
        <v>3</v>
      </c>
      <c r="AP318" s="147">
        <f>IF(M2S_Eligibility_List!AP68=DataPaths_Code,1,0)+AO318</f>
        <v>3</v>
      </c>
      <c r="AQ318" s="147">
        <f>IF(M2S_Eligibility_List!AQ68=DataPaths_Code,1,0)+AP318</f>
        <v>3</v>
      </c>
      <c r="AR318" s="147">
        <f>IF(M2S_Eligibility_List!AR68=DataPaths_Code,1,0)+AQ318</f>
        <v>3</v>
      </c>
      <c r="AS318" s="147">
        <f>IF(M2S_Eligibility_List!AS68=DataPaths_Code,1,0)+AR318</f>
        <v>3</v>
      </c>
      <c r="AT318" s="147">
        <f>IF(M2S_Eligibility_List!AT68=DataPaths_Code,1,0)+AS318</f>
        <v>3</v>
      </c>
      <c r="AU318" s="147">
        <f>IF(M2S_Eligibility_List!AU68=DataPaths_Code,1,0)+AT318</f>
        <v>3</v>
      </c>
      <c r="AV318" s="147">
        <f>IF(M2S_Eligibility_List!AV68=DataPaths_Code,1,0)+AU318</f>
        <v>3</v>
      </c>
      <c r="AW318" s="147">
        <f>IF(M2S_Eligibility_List!AW68=DataPaths_Code,1,0)+AV318</f>
        <v>3</v>
      </c>
      <c r="AX318" s="147">
        <f>IF(M2S_Eligibility_List!AX68=DataPaths_Code,1,0)+AW318</f>
        <v>3</v>
      </c>
      <c r="AY318" s="147">
        <f>IF(M2S_Eligibility_List!AY68=DataPaths_Code,1,0)+AX318</f>
        <v>3</v>
      </c>
      <c r="AZ318" s="147">
        <f>IF(M2S_Eligibility_List!AZ68=DataPaths_Code,1,0)+AY318</f>
        <v>3</v>
      </c>
      <c r="BA318" s="147">
        <f>IF(M2S_Eligibility_List!BA68=DataPaths_Code,1,0)+AZ318</f>
        <v>3</v>
      </c>
      <c r="BB318" s="147">
        <f>IF(M2S_Eligibility_List!BB68=DataPaths_Code,1,0)+BA318</f>
        <v>3</v>
      </c>
      <c r="BC318" s="147">
        <f>IF(M2S_Eligibility_List!BC68=DataPaths_Code,1,0)+BB318</f>
        <v>3</v>
      </c>
      <c r="BD318" s="147">
        <f>IF(M2S_Eligibility_List!BD68=DataPaths_Code,1,0)+BC318</f>
        <v>3</v>
      </c>
      <c r="BE318" s="147">
        <f>IF(M2S_Eligibility_List!BE68=DataPaths_Code,1,0)+BD318</f>
        <v>3</v>
      </c>
      <c r="BF318" s="147">
        <f>IF(M2S_Eligibility_List!BF68=DataPaths_Code,1,0)+BE318</f>
        <v>3</v>
      </c>
      <c r="BG318" s="147">
        <f>IF(M2S_Eligibility_List!BG68=DataPaths_Code,1,0)+BF318</f>
        <v>3</v>
      </c>
      <c r="BH318" s="147">
        <f>IF(M2S_Eligibility_List!BH68=DataPaths_Code,1,0)+BG318</f>
        <v>3</v>
      </c>
      <c r="BI318" s="147">
        <f>IF(M2S_Eligibility_List!BI68=DataPaths_Code,1,0)+BH318</f>
        <v>3</v>
      </c>
      <c r="BJ318" s="147">
        <f>IF(M2S_Eligibility_List!BJ68=DataPaths_Code,1,0)+BI318</f>
        <v>3</v>
      </c>
      <c r="BK318" s="147">
        <f>IF(M2S_Eligibility_List!BK68=DataPaths_Code,1,0)+BJ318</f>
        <v>3</v>
      </c>
      <c r="BL318" s="147">
        <f>IF(M2S_Eligibility_List!BL68=DataPaths_Code,1,0)+BK318</f>
        <v>3</v>
      </c>
      <c r="BM318" s="147">
        <f>IF(M2S_Eligibility_List!BM68=DataPaths_Code,1,0)+BL318</f>
        <v>3</v>
      </c>
      <c r="BN318" s="147">
        <f>IF(M2S_Eligibility_List!BN68=DataPaths_Code,1,0)+BM318</f>
        <v>3</v>
      </c>
      <c r="BO318" s="147">
        <f>IF(M2S_Eligibility_List!BO68=DataPaths_Code,1,0)+BN318</f>
        <v>3</v>
      </c>
      <c r="BP318" s="147">
        <f>IF(M2S_Eligibility_List!BP68=DataPaths_Code,1,0)+BO318</f>
        <v>3</v>
      </c>
      <c r="BQ318" s="147">
        <f>IF(M2S_Eligibility_List!BQ68=DataPaths_Code,1,0)+BP318</f>
        <v>3</v>
      </c>
      <c r="BR318" s="147">
        <f>IF(M2S_Eligibility_List!BR68=DataPaths_Code,1,0)+BQ318</f>
        <v>3</v>
      </c>
      <c r="BS318" s="147">
        <f>IF(M2S_Eligibility_List!BS68=DataPaths_Code,1,0)+BR318</f>
        <v>3</v>
      </c>
      <c r="BT318" s="147">
        <f>IF(M2S_Eligibility_List!BT68=DataPaths_Code,1,0)+BS318</f>
        <v>3</v>
      </c>
      <c r="BU318" s="147">
        <f>IF(M2S_Eligibility_List!BU68=DataPaths_Code,1,0)+BT318</f>
        <v>3</v>
      </c>
      <c r="BV318" s="147">
        <f>IF(M2S_Eligibility_List!BV68=DataPaths_Code,1,0)+BU318</f>
        <v>3</v>
      </c>
      <c r="BW318" s="147">
        <f>IF(M2S_Eligibility_List!BW68=DataPaths_Code,1,0)+BV318</f>
        <v>3</v>
      </c>
    </row>
    <row r="319" spans="1:75" ht="20.100000000000001" customHeight="1">
      <c r="A319" s="145"/>
      <c r="B319" s="170" t="str">
        <f>IF(M2S_Eligibility_List!$B69&lt;&gt;"",RIGHT(M2S_Eligibility_List!$B69,LEN(M2S_Eligibility_List!$B69)-LEN(nmADwSP)),0)</f>
        <v>Infrastructure Design Suite Ultimate</v>
      </c>
      <c r="C319" s="147">
        <f>IF(M2S_Eligibility_List!C69=DataPaths_Code,1,0)</f>
        <v>1</v>
      </c>
      <c r="D319" s="147">
        <f>IF(M2S_Eligibility_List!D69=DataPaths_Code,1,0)+C319</f>
        <v>2</v>
      </c>
      <c r="E319" s="147">
        <f>IF(M2S_Eligibility_List!E69=DataPaths_Code,1,0)+D319</f>
        <v>2</v>
      </c>
      <c r="F319" s="147">
        <f>IF(M2S_Eligibility_List!F69=DataPaths_Code,1,0)+E319</f>
        <v>2</v>
      </c>
      <c r="G319" s="147">
        <f>IF(M2S_Eligibility_List!G69=DataPaths_Code,1,0)+F319</f>
        <v>2</v>
      </c>
      <c r="H319" s="147">
        <f>IF(M2S_Eligibility_List!H69=DataPaths_Code,1,0)+G319</f>
        <v>2</v>
      </c>
      <c r="I319" s="147">
        <f>IF(M2S_Eligibility_List!I69=DataPaths_Code,1,0)+H319</f>
        <v>2</v>
      </c>
      <c r="J319" s="147">
        <f>IF(M2S_Eligibility_List!J69=DataPaths_Code,1,0)+I319</f>
        <v>2</v>
      </c>
      <c r="K319" s="147">
        <f>IF(M2S_Eligibility_List!K69=DataPaths_Code,1,0)+J319</f>
        <v>2</v>
      </c>
      <c r="L319" s="147">
        <f>IF(M2S_Eligibility_List!L69=DataPaths_Code,1,0)+K319</f>
        <v>2</v>
      </c>
      <c r="M319" s="147">
        <f>IF(M2S_Eligibility_List!M69=DataPaths_Code,1,0)+L319</f>
        <v>2</v>
      </c>
      <c r="N319" s="147">
        <f>IF(M2S_Eligibility_List!N69=DataPaths_Code,1,0)+M319</f>
        <v>2</v>
      </c>
      <c r="O319" s="147">
        <f>IF(M2S_Eligibility_List!O69=DataPaths_Code,1,0)+N319</f>
        <v>2</v>
      </c>
      <c r="P319" s="147">
        <f>IF(M2S_Eligibility_List!P69=DataPaths_Code,1,0)+O319</f>
        <v>2</v>
      </c>
      <c r="Q319" s="147">
        <f>IF(M2S_Eligibility_List!Q69=DataPaths_Code,1,0)+P319</f>
        <v>2</v>
      </c>
      <c r="R319" s="147">
        <f>IF(M2S_Eligibility_List!R69=DataPaths_Code,1,0)+Q319</f>
        <v>2</v>
      </c>
      <c r="S319" s="147">
        <f>IF(M2S_Eligibility_List!S69=DataPaths_Code,1,0)+R319</f>
        <v>2</v>
      </c>
      <c r="T319" s="147">
        <f>IF(M2S_Eligibility_List!T69=DataPaths_Code,1,0)+S319</f>
        <v>2</v>
      </c>
      <c r="U319" s="147">
        <f>IF(M2S_Eligibility_List!U69=DataPaths_Code,1,0)+T319</f>
        <v>2</v>
      </c>
      <c r="V319" s="147">
        <f>IF(M2S_Eligibility_List!V69=DataPaths_Code,1,0)+U319</f>
        <v>2</v>
      </c>
      <c r="W319" s="147">
        <f>IF(M2S_Eligibility_List!W69=DataPaths_Code,1,0)+V319</f>
        <v>2</v>
      </c>
      <c r="X319" s="147">
        <f>IF(M2S_Eligibility_List!X69=DataPaths_Code,1,0)+W319</f>
        <v>2</v>
      </c>
      <c r="Y319" s="147">
        <f>IF(M2S_Eligibility_List!Y69=DataPaths_Code,1,0)+X319</f>
        <v>2</v>
      </c>
      <c r="Z319" s="147">
        <f>IF(M2S_Eligibility_List!Z69=DataPaths_Code,1,0)+Y319</f>
        <v>2</v>
      </c>
      <c r="AA319" s="147">
        <f>IF(M2S_Eligibility_List!AA69=DataPaths_Code,1,0)+Z319</f>
        <v>2</v>
      </c>
      <c r="AB319" s="147">
        <f>IF(M2S_Eligibility_List!AB69=DataPaths_Code,1,0)+AA319</f>
        <v>2</v>
      </c>
      <c r="AC319" s="147">
        <f>IF(M2S_Eligibility_List!AC69=DataPaths_Code,1,0)+AB319</f>
        <v>2</v>
      </c>
      <c r="AD319" s="147">
        <f>IF(M2S_Eligibility_List!AD69=DataPaths_Code,1,0)+AC319</f>
        <v>2</v>
      </c>
      <c r="AE319" s="147">
        <f>IF(M2S_Eligibility_List!AE69=DataPaths_Code,1,0)+AD319</f>
        <v>2</v>
      </c>
      <c r="AF319" s="147">
        <f>IF(M2S_Eligibility_List!AF69=DataPaths_Code,1,0)+AE319</f>
        <v>2</v>
      </c>
      <c r="AG319" s="147">
        <f>IF(M2S_Eligibility_List!AG69=DataPaths_Code,1,0)+AF319</f>
        <v>2</v>
      </c>
      <c r="AH319" s="147">
        <f>IF(M2S_Eligibility_List!AH69=DataPaths_Code,1,0)+AG319</f>
        <v>2</v>
      </c>
      <c r="AI319" s="147">
        <f>IF(M2S_Eligibility_List!AI69=DataPaths_Code,1,0)+AH319</f>
        <v>2</v>
      </c>
      <c r="AJ319" s="147">
        <f>IF(M2S_Eligibility_List!AJ69=DataPaths_Code,1,0)+AI319</f>
        <v>2</v>
      </c>
      <c r="AK319" s="147">
        <f>IF(M2S_Eligibility_List!AK69=DataPaths_Code,1,0)+AJ319</f>
        <v>2</v>
      </c>
      <c r="AL319" s="147">
        <f>IF(M2S_Eligibility_List!AL69=DataPaths_Code,1,0)+AK319</f>
        <v>2</v>
      </c>
      <c r="AM319" s="147">
        <f>IF(M2S_Eligibility_List!AM69=DataPaths_Code,1,0)+AL319</f>
        <v>2</v>
      </c>
      <c r="AN319" s="147">
        <f>IF(M2S_Eligibility_List!AN69=DataPaths_Code,1,0)+AM319</f>
        <v>2</v>
      </c>
      <c r="AO319" s="147">
        <f>IF(M2S_Eligibility_List!AO69=DataPaths_Code,1,0)+AN319</f>
        <v>2</v>
      </c>
      <c r="AP319" s="147">
        <f>IF(M2S_Eligibility_List!AP69=DataPaths_Code,1,0)+AO319</f>
        <v>2</v>
      </c>
      <c r="AQ319" s="147">
        <f>IF(M2S_Eligibility_List!AQ69=DataPaths_Code,1,0)+AP319</f>
        <v>2</v>
      </c>
      <c r="AR319" s="147">
        <f>IF(M2S_Eligibility_List!AR69=DataPaths_Code,1,0)+AQ319</f>
        <v>2</v>
      </c>
      <c r="AS319" s="147">
        <f>IF(M2S_Eligibility_List!AS69=DataPaths_Code,1,0)+AR319</f>
        <v>2</v>
      </c>
      <c r="AT319" s="147">
        <f>IF(M2S_Eligibility_List!AT69=DataPaths_Code,1,0)+AS319</f>
        <v>2</v>
      </c>
      <c r="AU319" s="147">
        <f>IF(M2S_Eligibility_List!AU69=DataPaths_Code,1,0)+AT319</f>
        <v>2</v>
      </c>
      <c r="AV319" s="147">
        <f>IF(M2S_Eligibility_List!AV69=DataPaths_Code,1,0)+AU319</f>
        <v>2</v>
      </c>
      <c r="AW319" s="147">
        <f>IF(M2S_Eligibility_List!AW69=DataPaths_Code,1,0)+AV319</f>
        <v>2</v>
      </c>
      <c r="AX319" s="147">
        <f>IF(M2S_Eligibility_List!AX69=DataPaths_Code,1,0)+AW319</f>
        <v>2</v>
      </c>
      <c r="AY319" s="147">
        <f>IF(M2S_Eligibility_List!AY69=DataPaths_Code,1,0)+AX319</f>
        <v>2</v>
      </c>
      <c r="AZ319" s="147">
        <f>IF(M2S_Eligibility_List!AZ69=DataPaths_Code,1,0)+AY319</f>
        <v>2</v>
      </c>
      <c r="BA319" s="147">
        <f>IF(M2S_Eligibility_List!BA69=DataPaths_Code,1,0)+AZ319</f>
        <v>2</v>
      </c>
      <c r="BB319" s="147">
        <f>IF(M2S_Eligibility_List!BB69=DataPaths_Code,1,0)+BA319</f>
        <v>2</v>
      </c>
      <c r="BC319" s="147">
        <f>IF(M2S_Eligibility_List!BC69=DataPaths_Code,1,0)+BB319</f>
        <v>2</v>
      </c>
      <c r="BD319" s="147">
        <f>IF(M2S_Eligibility_List!BD69=DataPaths_Code,1,0)+BC319</f>
        <v>2</v>
      </c>
      <c r="BE319" s="147">
        <f>IF(M2S_Eligibility_List!BE69=DataPaths_Code,1,0)+BD319</f>
        <v>2</v>
      </c>
      <c r="BF319" s="147">
        <f>IF(M2S_Eligibility_List!BF69=DataPaths_Code,1,0)+BE319</f>
        <v>2</v>
      </c>
      <c r="BG319" s="147">
        <f>IF(M2S_Eligibility_List!BG69=DataPaths_Code,1,0)+BF319</f>
        <v>2</v>
      </c>
      <c r="BH319" s="147">
        <f>IF(M2S_Eligibility_List!BH69=DataPaths_Code,1,0)+BG319</f>
        <v>2</v>
      </c>
      <c r="BI319" s="147">
        <f>IF(M2S_Eligibility_List!BI69=DataPaths_Code,1,0)+BH319</f>
        <v>2</v>
      </c>
      <c r="BJ319" s="147">
        <f>IF(M2S_Eligibility_List!BJ69=DataPaths_Code,1,0)+BI319</f>
        <v>2</v>
      </c>
      <c r="BK319" s="147">
        <f>IF(M2S_Eligibility_List!BK69=DataPaths_Code,1,0)+BJ319</f>
        <v>2</v>
      </c>
      <c r="BL319" s="147">
        <f>IF(M2S_Eligibility_List!BL69=DataPaths_Code,1,0)+BK319</f>
        <v>2</v>
      </c>
      <c r="BM319" s="147">
        <f>IF(M2S_Eligibility_List!BM69=DataPaths_Code,1,0)+BL319</f>
        <v>2</v>
      </c>
      <c r="BN319" s="147">
        <f>IF(M2S_Eligibility_List!BN69=DataPaths_Code,1,0)+BM319</f>
        <v>2</v>
      </c>
      <c r="BO319" s="147">
        <f>IF(M2S_Eligibility_List!BO69=DataPaths_Code,1,0)+BN319</f>
        <v>2</v>
      </c>
      <c r="BP319" s="147">
        <f>IF(M2S_Eligibility_List!BP69=DataPaths_Code,1,0)+BO319</f>
        <v>2</v>
      </c>
      <c r="BQ319" s="147">
        <f>IF(M2S_Eligibility_List!BQ69=DataPaths_Code,1,0)+BP319</f>
        <v>2</v>
      </c>
      <c r="BR319" s="147">
        <f>IF(M2S_Eligibility_List!BR69=DataPaths_Code,1,0)+BQ319</f>
        <v>2</v>
      </c>
      <c r="BS319" s="147">
        <f>IF(M2S_Eligibility_List!BS69=DataPaths_Code,1,0)+BR319</f>
        <v>2</v>
      </c>
      <c r="BT319" s="147">
        <f>IF(M2S_Eligibility_List!BT69=DataPaths_Code,1,0)+BS319</f>
        <v>2</v>
      </c>
      <c r="BU319" s="147">
        <f>IF(M2S_Eligibility_List!BU69=DataPaths_Code,1,0)+BT319</f>
        <v>2</v>
      </c>
      <c r="BV319" s="147">
        <f>IF(M2S_Eligibility_List!BV69=DataPaths_Code,1,0)+BU319</f>
        <v>2</v>
      </c>
      <c r="BW319" s="147">
        <f>IF(M2S_Eligibility_List!BW69=DataPaths_Code,1,0)+BV319</f>
        <v>2</v>
      </c>
    </row>
    <row r="320" spans="1:75" ht="20.100000000000001" customHeight="1">
      <c r="A320" s="145"/>
      <c r="B320" s="170" t="str">
        <f>IF(M2S_Eligibility_List!$B70&lt;&gt;"",RIGHT(M2S_Eligibility_List!$B70,LEN(M2S_Eligibility_List!$B70)-LEN(nmADwSP)),0)</f>
        <v>Infrastructure Map Server</v>
      </c>
      <c r="C320" s="147">
        <f>IF(M2S_Eligibility_List!C70=DataPaths_Code,1,0)</f>
        <v>0</v>
      </c>
      <c r="D320" s="147">
        <f>IF(M2S_Eligibility_List!D70=DataPaths_Code,1,0)+C320</f>
        <v>0</v>
      </c>
      <c r="E320" s="147">
        <f>IF(M2S_Eligibility_List!E70=DataPaths_Code,1,0)+D320</f>
        <v>0</v>
      </c>
      <c r="F320" s="147">
        <f>IF(M2S_Eligibility_List!F70=DataPaths_Code,1,0)+E320</f>
        <v>0</v>
      </c>
      <c r="G320" s="147">
        <f>IF(M2S_Eligibility_List!G70=DataPaths_Code,1,0)+F320</f>
        <v>0</v>
      </c>
      <c r="H320" s="147">
        <f>IF(M2S_Eligibility_List!H70=DataPaths_Code,1,0)+G320</f>
        <v>0</v>
      </c>
      <c r="I320" s="147">
        <f>IF(M2S_Eligibility_List!I70=DataPaths_Code,1,0)+H320</f>
        <v>0</v>
      </c>
      <c r="J320" s="147">
        <f>IF(M2S_Eligibility_List!J70=DataPaths_Code,1,0)+I320</f>
        <v>0</v>
      </c>
      <c r="K320" s="147">
        <f>IF(M2S_Eligibility_List!K70=DataPaths_Code,1,0)+J320</f>
        <v>0</v>
      </c>
      <c r="L320" s="147">
        <f>IF(M2S_Eligibility_List!L70=DataPaths_Code,1,0)+K320</f>
        <v>0</v>
      </c>
      <c r="M320" s="147">
        <f>IF(M2S_Eligibility_List!M70=DataPaths_Code,1,0)+L320</f>
        <v>0</v>
      </c>
      <c r="N320" s="147">
        <f>IF(M2S_Eligibility_List!N70=DataPaths_Code,1,0)+M320</f>
        <v>0</v>
      </c>
      <c r="O320" s="147">
        <f>IF(M2S_Eligibility_List!O70=DataPaths_Code,1,0)+N320</f>
        <v>0</v>
      </c>
      <c r="P320" s="147">
        <f>IF(M2S_Eligibility_List!P70=DataPaths_Code,1,0)+O320</f>
        <v>0</v>
      </c>
      <c r="Q320" s="147">
        <f>IF(M2S_Eligibility_List!Q70=DataPaths_Code,1,0)+P320</f>
        <v>0</v>
      </c>
      <c r="R320" s="147">
        <f>IF(M2S_Eligibility_List!R70=DataPaths_Code,1,0)+Q320</f>
        <v>0</v>
      </c>
      <c r="S320" s="147">
        <f>IF(M2S_Eligibility_List!S70=DataPaths_Code,1,0)+R320</f>
        <v>0</v>
      </c>
      <c r="T320" s="147">
        <f>IF(M2S_Eligibility_List!T70=DataPaths_Code,1,0)+S320</f>
        <v>0</v>
      </c>
      <c r="U320" s="147">
        <f>IF(M2S_Eligibility_List!U70=DataPaths_Code,1,0)+T320</f>
        <v>0</v>
      </c>
      <c r="V320" s="147">
        <f>IF(M2S_Eligibility_List!V70=DataPaths_Code,1,0)+U320</f>
        <v>0</v>
      </c>
      <c r="W320" s="147">
        <f>IF(M2S_Eligibility_List!W70=DataPaths_Code,1,0)+V320</f>
        <v>0</v>
      </c>
      <c r="X320" s="147">
        <f>IF(M2S_Eligibility_List!X70=DataPaths_Code,1,0)+W320</f>
        <v>0</v>
      </c>
      <c r="Y320" s="147">
        <f>IF(M2S_Eligibility_List!Y70=DataPaths_Code,1,0)+X320</f>
        <v>1</v>
      </c>
      <c r="Z320" s="147">
        <f>IF(M2S_Eligibility_List!Z70=DataPaths_Code,1,0)+Y320</f>
        <v>1</v>
      </c>
      <c r="AA320" s="147">
        <f>IF(M2S_Eligibility_List!AA70=DataPaths_Code,1,0)+Z320</f>
        <v>1</v>
      </c>
      <c r="AB320" s="147">
        <f>IF(M2S_Eligibility_List!AB70=DataPaths_Code,1,0)+AA320</f>
        <v>1</v>
      </c>
      <c r="AC320" s="147">
        <f>IF(M2S_Eligibility_List!AC70=DataPaths_Code,1,0)+AB320</f>
        <v>1</v>
      </c>
      <c r="AD320" s="147">
        <f>IF(M2S_Eligibility_List!AD70=DataPaths_Code,1,0)+AC320</f>
        <v>1</v>
      </c>
      <c r="AE320" s="147">
        <f>IF(M2S_Eligibility_List!AE70=DataPaths_Code,1,0)+AD320</f>
        <v>1</v>
      </c>
      <c r="AF320" s="147">
        <f>IF(M2S_Eligibility_List!AF70=DataPaths_Code,1,0)+AE320</f>
        <v>1</v>
      </c>
      <c r="AG320" s="147">
        <f>IF(M2S_Eligibility_List!AG70=DataPaths_Code,1,0)+AF320</f>
        <v>1</v>
      </c>
      <c r="AH320" s="147">
        <f>IF(M2S_Eligibility_List!AH70=DataPaths_Code,1,0)+AG320</f>
        <v>1</v>
      </c>
      <c r="AI320" s="147">
        <f>IF(M2S_Eligibility_List!AI70=DataPaths_Code,1,0)+AH320</f>
        <v>1</v>
      </c>
      <c r="AJ320" s="147">
        <f>IF(M2S_Eligibility_List!AJ70=DataPaths_Code,1,0)+AI320</f>
        <v>1</v>
      </c>
      <c r="AK320" s="147">
        <f>IF(M2S_Eligibility_List!AK70=DataPaths_Code,1,0)+AJ320</f>
        <v>1</v>
      </c>
      <c r="AL320" s="147">
        <f>IF(M2S_Eligibility_List!AL70=DataPaths_Code,1,0)+AK320</f>
        <v>1</v>
      </c>
      <c r="AM320" s="147">
        <f>IF(M2S_Eligibility_List!AM70=DataPaths_Code,1,0)+AL320</f>
        <v>1</v>
      </c>
      <c r="AN320" s="147">
        <f>IF(M2S_Eligibility_List!AN70=DataPaths_Code,1,0)+AM320</f>
        <v>1</v>
      </c>
      <c r="AO320" s="147">
        <f>IF(M2S_Eligibility_List!AO70=DataPaths_Code,1,0)+AN320</f>
        <v>1</v>
      </c>
      <c r="AP320" s="147">
        <f>IF(M2S_Eligibility_List!AP70=DataPaths_Code,1,0)+AO320</f>
        <v>1</v>
      </c>
      <c r="AQ320" s="147">
        <f>IF(M2S_Eligibility_List!AQ70=DataPaths_Code,1,0)+AP320</f>
        <v>1</v>
      </c>
      <c r="AR320" s="147">
        <f>IF(M2S_Eligibility_List!AR70=DataPaths_Code,1,0)+AQ320</f>
        <v>1</v>
      </c>
      <c r="AS320" s="147">
        <f>IF(M2S_Eligibility_List!AS70=DataPaths_Code,1,0)+AR320</f>
        <v>1</v>
      </c>
      <c r="AT320" s="147">
        <f>IF(M2S_Eligibility_List!AT70=DataPaths_Code,1,0)+AS320</f>
        <v>1</v>
      </c>
      <c r="AU320" s="147">
        <f>IF(M2S_Eligibility_List!AU70=DataPaths_Code,1,0)+AT320</f>
        <v>1</v>
      </c>
      <c r="AV320" s="147">
        <f>IF(M2S_Eligibility_List!AV70=DataPaths_Code,1,0)+AU320</f>
        <v>1</v>
      </c>
      <c r="AW320" s="147">
        <f>IF(M2S_Eligibility_List!AW70=DataPaths_Code,1,0)+AV320</f>
        <v>1</v>
      </c>
      <c r="AX320" s="147">
        <f>IF(M2S_Eligibility_List!AX70=DataPaths_Code,1,0)+AW320</f>
        <v>1</v>
      </c>
      <c r="AY320" s="147">
        <f>IF(M2S_Eligibility_List!AY70=DataPaths_Code,1,0)+AX320</f>
        <v>1</v>
      </c>
      <c r="AZ320" s="147">
        <f>IF(M2S_Eligibility_List!AZ70=DataPaths_Code,1,0)+AY320</f>
        <v>1</v>
      </c>
      <c r="BA320" s="147">
        <f>IF(M2S_Eligibility_List!BA70=DataPaths_Code,1,0)+AZ320</f>
        <v>1</v>
      </c>
      <c r="BB320" s="147">
        <f>IF(M2S_Eligibility_List!BB70=DataPaths_Code,1,0)+BA320</f>
        <v>1</v>
      </c>
      <c r="BC320" s="147">
        <f>IF(M2S_Eligibility_List!BC70=DataPaths_Code,1,0)+BB320</f>
        <v>1</v>
      </c>
      <c r="BD320" s="147">
        <f>IF(M2S_Eligibility_List!BD70=DataPaths_Code,1,0)+BC320</f>
        <v>1</v>
      </c>
      <c r="BE320" s="147">
        <f>IF(M2S_Eligibility_List!BE70=DataPaths_Code,1,0)+BD320</f>
        <v>1</v>
      </c>
      <c r="BF320" s="147">
        <f>IF(M2S_Eligibility_List!BF70=DataPaths_Code,1,0)+BE320</f>
        <v>1</v>
      </c>
      <c r="BG320" s="147">
        <f>IF(M2S_Eligibility_List!BG70=DataPaths_Code,1,0)+BF320</f>
        <v>1</v>
      </c>
      <c r="BH320" s="147">
        <f>IF(M2S_Eligibility_List!BH70=DataPaths_Code,1,0)+BG320</f>
        <v>1</v>
      </c>
      <c r="BI320" s="147">
        <f>IF(M2S_Eligibility_List!BI70=DataPaths_Code,1,0)+BH320</f>
        <v>1</v>
      </c>
      <c r="BJ320" s="147">
        <f>IF(M2S_Eligibility_List!BJ70=DataPaths_Code,1,0)+BI320</f>
        <v>1</v>
      </c>
      <c r="BK320" s="147">
        <f>IF(M2S_Eligibility_List!BK70=DataPaths_Code,1,0)+BJ320</f>
        <v>1</v>
      </c>
      <c r="BL320" s="147">
        <f>IF(M2S_Eligibility_List!BL70=DataPaths_Code,1,0)+BK320</f>
        <v>1</v>
      </c>
      <c r="BM320" s="147">
        <f>IF(M2S_Eligibility_List!BM70=DataPaths_Code,1,0)+BL320</f>
        <v>1</v>
      </c>
      <c r="BN320" s="147">
        <f>IF(M2S_Eligibility_List!BN70=DataPaths_Code,1,0)+BM320</f>
        <v>1</v>
      </c>
      <c r="BO320" s="147">
        <f>IF(M2S_Eligibility_List!BO70=DataPaths_Code,1,0)+BN320</f>
        <v>1</v>
      </c>
      <c r="BP320" s="147">
        <f>IF(M2S_Eligibility_List!BP70=DataPaths_Code,1,0)+BO320</f>
        <v>1</v>
      </c>
      <c r="BQ320" s="147">
        <f>IF(M2S_Eligibility_List!BQ70=DataPaths_Code,1,0)+BP320</f>
        <v>1</v>
      </c>
      <c r="BR320" s="147">
        <f>IF(M2S_Eligibility_List!BR70=DataPaths_Code,1,0)+BQ320</f>
        <v>1</v>
      </c>
      <c r="BS320" s="147">
        <f>IF(M2S_Eligibility_List!BS70=DataPaths_Code,1,0)+BR320</f>
        <v>1</v>
      </c>
      <c r="BT320" s="147">
        <f>IF(M2S_Eligibility_List!BT70=DataPaths_Code,1,0)+BS320</f>
        <v>1</v>
      </c>
      <c r="BU320" s="147">
        <f>IF(M2S_Eligibility_List!BU70=DataPaths_Code,1,0)+BT320</f>
        <v>1</v>
      </c>
      <c r="BV320" s="147">
        <f>IF(M2S_Eligibility_List!BV70=DataPaths_Code,1,0)+BU320</f>
        <v>1</v>
      </c>
      <c r="BW320" s="147">
        <f>IF(M2S_Eligibility_List!BW70=DataPaths_Code,1,0)+BV320</f>
        <v>1</v>
      </c>
    </row>
    <row r="321" spans="1:75" ht="20.100000000000001" customHeight="1">
      <c r="A321" s="145"/>
      <c r="B321" s="170" t="str">
        <f>IF(M2S_Eligibility_List!$B71&lt;&gt;"",RIGHT(M2S_Eligibility_List!$B71,LEN(M2S_Eligibility_List!$B71)-LEN(nmADwSP)),0)</f>
        <v>Inventor</v>
      </c>
      <c r="C321" s="147">
        <f>IF(M2S_Eligibility_List!C71=DataPaths_Code,1,0)</f>
        <v>0</v>
      </c>
      <c r="D321" s="147">
        <f>IF(M2S_Eligibility_List!D71=DataPaths_Code,1,0)+C321</f>
        <v>1</v>
      </c>
      <c r="E321" s="147">
        <f>IF(M2S_Eligibility_List!E71=DataPaths_Code,1,0)+D321</f>
        <v>1</v>
      </c>
      <c r="F321" s="147">
        <f>IF(M2S_Eligibility_List!F71=DataPaths_Code,1,0)+E321</f>
        <v>1</v>
      </c>
      <c r="G321" s="147">
        <f>IF(M2S_Eligibility_List!G71=DataPaths_Code,1,0)+F321</f>
        <v>1</v>
      </c>
      <c r="H321" s="147">
        <f>IF(M2S_Eligibility_List!H71=DataPaths_Code,1,0)+G321</f>
        <v>1</v>
      </c>
      <c r="I321" s="147">
        <f>IF(M2S_Eligibility_List!I71=DataPaths_Code,1,0)+H321</f>
        <v>1</v>
      </c>
      <c r="J321" s="147">
        <f>IF(M2S_Eligibility_List!J71=DataPaths_Code,1,0)+I321</f>
        <v>1</v>
      </c>
      <c r="K321" s="147">
        <f>IF(M2S_Eligibility_List!K71=DataPaths_Code,1,0)+J321</f>
        <v>1</v>
      </c>
      <c r="L321" s="147">
        <f>IF(M2S_Eligibility_List!L71=DataPaths_Code,1,0)+K321</f>
        <v>1</v>
      </c>
      <c r="M321" s="147">
        <f>IF(M2S_Eligibility_List!M71=DataPaths_Code,1,0)+L321</f>
        <v>1</v>
      </c>
      <c r="N321" s="147">
        <f>IF(M2S_Eligibility_List!N71=DataPaths_Code,1,0)+M321</f>
        <v>1</v>
      </c>
      <c r="O321" s="147">
        <f>IF(M2S_Eligibility_List!O71=DataPaths_Code,1,0)+N321</f>
        <v>1</v>
      </c>
      <c r="P321" s="147">
        <f>IF(M2S_Eligibility_List!P71=DataPaths_Code,1,0)+O321</f>
        <v>1</v>
      </c>
      <c r="Q321" s="147">
        <f>IF(M2S_Eligibility_List!Q71=DataPaths_Code,1,0)+P321</f>
        <v>1</v>
      </c>
      <c r="R321" s="147">
        <f>IF(M2S_Eligibility_List!R71=DataPaths_Code,1,0)+Q321</f>
        <v>1</v>
      </c>
      <c r="S321" s="147">
        <f>IF(M2S_Eligibility_List!S71=DataPaths_Code,1,0)+R321</f>
        <v>1</v>
      </c>
      <c r="T321" s="147">
        <f>IF(M2S_Eligibility_List!T71=DataPaths_Code,1,0)+S321</f>
        <v>1</v>
      </c>
      <c r="U321" s="147">
        <f>IF(M2S_Eligibility_List!U71=DataPaths_Code,1,0)+T321</f>
        <v>1</v>
      </c>
      <c r="V321" s="147">
        <f>IF(M2S_Eligibility_List!V71=DataPaths_Code,1,0)+U321</f>
        <v>1</v>
      </c>
      <c r="W321" s="147">
        <f>IF(M2S_Eligibility_List!W71=DataPaths_Code,1,0)+V321</f>
        <v>1</v>
      </c>
      <c r="X321" s="147">
        <f>IF(M2S_Eligibility_List!X71=DataPaths_Code,1,0)+W321</f>
        <v>1</v>
      </c>
      <c r="Y321" s="147">
        <f>IF(M2S_Eligibility_List!Y71=DataPaths_Code,1,0)+X321</f>
        <v>1</v>
      </c>
      <c r="Z321" s="147">
        <f>IF(M2S_Eligibility_List!Z71=DataPaths_Code,1,0)+Y321</f>
        <v>1</v>
      </c>
      <c r="AA321" s="147">
        <f>IF(M2S_Eligibility_List!AA71=DataPaths_Code,1,0)+Z321</f>
        <v>1</v>
      </c>
      <c r="AB321" s="147">
        <f>IF(M2S_Eligibility_List!AB71=DataPaths_Code,1,0)+AA321</f>
        <v>2</v>
      </c>
      <c r="AC321" s="147">
        <f>IF(M2S_Eligibility_List!AC71=DataPaths_Code,1,0)+AB321</f>
        <v>2</v>
      </c>
      <c r="AD321" s="147">
        <f>IF(M2S_Eligibility_List!AD71=DataPaths_Code,1,0)+AC321</f>
        <v>2</v>
      </c>
      <c r="AE321" s="147">
        <f>IF(M2S_Eligibility_List!AE71=DataPaths_Code,1,0)+AD321</f>
        <v>2</v>
      </c>
      <c r="AF321" s="147">
        <f>IF(M2S_Eligibility_List!AF71=DataPaths_Code,1,0)+AE321</f>
        <v>2</v>
      </c>
      <c r="AG321" s="147">
        <f>IF(M2S_Eligibility_List!AG71=DataPaths_Code,1,0)+AF321</f>
        <v>2</v>
      </c>
      <c r="AH321" s="147">
        <f>IF(M2S_Eligibility_List!AH71=DataPaths_Code,1,0)+AG321</f>
        <v>2</v>
      </c>
      <c r="AI321" s="147">
        <f>IF(M2S_Eligibility_List!AI71=DataPaths_Code,1,0)+AH321</f>
        <v>2</v>
      </c>
      <c r="AJ321" s="147">
        <f>IF(M2S_Eligibility_List!AJ71=DataPaths_Code,1,0)+AI321</f>
        <v>2</v>
      </c>
      <c r="AK321" s="147">
        <f>IF(M2S_Eligibility_List!AK71=DataPaths_Code,1,0)+AJ321</f>
        <v>2</v>
      </c>
      <c r="AL321" s="147">
        <f>IF(M2S_Eligibility_List!AL71=DataPaths_Code,1,0)+AK321</f>
        <v>2</v>
      </c>
      <c r="AM321" s="147">
        <f>IF(M2S_Eligibility_List!AM71=DataPaths_Code,1,0)+AL321</f>
        <v>2</v>
      </c>
      <c r="AN321" s="147">
        <f>IF(M2S_Eligibility_List!AN71=DataPaths_Code,1,0)+AM321</f>
        <v>2</v>
      </c>
      <c r="AO321" s="147">
        <f>IF(M2S_Eligibility_List!AO71=DataPaths_Code,1,0)+AN321</f>
        <v>2</v>
      </c>
      <c r="AP321" s="147">
        <f>IF(M2S_Eligibility_List!AP71=DataPaths_Code,1,0)+AO321</f>
        <v>2</v>
      </c>
      <c r="AQ321" s="147">
        <f>IF(M2S_Eligibility_List!AQ71=DataPaths_Code,1,0)+AP321</f>
        <v>2</v>
      </c>
      <c r="AR321" s="147">
        <f>IF(M2S_Eligibility_List!AR71=DataPaths_Code,1,0)+AQ321</f>
        <v>2</v>
      </c>
      <c r="AS321" s="147">
        <f>IF(M2S_Eligibility_List!AS71=DataPaths_Code,1,0)+AR321</f>
        <v>2</v>
      </c>
      <c r="AT321" s="147">
        <f>IF(M2S_Eligibility_List!AT71=DataPaths_Code,1,0)+AS321</f>
        <v>2</v>
      </c>
      <c r="AU321" s="147">
        <f>IF(M2S_Eligibility_List!AU71=DataPaths_Code,1,0)+AT321</f>
        <v>2</v>
      </c>
      <c r="AV321" s="147">
        <f>IF(M2S_Eligibility_List!AV71=DataPaths_Code,1,0)+AU321</f>
        <v>2</v>
      </c>
      <c r="AW321" s="147">
        <f>IF(M2S_Eligibility_List!AW71=DataPaths_Code,1,0)+AV321</f>
        <v>2</v>
      </c>
      <c r="AX321" s="147">
        <f>IF(M2S_Eligibility_List!AX71=DataPaths_Code,1,0)+AW321</f>
        <v>2</v>
      </c>
      <c r="AY321" s="147">
        <f>IF(M2S_Eligibility_List!AY71=DataPaths_Code,1,0)+AX321</f>
        <v>2</v>
      </c>
      <c r="AZ321" s="147">
        <f>IF(M2S_Eligibility_List!AZ71=DataPaths_Code,1,0)+AY321</f>
        <v>2</v>
      </c>
      <c r="BA321" s="147">
        <f>IF(M2S_Eligibility_List!BA71=DataPaths_Code,1,0)+AZ321</f>
        <v>2</v>
      </c>
      <c r="BB321" s="147">
        <f>IF(M2S_Eligibility_List!BB71=DataPaths_Code,1,0)+BA321</f>
        <v>2</v>
      </c>
      <c r="BC321" s="147">
        <f>IF(M2S_Eligibility_List!BC71=DataPaths_Code,1,0)+BB321</f>
        <v>2</v>
      </c>
      <c r="BD321" s="147">
        <f>IF(M2S_Eligibility_List!BD71=DataPaths_Code,1,0)+BC321</f>
        <v>2</v>
      </c>
      <c r="BE321" s="147">
        <f>IF(M2S_Eligibility_List!BE71=DataPaths_Code,1,0)+BD321</f>
        <v>2</v>
      </c>
      <c r="BF321" s="147">
        <f>IF(M2S_Eligibility_List!BF71=DataPaths_Code,1,0)+BE321</f>
        <v>2</v>
      </c>
      <c r="BG321" s="147">
        <f>IF(M2S_Eligibility_List!BG71=DataPaths_Code,1,0)+BF321</f>
        <v>2</v>
      </c>
      <c r="BH321" s="147">
        <f>IF(M2S_Eligibility_List!BH71=DataPaths_Code,1,0)+BG321</f>
        <v>2</v>
      </c>
      <c r="BI321" s="147">
        <f>IF(M2S_Eligibility_List!BI71=DataPaths_Code,1,0)+BH321</f>
        <v>2</v>
      </c>
      <c r="BJ321" s="147">
        <f>IF(M2S_Eligibility_List!BJ71=DataPaths_Code,1,0)+BI321</f>
        <v>2</v>
      </c>
      <c r="BK321" s="147">
        <f>IF(M2S_Eligibility_List!BK71=DataPaths_Code,1,0)+BJ321</f>
        <v>2</v>
      </c>
      <c r="BL321" s="147">
        <f>IF(M2S_Eligibility_List!BL71=DataPaths_Code,1,0)+BK321</f>
        <v>2</v>
      </c>
      <c r="BM321" s="147">
        <f>IF(M2S_Eligibility_List!BM71=DataPaths_Code,1,0)+BL321</f>
        <v>2</v>
      </c>
      <c r="BN321" s="147">
        <f>IF(M2S_Eligibility_List!BN71=DataPaths_Code,1,0)+BM321</f>
        <v>2</v>
      </c>
      <c r="BO321" s="147">
        <f>IF(M2S_Eligibility_List!BO71=DataPaths_Code,1,0)+BN321</f>
        <v>2</v>
      </c>
      <c r="BP321" s="147">
        <f>IF(M2S_Eligibility_List!BP71=DataPaths_Code,1,0)+BO321</f>
        <v>2</v>
      </c>
      <c r="BQ321" s="147">
        <f>IF(M2S_Eligibility_List!BQ71=DataPaths_Code,1,0)+BP321</f>
        <v>2</v>
      </c>
      <c r="BR321" s="147">
        <f>IF(M2S_Eligibility_List!BR71=DataPaths_Code,1,0)+BQ321</f>
        <v>2</v>
      </c>
      <c r="BS321" s="147">
        <f>IF(M2S_Eligibility_List!BS71=DataPaths_Code,1,0)+BR321</f>
        <v>2</v>
      </c>
      <c r="BT321" s="147">
        <f>IF(M2S_Eligibility_List!BT71=DataPaths_Code,1,0)+BS321</f>
        <v>2</v>
      </c>
      <c r="BU321" s="147">
        <f>IF(M2S_Eligibility_List!BU71=DataPaths_Code,1,0)+BT321</f>
        <v>2</v>
      </c>
      <c r="BV321" s="147">
        <f>IF(M2S_Eligibility_List!BV71=DataPaths_Code,1,0)+BU321</f>
        <v>2</v>
      </c>
      <c r="BW321" s="147">
        <f>IF(M2S_Eligibility_List!BW71=DataPaths_Code,1,0)+BV321</f>
        <v>2</v>
      </c>
    </row>
    <row r="322" spans="1:75" ht="20.100000000000001" customHeight="1">
      <c r="A322" s="145"/>
      <c r="B322" s="170" t="str">
        <f>IF(M2S_Eligibility_List!$B72&lt;&gt;"",RIGHT(M2S_Eligibility_List!$B72,LEN(M2S_Eligibility_List!$B72)-LEN(nmADwSP)),0)</f>
        <v>Inventor LT</v>
      </c>
      <c r="C322" s="147">
        <f>IF(M2S_Eligibility_List!C72=DataPaths_Code,1,0)</f>
        <v>0</v>
      </c>
      <c r="D322" s="147">
        <f>IF(M2S_Eligibility_List!D72=DataPaths_Code,1,0)+C322</f>
        <v>0</v>
      </c>
      <c r="E322" s="147">
        <f>IF(M2S_Eligibility_List!E72=DataPaths_Code,1,0)+D322</f>
        <v>0</v>
      </c>
      <c r="F322" s="147">
        <f>IF(M2S_Eligibility_List!F72=DataPaths_Code,1,0)+E322</f>
        <v>0</v>
      </c>
      <c r="G322" s="147">
        <f>IF(M2S_Eligibility_List!G72=DataPaths_Code,1,0)+F322</f>
        <v>0</v>
      </c>
      <c r="H322" s="147">
        <f>IF(M2S_Eligibility_List!H72=DataPaths_Code,1,0)+G322</f>
        <v>0</v>
      </c>
      <c r="I322" s="147">
        <f>IF(M2S_Eligibility_List!I72=DataPaths_Code,1,0)+H322</f>
        <v>0</v>
      </c>
      <c r="J322" s="147">
        <f>IF(M2S_Eligibility_List!J72=DataPaths_Code,1,0)+I322</f>
        <v>0</v>
      </c>
      <c r="K322" s="147">
        <f>IF(M2S_Eligibility_List!K72=DataPaths_Code,1,0)+J322</f>
        <v>0</v>
      </c>
      <c r="L322" s="147">
        <f>IF(M2S_Eligibility_List!L72=DataPaths_Code,1,0)+K322</f>
        <v>0</v>
      </c>
      <c r="M322" s="147">
        <f>IF(M2S_Eligibility_List!M72=DataPaths_Code,1,0)+L322</f>
        <v>0</v>
      </c>
      <c r="N322" s="147">
        <f>IF(M2S_Eligibility_List!N72=DataPaths_Code,1,0)+M322</f>
        <v>0</v>
      </c>
      <c r="O322" s="147">
        <f>IF(M2S_Eligibility_List!O72=DataPaths_Code,1,0)+N322</f>
        <v>0</v>
      </c>
      <c r="P322" s="147">
        <f>IF(M2S_Eligibility_List!P72=DataPaths_Code,1,0)+O322</f>
        <v>0</v>
      </c>
      <c r="Q322" s="147">
        <f>IF(M2S_Eligibility_List!Q72=DataPaths_Code,1,0)+P322</f>
        <v>0</v>
      </c>
      <c r="R322" s="147">
        <f>IF(M2S_Eligibility_List!R72=DataPaths_Code,1,0)+Q322</f>
        <v>0</v>
      </c>
      <c r="S322" s="147">
        <f>IF(M2S_Eligibility_List!S72=DataPaths_Code,1,0)+R322</f>
        <v>0</v>
      </c>
      <c r="T322" s="147">
        <f>IF(M2S_Eligibility_List!T72=DataPaths_Code,1,0)+S322</f>
        <v>0</v>
      </c>
      <c r="U322" s="147">
        <f>IF(M2S_Eligibility_List!U72=DataPaths_Code,1,0)+T322</f>
        <v>0</v>
      </c>
      <c r="V322" s="147">
        <f>IF(M2S_Eligibility_List!V72=DataPaths_Code,1,0)+U322</f>
        <v>0</v>
      </c>
      <c r="W322" s="147">
        <f>IF(M2S_Eligibility_List!W72=DataPaths_Code,1,0)+V322</f>
        <v>0</v>
      </c>
      <c r="X322" s="147">
        <f>IF(M2S_Eligibility_List!X72=DataPaths_Code,1,0)+W322</f>
        <v>0</v>
      </c>
      <c r="Y322" s="147">
        <f>IF(M2S_Eligibility_List!Y72=DataPaths_Code,1,0)+X322</f>
        <v>0</v>
      </c>
      <c r="Z322" s="147">
        <f>IF(M2S_Eligibility_List!Z72=DataPaths_Code,1,0)+Y322</f>
        <v>1</v>
      </c>
      <c r="AA322" s="147">
        <f>IF(M2S_Eligibility_List!AA72=DataPaths_Code,1,0)+Z322</f>
        <v>2</v>
      </c>
      <c r="AB322" s="147">
        <f>IF(M2S_Eligibility_List!AB72=DataPaths_Code,1,0)+AA322</f>
        <v>2</v>
      </c>
      <c r="AC322" s="147">
        <f>IF(M2S_Eligibility_List!AC72=DataPaths_Code,1,0)+AB322</f>
        <v>2</v>
      </c>
      <c r="AD322" s="147">
        <f>IF(M2S_Eligibility_List!AD72=DataPaths_Code,1,0)+AC322</f>
        <v>2</v>
      </c>
      <c r="AE322" s="147">
        <f>IF(M2S_Eligibility_List!AE72=DataPaths_Code,1,0)+AD322</f>
        <v>2</v>
      </c>
      <c r="AF322" s="147">
        <f>IF(M2S_Eligibility_List!AF72=DataPaths_Code,1,0)+AE322</f>
        <v>2</v>
      </c>
      <c r="AG322" s="147">
        <f>IF(M2S_Eligibility_List!AG72=DataPaths_Code,1,0)+AF322</f>
        <v>2</v>
      </c>
      <c r="AH322" s="147">
        <f>IF(M2S_Eligibility_List!AH72=DataPaths_Code,1,0)+AG322</f>
        <v>2</v>
      </c>
      <c r="AI322" s="147">
        <f>IF(M2S_Eligibility_List!AI72=DataPaths_Code,1,0)+AH322</f>
        <v>2</v>
      </c>
      <c r="AJ322" s="147">
        <f>IF(M2S_Eligibility_List!AJ72=DataPaths_Code,1,0)+AI322</f>
        <v>2</v>
      </c>
      <c r="AK322" s="147">
        <f>IF(M2S_Eligibility_List!AK72=DataPaths_Code,1,0)+AJ322</f>
        <v>2</v>
      </c>
      <c r="AL322" s="147">
        <f>IF(M2S_Eligibility_List!AL72=DataPaths_Code,1,0)+AK322</f>
        <v>2</v>
      </c>
      <c r="AM322" s="147">
        <f>IF(M2S_Eligibility_List!AM72=DataPaths_Code,1,0)+AL322</f>
        <v>2</v>
      </c>
      <c r="AN322" s="147">
        <f>IF(M2S_Eligibility_List!AN72=DataPaths_Code,1,0)+AM322</f>
        <v>2</v>
      </c>
      <c r="AO322" s="147">
        <f>IF(M2S_Eligibility_List!AO72=DataPaths_Code,1,0)+AN322</f>
        <v>2</v>
      </c>
      <c r="AP322" s="147">
        <f>IF(M2S_Eligibility_List!AP72=DataPaths_Code,1,0)+AO322</f>
        <v>2</v>
      </c>
      <c r="AQ322" s="147">
        <f>IF(M2S_Eligibility_List!AQ72=DataPaths_Code,1,0)+AP322</f>
        <v>2</v>
      </c>
      <c r="AR322" s="147">
        <f>IF(M2S_Eligibility_List!AR72=DataPaths_Code,1,0)+AQ322</f>
        <v>2</v>
      </c>
      <c r="AS322" s="147">
        <f>IF(M2S_Eligibility_List!AS72=DataPaths_Code,1,0)+AR322</f>
        <v>2</v>
      </c>
      <c r="AT322" s="147">
        <f>IF(M2S_Eligibility_List!AT72=DataPaths_Code,1,0)+AS322</f>
        <v>2</v>
      </c>
      <c r="AU322" s="147">
        <f>IF(M2S_Eligibility_List!AU72=DataPaths_Code,1,0)+AT322</f>
        <v>2</v>
      </c>
      <c r="AV322" s="147">
        <f>IF(M2S_Eligibility_List!AV72=DataPaths_Code,1,0)+AU322</f>
        <v>2</v>
      </c>
      <c r="AW322" s="147">
        <f>IF(M2S_Eligibility_List!AW72=DataPaths_Code,1,0)+AV322</f>
        <v>2</v>
      </c>
      <c r="AX322" s="147">
        <f>IF(M2S_Eligibility_List!AX72=DataPaths_Code,1,0)+AW322</f>
        <v>2</v>
      </c>
      <c r="AY322" s="147">
        <f>IF(M2S_Eligibility_List!AY72=DataPaths_Code,1,0)+AX322</f>
        <v>2</v>
      </c>
      <c r="AZ322" s="147">
        <f>IF(M2S_Eligibility_List!AZ72=DataPaths_Code,1,0)+AY322</f>
        <v>2</v>
      </c>
      <c r="BA322" s="147">
        <f>IF(M2S_Eligibility_List!BA72=DataPaths_Code,1,0)+AZ322</f>
        <v>2</v>
      </c>
      <c r="BB322" s="147">
        <f>IF(M2S_Eligibility_List!BB72=DataPaths_Code,1,0)+BA322</f>
        <v>2</v>
      </c>
      <c r="BC322" s="147">
        <f>IF(M2S_Eligibility_List!BC72=DataPaths_Code,1,0)+BB322</f>
        <v>2</v>
      </c>
      <c r="BD322" s="147">
        <f>IF(M2S_Eligibility_List!BD72=DataPaths_Code,1,0)+BC322</f>
        <v>2</v>
      </c>
      <c r="BE322" s="147">
        <f>IF(M2S_Eligibility_List!BE72=DataPaths_Code,1,0)+BD322</f>
        <v>2</v>
      </c>
      <c r="BF322" s="147">
        <f>IF(M2S_Eligibility_List!BF72=DataPaths_Code,1,0)+BE322</f>
        <v>2</v>
      </c>
      <c r="BG322" s="147">
        <f>IF(M2S_Eligibility_List!BG72=DataPaths_Code,1,0)+BF322</f>
        <v>2</v>
      </c>
      <c r="BH322" s="147">
        <f>IF(M2S_Eligibility_List!BH72=DataPaths_Code,1,0)+BG322</f>
        <v>2</v>
      </c>
      <c r="BI322" s="147">
        <f>IF(M2S_Eligibility_List!BI72=DataPaths_Code,1,0)+BH322</f>
        <v>2</v>
      </c>
      <c r="BJ322" s="147">
        <f>IF(M2S_Eligibility_List!BJ72=DataPaths_Code,1,0)+BI322</f>
        <v>2</v>
      </c>
      <c r="BK322" s="147">
        <f>IF(M2S_Eligibility_List!BK72=DataPaths_Code,1,0)+BJ322</f>
        <v>2</v>
      </c>
      <c r="BL322" s="147">
        <f>IF(M2S_Eligibility_List!BL72=DataPaths_Code,1,0)+BK322</f>
        <v>2</v>
      </c>
      <c r="BM322" s="147">
        <f>IF(M2S_Eligibility_List!BM72=DataPaths_Code,1,0)+BL322</f>
        <v>2</v>
      </c>
      <c r="BN322" s="147">
        <f>IF(M2S_Eligibility_List!BN72=DataPaths_Code,1,0)+BM322</f>
        <v>2</v>
      </c>
      <c r="BO322" s="147">
        <f>IF(M2S_Eligibility_List!BO72=DataPaths_Code,1,0)+BN322</f>
        <v>2</v>
      </c>
      <c r="BP322" s="147">
        <f>IF(M2S_Eligibility_List!BP72=DataPaths_Code,1,0)+BO322</f>
        <v>2</v>
      </c>
      <c r="BQ322" s="147">
        <f>IF(M2S_Eligibility_List!BQ72=DataPaths_Code,1,0)+BP322</f>
        <v>2</v>
      </c>
      <c r="BR322" s="147">
        <f>IF(M2S_Eligibility_List!BR72=DataPaths_Code,1,0)+BQ322</f>
        <v>2</v>
      </c>
      <c r="BS322" s="147">
        <f>IF(M2S_Eligibility_List!BS72=DataPaths_Code,1,0)+BR322</f>
        <v>2</v>
      </c>
      <c r="BT322" s="147">
        <f>IF(M2S_Eligibility_List!BT72=DataPaths_Code,1,0)+BS322</f>
        <v>2</v>
      </c>
      <c r="BU322" s="147">
        <f>IF(M2S_Eligibility_List!BU72=DataPaths_Code,1,0)+BT322</f>
        <v>2</v>
      </c>
      <c r="BV322" s="147">
        <f>IF(M2S_Eligibility_List!BV72=DataPaths_Code,1,0)+BU322</f>
        <v>2</v>
      </c>
      <c r="BW322" s="147">
        <f>IF(M2S_Eligibility_List!BW72=DataPaths_Code,1,0)+BV322</f>
        <v>2</v>
      </c>
    </row>
    <row r="323" spans="1:75" ht="20.100000000000001" customHeight="1">
      <c r="A323" s="145"/>
      <c r="B323" s="170" t="str">
        <f>IF(M2S_Eligibility_List!$B73&lt;&gt;"",RIGHT(M2S_Eligibility_List!$B73,LEN(M2S_Eligibility_List!$B73)-LEN(nmADwSP)),0)</f>
        <v>AutoCAD Inventor LT Suite</v>
      </c>
      <c r="C323" s="147">
        <f>IF(M2S_Eligibility_List!C73=DataPaths_Code,1,0)</f>
        <v>0</v>
      </c>
      <c r="D323" s="147">
        <f>IF(M2S_Eligibility_List!D73=DataPaths_Code,1,0)+C323</f>
        <v>0</v>
      </c>
      <c r="E323" s="147">
        <f>IF(M2S_Eligibility_List!E73=DataPaths_Code,1,0)+D323</f>
        <v>0</v>
      </c>
      <c r="F323" s="147">
        <f>IF(M2S_Eligibility_List!F73=DataPaths_Code,1,0)+E323</f>
        <v>0</v>
      </c>
      <c r="G323" s="147">
        <f>IF(M2S_Eligibility_List!G73=DataPaths_Code,1,0)+F323</f>
        <v>0</v>
      </c>
      <c r="H323" s="147">
        <f>IF(M2S_Eligibility_List!H73=DataPaths_Code,1,0)+G323</f>
        <v>0</v>
      </c>
      <c r="I323" s="147">
        <f>IF(M2S_Eligibility_List!I73=DataPaths_Code,1,0)+H323</f>
        <v>0</v>
      </c>
      <c r="J323" s="147">
        <f>IF(M2S_Eligibility_List!J73=DataPaths_Code,1,0)+I323</f>
        <v>0</v>
      </c>
      <c r="K323" s="147">
        <f>IF(M2S_Eligibility_List!K73=DataPaths_Code,1,0)+J323</f>
        <v>0</v>
      </c>
      <c r="L323" s="147">
        <f>IF(M2S_Eligibility_List!L73=DataPaths_Code,1,0)+K323</f>
        <v>0</v>
      </c>
      <c r="M323" s="147">
        <f>IF(M2S_Eligibility_List!M73=DataPaths_Code,1,0)+L323</f>
        <v>0</v>
      </c>
      <c r="N323" s="147">
        <f>IF(M2S_Eligibility_List!N73=DataPaths_Code,1,0)+M323</f>
        <v>0</v>
      </c>
      <c r="O323" s="147">
        <f>IF(M2S_Eligibility_List!O73=DataPaths_Code,1,0)+N323</f>
        <v>0</v>
      </c>
      <c r="P323" s="147">
        <f>IF(M2S_Eligibility_List!P73=DataPaths_Code,1,0)+O323</f>
        <v>0</v>
      </c>
      <c r="Q323" s="147">
        <f>IF(M2S_Eligibility_List!Q73=DataPaths_Code,1,0)+P323</f>
        <v>0</v>
      </c>
      <c r="R323" s="147">
        <f>IF(M2S_Eligibility_List!R73=DataPaths_Code,1,0)+Q323</f>
        <v>0</v>
      </c>
      <c r="S323" s="147">
        <f>IF(M2S_Eligibility_List!S73=DataPaths_Code,1,0)+R323</f>
        <v>0</v>
      </c>
      <c r="T323" s="147">
        <f>IF(M2S_Eligibility_List!T73=DataPaths_Code,1,0)+S323</f>
        <v>0</v>
      </c>
      <c r="U323" s="147">
        <f>IF(M2S_Eligibility_List!U73=DataPaths_Code,1,0)+T323</f>
        <v>0</v>
      </c>
      <c r="V323" s="147">
        <f>IF(M2S_Eligibility_List!V73=DataPaths_Code,1,0)+U323</f>
        <v>0</v>
      </c>
      <c r="W323" s="147">
        <f>IF(M2S_Eligibility_List!W73=DataPaths_Code,1,0)+V323</f>
        <v>0</v>
      </c>
      <c r="X323" s="147">
        <f>IF(M2S_Eligibility_List!X73=DataPaths_Code,1,0)+W323</f>
        <v>0</v>
      </c>
      <c r="Y323" s="147">
        <f>IF(M2S_Eligibility_List!Y73=DataPaths_Code,1,0)+X323</f>
        <v>0</v>
      </c>
      <c r="Z323" s="147">
        <f>IF(M2S_Eligibility_List!Z73=DataPaths_Code,1,0)+Y323</f>
        <v>0</v>
      </c>
      <c r="AA323" s="147">
        <f>IF(M2S_Eligibility_List!AA73=DataPaths_Code,1,0)+Z323</f>
        <v>1</v>
      </c>
      <c r="AB323" s="147">
        <f>IF(M2S_Eligibility_List!AB73=DataPaths_Code,1,0)+AA323</f>
        <v>1</v>
      </c>
      <c r="AC323" s="147">
        <f>IF(M2S_Eligibility_List!AC73=DataPaths_Code,1,0)+AB323</f>
        <v>1</v>
      </c>
      <c r="AD323" s="147">
        <f>IF(M2S_Eligibility_List!AD73=DataPaths_Code,1,0)+AC323</f>
        <v>1</v>
      </c>
      <c r="AE323" s="147">
        <f>IF(M2S_Eligibility_List!AE73=DataPaths_Code,1,0)+AD323</f>
        <v>1</v>
      </c>
      <c r="AF323" s="147">
        <f>IF(M2S_Eligibility_List!AF73=DataPaths_Code,1,0)+AE323</f>
        <v>1</v>
      </c>
      <c r="AG323" s="147">
        <f>IF(M2S_Eligibility_List!AG73=DataPaths_Code,1,0)+AF323</f>
        <v>1</v>
      </c>
      <c r="AH323" s="147">
        <f>IF(M2S_Eligibility_List!AH73=DataPaths_Code,1,0)+AG323</f>
        <v>1</v>
      </c>
      <c r="AI323" s="147">
        <f>IF(M2S_Eligibility_List!AI73=DataPaths_Code,1,0)+AH323</f>
        <v>1</v>
      </c>
      <c r="AJ323" s="147">
        <f>IF(M2S_Eligibility_List!AJ73=DataPaths_Code,1,0)+AI323</f>
        <v>1</v>
      </c>
      <c r="AK323" s="147">
        <f>IF(M2S_Eligibility_List!AK73=DataPaths_Code,1,0)+AJ323</f>
        <v>1</v>
      </c>
      <c r="AL323" s="147">
        <f>IF(M2S_Eligibility_List!AL73=DataPaths_Code,1,0)+AK323</f>
        <v>1</v>
      </c>
      <c r="AM323" s="147">
        <f>IF(M2S_Eligibility_List!AM73=DataPaths_Code,1,0)+AL323</f>
        <v>1</v>
      </c>
      <c r="AN323" s="147">
        <f>IF(M2S_Eligibility_List!AN73=DataPaths_Code,1,0)+AM323</f>
        <v>1</v>
      </c>
      <c r="AO323" s="147">
        <f>IF(M2S_Eligibility_List!AO73=DataPaths_Code,1,0)+AN323</f>
        <v>1</v>
      </c>
      <c r="AP323" s="147">
        <f>IF(M2S_Eligibility_List!AP73=DataPaths_Code,1,0)+AO323</f>
        <v>1</v>
      </c>
      <c r="AQ323" s="147">
        <f>IF(M2S_Eligibility_List!AQ73=DataPaths_Code,1,0)+AP323</f>
        <v>1</v>
      </c>
      <c r="AR323" s="147">
        <f>IF(M2S_Eligibility_List!AR73=DataPaths_Code,1,0)+AQ323</f>
        <v>1</v>
      </c>
      <c r="AS323" s="147">
        <f>IF(M2S_Eligibility_List!AS73=DataPaths_Code,1,0)+AR323</f>
        <v>1</v>
      </c>
      <c r="AT323" s="147">
        <f>IF(M2S_Eligibility_List!AT73=DataPaths_Code,1,0)+AS323</f>
        <v>1</v>
      </c>
      <c r="AU323" s="147">
        <f>IF(M2S_Eligibility_List!AU73=DataPaths_Code,1,0)+AT323</f>
        <v>1</v>
      </c>
      <c r="AV323" s="147">
        <f>IF(M2S_Eligibility_List!AV73=DataPaths_Code,1,0)+AU323</f>
        <v>1</v>
      </c>
      <c r="AW323" s="147">
        <f>IF(M2S_Eligibility_List!AW73=DataPaths_Code,1,0)+AV323</f>
        <v>1</v>
      </c>
      <c r="AX323" s="147">
        <f>IF(M2S_Eligibility_List!AX73=DataPaths_Code,1,0)+AW323</f>
        <v>1</v>
      </c>
      <c r="AY323" s="147">
        <f>IF(M2S_Eligibility_List!AY73=DataPaths_Code,1,0)+AX323</f>
        <v>1</v>
      </c>
      <c r="AZ323" s="147">
        <f>IF(M2S_Eligibility_List!AZ73=DataPaths_Code,1,0)+AY323</f>
        <v>1</v>
      </c>
      <c r="BA323" s="147">
        <f>IF(M2S_Eligibility_List!BA73=DataPaths_Code,1,0)+AZ323</f>
        <v>1</v>
      </c>
      <c r="BB323" s="147">
        <f>IF(M2S_Eligibility_List!BB73=DataPaths_Code,1,0)+BA323</f>
        <v>1</v>
      </c>
      <c r="BC323" s="147">
        <f>IF(M2S_Eligibility_List!BC73=DataPaths_Code,1,0)+BB323</f>
        <v>1</v>
      </c>
      <c r="BD323" s="147">
        <f>IF(M2S_Eligibility_List!BD73=DataPaths_Code,1,0)+BC323</f>
        <v>1</v>
      </c>
      <c r="BE323" s="147">
        <f>IF(M2S_Eligibility_List!BE73=DataPaths_Code,1,0)+BD323</f>
        <v>1</v>
      </c>
      <c r="BF323" s="147">
        <f>IF(M2S_Eligibility_List!BF73=DataPaths_Code,1,0)+BE323</f>
        <v>1</v>
      </c>
      <c r="BG323" s="147">
        <f>IF(M2S_Eligibility_List!BG73=DataPaths_Code,1,0)+BF323</f>
        <v>1</v>
      </c>
      <c r="BH323" s="147">
        <f>IF(M2S_Eligibility_List!BH73=DataPaths_Code,1,0)+BG323</f>
        <v>1</v>
      </c>
      <c r="BI323" s="147">
        <f>IF(M2S_Eligibility_List!BI73=DataPaths_Code,1,0)+BH323</f>
        <v>1</v>
      </c>
      <c r="BJ323" s="147">
        <f>IF(M2S_Eligibility_List!BJ73=DataPaths_Code,1,0)+BI323</f>
        <v>1</v>
      </c>
      <c r="BK323" s="147">
        <f>IF(M2S_Eligibility_List!BK73=DataPaths_Code,1,0)+BJ323</f>
        <v>1</v>
      </c>
      <c r="BL323" s="147">
        <f>IF(M2S_Eligibility_List!BL73=DataPaths_Code,1,0)+BK323</f>
        <v>1</v>
      </c>
      <c r="BM323" s="147">
        <f>IF(M2S_Eligibility_List!BM73=DataPaths_Code,1,0)+BL323</f>
        <v>1</v>
      </c>
      <c r="BN323" s="147">
        <f>IF(M2S_Eligibility_List!BN73=DataPaths_Code,1,0)+BM323</f>
        <v>1</v>
      </c>
      <c r="BO323" s="147">
        <f>IF(M2S_Eligibility_List!BO73=DataPaths_Code,1,0)+BN323</f>
        <v>1</v>
      </c>
      <c r="BP323" s="147">
        <f>IF(M2S_Eligibility_List!BP73=DataPaths_Code,1,0)+BO323</f>
        <v>1</v>
      </c>
      <c r="BQ323" s="147">
        <f>IF(M2S_Eligibility_List!BQ73=DataPaths_Code,1,0)+BP323</f>
        <v>1</v>
      </c>
      <c r="BR323" s="147">
        <f>IF(M2S_Eligibility_List!BR73=DataPaths_Code,1,0)+BQ323</f>
        <v>1</v>
      </c>
      <c r="BS323" s="147">
        <f>IF(M2S_Eligibility_List!BS73=DataPaths_Code,1,0)+BR323</f>
        <v>1</v>
      </c>
      <c r="BT323" s="147">
        <f>IF(M2S_Eligibility_List!BT73=DataPaths_Code,1,0)+BS323</f>
        <v>1</v>
      </c>
      <c r="BU323" s="147">
        <f>IF(M2S_Eligibility_List!BU73=DataPaths_Code,1,0)+BT323</f>
        <v>1</v>
      </c>
      <c r="BV323" s="147">
        <f>IF(M2S_Eligibility_List!BV73=DataPaths_Code,1,0)+BU323</f>
        <v>1</v>
      </c>
      <c r="BW323" s="147">
        <f>IF(M2S_Eligibility_List!BW73=DataPaths_Code,1,0)+BV323</f>
        <v>1</v>
      </c>
    </row>
    <row r="324" spans="1:75" ht="20.100000000000001" customHeight="1">
      <c r="A324" s="145"/>
      <c r="B324" s="170" t="str">
        <f>IF(M2S_Eligibility_List!$B74&lt;&gt;"",RIGHT(M2S_Eligibility_List!$B74,LEN(M2S_Eligibility_List!$B74)-LEN(nmADwSP)),0)</f>
        <v>Inventor Professional</v>
      </c>
      <c r="C324" s="147">
        <f>IF(M2S_Eligibility_List!C74=DataPaths_Code,1,0)</f>
        <v>0</v>
      </c>
      <c r="D324" s="147">
        <f>IF(M2S_Eligibility_List!D74=DataPaths_Code,1,0)+C324</f>
        <v>1</v>
      </c>
      <c r="E324" s="147">
        <f>IF(M2S_Eligibility_List!E74=DataPaths_Code,1,0)+D324</f>
        <v>1</v>
      </c>
      <c r="F324" s="147">
        <f>IF(M2S_Eligibility_List!F74=DataPaths_Code,1,0)+E324</f>
        <v>1</v>
      </c>
      <c r="G324" s="147">
        <f>IF(M2S_Eligibility_List!G74=DataPaths_Code,1,0)+F324</f>
        <v>1</v>
      </c>
      <c r="H324" s="147">
        <f>IF(M2S_Eligibility_List!H74=DataPaths_Code,1,0)+G324</f>
        <v>1</v>
      </c>
      <c r="I324" s="147">
        <f>IF(M2S_Eligibility_List!I74=DataPaths_Code,1,0)+H324</f>
        <v>1</v>
      </c>
      <c r="J324" s="147">
        <f>IF(M2S_Eligibility_List!J74=DataPaths_Code,1,0)+I324</f>
        <v>1</v>
      </c>
      <c r="K324" s="147">
        <f>IF(M2S_Eligibility_List!K74=DataPaths_Code,1,0)+J324</f>
        <v>1</v>
      </c>
      <c r="L324" s="147">
        <f>IF(M2S_Eligibility_List!L74=DataPaths_Code,1,0)+K324</f>
        <v>1</v>
      </c>
      <c r="M324" s="147">
        <f>IF(M2S_Eligibility_List!M74=DataPaths_Code,1,0)+L324</f>
        <v>1</v>
      </c>
      <c r="N324" s="147">
        <f>IF(M2S_Eligibility_List!N74=DataPaths_Code,1,0)+M324</f>
        <v>1</v>
      </c>
      <c r="O324" s="147">
        <f>IF(M2S_Eligibility_List!O74=DataPaths_Code,1,0)+N324</f>
        <v>1</v>
      </c>
      <c r="P324" s="147">
        <f>IF(M2S_Eligibility_List!P74=DataPaths_Code,1,0)+O324</f>
        <v>1</v>
      </c>
      <c r="Q324" s="147">
        <f>IF(M2S_Eligibility_List!Q74=DataPaths_Code,1,0)+P324</f>
        <v>1</v>
      </c>
      <c r="R324" s="147">
        <f>IF(M2S_Eligibility_List!R74=DataPaths_Code,1,0)+Q324</f>
        <v>1</v>
      </c>
      <c r="S324" s="147">
        <f>IF(M2S_Eligibility_List!S74=DataPaths_Code,1,0)+R324</f>
        <v>1</v>
      </c>
      <c r="T324" s="147">
        <f>IF(M2S_Eligibility_List!T74=DataPaths_Code,1,0)+S324</f>
        <v>1</v>
      </c>
      <c r="U324" s="147">
        <f>IF(M2S_Eligibility_List!U74=DataPaths_Code,1,0)+T324</f>
        <v>1</v>
      </c>
      <c r="V324" s="147">
        <f>IF(M2S_Eligibility_List!V74=DataPaths_Code,1,0)+U324</f>
        <v>1</v>
      </c>
      <c r="W324" s="147">
        <f>IF(M2S_Eligibility_List!W74=DataPaths_Code,1,0)+V324</f>
        <v>1</v>
      </c>
      <c r="X324" s="147">
        <f>IF(M2S_Eligibility_List!X74=DataPaths_Code,1,0)+W324</f>
        <v>1</v>
      </c>
      <c r="Y324" s="147">
        <f>IF(M2S_Eligibility_List!Y74=DataPaths_Code,1,0)+X324</f>
        <v>1</v>
      </c>
      <c r="Z324" s="147">
        <f>IF(M2S_Eligibility_List!Z74=DataPaths_Code,1,0)+Y324</f>
        <v>1</v>
      </c>
      <c r="AA324" s="147">
        <f>IF(M2S_Eligibility_List!AA74=DataPaths_Code,1,0)+Z324</f>
        <v>1</v>
      </c>
      <c r="AB324" s="147">
        <f>IF(M2S_Eligibility_List!AB74=DataPaths_Code,1,0)+AA324</f>
        <v>2</v>
      </c>
      <c r="AC324" s="147">
        <f>IF(M2S_Eligibility_List!AC74=DataPaths_Code,1,0)+AB324</f>
        <v>2</v>
      </c>
      <c r="AD324" s="147">
        <f>IF(M2S_Eligibility_List!AD74=DataPaths_Code,1,0)+AC324</f>
        <v>2</v>
      </c>
      <c r="AE324" s="147">
        <f>IF(M2S_Eligibility_List!AE74=DataPaths_Code,1,0)+AD324</f>
        <v>2</v>
      </c>
      <c r="AF324" s="147">
        <f>IF(M2S_Eligibility_List!AF74=DataPaths_Code,1,0)+AE324</f>
        <v>2</v>
      </c>
      <c r="AG324" s="147">
        <f>IF(M2S_Eligibility_List!AG74=DataPaths_Code,1,0)+AF324</f>
        <v>2</v>
      </c>
      <c r="AH324" s="147">
        <f>IF(M2S_Eligibility_List!AH74=DataPaths_Code,1,0)+AG324</f>
        <v>2</v>
      </c>
      <c r="AI324" s="147">
        <f>IF(M2S_Eligibility_List!AI74=DataPaths_Code,1,0)+AH324</f>
        <v>2</v>
      </c>
      <c r="AJ324" s="147">
        <f>IF(M2S_Eligibility_List!AJ74=DataPaths_Code,1,0)+AI324</f>
        <v>2</v>
      </c>
      <c r="AK324" s="147">
        <f>IF(M2S_Eligibility_List!AK74=DataPaths_Code,1,0)+AJ324</f>
        <v>2</v>
      </c>
      <c r="AL324" s="147">
        <f>IF(M2S_Eligibility_List!AL74=DataPaths_Code,1,0)+AK324</f>
        <v>2</v>
      </c>
      <c r="AM324" s="147">
        <f>IF(M2S_Eligibility_List!AM74=DataPaths_Code,1,0)+AL324</f>
        <v>2</v>
      </c>
      <c r="AN324" s="147">
        <f>IF(M2S_Eligibility_List!AN74=DataPaths_Code,1,0)+AM324</f>
        <v>2</v>
      </c>
      <c r="AO324" s="147">
        <f>IF(M2S_Eligibility_List!AO74=DataPaths_Code,1,0)+AN324</f>
        <v>2</v>
      </c>
      <c r="AP324" s="147">
        <f>IF(M2S_Eligibility_List!AP74=DataPaths_Code,1,0)+AO324</f>
        <v>2</v>
      </c>
      <c r="AQ324" s="147">
        <f>IF(M2S_Eligibility_List!AQ74=DataPaths_Code,1,0)+AP324</f>
        <v>2</v>
      </c>
      <c r="AR324" s="147">
        <f>IF(M2S_Eligibility_List!AR74=DataPaths_Code,1,0)+AQ324</f>
        <v>2</v>
      </c>
      <c r="AS324" s="147">
        <f>IF(M2S_Eligibility_List!AS74=DataPaths_Code,1,0)+AR324</f>
        <v>2</v>
      </c>
      <c r="AT324" s="147">
        <f>IF(M2S_Eligibility_List!AT74=DataPaths_Code,1,0)+AS324</f>
        <v>2</v>
      </c>
      <c r="AU324" s="147">
        <f>IF(M2S_Eligibility_List!AU74=DataPaths_Code,1,0)+AT324</f>
        <v>2</v>
      </c>
      <c r="AV324" s="147">
        <f>IF(M2S_Eligibility_List!AV74=DataPaths_Code,1,0)+AU324</f>
        <v>2</v>
      </c>
      <c r="AW324" s="147">
        <f>IF(M2S_Eligibility_List!AW74=DataPaths_Code,1,0)+AV324</f>
        <v>2</v>
      </c>
      <c r="AX324" s="147">
        <f>IF(M2S_Eligibility_List!AX74=DataPaths_Code,1,0)+AW324</f>
        <v>2</v>
      </c>
      <c r="AY324" s="147">
        <f>IF(M2S_Eligibility_List!AY74=DataPaths_Code,1,0)+AX324</f>
        <v>2</v>
      </c>
      <c r="AZ324" s="147">
        <f>IF(M2S_Eligibility_List!AZ74=DataPaths_Code,1,0)+AY324</f>
        <v>2</v>
      </c>
      <c r="BA324" s="147">
        <f>IF(M2S_Eligibility_List!BA74=DataPaths_Code,1,0)+AZ324</f>
        <v>2</v>
      </c>
      <c r="BB324" s="147">
        <f>IF(M2S_Eligibility_List!BB74=DataPaths_Code,1,0)+BA324</f>
        <v>2</v>
      </c>
      <c r="BC324" s="147">
        <f>IF(M2S_Eligibility_List!BC74=DataPaths_Code,1,0)+BB324</f>
        <v>2</v>
      </c>
      <c r="BD324" s="147">
        <f>IF(M2S_Eligibility_List!BD74=DataPaths_Code,1,0)+BC324</f>
        <v>2</v>
      </c>
      <c r="BE324" s="147">
        <f>IF(M2S_Eligibility_List!BE74=DataPaths_Code,1,0)+BD324</f>
        <v>2</v>
      </c>
      <c r="BF324" s="147">
        <f>IF(M2S_Eligibility_List!BF74=DataPaths_Code,1,0)+BE324</f>
        <v>2</v>
      </c>
      <c r="BG324" s="147">
        <f>IF(M2S_Eligibility_List!BG74=DataPaths_Code,1,0)+BF324</f>
        <v>2</v>
      </c>
      <c r="BH324" s="147">
        <f>IF(M2S_Eligibility_List!BH74=DataPaths_Code,1,0)+BG324</f>
        <v>2</v>
      </c>
      <c r="BI324" s="147">
        <f>IF(M2S_Eligibility_List!BI74=DataPaths_Code,1,0)+BH324</f>
        <v>2</v>
      </c>
      <c r="BJ324" s="147">
        <f>IF(M2S_Eligibility_List!BJ74=DataPaths_Code,1,0)+BI324</f>
        <v>2</v>
      </c>
      <c r="BK324" s="147">
        <f>IF(M2S_Eligibility_List!BK74=DataPaths_Code,1,0)+BJ324</f>
        <v>2</v>
      </c>
      <c r="BL324" s="147">
        <f>IF(M2S_Eligibility_List!BL74=DataPaths_Code,1,0)+BK324</f>
        <v>2</v>
      </c>
      <c r="BM324" s="147">
        <f>IF(M2S_Eligibility_List!BM74=DataPaths_Code,1,0)+BL324</f>
        <v>2</v>
      </c>
      <c r="BN324" s="147">
        <f>IF(M2S_Eligibility_List!BN74=DataPaths_Code,1,0)+BM324</f>
        <v>2</v>
      </c>
      <c r="BO324" s="147">
        <f>IF(M2S_Eligibility_List!BO74=DataPaths_Code,1,0)+BN324</f>
        <v>2</v>
      </c>
      <c r="BP324" s="147">
        <f>IF(M2S_Eligibility_List!BP74=DataPaths_Code,1,0)+BO324</f>
        <v>2</v>
      </c>
      <c r="BQ324" s="147">
        <f>IF(M2S_Eligibility_List!BQ74=DataPaths_Code,1,0)+BP324</f>
        <v>2</v>
      </c>
      <c r="BR324" s="147">
        <f>IF(M2S_Eligibility_List!BR74=DataPaths_Code,1,0)+BQ324</f>
        <v>2</v>
      </c>
      <c r="BS324" s="147">
        <f>IF(M2S_Eligibility_List!BS74=DataPaths_Code,1,0)+BR324</f>
        <v>2</v>
      </c>
      <c r="BT324" s="147">
        <f>IF(M2S_Eligibility_List!BT74=DataPaths_Code,1,0)+BS324</f>
        <v>2</v>
      </c>
      <c r="BU324" s="147">
        <f>IF(M2S_Eligibility_List!BU74=DataPaths_Code,1,0)+BT324</f>
        <v>2</v>
      </c>
      <c r="BV324" s="147">
        <f>IF(M2S_Eligibility_List!BV74=DataPaths_Code,1,0)+BU324</f>
        <v>2</v>
      </c>
      <c r="BW324" s="147">
        <f>IF(M2S_Eligibility_List!BW74=DataPaths_Code,1,0)+BV324</f>
        <v>2</v>
      </c>
    </row>
    <row r="325" spans="1:75" ht="20.100000000000001" customHeight="1">
      <c r="A325" s="145"/>
      <c r="B325" s="170" t="str">
        <f>IF(M2S_Eligibility_List!$B75&lt;&gt;"",RIGHT(M2S_Eligibility_List!$B75,LEN(M2S_Eligibility_List!$B75)-LEN(nmADwSP)),0)</f>
        <v>Maya</v>
      </c>
      <c r="C325" s="147">
        <f>IF(M2S_Eligibility_List!C75=DataPaths_Code,1,0)</f>
        <v>0</v>
      </c>
      <c r="D325" s="147">
        <f>IF(M2S_Eligibility_List!D75=DataPaths_Code,1,0)+C325</f>
        <v>0</v>
      </c>
      <c r="E325" s="147">
        <f>IF(M2S_Eligibility_List!E75=DataPaths_Code,1,0)+D325</f>
        <v>1</v>
      </c>
      <c r="F325" s="147">
        <f>IF(M2S_Eligibility_List!F75=DataPaths_Code,1,0)+E325</f>
        <v>1</v>
      </c>
      <c r="G325" s="147">
        <f>IF(M2S_Eligibility_List!G75=DataPaths_Code,1,0)+F325</f>
        <v>1</v>
      </c>
      <c r="H325" s="147">
        <f>IF(M2S_Eligibility_List!H75=DataPaths_Code,1,0)+G325</f>
        <v>1</v>
      </c>
      <c r="I325" s="147">
        <f>IF(M2S_Eligibility_List!I75=DataPaths_Code,1,0)+H325</f>
        <v>1</v>
      </c>
      <c r="J325" s="147">
        <f>IF(M2S_Eligibility_List!J75=DataPaths_Code,1,0)+I325</f>
        <v>1</v>
      </c>
      <c r="K325" s="147">
        <f>IF(M2S_Eligibility_List!K75=DataPaths_Code,1,0)+J325</f>
        <v>1</v>
      </c>
      <c r="L325" s="147">
        <f>IF(M2S_Eligibility_List!L75=DataPaths_Code,1,0)+K325</f>
        <v>1</v>
      </c>
      <c r="M325" s="147">
        <f>IF(M2S_Eligibility_List!M75=DataPaths_Code,1,0)+L325</f>
        <v>1</v>
      </c>
      <c r="N325" s="147">
        <f>IF(M2S_Eligibility_List!N75=DataPaths_Code,1,0)+M325</f>
        <v>1</v>
      </c>
      <c r="O325" s="147">
        <f>IF(M2S_Eligibility_List!O75=DataPaths_Code,1,0)+N325</f>
        <v>1</v>
      </c>
      <c r="P325" s="147">
        <f>IF(M2S_Eligibility_List!P75=DataPaths_Code,1,0)+O325</f>
        <v>1</v>
      </c>
      <c r="Q325" s="147">
        <f>IF(M2S_Eligibility_List!Q75=DataPaths_Code,1,0)+P325</f>
        <v>1</v>
      </c>
      <c r="R325" s="147">
        <f>IF(M2S_Eligibility_List!R75=DataPaths_Code,1,0)+Q325</f>
        <v>1</v>
      </c>
      <c r="S325" s="147">
        <f>IF(M2S_Eligibility_List!S75=DataPaths_Code,1,0)+R325</f>
        <v>1</v>
      </c>
      <c r="T325" s="147">
        <f>IF(M2S_Eligibility_List!T75=DataPaths_Code,1,0)+S325</f>
        <v>1</v>
      </c>
      <c r="U325" s="147">
        <f>IF(M2S_Eligibility_List!U75=DataPaths_Code,1,0)+T325</f>
        <v>1</v>
      </c>
      <c r="V325" s="147">
        <f>IF(M2S_Eligibility_List!V75=DataPaths_Code,1,0)+U325</f>
        <v>1</v>
      </c>
      <c r="W325" s="147">
        <f>IF(M2S_Eligibility_List!W75=DataPaths_Code,1,0)+V325</f>
        <v>1</v>
      </c>
      <c r="X325" s="147">
        <f>IF(M2S_Eligibility_List!X75=DataPaths_Code,1,0)+W325</f>
        <v>1</v>
      </c>
      <c r="Y325" s="147">
        <f>IF(M2S_Eligibility_List!Y75=DataPaths_Code,1,0)+X325</f>
        <v>1</v>
      </c>
      <c r="Z325" s="147">
        <f>IF(M2S_Eligibility_List!Z75=DataPaths_Code,1,0)+Y325</f>
        <v>1</v>
      </c>
      <c r="AA325" s="147">
        <f>IF(M2S_Eligibility_List!AA75=DataPaths_Code,1,0)+Z325</f>
        <v>1</v>
      </c>
      <c r="AB325" s="147">
        <f>IF(M2S_Eligibility_List!AB75=DataPaths_Code,1,0)+AA325</f>
        <v>1</v>
      </c>
      <c r="AC325" s="147">
        <f>IF(M2S_Eligibility_List!AC75=DataPaths_Code,1,0)+AB325</f>
        <v>2</v>
      </c>
      <c r="AD325" s="147">
        <f>IF(M2S_Eligibility_List!AD75=DataPaths_Code,1,0)+AC325</f>
        <v>2</v>
      </c>
      <c r="AE325" s="147">
        <f>IF(M2S_Eligibility_List!AE75=DataPaths_Code,1,0)+AD325</f>
        <v>2</v>
      </c>
      <c r="AF325" s="147">
        <f>IF(M2S_Eligibility_List!AF75=DataPaths_Code,1,0)+AE325</f>
        <v>2</v>
      </c>
      <c r="AG325" s="147">
        <f>IF(M2S_Eligibility_List!AG75=DataPaths_Code,1,0)+AF325</f>
        <v>2</v>
      </c>
      <c r="AH325" s="147">
        <f>IF(M2S_Eligibility_List!AH75=DataPaths_Code,1,0)+AG325</f>
        <v>2</v>
      </c>
      <c r="AI325" s="147">
        <f>IF(M2S_Eligibility_List!AI75=DataPaths_Code,1,0)+AH325</f>
        <v>2</v>
      </c>
      <c r="AJ325" s="147">
        <f>IF(M2S_Eligibility_List!AJ75=DataPaths_Code,1,0)+AI325</f>
        <v>2</v>
      </c>
      <c r="AK325" s="147">
        <f>IF(M2S_Eligibility_List!AK75=DataPaths_Code,1,0)+AJ325</f>
        <v>2</v>
      </c>
      <c r="AL325" s="147">
        <f>IF(M2S_Eligibility_List!AL75=DataPaths_Code,1,0)+AK325</f>
        <v>2</v>
      </c>
      <c r="AM325" s="147">
        <f>IF(M2S_Eligibility_List!AM75=DataPaths_Code,1,0)+AL325</f>
        <v>2</v>
      </c>
      <c r="AN325" s="147">
        <f>IF(M2S_Eligibility_List!AN75=DataPaths_Code,1,0)+AM325</f>
        <v>2</v>
      </c>
      <c r="AO325" s="147">
        <f>IF(M2S_Eligibility_List!AO75=DataPaths_Code,1,0)+AN325</f>
        <v>2</v>
      </c>
      <c r="AP325" s="147">
        <f>IF(M2S_Eligibility_List!AP75=DataPaths_Code,1,0)+AO325</f>
        <v>2</v>
      </c>
      <c r="AQ325" s="147">
        <f>IF(M2S_Eligibility_List!AQ75=DataPaths_Code,1,0)+AP325</f>
        <v>2</v>
      </c>
      <c r="AR325" s="147">
        <f>IF(M2S_Eligibility_List!AR75=DataPaths_Code,1,0)+AQ325</f>
        <v>2</v>
      </c>
      <c r="AS325" s="147">
        <f>IF(M2S_Eligibility_List!AS75=DataPaths_Code,1,0)+AR325</f>
        <v>2</v>
      </c>
      <c r="AT325" s="147">
        <f>IF(M2S_Eligibility_List!AT75=DataPaths_Code,1,0)+AS325</f>
        <v>2</v>
      </c>
      <c r="AU325" s="147">
        <f>IF(M2S_Eligibility_List!AU75=DataPaths_Code,1,0)+AT325</f>
        <v>2</v>
      </c>
      <c r="AV325" s="147">
        <f>IF(M2S_Eligibility_List!AV75=DataPaths_Code,1,0)+AU325</f>
        <v>2</v>
      </c>
      <c r="AW325" s="147">
        <f>IF(M2S_Eligibility_List!AW75=DataPaths_Code,1,0)+AV325</f>
        <v>2</v>
      </c>
      <c r="AX325" s="147">
        <f>IF(M2S_Eligibility_List!AX75=DataPaths_Code,1,0)+AW325</f>
        <v>2</v>
      </c>
      <c r="AY325" s="147">
        <f>IF(M2S_Eligibility_List!AY75=DataPaths_Code,1,0)+AX325</f>
        <v>2</v>
      </c>
      <c r="AZ325" s="147">
        <f>IF(M2S_Eligibility_List!AZ75=DataPaths_Code,1,0)+AY325</f>
        <v>2</v>
      </c>
      <c r="BA325" s="147">
        <f>IF(M2S_Eligibility_List!BA75=DataPaths_Code,1,0)+AZ325</f>
        <v>2</v>
      </c>
      <c r="BB325" s="147">
        <f>IF(M2S_Eligibility_List!BB75=DataPaths_Code,1,0)+BA325</f>
        <v>2</v>
      </c>
      <c r="BC325" s="147">
        <f>IF(M2S_Eligibility_List!BC75=DataPaths_Code,1,0)+BB325</f>
        <v>2</v>
      </c>
      <c r="BD325" s="147">
        <f>IF(M2S_Eligibility_List!BD75=DataPaths_Code,1,0)+BC325</f>
        <v>2</v>
      </c>
      <c r="BE325" s="147">
        <f>IF(M2S_Eligibility_List!BE75=DataPaths_Code,1,0)+BD325</f>
        <v>2</v>
      </c>
      <c r="BF325" s="147">
        <f>IF(M2S_Eligibility_List!BF75=DataPaths_Code,1,0)+BE325</f>
        <v>2</v>
      </c>
      <c r="BG325" s="147">
        <f>IF(M2S_Eligibility_List!BG75=DataPaths_Code,1,0)+BF325</f>
        <v>2</v>
      </c>
      <c r="BH325" s="147">
        <f>IF(M2S_Eligibility_List!BH75=DataPaths_Code,1,0)+BG325</f>
        <v>2</v>
      </c>
      <c r="BI325" s="147">
        <f>IF(M2S_Eligibility_List!BI75=DataPaths_Code,1,0)+BH325</f>
        <v>2</v>
      </c>
      <c r="BJ325" s="147">
        <f>IF(M2S_Eligibility_List!BJ75=DataPaths_Code,1,0)+BI325</f>
        <v>2</v>
      </c>
      <c r="BK325" s="147">
        <f>IF(M2S_Eligibility_List!BK75=DataPaths_Code,1,0)+BJ325</f>
        <v>2</v>
      </c>
      <c r="BL325" s="147">
        <f>IF(M2S_Eligibility_List!BL75=DataPaths_Code,1,0)+BK325</f>
        <v>2</v>
      </c>
      <c r="BM325" s="147">
        <f>IF(M2S_Eligibility_List!BM75=DataPaths_Code,1,0)+BL325</f>
        <v>2</v>
      </c>
      <c r="BN325" s="147">
        <f>IF(M2S_Eligibility_List!BN75=DataPaths_Code,1,0)+BM325</f>
        <v>2</v>
      </c>
      <c r="BO325" s="147">
        <f>IF(M2S_Eligibility_List!BO75=DataPaths_Code,1,0)+BN325</f>
        <v>2</v>
      </c>
      <c r="BP325" s="147">
        <f>IF(M2S_Eligibility_List!BP75=DataPaths_Code,1,0)+BO325</f>
        <v>2</v>
      </c>
      <c r="BQ325" s="147">
        <f>IF(M2S_Eligibility_List!BQ75=DataPaths_Code,1,0)+BP325</f>
        <v>2</v>
      </c>
      <c r="BR325" s="147">
        <f>IF(M2S_Eligibility_List!BR75=DataPaths_Code,1,0)+BQ325</f>
        <v>2</v>
      </c>
      <c r="BS325" s="147">
        <f>IF(M2S_Eligibility_List!BS75=DataPaths_Code,1,0)+BR325</f>
        <v>2</v>
      </c>
      <c r="BT325" s="147">
        <f>IF(M2S_Eligibility_List!BT75=DataPaths_Code,1,0)+BS325</f>
        <v>2</v>
      </c>
      <c r="BU325" s="147">
        <f>IF(M2S_Eligibility_List!BU75=DataPaths_Code,1,0)+BT325</f>
        <v>2</v>
      </c>
      <c r="BV325" s="147">
        <f>IF(M2S_Eligibility_List!BV75=DataPaths_Code,1,0)+BU325</f>
        <v>2</v>
      </c>
      <c r="BW325" s="147">
        <f>IF(M2S_Eligibility_List!BW75=DataPaths_Code,1,0)+BV325</f>
        <v>2</v>
      </c>
    </row>
    <row r="326" spans="1:75" ht="20.100000000000001" customHeight="1">
      <c r="A326" s="145"/>
      <c r="B326" s="170" t="str">
        <f>IF(M2S_Eligibility_List!$B76&lt;&gt;"",RIGHT(M2S_Eligibility_List!$B76,LEN(M2S_Eligibility_List!$B76)-LEN(nmADwSP)),0)</f>
        <v>Maya Entertainment Creation Suite Standard</v>
      </c>
      <c r="C326" s="147">
        <f>IF(M2S_Eligibility_List!C76=DataPaths_Code,1,0)</f>
        <v>0</v>
      </c>
      <c r="D326" s="147">
        <f>IF(M2S_Eligibility_List!D76=DataPaths_Code,1,0)+C326</f>
        <v>0</v>
      </c>
      <c r="E326" s="147">
        <f>IF(M2S_Eligibility_List!E76=DataPaths_Code,1,0)+D326</f>
        <v>1</v>
      </c>
      <c r="F326" s="147">
        <f>IF(M2S_Eligibility_List!F76=DataPaths_Code,1,0)+E326</f>
        <v>1</v>
      </c>
      <c r="G326" s="147">
        <f>IF(M2S_Eligibility_List!G76=DataPaths_Code,1,0)+F326</f>
        <v>1</v>
      </c>
      <c r="H326" s="147">
        <f>IF(M2S_Eligibility_List!H76=DataPaths_Code,1,0)+G326</f>
        <v>1</v>
      </c>
      <c r="I326" s="147">
        <f>IF(M2S_Eligibility_List!I76=DataPaths_Code,1,0)+H326</f>
        <v>1</v>
      </c>
      <c r="J326" s="147">
        <f>IF(M2S_Eligibility_List!J76=DataPaths_Code,1,0)+I326</f>
        <v>1</v>
      </c>
      <c r="K326" s="147">
        <f>IF(M2S_Eligibility_List!K76=DataPaths_Code,1,0)+J326</f>
        <v>1</v>
      </c>
      <c r="L326" s="147">
        <f>IF(M2S_Eligibility_List!L76=DataPaths_Code,1,0)+K326</f>
        <v>1</v>
      </c>
      <c r="M326" s="147">
        <f>IF(M2S_Eligibility_List!M76=DataPaths_Code,1,0)+L326</f>
        <v>1</v>
      </c>
      <c r="N326" s="147">
        <f>IF(M2S_Eligibility_List!N76=DataPaths_Code,1,0)+M326</f>
        <v>1</v>
      </c>
      <c r="O326" s="147">
        <f>IF(M2S_Eligibility_List!O76=DataPaths_Code,1,0)+N326</f>
        <v>1</v>
      </c>
      <c r="P326" s="147">
        <f>IF(M2S_Eligibility_List!P76=DataPaths_Code,1,0)+O326</f>
        <v>1</v>
      </c>
      <c r="Q326" s="147">
        <f>IF(M2S_Eligibility_List!Q76=DataPaths_Code,1,0)+P326</f>
        <v>1</v>
      </c>
      <c r="R326" s="147">
        <f>IF(M2S_Eligibility_List!R76=DataPaths_Code,1,0)+Q326</f>
        <v>1</v>
      </c>
      <c r="S326" s="147">
        <f>IF(M2S_Eligibility_List!S76=DataPaths_Code,1,0)+R326</f>
        <v>1</v>
      </c>
      <c r="T326" s="147">
        <f>IF(M2S_Eligibility_List!T76=DataPaths_Code,1,0)+S326</f>
        <v>1</v>
      </c>
      <c r="U326" s="147">
        <f>IF(M2S_Eligibility_List!U76=DataPaths_Code,1,0)+T326</f>
        <v>1</v>
      </c>
      <c r="V326" s="147">
        <f>IF(M2S_Eligibility_List!V76=DataPaths_Code,1,0)+U326</f>
        <v>1</v>
      </c>
      <c r="W326" s="147">
        <f>IF(M2S_Eligibility_List!W76=DataPaths_Code,1,0)+V326</f>
        <v>1</v>
      </c>
      <c r="X326" s="147">
        <f>IF(M2S_Eligibility_List!X76=DataPaths_Code,1,0)+W326</f>
        <v>1</v>
      </c>
      <c r="Y326" s="147">
        <f>IF(M2S_Eligibility_List!Y76=DataPaths_Code,1,0)+X326</f>
        <v>1</v>
      </c>
      <c r="Z326" s="147">
        <f>IF(M2S_Eligibility_List!Z76=DataPaths_Code,1,0)+Y326</f>
        <v>1</v>
      </c>
      <c r="AA326" s="147">
        <f>IF(M2S_Eligibility_List!AA76=DataPaths_Code,1,0)+Z326</f>
        <v>1</v>
      </c>
      <c r="AB326" s="147">
        <f>IF(M2S_Eligibility_List!AB76=DataPaths_Code,1,0)+AA326</f>
        <v>1</v>
      </c>
      <c r="AC326" s="147">
        <f>IF(M2S_Eligibility_List!AC76=DataPaths_Code,1,0)+AB326</f>
        <v>2</v>
      </c>
      <c r="AD326" s="147">
        <f>IF(M2S_Eligibility_List!AD76=DataPaths_Code,1,0)+AC326</f>
        <v>2</v>
      </c>
      <c r="AE326" s="147">
        <f>IF(M2S_Eligibility_List!AE76=DataPaths_Code,1,0)+AD326</f>
        <v>2</v>
      </c>
      <c r="AF326" s="147">
        <f>IF(M2S_Eligibility_List!AF76=DataPaths_Code,1,0)+AE326</f>
        <v>2</v>
      </c>
      <c r="AG326" s="147">
        <f>IF(M2S_Eligibility_List!AG76=DataPaths_Code,1,0)+AF326</f>
        <v>2</v>
      </c>
      <c r="AH326" s="147">
        <f>IF(M2S_Eligibility_List!AH76=DataPaths_Code,1,0)+AG326</f>
        <v>2</v>
      </c>
      <c r="AI326" s="147">
        <f>IF(M2S_Eligibility_List!AI76=DataPaths_Code,1,0)+AH326</f>
        <v>2</v>
      </c>
      <c r="AJ326" s="147">
        <f>IF(M2S_Eligibility_List!AJ76=DataPaths_Code,1,0)+AI326</f>
        <v>2</v>
      </c>
      <c r="AK326" s="147">
        <f>IF(M2S_Eligibility_List!AK76=DataPaths_Code,1,0)+AJ326</f>
        <v>2</v>
      </c>
      <c r="AL326" s="147">
        <f>IF(M2S_Eligibility_List!AL76=DataPaths_Code,1,0)+AK326</f>
        <v>2</v>
      </c>
      <c r="AM326" s="147">
        <f>IF(M2S_Eligibility_List!AM76=DataPaths_Code,1,0)+AL326</f>
        <v>2</v>
      </c>
      <c r="AN326" s="147">
        <f>IF(M2S_Eligibility_List!AN76=DataPaths_Code,1,0)+AM326</f>
        <v>2</v>
      </c>
      <c r="AO326" s="147">
        <f>IF(M2S_Eligibility_List!AO76=DataPaths_Code,1,0)+AN326</f>
        <v>2</v>
      </c>
      <c r="AP326" s="147">
        <f>IF(M2S_Eligibility_List!AP76=DataPaths_Code,1,0)+AO326</f>
        <v>2</v>
      </c>
      <c r="AQ326" s="147">
        <f>IF(M2S_Eligibility_List!AQ76=DataPaths_Code,1,0)+AP326</f>
        <v>2</v>
      </c>
      <c r="AR326" s="147">
        <f>IF(M2S_Eligibility_List!AR76=DataPaths_Code,1,0)+AQ326</f>
        <v>2</v>
      </c>
      <c r="AS326" s="147">
        <f>IF(M2S_Eligibility_List!AS76=DataPaths_Code,1,0)+AR326</f>
        <v>2</v>
      </c>
      <c r="AT326" s="147">
        <f>IF(M2S_Eligibility_List!AT76=DataPaths_Code,1,0)+AS326</f>
        <v>2</v>
      </c>
      <c r="AU326" s="147">
        <f>IF(M2S_Eligibility_List!AU76=DataPaths_Code,1,0)+AT326</f>
        <v>2</v>
      </c>
      <c r="AV326" s="147">
        <f>IF(M2S_Eligibility_List!AV76=DataPaths_Code,1,0)+AU326</f>
        <v>2</v>
      </c>
      <c r="AW326" s="147">
        <f>IF(M2S_Eligibility_List!AW76=DataPaths_Code,1,0)+AV326</f>
        <v>2</v>
      </c>
      <c r="AX326" s="147">
        <f>IF(M2S_Eligibility_List!AX76=DataPaths_Code,1,0)+AW326</f>
        <v>2</v>
      </c>
      <c r="AY326" s="147">
        <f>IF(M2S_Eligibility_List!AY76=DataPaths_Code,1,0)+AX326</f>
        <v>2</v>
      </c>
      <c r="AZ326" s="147">
        <f>IF(M2S_Eligibility_List!AZ76=DataPaths_Code,1,0)+AY326</f>
        <v>2</v>
      </c>
      <c r="BA326" s="147">
        <f>IF(M2S_Eligibility_List!BA76=DataPaths_Code,1,0)+AZ326</f>
        <v>2</v>
      </c>
      <c r="BB326" s="147">
        <f>IF(M2S_Eligibility_List!BB76=DataPaths_Code,1,0)+BA326</f>
        <v>2</v>
      </c>
      <c r="BC326" s="147">
        <f>IF(M2S_Eligibility_List!BC76=DataPaths_Code,1,0)+BB326</f>
        <v>2</v>
      </c>
      <c r="BD326" s="147">
        <f>IF(M2S_Eligibility_List!BD76=DataPaths_Code,1,0)+BC326</f>
        <v>2</v>
      </c>
      <c r="BE326" s="147">
        <f>IF(M2S_Eligibility_List!BE76=DataPaths_Code,1,0)+BD326</f>
        <v>2</v>
      </c>
      <c r="BF326" s="147">
        <f>IF(M2S_Eligibility_List!BF76=DataPaths_Code,1,0)+BE326</f>
        <v>2</v>
      </c>
      <c r="BG326" s="147">
        <f>IF(M2S_Eligibility_List!BG76=DataPaths_Code,1,0)+BF326</f>
        <v>2</v>
      </c>
      <c r="BH326" s="147">
        <f>IF(M2S_Eligibility_List!BH76=DataPaths_Code,1,0)+BG326</f>
        <v>2</v>
      </c>
      <c r="BI326" s="147">
        <f>IF(M2S_Eligibility_List!BI76=DataPaths_Code,1,0)+BH326</f>
        <v>2</v>
      </c>
      <c r="BJ326" s="147">
        <f>IF(M2S_Eligibility_List!BJ76=DataPaths_Code,1,0)+BI326</f>
        <v>2</v>
      </c>
      <c r="BK326" s="147">
        <f>IF(M2S_Eligibility_List!BK76=DataPaths_Code,1,0)+BJ326</f>
        <v>2</v>
      </c>
      <c r="BL326" s="147">
        <f>IF(M2S_Eligibility_List!BL76=DataPaths_Code,1,0)+BK326</f>
        <v>2</v>
      </c>
      <c r="BM326" s="147">
        <f>IF(M2S_Eligibility_List!BM76=DataPaths_Code,1,0)+BL326</f>
        <v>2</v>
      </c>
      <c r="BN326" s="147">
        <f>IF(M2S_Eligibility_List!BN76=DataPaths_Code,1,0)+BM326</f>
        <v>2</v>
      </c>
      <c r="BO326" s="147">
        <f>IF(M2S_Eligibility_List!BO76=DataPaths_Code,1,0)+BN326</f>
        <v>2</v>
      </c>
      <c r="BP326" s="147">
        <f>IF(M2S_Eligibility_List!BP76=DataPaths_Code,1,0)+BO326</f>
        <v>2</v>
      </c>
      <c r="BQ326" s="147">
        <f>IF(M2S_Eligibility_List!BQ76=DataPaths_Code,1,0)+BP326</f>
        <v>2</v>
      </c>
      <c r="BR326" s="147">
        <f>IF(M2S_Eligibility_List!BR76=DataPaths_Code,1,0)+BQ326</f>
        <v>2</v>
      </c>
      <c r="BS326" s="147">
        <f>IF(M2S_Eligibility_List!BS76=DataPaths_Code,1,0)+BR326</f>
        <v>2</v>
      </c>
      <c r="BT326" s="147">
        <f>IF(M2S_Eligibility_List!BT76=DataPaths_Code,1,0)+BS326</f>
        <v>2</v>
      </c>
      <c r="BU326" s="147">
        <f>IF(M2S_Eligibility_List!BU76=DataPaths_Code,1,0)+BT326</f>
        <v>2</v>
      </c>
      <c r="BV326" s="147">
        <f>IF(M2S_Eligibility_List!BV76=DataPaths_Code,1,0)+BU326</f>
        <v>2</v>
      </c>
      <c r="BW326" s="147">
        <f>IF(M2S_Eligibility_List!BW76=DataPaths_Code,1,0)+BV326</f>
        <v>2</v>
      </c>
    </row>
    <row r="327" spans="1:75" ht="20.100000000000001" customHeight="1">
      <c r="A327" s="145"/>
      <c r="B327" s="170" t="str">
        <f>IF(M2S_Eligibility_List!$B77&lt;&gt;"",RIGHT(M2S_Eligibility_List!$B77,LEN(M2S_Eligibility_List!$B77)-LEN(nmADwSP)),0)</f>
        <v>Maya LT</v>
      </c>
      <c r="C327" s="147">
        <f>IF(M2S_Eligibility_List!C77=DataPaths_Code,1,0)</f>
        <v>0</v>
      </c>
      <c r="D327" s="147">
        <f>IF(M2S_Eligibility_List!D77=DataPaths_Code,1,0)+C327</f>
        <v>0</v>
      </c>
      <c r="E327" s="147">
        <f>IF(M2S_Eligibility_List!E77=DataPaths_Code,1,0)+D327</f>
        <v>0</v>
      </c>
      <c r="F327" s="147">
        <f>IF(M2S_Eligibility_List!F77=DataPaths_Code,1,0)+E327</f>
        <v>0</v>
      </c>
      <c r="G327" s="147">
        <f>IF(M2S_Eligibility_List!G77=DataPaths_Code,1,0)+F327</f>
        <v>0</v>
      </c>
      <c r="H327" s="147">
        <f>IF(M2S_Eligibility_List!H77=DataPaths_Code,1,0)+G327</f>
        <v>0</v>
      </c>
      <c r="I327" s="147">
        <f>IF(M2S_Eligibility_List!I77=DataPaths_Code,1,0)+H327</f>
        <v>0</v>
      </c>
      <c r="J327" s="147">
        <f>IF(M2S_Eligibility_List!J77=DataPaths_Code,1,0)+I327</f>
        <v>0</v>
      </c>
      <c r="K327" s="147">
        <f>IF(M2S_Eligibility_List!K77=DataPaths_Code,1,0)+J327</f>
        <v>0</v>
      </c>
      <c r="L327" s="147">
        <f>IF(M2S_Eligibility_List!L77=DataPaths_Code,1,0)+K327</f>
        <v>0</v>
      </c>
      <c r="M327" s="147">
        <f>IF(M2S_Eligibility_List!M77=DataPaths_Code,1,0)+L327</f>
        <v>0</v>
      </c>
      <c r="N327" s="147">
        <f>IF(M2S_Eligibility_List!N77=DataPaths_Code,1,0)+M327</f>
        <v>0</v>
      </c>
      <c r="O327" s="147">
        <f>IF(M2S_Eligibility_List!O77=DataPaths_Code,1,0)+N327</f>
        <v>0</v>
      </c>
      <c r="P327" s="147">
        <f>IF(M2S_Eligibility_List!P77=DataPaths_Code,1,0)+O327</f>
        <v>0</v>
      </c>
      <c r="Q327" s="147">
        <f>IF(M2S_Eligibility_List!Q77=DataPaths_Code,1,0)+P327</f>
        <v>0</v>
      </c>
      <c r="R327" s="147">
        <f>IF(M2S_Eligibility_List!R77=DataPaths_Code,1,0)+Q327</f>
        <v>0</v>
      </c>
      <c r="S327" s="147">
        <f>IF(M2S_Eligibility_List!S77=DataPaths_Code,1,0)+R327</f>
        <v>0</v>
      </c>
      <c r="T327" s="147">
        <f>IF(M2S_Eligibility_List!T77=DataPaths_Code,1,0)+S327</f>
        <v>0</v>
      </c>
      <c r="U327" s="147">
        <f>IF(M2S_Eligibility_List!U77=DataPaths_Code,1,0)+T327</f>
        <v>0</v>
      </c>
      <c r="V327" s="147">
        <f>IF(M2S_Eligibility_List!V77=DataPaths_Code,1,0)+U327</f>
        <v>0</v>
      </c>
      <c r="W327" s="147">
        <f>IF(M2S_Eligibility_List!W77=DataPaths_Code,1,0)+V327</f>
        <v>0</v>
      </c>
      <c r="X327" s="147">
        <f>IF(M2S_Eligibility_List!X77=DataPaths_Code,1,0)+W327</f>
        <v>0</v>
      </c>
      <c r="Y327" s="147">
        <f>IF(M2S_Eligibility_List!Y77=DataPaths_Code,1,0)+X327</f>
        <v>0</v>
      </c>
      <c r="Z327" s="147">
        <f>IF(M2S_Eligibility_List!Z77=DataPaths_Code,1,0)+Y327</f>
        <v>0</v>
      </c>
      <c r="AA327" s="147">
        <f>IF(M2S_Eligibility_List!AA77=DataPaths_Code,1,0)+Z327</f>
        <v>0</v>
      </c>
      <c r="AB327" s="147">
        <f>IF(M2S_Eligibility_List!AB77=DataPaths_Code,1,0)+AA327</f>
        <v>0</v>
      </c>
      <c r="AC327" s="147">
        <f>IF(M2S_Eligibility_List!AC77=DataPaths_Code,1,0)+AB327</f>
        <v>0</v>
      </c>
      <c r="AD327" s="147">
        <f>IF(M2S_Eligibility_List!AD77=DataPaths_Code,1,0)+AC327</f>
        <v>1</v>
      </c>
      <c r="AE327" s="147">
        <f>IF(M2S_Eligibility_List!AE77=DataPaths_Code,1,0)+AD327</f>
        <v>1</v>
      </c>
      <c r="AF327" s="147">
        <f>IF(M2S_Eligibility_List!AF77=DataPaths_Code,1,0)+AE327</f>
        <v>1</v>
      </c>
      <c r="AG327" s="147">
        <f>IF(M2S_Eligibility_List!AG77=DataPaths_Code,1,0)+AF327</f>
        <v>1</v>
      </c>
      <c r="AH327" s="147">
        <f>IF(M2S_Eligibility_List!AH77=DataPaths_Code,1,0)+AG327</f>
        <v>1</v>
      </c>
      <c r="AI327" s="147">
        <f>IF(M2S_Eligibility_List!AI77=DataPaths_Code,1,0)+AH327</f>
        <v>1</v>
      </c>
      <c r="AJ327" s="147">
        <f>IF(M2S_Eligibility_List!AJ77=DataPaths_Code,1,0)+AI327</f>
        <v>1</v>
      </c>
      <c r="AK327" s="147">
        <f>IF(M2S_Eligibility_List!AK77=DataPaths_Code,1,0)+AJ327</f>
        <v>1</v>
      </c>
      <c r="AL327" s="147">
        <f>IF(M2S_Eligibility_List!AL77=DataPaths_Code,1,0)+AK327</f>
        <v>1</v>
      </c>
      <c r="AM327" s="147">
        <f>IF(M2S_Eligibility_List!AM77=DataPaths_Code,1,0)+AL327</f>
        <v>1</v>
      </c>
      <c r="AN327" s="147">
        <f>IF(M2S_Eligibility_List!AN77=DataPaths_Code,1,0)+AM327</f>
        <v>1</v>
      </c>
      <c r="AO327" s="147">
        <f>IF(M2S_Eligibility_List!AO77=DataPaths_Code,1,0)+AN327</f>
        <v>1</v>
      </c>
      <c r="AP327" s="147">
        <f>IF(M2S_Eligibility_List!AP77=DataPaths_Code,1,0)+AO327</f>
        <v>1</v>
      </c>
      <c r="AQ327" s="147">
        <f>IF(M2S_Eligibility_List!AQ77=DataPaths_Code,1,0)+AP327</f>
        <v>1</v>
      </c>
      <c r="AR327" s="147">
        <f>IF(M2S_Eligibility_List!AR77=DataPaths_Code,1,0)+AQ327</f>
        <v>1</v>
      </c>
      <c r="AS327" s="147">
        <f>IF(M2S_Eligibility_List!AS77=DataPaths_Code,1,0)+AR327</f>
        <v>1</v>
      </c>
      <c r="AT327" s="147">
        <f>IF(M2S_Eligibility_List!AT77=DataPaths_Code,1,0)+AS327</f>
        <v>1</v>
      </c>
      <c r="AU327" s="147">
        <f>IF(M2S_Eligibility_List!AU77=DataPaths_Code,1,0)+AT327</f>
        <v>1</v>
      </c>
      <c r="AV327" s="147">
        <f>IF(M2S_Eligibility_List!AV77=DataPaths_Code,1,0)+AU327</f>
        <v>1</v>
      </c>
      <c r="AW327" s="147">
        <f>IF(M2S_Eligibility_List!AW77=DataPaths_Code,1,0)+AV327</f>
        <v>1</v>
      </c>
      <c r="AX327" s="147">
        <f>IF(M2S_Eligibility_List!AX77=DataPaths_Code,1,0)+AW327</f>
        <v>1</v>
      </c>
      <c r="AY327" s="147">
        <f>IF(M2S_Eligibility_List!AY77=DataPaths_Code,1,0)+AX327</f>
        <v>1</v>
      </c>
      <c r="AZ327" s="147">
        <f>IF(M2S_Eligibility_List!AZ77=DataPaths_Code,1,0)+AY327</f>
        <v>1</v>
      </c>
      <c r="BA327" s="147">
        <f>IF(M2S_Eligibility_List!BA77=DataPaths_Code,1,0)+AZ327</f>
        <v>1</v>
      </c>
      <c r="BB327" s="147">
        <f>IF(M2S_Eligibility_List!BB77=DataPaths_Code,1,0)+BA327</f>
        <v>1</v>
      </c>
      <c r="BC327" s="147">
        <f>IF(M2S_Eligibility_List!BC77=DataPaths_Code,1,0)+BB327</f>
        <v>1</v>
      </c>
      <c r="BD327" s="147">
        <f>IF(M2S_Eligibility_List!BD77=DataPaths_Code,1,0)+BC327</f>
        <v>1</v>
      </c>
      <c r="BE327" s="147">
        <f>IF(M2S_Eligibility_List!BE77=DataPaths_Code,1,0)+BD327</f>
        <v>1</v>
      </c>
      <c r="BF327" s="147">
        <f>IF(M2S_Eligibility_List!BF77=DataPaths_Code,1,0)+BE327</f>
        <v>1</v>
      </c>
      <c r="BG327" s="147">
        <f>IF(M2S_Eligibility_List!BG77=DataPaths_Code,1,0)+BF327</f>
        <v>1</v>
      </c>
      <c r="BH327" s="147">
        <f>IF(M2S_Eligibility_List!BH77=DataPaths_Code,1,0)+BG327</f>
        <v>1</v>
      </c>
      <c r="BI327" s="147">
        <f>IF(M2S_Eligibility_List!BI77=DataPaths_Code,1,0)+BH327</f>
        <v>1</v>
      </c>
      <c r="BJ327" s="147">
        <f>IF(M2S_Eligibility_List!BJ77=DataPaths_Code,1,0)+BI327</f>
        <v>1</v>
      </c>
      <c r="BK327" s="147">
        <f>IF(M2S_Eligibility_List!BK77=DataPaths_Code,1,0)+BJ327</f>
        <v>1</v>
      </c>
      <c r="BL327" s="147">
        <f>IF(M2S_Eligibility_List!BL77=DataPaths_Code,1,0)+BK327</f>
        <v>1</v>
      </c>
      <c r="BM327" s="147">
        <f>IF(M2S_Eligibility_List!BM77=DataPaths_Code,1,0)+BL327</f>
        <v>1</v>
      </c>
      <c r="BN327" s="147">
        <f>IF(M2S_Eligibility_List!BN77=DataPaths_Code,1,0)+BM327</f>
        <v>1</v>
      </c>
      <c r="BO327" s="147">
        <f>IF(M2S_Eligibility_List!BO77=DataPaths_Code,1,0)+BN327</f>
        <v>1</v>
      </c>
      <c r="BP327" s="147">
        <f>IF(M2S_Eligibility_List!BP77=DataPaths_Code,1,0)+BO327</f>
        <v>1</v>
      </c>
      <c r="BQ327" s="147">
        <f>IF(M2S_Eligibility_List!BQ77=DataPaths_Code,1,0)+BP327</f>
        <v>1</v>
      </c>
      <c r="BR327" s="147">
        <f>IF(M2S_Eligibility_List!BR77=DataPaths_Code,1,0)+BQ327</f>
        <v>1</v>
      </c>
      <c r="BS327" s="147">
        <f>IF(M2S_Eligibility_List!BS77=DataPaths_Code,1,0)+BR327</f>
        <v>1</v>
      </c>
      <c r="BT327" s="147">
        <f>IF(M2S_Eligibility_List!BT77=DataPaths_Code,1,0)+BS327</f>
        <v>1</v>
      </c>
      <c r="BU327" s="147">
        <f>IF(M2S_Eligibility_List!BU77=DataPaths_Code,1,0)+BT327</f>
        <v>1</v>
      </c>
      <c r="BV327" s="147">
        <f>IF(M2S_Eligibility_List!BV77=DataPaths_Code,1,0)+BU327</f>
        <v>1</v>
      </c>
      <c r="BW327" s="147">
        <f>IF(M2S_Eligibility_List!BW77=DataPaths_Code,1,0)+BV327</f>
        <v>1</v>
      </c>
    </row>
    <row r="328" spans="1:75" ht="20.100000000000001" customHeight="1">
      <c r="A328" s="145"/>
      <c r="B328" s="170" t="str">
        <f>IF(M2S_Eligibility_List!$B78&lt;&gt;"",RIGHT(M2S_Eligibility_List!$B78,LEN(M2S_Eligibility_List!$B78)-LEN(nmADwSP)),0)</f>
        <v>Maya with Softimage</v>
      </c>
      <c r="C328" s="147">
        <f>IF(M2S_Eligibility_List!C78=DataPaths_Code,1,0)</f>
        <v>0</v>
      </c>
      <c r="D328" s="147">
        <f>IF(M2S_Eligibility_List!D78=DataPaths_Code,1,0)+C328</f>
        <v>0</v>
      </c>
      <c r="E328" s="147">
        <f>IF(M2S_Eligibility_List!E78=DataPaths_Code,1,0)+D328</f>
        <v>1</v>
      </c>
      <c r="F328" s="147">
        <f>IF(M2S_Eligibility_List!F78=DataPaths_Code,1,0)+E328</f>
        <v>1</v>
      </c>
      <c r="G328" s="147">
        <f>IF(M2S_Eligibility_List!G78=DataPaths_Code,1,0)+F328</f>
        <v>1</v>
      </c>
      <c r="H328" s="147">
        <f>IF(M2S_Eligibility_List!H78=DataPaths_Code,1,0)+G328</f>
        <v>1</v>
      </c>
      <c r="I328" s="147">
        <f>IF(M2S_Eligibility_List!I78=DataPaths_Code,1,0)+H328</f>
        <v>1</v>
      </c>
      <c r="J328" s="147">
        <f>IF(M2S_Eligibility_List!J78=DataPaths_Code,1,0)+I328</f>
        <v>1</v>
      </c>
      <c r="K328" s="147">
        <f>IF(M2S_Eligibility_List!K78=DataPaths_Code,1,0)+J328</f>
        <v>1</v>
      </c>
      <c r="L328" s="147">
        <f>IF(M2S_Eligibility_List!L78=DataPaths_Code,1,0)+K328</f>
        <v>1</v>
      </c>
      <c r="M328" s="147">
        <f>IF(M2S_Eligibility_List!M78=DataPaths_Code,1,0)+L328</f>
        <v>1</v>
      </c>
      <c r="N328" s="147">
        <f>IF(M2S_Eligibility_List!N78=DataPaths_Code,1,0)+M328</f>
        <v>1</v>
      </c>
      <c r="O328" s="147">
        <f>IF(M2S_Eligibility_List!O78=DataPaths_Code,1,0)+N328</f>
        <v>1</v>
      </c>
      <c r="P328" s="147">
        <f>IF(M2S_Eligibility_List!P78=DataPaths_Code,1,0)+O328</f>
        <v>1</v>
      </c>
      <c r="Q328" s="147">
        <f>IF(M2S_Eligibility_List!Q78=DataPaths_Code,1,0)+P328</f>
        <v>1</v>
      </c>
      <c r="R328" s="147">
        <f>IF(M2S_Eligibility_List!R78=DataPaths_Code,1,0)+Q328</f>
        <v>1</v>
      </c>
      <c r="S328" s="147">
        <f>IF(M2S_Eligibility_List!S78=DataPaths_Code,1,0)+R328</f>
        <v>1</v>
      </c>
      <c r="T328" s="147">
        <f>IF(M2S_Eligibility_List!T78=DataPaths_Code,1,0)+S328</f>
        <v>1</v>
      </c>
      <c r="U328" s="147">
        <f>IF(M2S_Eligibility_List!U78=DataPaths_Code,1,0)+T328</f>
        <v>1</v>
      </c>
      <c r="V328" s="147">
        <f>IF(M2S_Eligibility_List!V78=DataPaths_Code,1,0)+U328</f>
        <v>1</v>
      </c>
      <c r="W328" s="147">
        <f>IF(M2S_Eligibility_List!W78=DataPaths_Code,1,0)+V328</f>
        <v>1</v>
      </c>
      <c r="X328" s="147">
        <f>IF(M2S_Eligibility_List!X78=DataPaths_Code,1,0)+W328</f>
        <v>1</v>
      </c>
      <c r="Y328" s="147">
        <f>IF(M2S_Eligibility_List!Y78=DataPaths_Code,1,0)+X328</f>
        <v>1</v>
      </c>
      <c r="Z328" s="147">
        <f>IF(M2S_Eligibility_List!Z78=DataPaths_Code,1,0)+Y328</f>
        <v>1</v>
      </c>
      <c r="AA328" s="147">
        <f>IF(M2S_Eligibility_List!AA78=DataPaths_Code,1,0)+Z328</f>
        <v>1</v>
      </c>
      <c r="AB328" s="147">
        <f>IF(M2S_Eligibility_List!AB78=DataPaths_Code,1,0)+AA328</f>
        <v>1</v>
      </c>
      <c r="AC328" s="147">
        <f>IF(M2S_Eligibility_List!AC78=DataPaths_Code,1,0)+AB328</f>
        <v>2</v>
      </c>
      <c r="AD328" s="147">
        <f>IF(M2S_Eligibility_List!AD78=DataPaths_Code,1,0)+AC328</f>
        <v>2</v>
      </c>
      <c r="AE328" s="147">
        <f>IF(M2S_Eligibility_List!AE78=DataPaths_Code,1,0)+AD328</f>
        <v>2</v>
      </c>
      <c r="AF328" s="147">
        <f>IF(M2S_Eligibility_List!AF78=DataPaths_Code,1,0)+AE328</f>
        <v>2</v>
      </c>
      <c r="AG328" s="147">
        <f>IF(M2S_Eligibility_List!AG78=DataPaths_Code,1,0)+AF328</f>
        <v>2</v>
      </c>
      <c r="AH328" s="147">
        <f>IF(M2S_Eligibility_List!AH78=DataPaths_Code,1,0)+AG328</f>
        <v>2</v>
      </c>
      <c r="AI328" s="147">
        <f>IF(M2S_Eligibility_List!AI78=DataPaths_Code,1,0)+AH328</f>
        <v>2</v>
      </c>
      <c r="AJ328" s="147">
        <f>IF(M2S_Eligibility_List!AJ78=DataPaths_Code,1,0)+AI328</f>
        <v>2</v>
      </c>
      <c r="AK328" s="147">
        <f>IF(M2S_Eligibility_List!AK78=DataPaths_Code,1,0)+AJ328</f>
        <v>2</v>
      </c>
      <c r="AL328" s="147">
        <f>IF(M2S_Eligibility_List!AL78=DataPaths_Code,1,0)+AK328</f>
        <v>2</v>
      </c>
      <c r="AM328" s="147">
        <f>IF(M2S_Eligibility_List!AM78=DataPaths_Code,1,0)+AL328</f>
        <v>2</v>
      </c>
      <c r="AN328" s="147">
        <f>IF(M2S_Eligibility_List!AN78=DataPaths_Code,1,0)+AM328</f>
        <v>2</v>
      </c>
      <c r="AO328" s="147">
        <f>IF(M2S_Eligibility_List!AO78=DataPaths_Code,1,0)+AN328</f>
        <v>2</v>
      </c>
      <c r="AP328" s="147">
        <f>IF(M2S_Eligibility_List!AP78=DataPaths_Code,1,0)+AO328</f>
        <v>2</v>
      </c>
      <c r="AQ328" s="147">
        <f>IF(M2S_Eligibility_List!AQ78=DataPaths_Code,1,0)+AP328</f>
        <v>2</v>
      </c>
      <c r="AR328" s="147">
        <f>IF(M2S_Eligibility_List!AR78=DataPaths_Code,1,0)+AQ328</f>
        <v>2</v>
      </c>
      <c r="AS328" s="147">
        <f>IF(M2S_Eligibility_List!AS78=DataPaths_Code,1,0)+AR328</f>
        <v>2</v>
      </c>
      <c r="AT328" s="147">
        <f>IF(M2S_Eligibility_List!AT78=DataPaths_Code,1,0)+AS328</f>
        <v>2</v>
      </c>
      <c r="AU328" s="147">
        <f>IF(M2S_Eligibility_List!AU78=DataPaths_Code,1,0)+AT328</f>
        <v>2</v>
      </c>
      <c r="AV328" s="147">
        <f>IF(M2S_Eligibility_List!AV78=DataPaths_Code,1,0)+AU328</f>
        <v>2</v>
      </c>
      <c r="AW328" s="147">
        <f>IF(M2S_Eligibility_List!AW78=DataPaths_Code,1,0)+AV328</f>
        <v>2</v>
      </c>
      <c r="AX328" s="147">
        <f>IF(M2S_Eligibility_List!AX78=DataPaths_Code,1,0)+AW328</f>
        <v>2</v>
      </c>
      <c r="AY328" s="147">
        <f>IF(M2S_Eligibility_List!AY78=DataPaths_Code,1,0)+AX328</f>
        <v>2</v>
      </c>
      <c r="AZ328" s="147">
        <f>IF(M2S_Eligibility_List!AZ78=DataPaths_Code,1,0)+AY328</f>
        <v>2</v>
      </c>
      <c r="BA328" s="147">
        <f>IF(M2S_Eligibility_List!BA78=DataPaths_Code,1,0)+AZ328</f>
        <v>2</v>
      </c>
      <c r="BB328" s="147">
        <f>IF(M2S_Eligibility_List!BB78=DataPaths_Code,1,0)+BA328</f>
        <v>2</v>
      </c>
      <c r="BC328" s="147">
        <f>IF(M2S_Eligibility_List!BC78=DataPaths_Code,1,0)+BB328</f>
        <v>2</v>
      </c>
      <c r="BD328" s="147">
        <f>IF(M2S_Eligibility_List!BD78=DataPaths_Code,1,0)+BC328</f>
        <v>2</v>
      </c>
      <c r="BE328" s="147">
        <f>IF(M2S_Eligibility_List!BE78=DataPaths_Code,1,0)+BD328</f>
        <v>2</v>
      </c>
      <c r="BF328" s="147">
        <f>IF(M2S_Eligibility_List!BF78=DataPaths_Code,1,0)+BE328</f>
        <v>2</v>
      </c>
      <c r="BG328" s="147">
        <f>IF(M2S_Eligibility_List!BG78=DataPaths_Code,1,0)+BF328</f>
        <v>2</v>
      </c>
      <c r="BH328" s="147">
        <f>IF(M2S_Eligibility_List!BH78=DataPaths_Code,1,0)+BG328</f>
        <v>2</v>
      </c>
      <c r="BI328" s="147">
        <f>IF(M2S_Eligibility_List!BI78=DataPaths_Code,1,0)+BH328</f>
        <v>2</v>
      </c>
      <c r="BJ328" s="147">
        <f>IF(M2S_Eligibility_List!BJ78=DataPaths_Code,1,0)+BI328</f>
        <v>2</v>
      </c>
      <c r="BK328" s="147">
        <f>IF(M2S_Eligibility_List!BK78=DataPaths_Code,1,0)+BJ328</f>
        <v>2</v>
      </c>
      <c r="BL328" s="147">
        <f>IF(M2S_Eligibility_List!BL78=DataPaths_Code,1,0)+BK328</f>
        <v>2</v>
      </c>
      <c r="BM328" s="147">
        <f>IF(M2S_Eligibility_List!BM78=DataPaths_Code,1,0)+BL328</f>
        <v>2</v>
      </c>
      <c r="BN328" s="147">
        <f>IF(M2S_Eligibility_List!BN78=DataPaths_Code,1,0)+BM328</f>
        <v>2</v>
      </c>
      <c r="BO328" s="147">
        <f>IF(M2S_Eligibility_List!BO78=DataPaths_Code,1,0)+BN328</f>
        <v>2</v>
      </c>
      <c r="BP328" s="147">
        <f>IF(M2S_Eligibility_List!BP78=DataPaths_Code,1,0)+BO328</f>
        <v>2</v>
      </c>
      <c r="BQ328" s="147">
        <f>IF(M2S_Eligibility_List!BQ78=DataPaths_Code,1,0)+BP328</f>
        <v>2</v>
      </c>
      <c r="BR328" s="147">
        <f>IF(M2S_Eligibility_List!BR78=DataPaths_Code,1,0)+BQ328</f>
        <v>2</v>
      </c>
      <c r="BS328" s="147">
        <f>IF(M2S_Eligibility_List!BS78=DataPaths_Code,1,0)+BR328</f>
        <v>2</v>
      </c>
      <c r="BT328" s="147">
        <f>IF(M2S_Eligibility_List!BT78=DataPaths_Code,1,0)+BS328</f>
        <v>2</v>
      </c>
      <c r="BU328" s="147">
        <f>IF(M2S_Eligibility_List!BU78=DataPaths_Code,1,0)+BT328</f>
        <v>2</v>
      </c>
      <c r="BV328" s="147">
        <f>IF(M2S_Eligibility_List!BV78=DataPaths_Code,1,0)+BU328</f>
        <v>2</v>
      </c>
      <c r="BW328" s="147">
        <f>IF(M2S_Eligibility_List!BW78=DataPaths_Code,1,0)+BV328</f>
        <v>2</v>
      </c>
    </row>
    <row r="329" spans="1:75" ht="20.100000000000001" customHeight="1">
      <c r="A329" s="145"/>
      <c r="B329" s="170" t="str">
        <f>IF(M2S_Eligibility_List!$B79&lt;&gt;"",RIGHT(M2S_Eligibility_List!$B79,LEN(M2S_Eligibility_List!$B79)-LEN(nmADwSP)),0)</f>
        <v>Moldflow Adviser Premium</v>
      </c>
      <c r="C329" s="147">
        <f>IF(M2S_Eligibility_List!C79=DataPaths_Code,1,0)</f>
        <v>0</v>
      </c>
      <c r="D329" s="147">
        <f>IF(M2S_Eligibility_List!D79=DataPaths_Code,1,0)+C329</f>
        <v>0</v>
      </c>
      <c r="E329" s="147">
        <f>IF(M2S_Eligibility_List!E79=DataPaths_Code,1,0)+D329</f>
        <v>0</v>
      </c>
      <c r="F329" s="147">
        <f>IF(M2S_Eligibility_List!F79=DataPaths_Code,1,0)+E329</f>
        <v>0</v>
      </c>
      <c r="G329" s="147">
        <f>IF(M2S_Eligibility_List!G79=DataPaths_Code,1,0)+F329</f>
        <v>0</v>
      </c>
      <c r="H329" s="147">
        <f>IF(M2S_Eligibility_List!H79=DataPaths_Code,1,0)+G329</f>
        <v>0</v>
      </c>
      <c r="I329" s="147">
        <f>IF(M2S_Eligibility_List!I79=DataPaths_Code,1,0)+H329</f>
        <v>0</v>
      </c>
      <c r="J329" s="147">
        <f>IF(M2S_Eligibility_List!J79=DataPaths_Code,1,0)+I329</f>
        <v>0</v>
      </c>
      <c r="K329" s="147">
        <f>IF(M2S_Eligibility_List!K79=DataPaths_Code,1,0)+J329</f>
        <v>0</v>
      </c>
      <c r="L329" s="147">
        <f>IF(M2S_Eligibility_List!L79=DataPaths_Code,1,0)+K329</f>
        <v>0</v>
      </c>
      <c r="M329" s="147">
        <f>IF(M2S_Eligibility_List!M79=DataPaths_Code,1,0)+L329</f>
        <v>0</v>
      </c>
      <c r="N329" s="147">
        <f>IF(M2S_Eligibility_List!N79=DataPaths_Code,1,0)+M329</f>
        <v>0</v>
      </c>
      <c r="O329" s="147">
        <f>IF(M2S_Eligibility_List!O79=DataPaths_Code,1,0)+N329</f>
        <v>0</v>
      </c>
      <c r="P329" s="147">
        <f>IF(M2S_Eligibility_List!P79=DataPaths_Code,1,0)+O329</f>
        <v>0</v>
      </c>
      <c r="Q329" s="147">
        <f>IF(M2S_Eligibility_List!Q79=DataPaths_Code,1,0)+P329</f>
        <v>0</v>
      </c>
      <c r="R329" s="147">
        <f>IF(M2S_Eligibility_List!R79=DataPaths_Code,1,0)+Q329</f>
        <v>0</v>
      </c>
      <c r="S329" s="147">
        <f>IF(M2S_Eligibility_List!S79=DataPaths_Code,1,0)+R329</f>
        <v>0</v>
      </c>
      <c r="T329" s="147">
        <f>IF(M2S_Eligibility_List!T79=DataPaths_Code,1,0)+S329</f>
        <v>0</v>
      </c>
      <c r="U329" s="147">
        <f>IF(M2S_Eligibility_List!U79=DataPaths_Code,1,0)+T329</f>
        <v>0</v>
      </c>
      <c r="V329" s="147">
        <f>IF(M2S_Eligibility_List!V79=DataPaths_Code,1,0)+U329</f>
        <v>0</v>
      </c>
      <c r="W329" s="147">
        <f>IF(M2S_Eligibility_List!W79=DataPaths_Code,1,0)+V329</f>
        <v>0</v>
      </c>
      <c r="X329" s="147">
        <f>IF(M2S_Eligibility_List!X79=DataPaths_Code,1,0)+W329</f>
        <v>0</v>
      </c>
      <c r="Y329" s="147">
        <f>IF(M2S_Eligibility_List!Y79=DataPaths_Code,1,0)+X329</f>
        <v>0</v>
      </c>
      <c r="Z329" s="147">
        <f>IF(M2S_Eligibility_List!Z79=DataPaths_Code,1,0)+Y329</f>
        <v>0</v>
      </c>
      <c r="AA329" s="147">
        <f>IF(M2S_Eligibility_List!AA79=DataPaths_Code,1,0)+Z329</f>
        <v>0</v>
      </c>
      <c r="AB329" s="147">
        <f>IF(M2S_Eligibility_List!AB79=DataPaths_Code,1,0)+AA329</f>
        <v>0</v>
      </c>
      <c r="AC329" s="147">
        <f>IF(M2S_Eligibility_List!AC79=DataPaths_Code,1,0)+AB329</f>
        <v>0</v>
      </c>
      <c r="AD329" s="147">
        <f>IF(M2S_Eligibility_List!AD79=DataPaths_Code,1,0)+AC329</f>
        <v>0</v>
      </c>
      <c r="AE329" s="147">
        <f>IF(M2S_Eligibility_List!AE79=DataPaths_Code,1,0)+AD329</f>
        <v>1</v>
      </c>
      <c r="AF329" s="147">
        <f>IF(M2S_Eligibility_List!AF79=DataPaths_Code,1,0)+AE329</f>
        <v>2</v>
      </c>
      <c r="AG329" s="147">
        <f>IF(M2S_Eligibility_List!AG79=DataPaths_Code,1,0)+AF329</f>
        <v>3</v>
      </c>
      <c r="AH329" s="147">
        <f>IF(M2S_Eligibility_List!AH79=DataPaths_Code,1,0)+AG329</f>
        <v>4</v>
      </c>
      <c r="AI329" s="147">
        <f>IF(M2S_Eligibility_List!AI79=DataPaths_Code,1,0)+AH329</f>
        <v>5</v>
      </c>
      <c r="AJ329" s="147">
        <f>IF(M2S_Eligibility_List!AJ79=DataPaths_Code,1,0)+AI329</f>
        <v>5</v>
      </c>
      <c r="AK329" s="147">
        <f>IF(M2S_Eligibility_List!AK79=DataPaths_Code,1,0)+AJ329</f>
        <v>5</v>
      </c>
      <c r="AL329" s="147">
        <f>IF(M2S_Eligibility_List!AL79=DataPaths_Code,1,0)+AK329</f>
        <v>5</v>
      </c>
      <c r="AM329" s="147">
        <f>IF(M2S_Eligibility_List!AM79=DataPaths_Code,1,0)+AL329</f>
        <v>5</v>
      </c>
      <c r="AN329" s="147">
        <f>IF(M2S_Eligibility_List!AN79=DataPaths_Code,1,0)+AM329</f>
        <v>5</v>
      </c>
      <c r="AO329" s="147">
        <f>IF(M2S_Eligibility_List!AO79=DataPaths_Code,1,0)+AN329</f>
        <v>5</v>
      </c>
      <c r="AP329" s="147">
        <f>IF(M2S_Eligibility_List!AP79=DataPaths_Code,1,0)+AO329</f>
        <v>5</v>
      </c>
      <c r="AQ329" s="147">
        <f>IF(M2S_Eligibility_List!AQ79=DataPaths_Code,1,0)+AP329</f>
        <v>5</v>
      </c>
      <c r="AR329" s="147">
        <f>IF(M2S_Eligibility_List!AR79=DataPaths_Code,1,0)+AQ329</f>
        <v>5</v>
      </c>
      <c r="AS329" s="147">
        <f>IF(M2S_Eligibility_List!AS79=DataPaths_Code,1,0)+AR329</f>
        <v>5</v>
      </c>
      <c r="AT329" s="147">
        <f>IF(M2S_Eligibility_List!AT79=DataPaths_Code,1,0)+AS329</f>
        <v>5</v>
      </c>
      <c r="AU329" s="147">
        <f>IF(M2S_Eligibility_List!AU79=DataPaths_Code,1,0)+AT329</f>
        <v>5</v>
      </c>
      <c r="AV329" s="147">
        <f>IF(M2S_Eligibility_List!AV79=DataPaths_Code,1,0)+AU329</f>
        <v>5</v>
      </c>
      <c r="AW329" s="147">
        <f>IF(M2S_Eligibility_List!AW79=DataPaths_Code,1,0)+AV329</f>
        <v>5</v>
      </c>
      <c r="AX329" s="147">
        <f>IF(M2S_Eligibility_List!AX79=DataPaths_Code,1,0)+AW329</f>
        <v>5</v>
      </c>
      <c r="AY329" s="147">
        <f>IF(M2S_Eligibility_List!AY79=DataPaths_Code,1,0)+AX329</f>
        <v>5</v>
      </c>
      <c r="AZ329" s="147">
        <f>IF(M2S_Eligibility_List!AZ79=DataPaths_Code,1,0)+AY329</f>
        <v>5</v>
      </c>
      <c r="BA329" s="147">
        <f>IF(M2S_Eligibility_List!BA79=DataPaths_Code,1,0)+AZ329</f>
        <v>5</v>
      </c>
      <c r="BB329" s="147">
        <f>IF(M2S_Eligibility_List!BB79=DataPaths_Code,1,0)+BA329</f>
        <v>5</v>
      </c>
      <c r="BC329" s="147">
        <f>IF(M2S_Eligibility_List!BC79=DataPaths_Code,1,0)+BB329</f>
        <v>5</v>
      </c>
      <c r="BD329" s="147">
        <f>IF(M2S_Eligibility_List!BD79=DataPaths_Code,1,0)+BC329</f>
        <v>5</v>
      </c>
      <c r="BE329" s="147">
        <f>IF(M2S_Eligibility_List!BE79=DataPaths_Code,1,0)+BD329</f>
        <v>5</v>
      </c>
      <c r="BF329" s="147">
        <f>IF(M2S_Eligibility_List!BF79=DataPaths_Code,1,0)+BE329</f>
        <v>5</v>
      </c>
      <c r="BG329" s="147">
        <f>IF(M2S_Eligibility_List!BG79=DataPaths_Code,1,0)+BF329</f>
        <v>5</v>
      </c>
      <c r="BH329" s="147">
        <f>IF(M2S_Eligibility_List!BH79=DataPaths_Code,1,0)+BG329</f>
        <v>5</v>
      </c>
      <c r="BI329" s="147">
        <f>IF(M2S_Eligibility_List!BI79=DataPaths_Code,1,0)+BH329</f>
        <v>5</v>
      </c>
      <c r="BJ329" s="147">
        <f>IF(M2S_Eligibility_List!BJ79=DataPaths_Code,1,0)+BI329</f>
        <v>5</v>
      </c>
      <c r="BK329" s="147">
        <f>IF(M2S_Eligibility_List!BK79=DataPaths_Code,1,0)+BJ329</f>
        <v>5</v>
      </c>
      <c r="BL329" s="147">
        <f>IF(M2S_Eligibility_List!BL79=DataPaths_Code,1,0)+BK329</f>
        <v>5</v>
      </c>
      <c r="BM329" s="147">
        <f>IF(M2S_Eligibility_List!BM79=DataPaths_Code,1,0)+BL329</f>
        <v>5</v>
      </c>
      <c r="BN329" s="147">
        <f>IF(M2S_Eligibility_List!BN79=DataPaths_Code,1,0)+BM329</f>
        <v>5</v>
      </c>
      <c r="BO329" s="147">
        <f>IF(M2S_Eligibility_List!BO79=DataPaths_Code,1,0)+BN329</f>
        <v>5</v>
      </c>
      <c r="BP329" s="147">
        <f>IF(M2S_Eligibility_List!BP79=DataPaths_Code,1,0)+BO329</f>
        <v>5</v>
      </c>
      <c r="BQ329" s="147">
        <f>IF(M2S_Eligibility_List!BQ79=DataPaths_Code,1,0)+BP329</f>
        <v>5</v>
      </c>
      <c r="BR329" s="147">
        <f>IF(M2S_Eligibility_List!BR79=DataPaths_Code,1,0)+BQ329</f>
        <v>5</v>
      </c>
      <c r="BS329" s="147">
        <f>IF(M2S_Eligibility_List!BS79=DataPaths_Code,1,0)+BR329</f>
        <v>5</v>
      </c>
      <c r="BT329" s="147">
        <f>IF(M2S_Eligibility_List!BT79=DataPaths_Code,1,0)+BS329</f>
        <v>5</v>
      </c>
      <c r="BU329" s="147">
        <f>IF(M2S_Eligibility_List!BU79=DataPaths_Code,1,0)+BT329</f>
        <v>5</v>
      </c>
      <c r="BV329" s="147">
        <f>IF(M2S_Eligibility_List!BV79=DataPaths_Code,1,0)+BU329</f>
        <v>5</v>
      </c>
      <c r="BW329" s="147">
        <f>IF(M2S_Eligibility_List!BW79=DataPaths_Code,1,0)+BV329</f>
        <v>5</v>
      </c>
    </row>
    <row r="330" spans="1:75" ht="20.100000000000001" customHeight="1">
      <c r="A330" s="145"/>
      <c r="B330" s="170" t="str">
        <f>IF(M2S_Eligibility_List!$B80&lt;&gt;"",RIGHT(M2S_Eligibility_List!$B80,LEN(M2S_Eligibility_List!$B80)-LEN(nmADwSP)),0)</f>
        <v>Moldflow Adviser Ultimate</v>
      </c>
      <c r="C330" s="147">
        <f>IF(M2S_Eligibility_List!C80=DataPaths_Code,1,0)</f>
        <v>0</v>
      </c>
      <c r="D330" s="147">
        <f>IF(M2S_Eligibility_List!D80=DataPaths_Code,1,0)+C330</f>
        <v>0</v>
      </c>
      <c r="E330" s="147">
        <f>IF(M2S_Eligibility_List!E80=DataPaths_Code,1,0)+D330</f>
        <v>0</v>
      </c>
      <c r="F330" s="147">
        <f>IF(M2S_Eligibility_List!F80=DataPaths_Code,1,0)+E330</f>
        <v>0</v>
      </c>
      <c r="G330" s="147">
        <f>IF(M2S_Eligibility_List!G80=DataPaths_Code,1,0)+F330</f>
        <v>0</v>
      </c>
      <c r="H330" s="147">
        <f>IF(M2S_Eligibility_List!H80=DataPaths_Code,1,0)+G330</f>
        <v>0</v>
      </c>
      <c r="I330" s="147">
        <f>IF(M2S_Eligibility_List!I80=DataPaths_Code,1,0)+H330</f>
        <v>0</v>
      </c>
      <c r="J330" s="147">
        <f>IF(M2S_Eligibility_List!J80=DataPaths_Code,1,0)+I330</f>
        <v>0</v>
      </c>
      <c r="K330" s="147">
        <f>IF(M2S_Eligibility_List!K80=DataPaths_Code,1,0)+J330</f>
        <v>0</v>
      </c>
      <c r="L330" s="147">
        <f>IF(M2S_Eligibility_List!L80=DataPaths_Code,1,0)+K330</f>
        <v>0</v>
      </c>
      <c r="M330" s="147">
        <f>IF(M2S_Eligibility_List!M80=DataPaths_Code,1,0)+L330</f>
        <v>0</v>
      </c>
      <c r="N330" s="147">
        <f>IF(M2S_Eligibility_List!N80=DataPaths_Code,1,0)+M330</f>
        <v>0</v>
      </c>
      <c r="O330" s="147">
        <f>IF(M2S_Eligibility_List!O80=DataPaths_Code,1,0)+N330</f>
        <v>0</v>
      </c>
      <c r="P330" s="147">
        <f>IF(M2S_Eligibility_List!P80=DataPaths_Code,1,0)+O330</f>
        <v>0</v>
      </c>
      <c r="Q330" s="147">
        <f>IF(M2S_Eligibility_List!Q80=DataPaths_Code,1,0)+P330</f>
        <v>0</v>
      </c>
      <c r="R330" s="147">
        <f>IF(M2S_Eligibility_List!R80=DataPaths_Code,1,0)+Q330</f>
        <v>0</v>
      </c>
      <c r="S330" s="147">
        <f>IF(M2S_Eligibility_List!S80=DataPaths_Code,1,0)+R330</f>
        <v>0</v>
      </c>
      <c r="T330" s="147">
        <f>IF(M2S_Eligibility_List!T80=DataPaths_Code,1,0)+S330</f>
        <v>0</v>
      </c>
      <c r="U330" s="147">
        <f>IF(M2S_Eligibility_List!U80=DataPaths_Code,1,0)+T330</f>
        <v>0</v>
      </c>
      <c r="V330" s="147">
        <f>IF(M2S_Eligibility_List!V80=DataPaths_Code,1,0)+U330</f>
        <v>0</v>
      </c>
      <c r="W330" s="147">
        <f>IF(M2S_Eligibility_List!W80=DataPaths_Code,1,0)+V330</f>
        <v>0</v>
      </c>
      <c r="X330" s="147">
        <f>IF(M2S_Eligibility_List!X80=DataPaths_Code,1,0)+W330</f>
        <v>0</v>
      </c>
      <c r="Y330" s="147">
        <f>IF(M2S_Eligibility_List!Y80=DataPaths_Code,1,0)+X330</f>
        <v>0</v>
      </c>
      <c r="Z330" s="147">
        <f>IF(M2S_Eligibility_List!Z80=DataPaths_Code,1,0)+Y330</f>
        <v>0</v>
      </c>
      <c r="AA330" s="147">
        <f>IF(M2S_Eligibility_List!AA80=DataPaths_Code,1,0)+Z330</f>
        <v>0</v>
      </c>
      <c r="AB330" s="147">
        <f>IF(M2S_Eligibility_List!AB80=DataPaths_Code,1,0)+AA330</f>
        <v>0</v>
      </c>
      <c r="AC330" s="147">
        <f>IF(M2S_Eligibility_List!AC80=DataPaths_Code,1,0)+AB330</f>
        <v>0</v>
      </c>
      <c r="AD330" s="147">
        <f>IF(M2S_Eligibility_List!AD80=DataPaths_Code,1,0)+AC330</f>
        <v>0</v>
      </c>
      <c r="AE330" s="147">
        <f>IF(M2S_Eligibility_List!AE80=DataPaths_Code,1,0)+AD330</f>
        <v>0</v>
      </c>
      <c r="AF330" s="147">
        <f>IF(M2S_Eligibility_List!AF80=DataPaths_Code,1,0)+AE330</f>
        <v>1</v>
      </c>
      <c r="AG330" s="147">
        <f>IF(M2S_Eligibility_List!AG80=DataPaths_Code,1,0)+AF330</f>
        <v>2</v>
      </c>
      <c r="AH330" s="147">
        <f>IF(M2S_Eligibility_List!AH80=DataPaths_Code,1,0)+AG330</f>
        <v>3</v>
      </c>
      <c r="AI330" s="147">
        <f>IF(M2S_Eligibility_List!AI80=DataPaths_Code,1,0)+AH330</f>
        <v>4</v>
      </c>
      <c r="AJ330" s="147">
        <f>IF(M2S_Eligibility_List!AJ80=DataPaths_Code,1,0)+AI330</f>
        <v>4</v>
      </c>
      <c r="AK330" s="147">
        <f>IF(M2S_Eligibility_List!AK80=DataPaths_Code,1,0)+AJ330</f>
        <v>4</v>
      </c>
      <c r="AL330" s="147">
        <f>IF(M2S_Eligibility_List!AL80=DataPaths_Code,1,0)+AK330</f>
        <v>4</v>
      </c>
      <c r="AM330" s="147">
        <f>IF(M2S_Eligibility_List!AM80=DataPaths_Code,1,0)+AL330</f>
        <v>4</v>
      </c>
      <c r="AN330" s="147">
        <f>IF(M2S_Eligibility_List!AN80=DataPaths_Code,1,0)+AM330</f>
        <v>4</v>
      </c>
      <c r="AO330" s="147">
        <f>IF(M2S_Eligibility_List!AO80=DataPaths_Code,1,0)+AN330</f>
        <v>4</v>
      </c>
      <c r="AP330" s="147">
        <f>IF(M2S_Eligibility_List!AP80=DataPaths_Code,1,0)+AO330</f>
        <v>4</v>
      </c>
      <c r="AQ330" s="147">
        <f>IF(M2S_Eligibility_List!AQ80=DataPaths_Code,1,0)+AP330</f>
        <v>4</v>
      </c>
      <c r="AR330" s="147">
        <f>IF(M2S_Eligibility_List!AR80=DataPaths_Code,1,0)+AQ330</f>
        <v>4</v>
      </c>
      <c r="AS330" s="147">
        <f>IF(M2S_Eligibility_List!AS80=DataPaths_Code,1,0)+AR330</f>
        <v>4</v>
      </c>
      <c r="AT330" s="147">
        <f>IF(M2S_Eligibility_List!AT80=DataPaths_Code,1,0)+AS330</f>
        <v>4</v>
      </c>
      <c r="AU330" s="147">
        <f>IF(M2S_Eligibility_List!AU80=DataPaths_Code,1,0)+AT330</f>
        <v>4</v>
      </c>
      <c r="AV330" s="147">
        <f>IF(M2S_Eligibility_List!AV80=DataPaths_Code,1,0)+AU330</f>
        <v>4</v>
      </c>
      <c r="AW330" s="147">
        <f>IF(M2S_Eligibility_List!AW80=DataPaths_Code,1,0)+AV330</f>
        <v>4</v>
      </c>
      <c r="AX330" s="147">
        <f>IF(M2S_Eligibility_List!AX80=DataPaths_Code,1,0)+AW330</f>
        <v>4</v>
      </c>
      <c r="AY330" s="147">
        <f>IF(M2S_Eligibility_List!AY80=DataPaths_Code,1,0)+AX330</f>
        <v>4</v>
      </c>
      <c r="AZ330" s="147">
        <f>IF(M2S_Eligibility_List!AZ80=DataPaths_Code,1,0)+AY330</f>
        <v>4</v>
      </c>
      <c r="BA330" s="147">
        <f>IF(M2S_Eligibility_List!BA80=DataPaths_Code,1,0)+AZ330</f>
        <v>4</v>
      </c>
      <c r="BB330" s="147">
        <f>IF(M2S_Eligibility_List!BB80=DataPaths_Code,1,0)+BA330</f>
        <v>4</v>
      </c>
      <c r="BC330" s="147">
        <f>IF(M2S_Eligibility_List!BC80=DataPaths_Code,1,0)+BB330</f>
        <v>4</v>
      </c>
      <c r="BD330" s="147">
        <f>IF(M2S_Eligibility_List!BD80=DataPaths_Code,1,0)+BC330</f>
        <v>4</v>
      </c>
      <c r="BE330" s="147">
        <f>IF(M2S_Eligibility_List!BE80=DataPaths_Code,1,0)+BD330</f>
        <v>4</v>
      </c>
      <c r="BF330" s="147">
        <f>IF(M2S_Eligibility_List!BF80=DataPaths_Code,1,0)+BE330</f>
        <v>4</v>
      </c>
      <c r="BG330" s="147">
        <f>IF(M2S_Eligibility_List!BG80=DataPaths_Code,1,0)+BF330</f>
        <v>4</v>
      </c>
      <c r="BH330" s="147">
        <f>IF(M2S_Eligibility_List!BH80=DataPaths_Code,1,0)+BG330</f>
        <v>4</v>
      </c>
      <c r="BI330" s="147">
        <f>IF(M2S_Eligibility_List!BI80=DataPaths_Code,1,0)+BH330</f>
        <v>4</v>
      </c>
      <c r="BJ330" s="147">
        <f>IF(M2S_Eligibility_List!BJ80=DataPaths_Code,1,0)+BI330</f>
        <v>4</v>
      </c>
      <c r="BK330" s="147">
        <f>IF(M2S_Eligibility_List!BK80=DataPaths_Code,1,0)+BJ330</f>
        <v>4</v>
      </c>
      <c r="BL330" s="147">
        <f>IF(M2S_Eligibility_List!BL80=DataPaths_Code,1,0)+BK330</f>
        <v>4</v>
      </c>
      <c r="BM330" s="147">
        <f>IF(M2S_Eligibility_List!BM80=DataPaths_Code,1,0)+BL330</f>
        <v>4</v>
      </c>
      <c r="BN330" s="147">
        <f>IF(M2S_Eligibility_List!BN80=DataPaths_Code,1,0)+BM330</f>
        <v>4</v>
      </c>
      <c r="BO330" s="147">
        <f>IF(M2S_Eligibility_List!BO80=DataPaths_Code,1,0)+BN330</f>
        <v>4</v>
      </c>
      <c r="BP330" s="147">
        <f>IF(M2S_Eligibility_List!BP80=DataPaths_Code,1,0)+BO330</f>
        <v>4</v>
      </c>
      <c r="BQ330" s="147">
        <f>IF(M2S_Eligibility_List!BQ80=DataPaths_Code,1,0)+BP330</f>
        <v>4</v>
      </c>
      <c r="BR330" s="147">
        <f>IF(M2S_Eligibility_List!BR80=DataPaths_Code,1,0)+BQ330</f>
        <v>4</v>
      </c>
      <c r="BS330" s="147">
        <f>IF(M2S_Eligibility_List!BS80=DataPaths_Code,1,0)+BR330</f>
        <v>4</v>
      </c>
      <c r="BT330" s="147">
        <f>IF(M2S_Eligibility_List!BT80=DataPaths_Code,1,0)+BS330</f>
        <v>4</v>
      </c>
      <c r="BU330" s="147">
        <f>IF(M2S_Eligibility_List!BU80=DataPaths_Code,1,0)+BT330</f>
        <v>4</v>
      </c>
      <c r="BV330" s="147">
        <f>IF(M2S_Eligibility_List!BV80=DataPaths_Code,1,0)+BU330</f>
        <v>4</v>
      </c>
      <c r="BW330" s="147">
        <f>IF(M2S_Eligibility_List!BW80=DataPaths_Code,1,0)+BV330</f>
        <v>4</v>
      </c>
    </row>
    <row r="331" spans="1:75" ht="20.100000000000001" customHeight="1">
      <c r="A331" s="145"/>
      <c r="B331" s="170" t="str">
        <f>IF(M2S_Eligibility_List!$B81&lt;&gt;"",RIGHT(M2S_Eligibility_List!$B81,LEN(M2S_Eligibility_List!$B81)-LEN(nmADwSP)),0)</f>
        <v>Moldflow Insight Premium</v>
      </c>
      <c r="C331" s="147">
        <f>IF(M2S_Eligibility_List!C81=DataPaths_Code,1,0)</f>
        <v>0</v>
      </c>
      <c r="D331" s="147">
        <f>IF(M2S_Eligibility_List!D81=DataPaths_Code,1,0)+C331</f>
        <v>0</v>
      </c>
      <c r="E331" s="147">
        <f>IF(M2S_Eligibility_List!E81=DataPaths_Code,1,0)+D331</f>
        <v>0</v>
      </c>
      <c r="F331" s="147">
        <f>IF(M2S_Eligibility_List!F81=DataPaths_Code,1,0)+E331</f>
        <v>0</v>
      </c>
      <c r="G331" s="147">
        <f>IF(M2S_Eligibility_List!G81=DataPaths_Code,1,0)+F331</f>
        <v>0</v>
      </c>
      <c r="H331" s="147">
        <f>IF(M2S_Eligibility_List!H81=DataPaths_Code,1,0)+G331</f>
        <v>0</v>
      </c>
      <c r="I331" s="147">
        <f>IF(M2S_Eligibility_List!I81=DataPaths_Code,1,0)+H331</f>
        <v>0</v>
      </c>
      <c r="J331" s="147">
        <f>IF(M2S_Eligibility_List!J81=DataPaths_Code,1,0)+I331</f>
        <v>0</v>
      </c>
      <c r="K331" s="147">
        <f>IF(M2S_Eligibility_List!K81=DataPaths_Code,1,0)+J331</f>
        <v>0</v>
      </c>
      <c r="L331" s="147">
        <f>IF(M2S_Eligibility_List!L81=DataPaths_Code,1,0)+K331</f>
        <v>0</v>
      </c>
      <c r="M331" s="147">
        <f>IF(M2S_Eligibility_List!M81=DataPaths_Code,1,0)+L331</f>
        <v>0</v>
      </c>
      <c r="N331" s="147">
        <f>IF(M2S_Eligibility_List!N81=DataPaths_Code,1,0)+M331</f>
        <v>0</v>
      </c>
      <c r="O331" s="147">
        <f>IF(M2S_Eligibility_List!O81=DataPaths_Code,1,0)+N331</f>
        <v>0</v>
      </c>
      <c r="P331" s="147">
        <f>IF(M2S_Eligibility_List!P81=DataPaths_Code,1,0)+O331</f>
        <v>0</v>
      </c>
      <c r="Q331" s="147">
        <f>IF(M2S_Eligibility_List!Q81=DataPaths_Code,1,0)+P331</f>
        <v>0</v>
      </c>
      <c r="R331" s="147">
        <f>IF(M2S_Eligibility_List!R81=DataPaths_Code,1,0)+Q331</f>
        <v>0</v>
      </c>
      <c r="S331" s="147">
        <f>IF(M2S_Eligibility_List!S81=DataPaths_Code,1,0)+R331</f>
        <v>0</v>
      </c>
      <c r="T331" s="147">
        <f>IF(M2S_Eligibility_List!T81=DataPaths_Code,1,0)+S331</f>
        <v>0</v>
      </c>
      <c r="U331" s="147">
        <f>IF(M2S_Eligibility_List!U81=DataPaths_Code,1,0)+T331</f>
        <v>0</v>
      </c>
      <c r="V331" s="147">
        <f>IF(M2S_Eligibility_List!V81=DataPaths_Code,1,0)+U331</f>
        <v>0</v>
      </c>
      <c r="W331" s="147">
        <f>IF(M2S_Eligibility_List!W81=DataPaths_Code,1,0)+V331</f>
        <v>0</v>
      </c>
      <c r="X331" s="147">
        <f>IF(M2S_Eligibility_List!X81=DataPaths_Code,1,0)+W331</f>
        <v>0</v>
      </c>
      <c r="Y331" s="147">
        <f>IF(M2S_Eligibility_List!Y81=DataPaths_Code,1,0)+X331</f>
        <v>0</v>
      </c>
      <c r="Z331" s="147">
        <f>IF(M2S_Eligibility_List!Z81=DataPaths_Code,1,0)+Y331</f>
        <v>0</v>
      </c>
      <c r="AA331" s="147">
        <f>IF(M2S_Eligibility_List!AA81=DataPaths_Code,1,0)+Z331</f>
        <v>0</v>
      </c>
      <c r="AB331" s="147">
        <f>IF(M2S_Eligibility_List!AB81=DataPaths_Code,1,0)+AA331</f>
        <v>0</v>
      </c>
      <c r="AC331" s="147">
        <f>IF(M2S_Eligibility_List!AC81=DataPaths_Code,1,0)+AB331</f>
        <v>0</v>
      </c>
      <c r="AD331" s="147">
        <f>IF(M2S_Eligibility_List!AD81=DataPaths_Code,1,0)+AC331</f>
        <v>0</v>
      </c>
      <c r="AE331" s="147">
        <f>IF(M2S_Eligibility_List!AE81=DataPaths_Code,1,0)+AD331</f>
        <v>0</v>
      </c>
      <c r="AF331" s="147">
        <f>IF(M2S_Eligibility_List!AF81=DataPaths_Code,1,0)+AE331</f>
        <v>0</v>
      </c>
      <c r="AG331" s="147">
        <f>IF(M2S_Eligibility_List!AG81=DataPaths_Code,1,0)+AF331</f>
        <v>1</v>
      </c>
      <c r="AH331" s="147">
        <f>IF(M2S_Eligibility_List!AH81=DataPaths_Code,1,0)+AG331</f>
        <v>1</v>
      </c>
      <c r="AI331" s="147">
        <f>IF(M2S_Eligibility_List!AI81=DataPaths_Code,1,0)+AH331</f>
        <v>2</v>
      </c>
      <c r="AJ331" s="147">
        <f>IF(M2S_Eligibility_List!AJ81=DataPaths_Code,1,0)+AI331</f>
        <v>2</v>
      </c>
      <c r="AK331" s="147">
        <f>IF(M2S_Eligibility_List!AK81=DataPaths_Code,1,0)+AJ331</f>
        <v>2</v>
      </c>
      <c r="AL331" s="147">
        <f>IF(M2S_Eligibility_List!AL81=DataPaths_Code,1,0)+AK331</f>
        <v>2</v>
      </c>
      <c r="AM331" s="147">
        <f>IF(M2S_Eligibility_List!AM81=DataPaths_Code,1,0)+AL331</f>
        <v>2</v>
      </c>
      <c r="AN331" s="147">
        <f>IF(M2S_Eligibility_List!AN81=DataPaths_Code,1,0)+AM331</f>
        <v>2</v>
      </c>
      <c r="AO331" s="147">
        <f>IF(M2S_Eligibility_List!AO81=DataPaths_Code,1,0)+AN331</f>
        <v>2</v>
      </c>
      <c r="AP331" s="147">
        <f>IF(M2S_Eligibility_List!AP81=DataPaths_Code,1,0)+AO331</f>
        <v>2</v>
      </c>
      <c r="AQ331" s="147">
        <f>IF(M2S_Eligibility_List!AQ81=DataPaths_Code,1,0)+AP331</f>
        <v>2</v>
      </c>
      <c r="AR331" s="147">
        <f>IF(M2S_Eligibility_List!AR81=DataPaths_Code,1,0)+AQ331</f>
        <v>2</v>
      </c>
      <c r="AS331" s="147">
        <f>IF(M2S_Eligibility_List!AS81=DataPaths_Code,1,0)+AR331</f>
        <v>2</v>
      </c>
      <c r="AT331" s="147">
        <f>IF(M2S_Eligibility_List!AT81=DataPaths_Code,1,0)+AS331</f>
        <v>2</v>
      </c>
      <c r="AU331" s="147">
        <f>IF(M2S_Eligibility_List!AU81=DataPaths_Code,1,0)+AT331</f>
        <v>2</v>
      </c>
      <c r="AV331" s="147">
        <f>IF(M2S_Eligibility_List!AV81=DataPaths_Code,1,0)+AU331</f>
        <v>2</v>
      </c>
      <c r="AW331" s="147">
        <f>IF(M2S_Eligibility_List!AW81=DataPaths_Code,1,0)+AV331</f>
        <v>2</v>
      </c>
      <c r="AX331" s="147">
        <f>IF(M2S_Eligibility_List!AX81=DataPaths_Code,1,0)+AW331</f>
        <v>2</v>
      </c>
      <c r="AY331" s="147">
        <f>IF(M2S_Eligibility_List!AY81=DataPaths_Code,1,0)+AX331</f>
        <v>2</v>
      </c>
      <c r="AZ331" s="147">
        <f>IF(M2S_Eligibility_List!AZ81=DataPaths_Code,1,0)+AY331</f>
        <v>2</v>
      </c>
      <c r="BA331" s="147">
        <f>IF(M2S_Eligibility_List!BA81=DataPaths_Code,1,0)+AZ331</f>
        <v>2</v>
      </c>
      <c r="BB331" s="147">
        <f>IF(M2S_Eligibility_List!BB81=DataPaths_Code,1,0)+BA331</f>
        <v>2</v>
      </c>
      <c r="BC331" s="147">
        <f>IF(M2S_Eligibility_List!BC81=DataPaths_Code,1,0)+BB331</f>
        <v>2</v>
      </c>
      <c r="BD331" s="147">
        <f>IF(M2S_Eligibility_List!BD81=DataPaths_Code,1,0)+BC331</f>
        <v>2</v>
      </c>
      <c r="BE331" s="147">
        <f>IF(M2S_Eligibility_List!BE81=DataPaths_Code,1,0)+BD331</f>
        <v>2</v>
      </c>
      <c r="BF331" s="147">
        <f>IF(M2S_Eligibility_List!BF81=DataPaths_Code,1,0)+BE331</f>
        <v>2</v>
      </c>
      <c r="BG331" s="147">
        <f>IF(M2S_Eligibility_List!BG81=DataPaths_Code,1,0)+BF331</f>
        <v>2</v>
      </c>
      <c r="BH331" s="147">
        <f>IF(M2S_Eligibility_List!BH81=DataPaths_Code,1,0)+BG331</f>
        <v>2</v>
      </c>
      <c r="BI331" s="147">
        <f>IF(M2S_Eligibility_List!BI81=DataPaths_Code,1,0)+BH331</f>
        <v>2</v>
      </c>
      <c r="BJ331" s="147">
        <f>IF(M2S_Eligibility_List!BJ81=DataPaths_Code,1,0)+BI331</f>
        <v>2</v>
      </c>
      <c r="BK331" s="147">
        <f>IF(M2S_Eligibility_List!BK81=DataPaths_Code,1,0)+BJ331</f>
        <v>2</v>
      </c>
      <c r="BL331" s="147">
        <f>IF(M2S_Eligibility_List!BL81=DataPaths_Code,1,0)+BK331</f>
        <v>2</v>
      </c>
      <c r="BM331" s="147">
        <f>IF(M2S_Eligibility_List!BM81=DataPaths_Code,1,0)+BL331</f>
        <v>2</v>
      </c>
      <c r="BN331" s="147">
        <f>IF(M2S_Eligibility_List!BN81=DataPaths_Code,1,0)+BM331</f>
        <v>2</v>
      </c>
      <c r="BO331" s="147">
        <f>IF(M2S_Eligibility_List!BO81=DataPaths_Code,1,0)+BN331</f>
        <v>2</v>
      </c>
      <c r="BP331" s="147">
        <f>IF(M2S_Eligibility_List!BP81=DataPaths_Code,1,0)+BO331</f>
        <v>2</v>
      </c>
      <c r="BQ331" s="147">
        <f>IF(M2S_Eligibility_List!BQ81=DataPaths_Code,1,0)+BP331</f>
        <v>2</v>
      </c>
      <c r="BR331" s="147">
        <f>IF(M2S_Eligibility_List!BR81=DataPaths_Code,1,0)+BQ331</f>
        <v>2</v>
      </c>
      <c r="BS331" s="147">
        <f>IF(M2S_Eligibility_List!BS81=DataPaths_Code,1,0)+BR331</f>
        <v>2</v>
      </c>
      <c r="BT331" s="147">
        <f>IF(M2S_Eligibility_List!BT81=DataPaths_Code,1,0)+BS331</f>
        <v>2</v>
      </c>
      <c r="BU331" s="147">
        <f>IF(M2S_Eligibility_List!BU81=DataPaths_Code,1,0)+BT331</f>
        <v>2</v>
      </c>
      <c r="BV331" s="147">
        <f>IF(M2S_Eligibility_List!BV81=DataPaths_Code,1,0)+BU331</f>
        <v>2</v>
      </c>
      <c r="BW331" s="147">
        <f>IF(M2S_Eligibility_List!BW81=DataPaths_Code,1,0)+BV331</f>
        <v>2</v>
      </c>
    </row>
    <row r="332" spans="1:75" ht="20.100000000000001" customHeight="1">
      <c r="A332" s="145"/>
      <c r="B332" s="170" t="str">
        <f>IF(M2S_Eligibility_List!$B82&lt;&gt;"",RIGHT(M2S_Eligibility_List!$B82,LEN(M2S_Eligibility_List!$B82)-LEN(nmADwSP)),0)</f>
        <v>Moldflow Insight Standard</v>
      </c>
      <c r="C332" s="147">
        <f>IF(M2S_Eligibility_List!C82=DataPaths_Code,1,0)</f>
        <v>0</v>
      </c>
      <c r="D332" s="147">
        <f>IF(M2S_Eligibility_List!D82=DataPaths_Code,1,0)+C332</f>
        <v>0</v>
      </c>
      <c r="E332" s="147">
        <f>IF(M2S_Eligibility_List!E82=DataPaths_Code,1,0)+D332</f>
        <v>0</v>
      </c>
      <c r="F332" s="147">
        <f>IF(M2S_Eligibility_List!F82=DataPaths_Code,1,0)+E332</f>
        <v>0</v>
      </c>
      <c r="G332" s="147">
        <f>IF(M2S_Eligibility_List!G82=DataPaths_Code,1,0)+F332</f>
        <v>0</v>
      </c>
      <c r="H332" s="147">
        <f>IF(M2S_Eligibility_List!H82=DataPaths_Code,1,0)+G332</f>
        <v>0</v>
      </c>
      <c r="I332" s="147">
        <f>IF(M2S_Eligibility_List!I82=DataPaths_Code,1,0)+H332</f>
        <v>0</v>
      </c>
      <c r="J332" s="147">
        <f>IF(M2S_Eligibility_List!J82=DataPaths_Code,1,0)+I332</f>
        <v>0</v>
      </c>
      <c r="K332" s="147">
        <f>IF(M2S_Eligibility_List!K82=DataPaths_Code,1,0)+J332</f>
        <v>0</v>
      </c>
      <c r="L332" s="147">
        <f>IF(M2S_Eligibility_List!L82=DataPaths_Code,1,0)+K332</f>
        <v>0</v>
      </c>
      <c r="M332" s="147">
        <f>IF(M2S_Eligibility_List!M82=DataPaths_Code,1,0)+L332</f>
        <v>0</v>
      </c>
      <c r="N332" s="147">
        <f>IF(M2S_Eligibility_List!N82=DataPaths_Code,1,0)+M332</f>
        <v>0</v>
      </c>
      <c r="O332" s="147">
        <f>IF(M2S_Eligibility_List!O82=DataPaths_Code,1,0)+N332</f>
        <v>0</v>
      </c>
      <c r="P332" s="147">
        <f>IF(M2S_Eligibility_List!P82=DataPaths_Code,1,0)+O332</f>
        <v>0</v>
      </c>
      <c r="Q332" s="147">
        <f>IF(M2S_Eligibility_List!Q82=DataPaths_Code,1,0)+P332</f>
        <v>0</v>
      </c>
      <c r="R332" s="147">
        <f>IF(M2S_Eligibility_List!R82=DataPaths_Code,1,0)+Q332</f>
        <v>0</v>
      </c>
      <c r="S332" s="147">
        <f>IF(M2S_Eligibility_List!S82=DataPaths_Code,1,0)+R332</f>
        <v>0</v>
      </c>
      <c r="T332" s="147">
        <f>IF(M2S_Eligibility_List!T82=DataPaths_Code,1,0)+S332</f>
        <v>0</v>
      </c>
      <c r="U332" s="147">
        <f>IF(M2S_Eligibility_List!U82=DataPaths_Code,1,0)+T332</f>
        <v>0</v>
      </c>
      <c r="V332" s="147">
        <f>IF(M2S_Eligibility_List!V82=DataPaths_Code,1,0)+U332</f>
        <v>0</v>
      </c>
      <c r="W332" s="147">
        <f>IF(M2S_Eligibility_List!W82=DataPaths_Code,1,0)+V332</f>
        <v>0</v>
      </c>
      <c r="X332" s="147">
        <f>IF(M2S_Eligibility_List!X82=DataPaths_Code,1,0)+W332</f>
        <v>0</v>
      </c>
      <c r="Y332" s="147">
        <f>IF(M2S_Eligibility_List!Y82=DataPaths_Code,1,0)+X332</f>
        <v>0</v>
      </c>
      <c r="Z332" s="147">
        <f>IF(M2S_Eligibility_List!Z82=DataPaths_Code,1,0)+Y332</f>
        <v>0</v>
      </c>
      <c r="AA332" s="147">
        <f>IF(M2S_Eligibility_List!AA82=DataPaths_Code,1,0)+Z332</f>
        <v>0</v>
      </c>
      <c r="AB332" s="147">
        <f>IF(M2S_Eligibility_List!AB82=DataPaths_Code,1,0)+AA332</f>
        <v>0</v>
      </c>
      <c r="AC332" s="147">
        <f>IF(M2S_Eligibility_List!AC82=DataPaths_Code,1,0)+AB332</f>
        <v>0</v>
      </c>
      <c r="AD332" s="147">
        <f>IF(M2S_Eligibility_List!AD82=DataPaths_Code,1,0)+AC332</f>
        <v>0</v>
      </c>
      <c r="AE332" s="147">
        <f>IF(M2S_Eligibility_List!AE82=DataPaths_Code,1,0)+AD332</f>
        <v>0</v>
      </c>
      <c r="AF332" s="147">
        <f>IF(M2S_Eligibility_List!AF82=DataPaths_Code,1,0)+AE332</f>
        <v>0</v>
      </c>
      <c r="AG332" s="147">
        <f>IF(M2S_Eligibility_List!AG82=DataPaths_Code,1,0)+AF332</f>
        <v>1</v>
      </c>
      <c r="AH332" s="147">
        <f>IF(M2S_Eligibility_List!AH82=DataPaths_Code,1,0)+AG332</f>
        <v>2</v>
      </c>
      <c r="AI332" s="147">
        <f>IF(M2S_Eligibility_List!AI82=DataPaths_Code,1,0)+AH332</f>
        <v>3</v>
      </c>
      <c r="AJ332" s="147">
        <f>IF(M2S_Eligibility_List!AJ82=DataPaths_Code,1,0)+AI332</f>
        <v>3</v>
      </c>
      <c r="AK332" s="147">
        <f>IF(M2S_Eligibility_List!AK82=DataPaths_Code,1,0)+AJ332</f>
        <v>3</v>
      </c>
      <c r="AL332" s="147">
        <f>IF(M2S_Eligibility_List!AL82=DataPaths_Code,1,0)+AK332</f>
        <v>3</v>
      </c>
      <c r="AM332" s="147">
        <f>IF(M2S_Eligibility_List!AM82=DataPaths_Code,1,0)+AL332</f>
        <v>3</v>
      </c>
      <c r="AN332" s="147">
        <f>IF(M2S_Eligibility_List!AN82=DataPaths_Code,1,0)+AM332</f>
        <v>3</v>
      </c>
      <c r="AO332" s="147">
        <f>IF(M2S_Eligibility_List!AO82=DataPaths_Code,1,0)+AN332</f>
        <v>3</v>
      </c>
      <c r="AP332" s="147">
        <f>IF(M2S_Eligibility_List!AP82=DataPaths_Code,1,0)+AO332</f>
        <v>3</v>
      </c>
      <c r="AQ332" s="147">
        <f>IF(M2S_Eligibility_List!AQ82=DataPaths_Code,1,0)+AP332</f>
        <v>3</v>
      </c>
      <c r="AR332" s="147">
        <f>IF(M2S_Eligibility_List!AR82=DataPaths_Code,1,0)+AQ332</f>
        <v>3</v>
      </c>
      <c r="AS332" s="147">
        <f>IF(M2S_Eligibility_List!AS82=DataPaths_Code,1,0)+AR332</f>
        <v>3</v>
      </c>
      <c r="AT332" s="147">
        <f>IF(M2S_Eligibility_List!AT82=DataPaths_Code,1,0)+AS332</f>
        <v>3</v>
      </c>
      <c r="AU332" s="147">
        <f>IF(M2S_Eligibility_List!AU82=DataPaths_Code,1,0)+AT332</f>
        <v>3</v>
      </c>
      <c r="AV332" s="147">
        <f>IF(M2S_Eligibility_List!AV82=DataPaths_Code,1,0)+AU332</f>
        <v>3</v>
      </c>
      <c r="AW332" s="147">
        <f>IF(M2S_Eligibility_List!AW82=DataPaths_Code,1,0)+AV332</f>
        <v>3</v>
      </c>
      <c r="AX332" s="147">
        <f>IF(M2S_Eligibility_List!AX82=DataPaths_Code,1,0)+AW332</f>
        <v>3</v>
      </c>
      <c r="AY332" s="147">
        <f>IF(M2S_Eligibility_List!AY82=DataPaths_Code,1,0)+AX332</f>
        <v>3</v>
      </c>
      <c r="AZ332" s="147">
        <f>IF(M2S_Eligibility_List!AZ82=DataPaths_Code,1,0)+AY332</f>
        <v>3</v>
      </c>
      <c r="BA332" s="147">
        <f>IF(M2S_Eligibility_List!BA82=DataPaths_Code,1,0)+AZ332</f>
        <v>3</v>
      </c>
      <c r="BB332" s="147">
        <f>IF(M2S_Eligibility_List!BB82=DataPaths_Code,1,0)+BA332</f>
        <v>3</v>
      </c>
      <c r="BC332" s="147">
        <f>IF(M2S_Eligibility_List!BC82=DataPaths_Code,1,0)+BB332</f>
        <v>3</v>
      </c>
      <c r="BD332" s="147">
        <f>IF(M2S_Eligibility_List!BD82=DataPaths_Code,1,0)+BC332</f>
        <v>3</v>
      </c>
      <c r="BE332" s="147">
        <f>IF(M2S_Eligibility_List!BE82=DataPaths_Code,1,0)+BD332</f>
        <v>3</v>
      </c>
      <c r="BF332" s="147">
        <f>IF(M2S_Eligibility_List!BF82=DataPaths_Code,1,0)+BE332</f>
        <v>3</v>
      </c>
      <c r="BG332" s="147">
        <f>IF(M2S_Eligibility_List!BG82=DataPaths_Code,1,0)+BF332</f>
        <v>3</v>
      </c>
      <c r="BH332" s="147">
        <f>IF(M2S_Eligibility_List!BH82=DataPaths_Code,1,0)+BG332</f>
        <v>3</v>
      </c>
      <c r="BI332" s="147">
        <f>IF(M2S_Eligibility_List!BI82=DataPaths_Code,1,0)+BH332</f>
        <v>3</v>
      </c>
      <c r="BJ332" s="147">
        <f>IF(M2S_Eligibility_List!BJ82=DataPaths_Code,1,0)+BI332</f>
        <v>3</v>
      </c>
      <c r="BK332" s="147">
        <f>IF(M2S_Eligibility_List!BK82=DataPaths_Code,1,0)+BJ332</f>
        <v>3</v>
      </c>
      <c r="BL332" s="147">
        <f>IF(M2S_Eligibility_List!BL82=DataPaths_Code,1,0)+BK332</f>
        <v>3</v>
      </c>
      <c r="BM332" s="147">
        <f>IF(M2S_Eligibility_List!BM82=DataPaths_Code,1,0)+BL332</f>
        <v>3</v>
      </c>
      <c r="BN332" s="147">
        <f>IF(M2S_Eligibility_List!BN82=DataPaths_Code,1,0)+BM332</f>
        <v>3</v>
      </c>
      <c r="BO332" s="147">
        <f>IF(M2S_Eligibility_List!BO82=DataPaths_Code,1,0)+BN332</f>
        <v>3</v>
      </c>
      <c r="BP332" s="147">
        <f>IF(M2S_Eligibility_List!BP82=DataPaths_Code,1,0)+BO332</f>
        <v>3</v>
      </c>
      <c r="BQ332" s="147">
        <f>IF(M2S_Eligibility_List!BQ82=DataPaths_Code,1,0)+BP332</f>
        <v>3</v>
      </c>
      <c r="BR332" s="147">
        <f>IF(M2S_Eligibility_List!BR82=DataPaths_Code,1,0)+BQ332</f>
        <v>3</v>
      </c>
      <c r="BS332" s="147">
        <f>IF(M2S_Eligibility_List!BS82=DataPaths_Code,1,0)+BR332</f>
        <v>3</v>
      </c>
      <c r="BT332" s="147">
        <f>IF(M2S_Eligibility_List!BT82=DataPaths_Code,1,0)+BS332</f>
        <v>3</v>
      </c>
      <c r="BU332" s="147">
        <f>IF(M2S_Eligibility_List!BU82=DataPaths_Code,1,0)+BT332</f>
        <v>3</v>
      </c>
      <c r="BV332" s="147">
        <f>IF(M2S_Eligibility_List!BV82=DataPaths_Code,1,0)+BU332</f>
        <v>3</v>
      </c>
      <c r="BW332" s="147">
        <f>IF(M2S_Eligibility_List!BW82=DataPaths_Code,1,0)+BV332</f>
        <v>3</v>
      </c>
    </row>
    <row r="333" spans="1:75" ht="20.100000000000001" customHeight="1">
      <c r="A333" s="145"/>
      <c r="B333" s="170" t="str">
        <f>IF(M2S_Eligibility_List!$B83&lt;&gt;"",RIGHT(M2S_Eligibility_List!$B83,LEN(M2S_Eligibility_List!$B83)-LEN(nmADwSP)),0)</f>
        <v>Moldflow Insight Ultimate</v>
      </c>
      <c r="C333" s="147">
        <f>IF(M2S_Eligibility_List!C83=DataPaths_Code,1,0)</f>
        <v>0</v>
      </c>
      <c r="D333" s="147">
        <f>IF(M2S_Eligibility_List!D83=DataPaths_Code,1,0)+C333</f>
        <v>0</v>
      </c>
      <c r="E333" s="147">
        <f>IF(M2S_Eligibility_List!E83=DataPaths_Code,1,0)+D333</f>
        <v>0</v>
      </c>
      <c r="F333" s="147">
        <f>IF(M2S_Eligibility_List!F83=DataPaths_Code,1,0)+E333</f>
        <v>0</v>
      </c>
      <c r="G333" s="147">
        <f>IF(M2S_Eligibility_List!G83=DataPaths_Code,1,0)+F333</f>
        <v>0</v>
      </c>
      <c r="H333" s="147">
        <f>IF(M2S_Eligibility_List!H83=DataPaths_Code,1,0)+G333</f>
        <v>0</v>
      </c>
      <c r="I333" s="147">
        <f>IF(M2S_Eligibility_List!I83=DataPaths_Code,1,0)+H333</f>
        <v>0</v>
      </c>
      <c r="J333" s="147">
        <f>IF(M2S_Eligibility_List!J83=DataPaths_Code,1,0)+I333</f>
        <v>0</v>
      </c>
      <c r="K333" s="147">
        <f>IF(M2S_Eligibility_List!K83=DataPaths_Code,1,0)+J333</f>
        <v>0</v>
      </c>
      <c r="L333" s="147">
        <f>IF(M2S_Eligibility_List!L83=DataPaths_Code,1,0)+K333</f>
        <v>0</v>
      </c>
      <c r="M333" s="147">
        <f>IF(M2S_Eligibility_List!M83=DataPaths_Code,1,0)+L333</f>
        <v>0</v>
      </c>
      <c r="N333" s="147">
        <f>IF(M2S_Eligibility_List!N83=DataPaths_Code,1,0)+M333</f>
        <v>0</v>
      </c>
      <c r="O333" s="147">
        <f>IF(M2S_Eligibility_List!O83=DataPaths_Code,1,0)+N333</f>
        <v>0</v>
      </c>
      <c r="P333" s="147">
        <f>IF(M2S_Eligibility_List!P83=DataPaths_Code,1,0)+O333</f>
        <v>0</v>
      </c>
      <c r="Q333" s="147">
        <f>IF(M2S_Eligibility_List!Q83=DataPaths_Code,1,0)+P333</f>
        <v>0</v>
      </c>
      <c r="R333" s="147">
        <f>IF(M2S_Eligibility_List!R83=DataPaths_Code,1,0)+Q333</f>
        <v>0</v>
      </c>
      <c r="S333" s="147">
        <f>IF(M2S_Eligibility_List!S83=DataPaths_Code,1,0)+R333</f>
        <v>0</v>
      </c>
      <c r="T333" s="147">
        <f>IF(M2S_Eligibility_List!T83=DataPaths_Code,1,0)+S333</f>
        <v>0</v>
      </c>
      <c r="U333" s="147">
        <f>IF(M2S_Eligibility_List!U83=DataPaths_Code,1,0)+T333</f>
        <v>0</v>
      </c>
      <c r="V333" s="147">
        <f>IF(M2S_Eligibility_List!V83=DataPaths_Code,1,0)+U333</f>
        <v>0</v>
      </c>
      <c r="W333" s="147">
        <f>IF(M2S_Eligibility_List!W83=DataPaths_Code,1,0)+V333</f>
        <v>0</v>
      </c>
      <c r="X333" s="147">
        <f>IF(M2S_Eligibility_List!X83=DataPaths_Code,1,0)+W333</f>
        <v>0</v>
      </c>
      <c r="Y333" s="147">
        <f>IF(M2S_Eligibility_List!Y83=DataPaths_Code,1,0)+X333</f>
        <v>0</v>
      </c>
      <c r="Z333" s="147">
        <f>IF(M2S_Eligibility_List!Z83=DataPaths_Code,1,0)+Y333</f>
        <v>0</v>
      </c>
      <c r="AA333" s="147">
        <f>IF(M2S_Eligibility_List!AA83=DataPaths_Code,1,0)+Z333</f>
        <v>0</v>
      </c>
      <c r="AB333" s="147">
        <f>IF(M2S_Eligibility_List!AB83=DataPaths_Code,1,0)+AA333</f>
        <v>0</v>
      </c>
      <c r="AC333" s="147">
        <f>IF(M2S_Eligibility_List!AC83=DataPaths_Code,1,0)+AB333</f>
        <v>0</v>
      </c>
      <c r="AD333" s="147">
        <f>IF(M2S_Eligibility_List!AD83=DataPaths_Code,1,0)+AC333</f>
        <v>0</v>
      </c>
      <c r="AE333" s="147">
        <f>IF(M2S_Eligibility_List!AE83=DataPaths_Code,1,0)+AD333</f>
        <v>0</v>
      </c>
      <c r="AF333" s="147">
        <f>IF(M2S_Eligibility_List!AF83=DataPaths_Code,1,0)+AE333</f>
        <v>0</v>
      </c>
      <c r="AG333" s="147">
        <f>IF(M2S_Eligibility_List!AG83=DataPaths_Code,1,0)+AF333</f>
        <v>0</v>
      </c>
      <c r="AH333" s="147">
        <f>IF(M2S_Eligibility_List!AH83=DataPaths_Code,1,0)+AG333</f>
        <v>0</v>
      </c>
      <c r="AI333" s="147">
        <f>IF(M2S_Eligibility_List!AI83=DataPaths_Code,1,0)+AH333</f>
        <v>1</v>
      </c>
      <c r="AJ333" s="147">
        <f>IF(M2S_Eligibility_List!AJ83=DataPaths_Code,1,0)+AI333</f>
        <v>1</v>
      </c>
      <c r="AK333" s="147">
        <f>IF(M2S_Eligibility_List!AK83=DataPaths_Code,1,0)+AJ333</f>
        <v>1</v>
      </c>
      <c r="AL333" s="147">
        <f>IF(M2S_Eligibility_List!AL83=DataPaths_Code,1,0)+AK333</f>
        <v>1</v>
      </c>
      <c r="AM333" s="147">
        <f>IF(M2S_Eligibility_List!AM83=DataPaths_Code,1,0)+AL333</f>
        <v>1</v>
      </c>
      <c r="AN333" s="147">
        <f>IF(M2S_Eligibility_List!AN83=DataPaths_Code,1,0)+AM333</f>
        <v>1</v>
      </c>
      <c r="AO333" s="147">
        <f>IF(M2S_Eligibility_List!AO83=DataPaths_Code,1,0)+AN333</f>
        <v>1</v>
      </c>
      <c r="AP333" s="147">
        <f>IF(M2S_Eligibility_List!AP83=DataPaths_Code,1,0)+AO333</f>
        <v>1</v>
      </c>
      <c r="AQ333" s="147">
        <f>IF(M2S_Eligibility_List!AQ83=DataPaths_Code,1,0)+AP333</f>
        <v>1</v>
      </c>
      <c r="AR333" s="147">
        <f>IF(M2S_Eligibility_List!AR83=DataPaths_Code,1,0)+AQ333</f>
        <v>1</v>
      </c>
      <c r="AS333" s="147">
        <f>IF(M2S_Eligibility_List!AS83=DataPaths_Code,1,0)+AR333</f>
        <v>1</v>
      </c>
      <c r="AT333" s="147">
        <f>IF(M2S_Eligibility_List!AT83=DataPaths_Code,1,0)+AS333</f>
        <v>1</v>
      </c>
      <c r="AU333" s="147">
        <f>IF(M2S_Eligibility_List!AU83=DataPaths_Code,1,0)+AT333</f>
        <v>1</v>
      </c>
      <c r="AV333" s="147">
        <f>IF(M2S_Eligibility_List!AV83=DataPaths_Code,1,0)+AU333</f>
        <v>1</v>
      </c>
      <c r="AW333" s="147">
        <f>IF(M2S_Eligibility_List!AW83=DataPaths_Code,1,0)+AV333</f>
        <v>1</v>
      </c>
      <c r="AX333" s="147">
        <f>IF(M2S_Eligibility_List!AX83=DataPaths_Code,1,0)+AW333</f>
        <v>1</v>
      </c>
      <c r="AY333" s="147">
        <f>IF(M2S_Eligibility_List!AY83=DataPaths_Code,1,0)+AX333</f>
        <v>1</v>
      </c>
      <c r="AZ333" s="147">
        <f>IF(M2S_Eligibility_List!AZ83=DataPaths_Code,1,0)+AY333</f>
        <v>1</v>
      </c>
      <c r="BA333" s="147">
        <f>IF(M2S_Eligibility_List!BA83=DataPaths_Code,1,0)+AZ333</f>
        <v>1</v>
      </c>
      <c r="BB333" s="147">
        <f>IF(M2S_Eligibility_List!BB83=DataPaths_Code,1,0)+BA333</f>
        <v>1</v>
      </c>
      <c r="BC333" s="147">
        <f>IF(M2S_Eligibility_List!BC83=DataPaths_Code,1,0)+BB333</f>
        <v>1</v>
      </c>
      <c r="BD333" s="147">
        <f>IF(M2S_Eligibility_List!BD83=DataPaths_Code,1,0)+BC333</f>
        <v>1</v>
      </c>
      <c r="BE333" s="147">
        <f>IF(M2S_Eligibility_List!BE83=DataPaths_Code,1,0)+BD333</f>
        <v>1</v>
      </c>
      <c r="BF333" s="147">
        <f>IF(M2S_Eligibility_List!BF83=DataPaths_Code,1,0)+BE333</f>
        <v>1</v>
      </c>
      <c r="BG333" s="147">
        <f>IF(M2S_Eligibility_List!BG83=DataPaths_Code,1,0)+BF333</f>
        <v>1</v>
      </c>
      <c r="BH333" s="147">
        <f>IF(M2S_Eligibility_List!BH83=DataPaths_Code,1,0)+BG333</f>
        <v>1</v>
      </c>
      <c r="BI333" s="147">
        <f>IF(M2S_Eligibility_List!BI83=DataPaths_Code,1,0)+BH333</f>
        <v>1</v>
      </c>
      <c r="BJ333" s="147">
        <f>IF(M2S_Eligibility_List!BJ83=DataPaths_Code,1,0)+BI333</f>
        <v>1</v>
      </c>
      <c r="BK333" s="147">
        <f>IF(M2S_Eligibility_List!BK83=DataPaths_Code,1,0)+BJ333</f>
        <v>1</v>
      </c>
      <c r="BL333" s="147">
        <f>IF(M2S_Eligibility_List!BL83=DataPaths_Code,1,0)+BK333</f>
        <v>1</v>
      </c>
      <c r="BM333" s="147">
        <f>IF(M2S_Eligibility_List!BM83=DataPaths_Code,1,0)+BL333</f>
        <v>1</v>
      </c>
      <c r="BN333" s="147">
        <f>IF(M2S_Eligibility_List!BN83=DataPaths_Code,1,0)+BM333</f>
        <v>1</v>
      </c>
      <c r="BO333" s="147">
        <f>IF(M2S_Eligibility_List!BO83=DataPaths_Code,1,0)+BN333</f>
        <v>1</v>
      </c>
      <c r="BP333" s="147">
        <f>IF(M2S_Eligibility_List!BP83=DataPaths_Code,1,0)+BO333</f>
        <v>1</v>
      </c>
      <c r="BQ333" s="147">
        <f>IF(M2S_Eligibility_List!BQ83=DataPaths_Code,1,0)+BP333</f>
        <v>1</v>
      </c>
      <c r="BR333" s="147">
        <f>IF(M2S_Eligibility_List!BR83=DataPaths_Code,1,0)+BQ333</f>
        <v>1</v>
      </c>
      <c r="BS333" s="147">
        <f>IF(M2S_Eligibility_List!BS83=DataPaths_Code,1,0)+BR333</f>
        <v>1</v>
      </c>
      <c r="BT333" s="147">
        <f>IF(M2S_Eligibility_List!BT83=DataPaths_Code,1,0)+BS333</f>
        <v>1</v>
      </c>
      <c r="BU333" s="147">
        <f>IF(M2S_Eligibility_List!BU83=DataPaths_Code,1,0)+BT333</f>
        <v>1</v>
      </c>
      <c r="BV333" s="147">
        <f>IF(M2S_Eligibility_List!BV83=DataPaths_Code,1,0)+BU333</f>
        <v>1</v>
      </c>
      <c r="BW333" s="147">
        <f>IF(M2S_Eligibility_List!BW83=DataPaths_Code,1,0)+BV333</f>
        <v>1</v>
      </c>
    </row>
    <row r="334" spans="1:75" ht="20.100000000000001" customHeight="1">
      <c r="A334" s="145"/>
      <c r="B334" s="170" t="str">
        <f>IF(M2S_Eligibility_List!$B84&lt;&gt;"",RIGHT(M2S_Eligibility_List!$B84,LEN(M2S_Eligibility_List!$B84)-LEN(nmADwSP)),0)</f>
        <v>Moldflow Synergy</v>
      </c>
      <c r="C334" s="147">
        <f>IF(M2S_Eligibility_List!C84=DataPaths_Code,1,0)</f>
        <v>0</v>
      </c>
      <c r="D334" s="147">
        <f>IF(M2S_Eligibility_List!D84=DataPaths_Code,1,0)+C334</f>
        <v>0</v>
      </c>
      <c r="E334" s="147">
        <f>IF(M2S_Eligibility_List!E84=DataPaths_Code,1,0)+D334</f>
        <v>0</v>
      </c>
      <c r="F334" s="147">
        <f>IF(M2S_Eligibility_List!F84=DataPaths_Code,1,0)+E334</f>
        <v>0</v>
      </c>
      <c r="G334" s="147">
        <f>IF(M2S_Eligibility_List!G84=DataPaths_Code,1,0)+F334</f>
        <v>0</v>
      </c>
      <c r="H334" s="147">
        <f>IF(M2S_Eligibility_List!H84=DataPaths_Code,1,0)+G334</f>
        <v>0</v>
      </c>
      <c r="I334" s="147">
        <f>IF(M2S_Eligibility_List!I84=DataPaths_Code,1,0)+H334</f>
        <v>0</v>
      </c>
      <c r="J334" s="147">
        <f>IF(M2S_Eligibility_List!J84=DataPaths_Code,1,0)+I334</f>
        <v>0</v>
      </c>
      <c r="K334" s="147">
        <f>IF(M2S_Eligibility_List!K84=DataPaths_Code,1,0)+J334</f>
        <v>0</v>
      </c>
      <c r="L334" s="147">
        <f>IF(M2S_Eligibility_List!L84=DataPaths_Code,1,0)+K334</f>
        <v>0</v>
      </c>
      <c r="M334" s="147">
        <f>IF(M2S_Eligibility_List!M84=DataPaths_Code,1,0)+L334</f>
        <v>0</v>
      </c>
      <c r="N334" s="147">
        <f>IF(M2S_Eligibility_List!N84=DataPaths_Code,1,0)+M334</f>
        <v>0</v>
      </c>
      <c r="O334" s="147">
        <f>IF(M2S_Eligibility_List!O84=DataPaths_Code,1,0)+N334</f>
        <v>0</v>
      </c>
      <c r="P334" s="147">
        <f>IF(M2S_Eligibility_List!P84=DataPaths_Code,1,0)+O334</f>
        <v>0</v>
      </c>
      <c r="Q334" s="147">
        <f>IF(M2S_Eligibility_List!Q84=DataPaths_Code,1,0)+P334</f>
        <v>0</v>
      </c>
      <c r="R334" s="147">
        <f>IF(M2S_Eligibility_List!R84=DataPaths_Code,1,0)+Q334</f>
        <v>0</v>
      </c>
      <c r="S334" s="147">
        <f>IF(M2S_Eligibility_List!S84=DataPaths_Code,1,0)+R334</f>
        <v>0</v>
      </c>
      <c r="T334" s="147">
        <f>IF(M2S_Eligibility_List!T84=DataPaths_Code,1,0)+S334</f>
        <v>0</v>
      </c>
      <c r="U334" s="147">
        <f>IF(M2S_Eligibility_List!U84=DataPaths_Code,1,0)+T334</f>
        <v>0</v>
      </c>
      <c r="V334" s="147">
        <f>IF(M2S_Eligibility_List!V84=DataPaths_Code,1,0)+U334</f>
        <v>0</v>
      </c>
      <c r="W334" s="147">
        <f>IF(M2S_Eligibility_List!W84=DataPaths_Code,1,0)+V334</f>
        <v>0</v>
      </c>
      <c r="X334" s="147">
        <f>IF(M2S_Eligibility_List!X84=DataPaths_Code,1,0)+W334</f>
        <v>0</v>
      </c>
      <c r="Y334" s="147">
        <f>IF(M2S_Eligibility_List!Y84=DataPaths_Code,1,0)+X334</f>
        <v>0</v>
      </c>
      <c r="Z334" s="147">
        <f>IF(M2S_Eligibility_List!Z84=DataPaths_Code,1,0)+Y334</f>
        <v>0</v>
      </c>
      <c r="AA334" s="147">
        <f>IF(M2S_Eligibility_List!AA84=DataPaths_Code,1,0)+Z334</f>
        <v>0</v>
      </c>
      <c r="AB334" s="147">
        <f>IF(M2S_Eligibility_List!AB84=DataPaths_Code,1,0)+AA334</f>
        <v>0</v>
      </c>
      <c r="AC334" s="147">
        <f>IF(M2S_Eligibility_List!AC84=DataPaths_Code,1,0)+AB334</f>
        <v>0</v>
      </c>
      <c r="AD334" s="147">
        <f>IF(M2S_Eligibility_List!AD84=DataPaths_Code,1,0)+AC334</f>
        <v>0</v>
      </c>
      <c r="AE334" s="147">
        <f>IF(M2S_Eligibility_List!AE84=DataPaths_Code,1,0)+AD334</f>
        <v>0</v>
      </c>
      <c r="AF334" s="147">
        <f>IF(M2S_Eligibility_List!AF84=DataPaths_Code,1,0)+AE334</f>
        <v>0</v>
      </c>
      <c r="AG334" s="147">
        <f>IF(M2S_Eligibility_List!AG84=DataPaths_Code,1,0)+AF334</f>
        <v>0</v>
      </c>
      <c r="AH334" s="147">
        <f>IF(M2S_Eligibility_List!AH84=DataPaths_Code,1,0)+AG334</f>
        <v>0</v>
      </c>
      <c r="AI334" s="147">
        <f>IF(M2S_Eligibility_List!AI84=DataPaths_Code,1,0)+AH334</f>
        <v>0</v>
      </c>
      <c r="AJ334" s="147">
        <f>IF(M2S_Eligibility_List!AJ84=DataPaths_Code,1,0)+AI334</f>
        <v>1</v>
      </c>
      <c r="AK334" s="147">
        <f>IF(M2S_Eligibility_List!AK84=DataPaths_Code,1,0)+AJ334</f>
        <v>1</v>
      </c>
      <c r="AL334" s="147">
        <f>IF(M2S_Eligibility_List!AL84=DataPaths_Code,1,0)+AK334</f>
        <v>1</v>
      </c>
      <c r="AM334" s="147">
        <f>IF(M2S_Eligibility_List!AM84=DataPaths_Code,1,0)+AL334</f>
        <v>1</v>
      </c>
      <c r="AN334" s="147">
        <f>IF(M2S_Eligibility_List!AN84=DataPaths_Code,1,0)+AM334</f>
        <v>1</v>
      </c>
      <c r="AO334" s="147">
        <f>IF(M2S_Eligibility_List!AO84=DataPaths_Code,1,0)+AN334</f>
        <v>1</v>
      </c>
      <c r="AP334" s="147">
        <f>IF(M2S_Eligibility_List!AP84=DataPaths_Code,1,0)+AO334</f>
        <v>1</v>
      </c>
      <c r="AQ334" s="147">
        <f>IF(M2S_Eligibility_List!AQ84=DataPaths_Code,1,0)+AP334</f>
        <v>1</v>
      </c>
      <c r="AR334" s="147">
        <f>IF(M2S_Eligibility_List!AR84=DataPaths_Code,1,0)+AQ334</f>
        <v>1</v>
      </c>
      <c r="AS334" s="147">
        <f>IF(M2S_Eligibility_List!AS84=DataPaths_Code,1,0)+AR334</f>
        <v>1</v>
      </c>
      <c r="AT334" s="147">
        <f>IF(M2S_Eligibility_List!AT84=DataPaths_Code,1,0)+AS334</f>
        <v>1</v>
      </c>
      <c r="AU334" s="147">
        <f>IF(M2S_Eligibility_List!AU84=DataPaths_Code,1,0)+AT334</f>
        <v>1</v>
      </c>
      <c r="AV334" s="147">
        <f>IF(M2S_Eligibility_List!AV84=DataPaths_Code,1,0)+AU334</f>
        <v>1</v>
      </c>
      <c r="AW334" s="147">
        <f>IF(M2S_Eligibility_List!AW84=DataPaths_Code,1,0)+AV334</f>
        <v>1</v>
      </c>
      <c r="AX334" s="147">
        <f>IF(M2S_Eligibility_List!AX84=DataPaths_Code,1,0)+AW334</f>
        <v>1</v>
      </c>
      <c r="AY334" s="147">
        <f>IF(M2S_Eligibility_List!AY84=DataPaths_Code,1,0)+AX334</f>
        <v>1</v>
      </c>
      <c r="AZ334" s="147">
        <f>IF(M2S_Eligibility_List!AZ84=DataPaths_Code,1,0)+AY334</f>
        <v>1</v>
      </c>
      <c r="BA334" s="147">
        <f>IF(M2S_Eligibility_List!BA84=DataPaths_Code,1,0)+AZ334</f>
        <v>1</v>
      </c>
      <c r="BB334" s="147">
        <f>IF(M2S_Eligibility_List!BB84=DataPaths_Code,1,0)+BA334</f>
        <v>1</v>
      </c>
      <c r="BC334" s="147">
        <f>IF(M2S_Eligibility_List!BC84=DataPaths_Code,1,0)+BB334</f>
        <v>1</v>
      </c>
      <c r="BD334" s="147">
        <f>IF(M2S_Eligibility_List!BD84=DataPaths_Code,1,0)+BC334</f>
        <v>1</v>
      </c>
      <c r="BE334" s="147">
        <f>IF(M2S_Eligibility_List!BE84=DataPaths_Code,1,0)+BD334</f>
        <v>1</v>
      </c>
      <c r="BF334" s="147">
        <f>IF(M2S_Eligibility_List!BF84=DataPaths_Code,1,0)+BE334</f>
        <v>1</v>
      </c>
      <c r="BG334" s="147">
        <f>IF(M2S_Eligibility_List!BG84=DataPaths_Code,1,0)+BF334</f>
        <v>1</v>
      </c>
      <c r="BH334" s="147">
        <f>IF(M2S_Eligibility_List!BH84=DataPaths_Code,1,0)+BG334</f>
        <v>1</v>
      </c>
      <c r="BI334" s="147">
        <f>IF(M2S_Eligibility_List!BI84=DataPaths_Code,1,0)+BH334</f>
        <v>1</v>
      </c>
      <c r="BJ334" s="147">
        <f>IF(M2S_Eligibility_List!BJ84=DataPaths_Code,1,0)+BI334</f>
        <v>1</v>
      </c>
      <c r="BK334" s="147">
        <f>IF(M2S_Eligibility_List!BK84=DataPaths_Code,1,0)+BJ334</f>
        <v>1</v>
      </c>
      <c r="BL334" s="147">
        <f>IF(M2S_Eligibility_List!BL84=DataPaths_Code,1,0)+BK334</f>
        <v>1</v>
      </c>
      <c r="BM334" s="147">
        <f>IF(M2S_Eligibility_List!BM84=DataPaths_Code,1,0)+BL334</f>
        <v>1</v>
      </c>
      <c r="BN334" s="147">
        <f>IF(M2S_Eligibility_List!BN84=DataPaths_Code,1,0)+BM334</f>
        <v>1</v>
      </c>
      <c r="BO334" s="147">
        <f>IF(M2S_Eligibility_List!BO84=DataPaths_Code,1,0)+BN334</f>
        <v>1</v>
      </c>
      <c r="BP334" s="147">
        <f>IF(M2S_Eligibility_List!BP84=DataPaths_Code,1,0)+BO334</f>
        <v>1</v>
      </c>
      <c r="BQ334" s="147">
        <f>IF(M2S_Eligibility_List!BQ84=DataPaths_Code,1,0)+BP334</f>
        <v>1</v>
      </c>
      <c r="BR334" s="147">
        <f>IF(M2S_Eligibility_List!BR84=DataPaths_Code,1,0)+BQ334</f>
        <v>1</v>
      </c>
      <c r="BS334" s="147">
        <f>IF(M2S_Eligibility_List!BS84=DataPaths_Code,1,0)+BR334</f>
        <v>1</v>
      </c>
      <c r="BT334" s="147">
        <f>IF(M2S_Eligibility_List!BT84=DataPaths_Code,1,0)+BS334</f>
        <v>1</v>
      </c>
      <c r="BU334" s="147">
        <f>IF(M2S_Eligibility_List!BU84=DataPaths_Code,1,0)+BT334</f>
        <v>1</v>
      </c>
      <c r="BV334" s="147">
        <f>IF(M2S_Eligibility_List!BV84=DataPaths_Code,1,0)+BU334</f>
        <v>1</v>
      </c>
      <c r="BW334" s="147">
        <f>IF(M2S_Eligibility_List!BW84=DataPaths_Code,1,0)+BV334</f>
        <v>1</v>
      </c>
    </row>
    <row r="335" spans="1:75" ht="20.100000000000001" customHeight="1">
      <c r="A335" s="145"/>
      <c r="B335" s="170" t="str">
        <f>IF(M2S_Eligibility_List!$B85&lt;&gt;"",RIGHT(M2S_Eligibility_List!$B85,LEN(M2S_Eligibility_List!$B85)-LEN(nmADwSP)),0)</f>
        <v>MotionBuilder</v>
      </c>
      <c r="C335" s="147">
        <f>IF(M2S_Eligibility_List!C85=DataPaths_Code,1,0)</f>
        <v>0</v>
      </c>
      <c r="D335" s="147">
        <f>IF(M2S_Eligibility_List!D85=DataPaths_Code,1,0)+C335</f>
        <v>0</v>
      </c>
      <c r="E335" s="147">
        <f>IF(M2S_Eligibility_List!E85=DataPaths_Code,1,0)+D335</f>
        <v>1</v>
      </c>
      <c r="F335" s="147">
        <f>IF(M2S_Eligibility_List!F85=DataPaths_Code,1,0)+E335</f>
        <v>1</v>
      </c>
      <c r="G335" s="147">
        <f>IF(M2S_Eligibility_List!G85=DataPaths_Code,1,0)+F335</f>
        <v>1</v>
      </c>
      <c r="H335" s="147">
        <f>IF(M2S_Eligibility_List!H85=DataPaths_Code,1,0)+G335</f>
        <v>1</v>
      </c>
      <c r="I335" s="147">
        <f>IF(M2S_Eligibility_List!I85=DataPaths_Code,1,0)+H335</f>
        <v>1</v>
      </c>
      <c r="J335" s="147">
        <f>IF(M2S_Eligibility_List!J85=DataPaths_Code,1,0)+I335</f>
        <v>1</v>
      </c>
      <c r="K335" s="147">
        <f>IF(M2S_Eligibility_List!K85=DataPaths_Code,1,0)+J335</f>
        <v>1</v>
      </c>
      <c r="L335" s="147">
        <f>IF(M2S_Eligibility_List!L85=DataPaths_Code,1,0)+K335</f>
        <v>1</v>
      </c>
      <c r="M335" s="147">
        <f>IF(M2S_Eligibility_List!M85=DataPaths_Code,1,0)+L335</f>
        <v>1</v>
      </c>
      <c r="N335" s="147">
        <f>IF(M2S_Eligibility_List!N85=DataPaths_Code,1,0)+M335</f>
        <v>1</v>
      </c>
      <c r="O335" s="147">
        <f>IF(M2S_Eligibility_List!O85=DataPaths_Code,1,0)+N335</f>
        <v>1</v>
      </c>
      <c r="P335" s="147">
        <f>IF(M2S_Eligibility_List!P85=DataPaths_Code,1,0)+O335</f>
        <v>1</v>
      </c>
      <c r="Q335" s="147">
        <f>IF(M2S_Eligibility_List!Q85=DataPaths_Code,1,0)+P335</f>
        <v>1</v>
      </c>
      <c r="R335" s="147">
        <f>IF(M2S_Eligibility_List!R85=DataPaths_Code,1,0)+Q335</f>
        <v>1</v>
      </c>
      <c r="S335" s="147">
        <f>IF(M2S_Eligibility_List!S85=DataPaths_Code,1,0)+R335</f>
        <v>1</v>
      </c>
      <c r="T335" s="147">
        <f>IF(M2S_Eligibility_List!T85=DataPaths_Code,1,0)+S335</f>
        <v>1</v>
      </c>
      <c r="U335" s="147">
        <f>IF(M2S_Eligibility_List!U85=DataPaths_Code,1,0)+T335</f>
        <v>1</v>
      </c>
      <c r="V335" s="147">
        <f>IF(M2S_Eligibility_List!V85=DataPaths_Code,1,0)+U335</f>
        <v>1</v>
      </c>
      <c r="W335" s="147">
        <f>IF(M2S_Eligibility_List!W85=DataPaths_Code,1,0)+V335</f>
        <v>1</v>
      </c>
      <c r="X335" s="147">
        <f>IF(M2S_Eligibility_List!X85=DataPaths_Code,1,0)+W335</f>
        <v>1</v>
      </c>
      <c r="Y335" s="147">
        <f>IF(M2S_Eligibility_List!Y85=DataPaths_Code,1,0)+X335</f>
        <v>1</v>
      </c>
      <c r="Z335" s="147">
        <f>IF(M2S_Eligibility_List!Z85=DataPaths_Code,1,0)+Y335</f>
        <v>1</v>
      </c>
      <c r="AA335" s="147">
        <f>IF(M2S_Eligibility_List!AA85=DataPaths_Code,1,0)+Z335</f>
        <v>1</v>
      </c>
      <c r="AB335" s="147">
        <f>IF(M2S_Eligibility_List!AB85=DataPaths_Code,1,0)+AA335</f>
        <v>1</v>
      </c>
      <c r="AC335" s="147">
        <f>IF(M2S_Eligibility_List!AC85=DataPaths_Code,1,0)+AB335</f>
        <v>1</v>
      </c>
      <c r="AD335" s="147">
        <f>IF(M2S_Eligibility_List!AD85=DataPaths_Code,1,0)+AC335</f>
        <v>1</v>
      </c>
      <c r="AE335" s="147">
        <f>IF(M2S_Eligibility_List!AE85=DataPaths_Code,1,0)+AD335</f>
        <v>1</v>
      </c>
      <c r="AF335" s="147">
        <f>IF(M2S_Eligibility_List!AF85=DataPaths_Code,1,0)+AE335</f>
        <v>1</v>
      </c>
      <c r="AG335" s="147">
        <f>IF(M2S_Eligibility_List!AG85=DataPaths_Code,1,0)+AF335</f>
        <v>1</v>
      </c>
      <c r="AH335" s="147">
        <f>IF(M2S_Eligibility_List!AH85=DataPaths_Code,1,0)+AG335</f>
        <v>1</v>
      </c>
      <c r="AI335" s="147">
        <f>IF(M2S_Eligibility_List!AI85=DataPaths_Code,1,0)+AH335</f>
        <v>1</v>
      </c>
      <c r="AJ335" s="147">
        <f>IF(M2S_Eligibility_List!AJ85=DataPaths_Code,1,0)+AI335</f>
        <v>1</v>
      </c>
      <c r="AK335" s="147">
        <f>IF(M2S_Eligibility_List!AK85=DataPaths_Code,1,0)+AJ335</f>
        <v>2</v>
      </c>
      <c r="AL335" s="147">
        <f>IF(M2S_Eligibility_List!AL85=DataPaths_Code,1,0)+AK335</f>
        <v>2</v>
      </c>
      <c r="AM335" s="147">
        <f>IF(M2S_Eligibility_List!AM85=DataPaths_Code,1,0)+AL335</f>
        <v>2</v>
      </c>
      <c r="AN335" s="147">
        <f>IF(M2S_Eligibility_List!AN85=DataPaths_Code,1,0)+AM335</f>
        <v>2</v>
      </c>
      <c r="AO335" s="147">
        <f>IF(M2S_Eligibility_List!AO85=DataPaths_Code,1,0)+AN335</f>
        <v>2</v>
      </c>
      <c r="AP335" s="147">
        <f>IF(M2S_Eligibility_List!AP85=DataPaths_Code,1,0)+AO335</f>
        <v>2</v>
      </c>
      <c r="AQ335" s="147">
        <f>IF(M2S_Eligibility_List!AQ85=DataPaths_Code,1,0)+AP335</f>
        <v>2</v>
      </c>
      <c r="AR335" s="147">
        <f>IF(M2S_Eligibility_List!AR85=DataPaths_Code,1,0)+AQ335</f>
        <v>2</v>
      </c>
      <c r="AS335" s="147">
        <f>IF(M2S_Eligibility_List!AS85=DataPaths_Code,1,0)+AR335</f>
        <v>2</v>
      </c>
      <c r="AT335" s="147">
        <f>IF(M2S_Eligibility_List!AT85=DataPaths_Code,1,0)+AS335</f>
        <v>2</v>
      </c>
      <c r="AU335" s="147">
        <f>IF(M2S_Eligibility_List!AU85=DataPaths_Code,1,0)+AT335</f>
        <v>2</v>
      </c>
      <c r="AV335" s="147">
        <f>IF(M2S_Eligibility_List!AV85=DataPaths_Code,1,0)+AU335</f>
        <v>2</v>
      </c>
      <c r="AW335" s="147">
        <f>IF(M2S_Eligibility_List!AW85=DataPaths_Code,1,0)+AV335</f>
        <v>2</v>
      </c>
      <c r="AX335" s="147">
        <f>IF(M2S_Eligibility_List!AX85=DataPaths_Code,1,0)+AW335</f>
        <v>2</v>
      </c>
      <c r="AY335" s="147">
        <f>IF(M2S_Eligibility_List!AY85=DataPaths_Code,1,0)+AX335</f>
        <v>2</v>
      </c>
      <c r="AZ335" s="147">
        <f>IF(M2S_Eligibility_List!AZ85=DataPaths_Code,1,0)+AY335</f>
        <v>2</v>
      </c>
      <c r="BA335" s="147">
        <f>IF(M2S_Eligibility_List!BA85=DataPaths_Code,1,0)+AZ335</f>
        <v>2</v>
      </c>
      <c r="BB335" s="147">
        <f>IF(M2S_Eligibility_List!BB85=DataPaths_Code,1,0)+BA335</f>
        <v>2</v>
      </c>
      <c r="BC335" s="147">
        <f>IF(M2S_Eligibility_List!BC85=DataPaths_Code,1,0)+BB335</f>
        <v>2</v>
      </c>
      <c r="BD335" s="147">
        <f>IF(M2S_Eligibility_List!BD85=DataPaths_Code,1,0)+BC335</f>
        <v>2</v>
      </c>
      <c r="BE335" s="147">
        <f>IF(M2S_Eligibility_List!BE85=DataPaths_Code,1,0)+BD335</f>
        <v>2</v>
      </c>
      <c r="BF335" s="147">
        <f>IF(M2S_Eligibility_List!BF85=DataPaths_Code,1,0)+BE335</f>
        <v>2</v>
      </c>
      <c r="BG335" s="147">
        <f>IF(M2S_Eligibility_List!BG85=DataPaths_Code,1,0)+BF335</f>
        <v>2</v>
      </c>
      <c r="BH335" s="147">
        <f>IF(M2S_Eligibility_List!BH85=DataPaths_Code,1,0)+BG335</f>
        <v>2</v>
      </c>
      <c r="BI335" s="147">
        <f>IF(M2S_Eligibility_List!BI85=DataPaths_Code,1,0)+BH335</f>
        <v>2</v>
      </c>
      <c r="BJ335" s="147">
        <f>IF(M2S_Eligibility_List!BJ85=DataPaths_Code,1,0)+BI335</f>
        <v>2</v>
      </c>
      <c r="BK335" s="147">
        <f>IF(M2S_Eligibility_List!BK85=DataPaths_Code,1,0)+BJ335</f>
        <v>2</v>
      </c>
      <c r="BL335" s="147">
        <f>IF(M2S_Eligibility_List!BL85=DataPaths_Code,1,0)+BK335</f>
        <v>2</v>
      </c>
      <c r="BM335" s="147">
        <f>IF(M2S_Eligibility_List!BM85=DataPaths_Code,1,0)+BL335</f>
        <v>2</v>
      </c>
      <c r="BN335" s="147">
        <f>IF(M2S_Eligibility_List!BN85=DataPaths_Code,1,0)+BM335</f>
        <v>2</v>
      </c>
      <c r="BO335" s="147">
        <f>IF(M2S_Eligibility_List!BO85=DataPaths_Code,1,0)+BN335</f>
        <v>2</v>
      </c>
      <c r="BP335" s="147">
        <f>IF(M2S_Eligibility_List!BP85=DataPaths_Code,1,0)+BO335</f>
        <v>2</v>
      </c>
      <c r="BQ335" s="147">
        <f>IF(M2S_Eligibility_List!BQ85=DataPaths_Code,1,0)+BP335</f>
        <v>2</v>
      </c>
      <c r="BR335" s="147">
        <f>IF(M2S_Eligibility_List!BR85=DataPaths_Code,1,0)+BQ335</f>
        <v>2</v>
      </c>
      <c r="BS335" s="147">
        <f>IF(M2S_Eligibility_List!BS85=DataPaths_Code,1,0)+BR335</f>
        <v>2</v>
      </c>
      <c r="BT335" s="147">
        <f>IF(M2S_Eligibility_List!BT85=DataPaths_Code,1,0)+BS335</f>
        <v>2</v>
      </c>
      <c r="BU335" s="147">
        <f>IF(M2S_Eligibility_List!BU85=DataPaths_Code,1,0)+BT335</f>
        <v>2</v>
      </c>
      <c r="BV335" s="147">
        <f>IF(M2S_Eligibility_List!BV85=DataPaths_Code,1,0)+BU335</f>
        <v>2</v>
      </c>
      <c r="BW335" s="147">
        <f>IF(M2S_Eligibility_List!BW85=DataPaths_Code,1,0)+BV335</f>
        <v>2</v>
      </c>
    </row>
    <row r="336" spans="1:75" ht="20.100000000000001" customHeight="1">
      <c r="A336" s="145"/>
      <c r="B336" s="170" t="str">
        <f>IF(M2S_Eligibility_List!$B86&lt;&gt;"",RIGHT(M2S_Eligibility_List!$B86,LEN(M2S_Eligibility_List!$B86)-LEN(nmADwSP)),0)</f>
        <v>Mudbox</v>
      </c>
      <c r="C336" s="147">
        <f>IF(M2S_Eligibility_List!C86=DataPaths_Code,1,0)</f>
        <v>0</v>
      </c>
      <c r="D336" s="147">
        <f>IF(M2S_Eligibility_List!D86=DataPaths_Code,1,0)+C336</f>
        <v>0</v>
      </c>
      <c r="E336" s="147">
        <f>IF(M2S_Eligibility_List!E86=DataPaths_Code,1,0)+D336</f>
        <v>1</v>
      </c>
      <c r="F336" s="147">
        <f>IF(M2S_Eligibility_List!F86=DataPaths_Code,1,0)+E336</f>
        <v>1</v>
      </c>
      <c r="G336" s="147">
        <f>IF(M2S_Eligibility_List!G86=DataPaths_Code,1,0)+F336</f>
        <v>1</v>
      </c>
      <c r="H336" s="147">
        <f>IF(M2S_Eligibility_List!H86=DataPaths_Code,1,0)+G336</f>
        <v>1</v>
      </c>
      <c r="I336" s="147">
        <f>IF(M2S_Eligibility_List!I86=DataPaths_Code,1,0)+H336</f>
        <v>1</v>
      </c>
      <c r="J336" s="147">
        <f>IF(M2S_Eligibility_List!J86=DataPaths_Code,1,0)+I336</f>
        <v>1</v>
      </c>
      <c r="K336" s="147">
        <f>IF(M2S_Eligibility_List!K86=DataPaths_Code,1,0)+J336</f>
        <v>1</v>
      </c>
      <c r="L336" s="147">
        <f>IF(M2S_Eligibility_List!L86=DataPaths_Code,1,0)+K336</f>
        <v>1</v>
      </c>
      <c r="M336" s="147">
        <f>IF(M2S_Eligibility_List!M86=DataPaths_Code,1,0)+L336</f>
        <v>1</v>
      </c>
      <c r="N336" s="147">
        <f>IF(M2S_Eligibility_List!N86=DataPaths_Code,1,0)+M336</f>
        <v>1</v>
      </c>
      <c r="O336" s="147">
        <f>IF(M2S_Eligibility_List!O86=DataPaths_Code,1,0)+N336</f>
        <v>1</v>
      </c>
      <c r="P336" s="147">
        <f>IF(M2S_Eligibility_List!P86=DataPaths_Code,1,0)+O336</f>
        <v>1</v>
      </c>
      <c r="Q336" s="147">
        <f>IF(M2S_Eligibility_List!Q86=DataPaths_Code,1,0)+P336</f>
        <v>1</v>
      </c>
      <c r="R336" s="147">
        <f>IF(M2S_Eligibility_List!R86=DataPaths_Code,1,0)+Q336</f>
        <v>1</v>
      </c>
      <c r="S336" s="147">
        <f>IF(M2S_Eligibility_List!S86=DataPaths_Code,1,0)+R336</f>
        <v>1</v>
      </c>
      <c r="T336" s="147">
        <f>IF(M2S_Eligibility_List!T86=DataPaths_Code,1,0)+S336</f>
        <v>1</v>
      </c>
      <c r="U336" s="147">
        <f>IF(M2S_Eligibility_List!U86=DataPaths_Code,1,0)+T336</f>
        <v>1</v>
      </c>
      <c r="V336" s="147">
        <f>IF(M2S_Eligibility_List!V86=DataPaths_Code,1,0)+U336</f>
        <v>1</v>
      </c>
      <c r="W336" s="147">
        <f>IF(M2S_Eligibility_List!W86=DataPaths_Code,1,0)+V336</f>
        <v>1</v>
      </c>
      <c r="X336" s="147">
        <f>IF(M2S_Eligibility_List!X86=DataPaths_Code,1,0)+W336</f>
        <v>1</v>
      </c>
      <c r="Y336" s="147">
        <f>IF(M2S_Eligibility_List!Y86=DataPaths_Code,1,0)+X336</f>
        <v>1</v>
      </c>
      <c r="Z336" s="147">
        <f>IF(M2S_Eligibility_List!Z86=DataPaths_Code,1,0)+Y336</f>
        <v>1</v>
      </c>
      <c r="AA336" s="147">
        <f>IF(M2S_Eligibility_List!AA86=DataPaths_Code,1,0)+Z336</f>
        <v>1</v>
      </c>
      <c r="AB336" s="147">
        <f>IF(M2S_Eligibility_List!AB86=DataPaths_Code,1,0)+AA336</f>
        <v>1</v>
      </c>
      <c r="AC336" s="147">
        <f>IF(M2S_Eligibility_List!AC86=DataPaths_Code,1,0)+AB336</f>
        <v>1</v>
      </c>
      <c r="AD336" s="147">
        <f>IF(M2S_Eligibility_List!AD86=DataPaths_Code,1,0)+AC336</f>
        <v>1</v>
      </c>
      <c r="AE336" s="147">
        <f>IF(M2S_Eligibility_List!AE86=DataPaths_Code,1,0)+AD336</f>
        <v>1</v>
      </c>
      <c r="AF336" s="147">
        <f>IF(M2S_Eligibility_List!AF86=DataPaths_Code,1,0)+AE336</f>
        <v>1</v>
      </c>
      <c r="AG336" s="147">
        <f>IF(M2S_Eligibility_List!AG86=DataPaths_Code,1,0)+AF336</f>
        <v>1</v>
      </c>
      <c r="AH336" s="147">
        <f>IF(M2S_Eligibility_List!AH86=DataPaths_Code,1,0)+AG336</f>
        <v>1</v>
      </c>
      <c r="AI336" s="147">
        <f>IF(M2S_Eligibility_List!AI86=DataPaths_Code,1,0)+AH336</f>
        <v>1</v>
      </c>
      <c r="AJ336" s="147">
        <f>IF(M2S_Eligibility_List!AJ86=DataPaths_Code,1,0)+AI336</f>
        <v>1</v>
      </c>
      <c r="AK336" s="147">
        <f>IF(M2S_Eligibility_List!AK86=DataPaths_Code,1,0)+AJ336</f>
        <v>1</v>
      </c>
      <c r="AL336" s="147">
        <f>IF(M2S_Eligibility_List!AL86=DataPaths_Code,1,0)+AK336</f>
        <v>2</v>
      </c>
      <c r="AM336" s="147">
        <f>IF(M2S_Eligibility_List!AM86=DataPaths_Code,1,0)+AL336</f>
        <v>2</v>
      </c>
      <c r="AN336" s="147">
        <f>IF(M2S_Eligibility_List!AN86=DataPaths_Code,1,0)+AM336</f>
        <v>2</v>
      </c>
      <c r="AO336" s="147">
        <f>IF(M2S_Eligibility_List!AO86=DataPaths_Code,1,0)+AN336</f>
        <v>2</v>
      </c>
      <c r="AP336" s="147">
        <f>IF(M2S_Eligibility_List!AP86=DataPaths_Code,1,0)+AO336</f>
        <v>2</v>
      </c>
      <c r="AQ336" s="147">
        <f>IF(M2S_Eligibility_List!AQ86=DataPaths_Code,1,0)+AP336</f>
        <v>2</v>
      </c>
      <c r="AR336" s="147">
        <f>IF(M2S_Eligibility_List!AR86=DataPaths_Code,1,0)+AQ336</f>
        <v>2</v>
      </c>
      <c r="AS336" s="147">
        <f>IF(M2S_Eligibility_List!AS86=DataPaths_Code,1,0)+AR336</f>
        <v>2</v>
      </c>
      <c r="AT336" s="147">
        <f>IF(M2S_Eligibility_List!AT86=DataPaths_Code,1,0)+AS336</f>
        <v>2</v>
      </c>
      <c r="AU336" s="147">
        <f>IF(M2S_Eligibility_List!AU86=DataPaths_Code,1,0)+AT336</f>
        <v>2</v>
      </c>
      <c r="AV336" s="147">
        <f>IF(M2S_Eligibility_List!AV86=DataPaths_Code,1,0)+AU336</f>
        <v>2</v>
      </c>
      <c r="AW336" s="147">
        <f>IF(M2S_Eligibility_List!AW86=DataPaths_Code,1,0)+AV336</f>
        <v>2</v>
      </c>
      <c r="AX336" s="147">
        <f>IF(M2S_Eligibility_List!AX86=DataPaths_Code,1,0)+AW336</f>
        <v>2</v>
      </c>
      <c r="AY336" s="147">
        <f>IF(M2S_Eligibility_List!AY86=DataPaths_Code,1,0)+AX336</f>
        <v>2</v>
      </c>
      <c r="AZ336" s="147">
        <f>IF(M2S_Eligibility_List!AZ86=DataPaths_Code,1,0)+AY336</f>
        <v>2</v>
      </c>
      <c r="BA336" s="147">
        <f>IF(M2S_Eligibility_List!BA86=DataPaths_Code,1,0)+AZ336</f>
        <v>2</v>
      </c>
      <c r="BB336" s="147">
        <f>IF(M2S_Eligibility_List!BB86=DataPaths_Code,1,0)+BA336</f>
        <v>2</v>
      </c>
      <c r="BC336" s="147">
        <f>IF(M2S_Eligibility_List!BC86=DataPaths_Code,1,0)+BB336</f>
        <v>2</v>
      </c>
      <c r="BD336" s="147">
        <f>IF(M2S_Eligibility_List!BD86=DataPaths_Code,1,0)+BC336</f>
        <v>2</v>
      </c>
      <c r="BE336" s="147">
        <f>IF(M2S_Eligibility_List!BE86=DataPaths_Code,1,0)+BD336</f>
        <v>2</v>
      </c>
      <c r="BF336" s="147">
        <f>IF(M2S_Eligibility_List!BF86=DataPaths_Code,1,0)+BE336</f>
        <v>2</v>
      </c>
      <c r="BG336" s="147">
        <f>IF(M2S_Eligibility_List!BG86=DataPaths_Code,1,0)+BF336</f>
        <v>2</v>
      </c>
      <c r="BH336" s="147">
        <f>IF(M2S_Eligibility_List!BH86=DataPaths_Code,1,0)+BG336</f>
        <v>2</v>
      </c>
      <c r="BI336" s="147">
        <f>IF(M2S_Eligibility_List!BI86=DataPaths_Code,1,0)+BH336</f>
        <v>2</v>
      </c>
      <c r="BJ336" s="147">
        <f>IF(M2S_Eligibility_List!BJ86=DataPaths_Code,1,0)+BI336</f>
        <v>2</v>
      </c>
      <c r="BK336" s="147">
        <f>IF(M2S_Eligibility_List!BK86=DataPaths_Code,1,0)+BJ336</f>
        <v>2</v>
      </c>
      <c r="BL336" s="147">
        <f>IF(M2S_Eligibility_List!BL86=DataPaths_Code,1,0)+BK336</f>
        <v>2</v>
      </c>
      <c r="BM336" s="147">
        <f>IF(M2S_Eligibility_List!BM86=DataPaths_Code,1,0)+BL336</f>
        <v>2</v>
      </c>
      <c r="BN336" s="147">
        <f>IF(M2S_Eligibility_List!BN86=DataPaths_Code,1,0)+BM336</f>
        <v>2</v>
      </c>
      <c r="BO336" s="147">
        <f>IF(M2S_Eligibility_List!BO86=DataPaths_Code,1,0)+BN336</f>
        <v>2</v>
      </c>
      <c r="BP336" s="147">
        <f>IF(M2S_Eligibility_List!BP86=DataPaths_Code,1,0)+BO336</f>
        <v>2</v>
      </c>
      <c r="BQ336" s="147">
        <f>IF(M2S_Eligibility_List!BQ86=DataPaths_Code,1,0)+BP336</f>
        <v>2</v>
      </c>
      <c r="BR336" s="147">
        <f>IF(M2S_Eligibility_List!BR86=DataPaths_Code,1,0)+BQ336</f>
        <v>2</v>
      </c>
      <c r="BS336" s="147">
        <f>IF(M2S_Eligibility_List!BS86=DataPaths_Code,1,0)+BR336</f>
        <v>2</v>
      </c>
      <c r="BT336" s="147">
        <f>IF(M2S_Eligibility_List!BT86=DataPaths_Code,1,0)+BS336</f>
        <v>2</v>
      </c>
      <c r="BU336" s="147">
        <f>IF(M2S_Eligibility_List!BU86=DataPaths_Code,1,0)+BT336</f>
        <v>2</v>
      </c>
      <c r="BV336" s="147">
        <f>IF(M2S_Eligibility_List!BV86=DataPaths_Code,1,0)+BU336</f>
        <v>2</v>
      </c>
      <c r="BW336" s="147">
        <f>IF(M2S_Eligibility_List!BW86=DataPaths_Code,1,0)+BV336</f>
        <v>2</v>
      </c>
    </row>
    <row r="337" spans="1:75" ht="20.100000000000001" customHeight="1">
      <c r="A337" s="145"/>
      <c r="B337" s="170" t="str">
        <f>IF(M2S_Eligibility_List!$B87&lt;&gt;"",RIGHT(M2S_Eligibility_List!$B87,LEN(M2S_Eligibility_List!$B87)-LEN(nmADwSP)),0)</f>
        <v>Nastran</v>
      </c>
      <c r="C337" s="147">
        <f>IF(M2S_Eligibility_List!C87=DataPaths_Code,1,0)</f>
        <v>0</v>
      </c>
      <c r="D337" s="147">
        <f>IF(M2S_Eligibility_List!D87=DataPaths_Code,1,0)+C337</f>
        <v>1</v>
      </c>
      <c r="E337" s="147">
        <f>IF(M2S_Eligibility_List!E87=DataPaths_Code,1,0)+D337</f>
        <v>1</v>
      </c>
      <c r="F337" s="147">
        <f>IF(M2S_Eligibility_List!F87=DataPaths_Code,1,0)+E337</f>
        <v>1</v>
      </c>
      <c r="G337" s="147">
        <f>IF(M2S_Eligibility_List!G87=DataPaths_Code,1,0)+F337</f>
        <v>1</v>
      </c>
      <c r="H337" s="147">
        <f>IF(M2S_Eligibility_List!H87=DataPaths_Code,1,0)+G337</f>
        <v>1</v>
      </c>
      <c r="I337" s="147">
        <f>IF(M2S_Eligibility_List!I87=DataPaths_Code,1,0)+H337</f>
        <v>1</v>
      </c>
      <c r="J337" s="147">
        <f>IF(M2S_Eligibility_List!J87=DataPaths_Code,1,0)+I337</f>
        <v>1</v>
      </c>
      <c r="K337" s="147">
        <f>IF(M2S_Eligibility_List!K87=DataPaths_Code,1,0)+J337</f>
        <v>1</v>
      </c>
      <c r="L337" s="147">
        <f>IF(M2S_Eligibility_List!L87=DataPaths_Code,1,0)+K337</f>
        <v>1</v>
      </c>
      <c r="M337" s="147">
        <f>IF(M2S_Eligibility_List!M87=DataPaths_Code,1,0)+L337</f>
        <v>1</v>
      </c>
      <c r="N337" s="147">
        <f>IF(M2S_Eligibility_List!N87=DataPaths_Code,1,0)+M337</f>
        <v>1</v>
      </c>
      <c r="O337" s="147">
        <f>IF(M2S_Eligibility_List!O87=DataPaths_Code,1,0)+N337</f>
        <v>1</v>
      </c>
      <c r="P337" s="147">
        <f>IF(M2S_Eligibility_List!P87=DataPaths_Code,1,0)+O337</f>
        <v>1</v>
      </c>
      <c r="Q337" s="147">
        <f>IF(M2S_Eligibility_List!Q87=DataPaths_Code,1,0)+P337</f>
        <v>1</v>
      </c>
      <c r="R337" s="147">
        <f>IF(M2S_Eligibility_List!R87=DataPaths_Code,1,0)+Q337</f>
        <v>1</v>
      </c>
      <c r="S337" s="147">
        <f>IF(M2S_Eligibility_List!S87=DataPaths_Code,1,0)+R337</f>
        <v>1</v>
      </c>
      <c r="T337" s="147">
        <f>IF(M2S_Eligibility_List!T87=DataPaths_Code,1,0)+S337</f>
        <v>1</v>
      </c>
      <c r="U337" s="147">
        <f>IF(M2S_Eligibility_List!U87=DataPaths_Code,1,0)+T337</f>
        <v>1</v>
      </c>
      <c r="V337" s="147">
        <f>IF(M2S_Eligibility_List!V87=DataPaths_Code,1,0)+U337</f>
        <v>1</v>
      </c>
      <c r="W337" s="147">
        <f>IF(M2S_Eligibility_List!W87=DataPaths_Code,1,0)+V337</f>
        <v>1</v>
      </c>
      <c r="X337" s="147">
        <f>IF(M2S_Eligibility_List!X87=DataPaths_Code,1,0)+W337</f>
        <v>1</v>
      </c>
      <c r="Y337" s="147">
        <f>IF(M2S_Eligibility_List!Y87=DataPaths_Code,1,0)+X337</f>
        <v>1</v>
      </c>
      <c r="Z337" s="147">
        <f>IF(M2S_Eligibility_List!Z87=DataPaths_Code,1,0)+Y337</f>
        <v>1</v>
      </c>
      <c r="AA337" s="147">
        <f>IF(M2S_Eligibility_List!AA87=DataPaths_Code,1,0)+Z337</f>
        <v>1</v>
      </c>
      <c r="AB337" s="147">
        <f>IF(M2S_Eligibility_List!AB87=DataPaths_Code,1,0)+AA337</f>
        <v>1</v>
      </c>
      <c r="AC337" s="147">
        <f>IF(M2S_Eligibility_List!AC87=DataPaths_Code,1,0)+AB337</f>
        <v>1</v>
      </c>
      <c r="AD337" s="147">
        <f>IF(M2S_Eligibility_List!AD87=DataPaths_Code,1,0)+AC337</f>
        <v>1</v>
      </c>
      <c r="AE337" s="147">
        <f>IF(M2S_Eligibility_List!AE87=DataPaths_Code,1,0)+AD337</f>
        <v>1</v>
      </c>
      <c r="AF337" s="147">
        <f>IF(M2S_Eligibility_List!AF87=DataPaths_Code,1,0)+AE337</f>
        <v>1</v>
      </c>
      <c r="AG337" s="147">
        <f>IF(M2S_Eligibility_List!AG87=DataPaths_Code,1,0)+AF337</f>
        <v>1</v>
      </c>
      <c r="AH337" s="147">
        <f>IF(M2S_Eligibility_List!AH87=DataPaths_Code,1,0)+AG337</f>
        <v>1</v>
      </c>
      <c r="AI337" s="147">
        <f>IF(M2S_Eligibility_List!AI87=DataPaths_Code,1,0)+AH337</f>
        <v>1</v>
      </c>
      <c r="AJ337" s="147">
        <f>IF(M2S_Eligibility_List!AJ87=DataPaths_Code,1,0)+AI337</f>
        <v>1</v>
      </c>
      <c r="AK337" s="147">
        <f>IF(M2S_Eligibility_List!AK87=DataPaths_Code,1,0)+AJ337</f>
        <v>1</v>
      </c>
      <c r="AL337" s="147">
        <f>IF(M2S_Eligibility_List!AL87=DataPaths_Code,1,0)+AK337</f>
        <v>1</v>
      </c>
      <c r="AM337" s="147">
        <f>IF(M2S_Eligibility_List!AM87=DataPaths_Code,1,0)+AL337</f>
        <v>1</v>
      </c>
      <c r="AN337" s="147">
        <f>IF(M2S_Eligibility_List!AN87=DataPaths_Code,1,0)+AM337</f>
        <v>1</v>
      </c>
      <c r="AO337" s="147">
        <f>IF(M2S_Eligibility_List!AO87=DataPaths_Code,1,0)+AN337</f>
        <v>1</v>
      </c>
      <c r="AP337" s="147">
        <f>IF(M2S_Eligibility_List!AP87=DataPaths_Code,1,0)+AO337</f>
        <v>1</v>
      </c>
      <c r="AQ337" s="147">
        <f>IF(M2S_Eligibility_List!AQ87=DataPaths_Code,1,0)+AP337</f>
        <v>1</v>
      </c>
      <c r="AR337" s="147">
        <f>IF(M2S_Eligibility_List!AR87=DataPaths_Code,1,0)+AQ337</f>
        <v>1</v>
      </c>
      <c r="AS337" s="147">
        <f>IF(M2S_Eligibility_List!AS87=DataPaths_Code,1,0)+AR337</f>
        <v>1</v>
      </c>
      <c r="AT337" s="147">
        <f>IF(M2S_Eligibility_List!AT87=DataPaths_Code,1,0)+AS337</f>
        <v>1</v>
      </c>
      <c r="AU337" s="147">
        <f>IF(M2S_Eligibility_List!AU87=DataPaths_Code,1,0)+AT337</f>
        <v>1</v>
      </c>
      <c r="AV337" s="147">
        <f>IF(M2S_Eligibility_List!AV87=DataPaths_Code,1,0)+AU337</f>
        <v>1</v>
      </c>
      <c r="AW337" s="147">
        <f>IF(M2S_Eligibility_List!AW87=DataPaths_Code,1,0)+AV337</f>
        <v>1</v>
      </c>
      <c r="AX337" s="147">
        <f>IF(M2S_Eligibility_List!AX87=DataPaths_Code,1,0)+AW337</f>
        <v>1</v>
      </c>
      <c r="AY337" s="147">
        <f>IF(M2S_Eligibility_List!AY87=DataPaths_Code,1,0)+AX337</f>
        <v>1</v>
      </c>
      <c r="AZ337" s="147">
        <f>IF(M2S_Eligibility_List!AZ87=DataPaths_Code,1,0)+AY337</f>
        <v>1</v>
      </c>
      <c r="BA337" s="147">
        <f>IF(M2S_Eligibility_List!BA87=DataPaths_Code,1,0)+AZ337</f>
        <v>1</v>
      </c>
      <c r="BB337" s="147">
        <f>IF(M2S_Eligibility_List!BB87=DataPaths_Code,1,0)+BA337</f>
        <v>1</v>
      </c>
      <c r="BC337" s="147">
        <f>IF(M2S_Eligibility_List!BC87=DataPaths_Code,1,0)+BB337</f>
        <v>1</v>
      </c>
      <c r="BD337" s="147">
        <f>IF(M2S_Eligibility_List!BD87=DataPaths_Code,1,0)+BC337</f>
        <v>1</v>
      </c>
      <c r="BE337" s="147">
        <f>IF(M2S_Eligibility_List!BE87=DataPaths_Code,1,0)+BD337</f>
        <v>1</v>
      </c>
      <c r="BF337" s="147">
        <f>IF(M2S_Eligibility_List!BF87=DataPaths_Code,1,0)+BE337</f>
        <v>1</v>
      </c>
      <c r="BG337" s="147">
        <f>IF(M2S_Eligibility_List!BG87=DataPaths_Code,1,0)+BF337</f>
        <v>1</v>
      </c>
      <c r="BH337" s="147">
        <f>IF(M2S_Eligibility_List!BH87=DataPaths_Code,1,0)+BG337</f>
        <v>1</v>
      </c>
      <c r="BI337" s="147">
        <f>IF(M2S_Eligibility_List!BI87=DataPaths_Code,1,0)+BH337</f>
        <v>1</v>
      </c>
      <c r="BJ337" s="147">
        <f>IF(M2S_Eligibility_List!BJ87=DataPaths_Code,1,0)+BI337</f>
        <v>1</v>
      </c>
      <c r="BK337" s="147">
        <f>IF(M2S_Eligibility_List!BK87=DataPaths_Code,1,0)+BJ337</f>
        <v>1</v>
      </c>
      <c r="BL337" s="147">
        <f>IF(M2S_Eligibility_List!BL87=DataPaths_Code,1,0)+BK337</f>
        <v>1</v>
      </c>
      <c r="BM337" s="147">
        <f>IF(M2S_Eligibility_List!BM87=DataPaths_Code,1,0)+BL337</f>
        <v>1</v>
      </c>
      <c r="BN337" s="147">
        <f>IF(M2S_Eligibility_List!BN87=DataPaths_Code,1,0)+BM337</f>
        <v>1</v>
      </c>
      <c r="BO337" s="147">
        <f>IF(M2S_Eligibility_List!BO87=DataPaths_Code,1,0)+BN337</f>
        <v>1</v>
      </c>
      <c r="BP337" s="147">
        <f>IF(M2S_Eligibility_List!BP87=DataPaths_Code,1,0)+BO337</f>
        <v>1</v>
      </c>
      <c r="BQ337" s="147">
        <f>IF(M2S_Eligibility_List!BQ87=DataPaths_Code,1,0)+BP337</f>
        <v>1</v>
      </c>
      <c r="BR337" s="147">
        <f>IF(M2S_Eligibility_List!BR87=DataPaths_Code,1,0)+BQ337</f>
        <v>1</v>
      </c>
      <c r="BS337" s="147">
        <f>IF(M2S_Eligibility_List!BS87=DataPaths_Code,1,0)+BR337</f>
        <v>1</v>
      </c>
      <c r="BT337" s="147">
        <f>IF(M2S_Eligibility_List!BT87=DataPaths_Code,1,0)+BS337</f>
        <v>1</v>
      </c>
      <c r="BU337" s="147">
        <f>IF(M2S_Eligibility_List!BU87=DataPaths_Code,1,0)+BT337</f>
        <v>1</v>
      </c>
      <c r="BV337" s="147">
        <f>IF(M2S_Eligibility_List!BV87=DataPaths_Code,1,0)+BU337</f>
        <v>1</v>
      </c>
      <c r="BW337" s="147">
        <f>IF(M2S_Eligibility_List!BW87=DataPaths_Code,1,0)+BV337</f>
        <v>1</v>
      </c>
    </row>
    <row r="338" spans="1:75" ht="20.100000000000001" customHeight="1">
      <c r="A338" s="145"/>
      <c r="B338" s="170" t="str">
        <f>IF(M2S_Eligibility_List!$B88&lt;&gt;"",RIGHT(M2S_Eligibility_List!$B88,LEN(M2S_Eligibility_List!$B88)-LEN(nmADwSP)),0)</f>
        <v>Nastran In-CAD</v>
      </c>
      <c r="C338" s="147">
        <f>IF(M2S_Eligibility_List!C88=DataPaths_Code,1,0)</f>
        <v>0</v>
      </c>
      <c r="D338" s="147">
        <f>IF(M2S_Eligibility_List!D88=DataPaths_Code,1,0)+C338</f>
        <v>1</v>
      </c>
      <c r="E338" s="147">
        <f>IF(M2S_Eligibility_List!E88=DataPaths_Code,1,0)+D338</f>
        <v>1</v>
      </c>
      <c r="F338" s="147">
        <f>IF(M2S_Eligibility_List!F88=DataPaths_Code,1,0)+E338</f>
        <v>1</v>
      </c>
      <c r="G338" s="147">
        <f>IF(M2S_Eligibility_List!G88=DataPaths_Code,1,0)+F338</f>
        <v>1</v>
      </c>
      <c r="H338" s="147">
        <f>IF(M2S_Eligibility_List!H88=DataPaths_Code,1,0)+G338</f>
        <v>1</v>
      </c>
      <c r="I338" s="147">
        <f>IF(M2S_Eligibility_List!I88=DataPaths_Code,1,0)+H338</f>
        <v>1</v>
      </c>
      <c r="J338" s="147">
        <f>IF(M2S_Eligibility_List!J88=DataPaths_Code,1,0)+I338</f>
        <v>1</v>
      </c>
      <c r="K338" s="147">
        <f>IF(M2S_Eligibility_List!K88=DataPaths_Code,1,0)+J338</f>
        <v>1</v>
      </c>
      <c r="L338" s="147">
        <f>IF(M2S_Eligibility_List!L88=DataPaths_Code,1,0)+K338</f>
        <v>1</v>
      </c>
      <c r="M338" s="147">
        <f>IF(M2S_Eligibility_List!M88=DataPaths_Code,1,0)+L338</f>
        <v>1</v>
      </c>
      <c r="N338" s="147">
        <f>IF(M2S_Eligibility_List!N88=DataPaths_Code,1,0)+M338</f>
        <v>1</v>
      </c>
      <c r="O338" s="147">
        <f>IF(M2S_Eligibility_List!O88=DataPaths_Code,1,0)+N338</f>
        <v>1</v>
      </c>
      <c r="P338" s="147">
        <f>IF(M2S_Eligibility_List!P88=DataPaths_Code,1,0)+O338</f>
        <v>1</v>
      </c>
      <c r="Q338" s="147">
        <f>IF(M2S_Eligibility_List!Q88=DataPaths_Code,1,0)+P338</f>
        <v>1</v>
      </c>
      <c r="R338" s="147">
        <f>IF(M2S_Eligibility_List!R88=DataPaths_Code,1,0)+Q338</f>
        <v>1</v>
      </c>
      <c r="S338" s="147">
        <f>IF(M2S_Eligibility_List!S88=DataPaths_Code,1,0)+R338</f>
        <v>1</v>
      </c>
      <c r="T338" s="147">
        <f>IF(M2S_Eligibility_List!T88=DataPaths_Code,1,0)+S338</f>
        <v>1</v>
      </c>
      <c r="U338" s="147">
        <f>IF(M2S_Eligibility_List!U88=DataPaths_Code,1,0)+T338</f>
        <v>1</v>
      </c>
      <c r="V338" s="147">
        <f>IF(M2S_Eligibility_List!V88=DataPaths_Code,1,0)+U338</f>
        <v>1</v>
      </c>
      <c r="W338" s="147">
        <f>IF(M2S_Eligibility_List!W88=DataPaths_Code,1,0)+V338</f>
        <v>1</v>
      </c>
      <c r="X338" s="147">
        <f>IF(M2S_Eligibility_List!X88=DataPaths_Code,1,0)+W338</f>
        <v>1</v>
      </c>
      <c r="Y338" s="147">
        <f>IF(M2S_Eligibility_List!Y88=DataPaths_Code,1,0)+X338</f>
        <v>1</v>
      </c>
      <c r="Z338" s="147">
        <f>IF(M2S_Eligibility_List!Z88=DataPaths_Code,1,0)+Y338</f>
        <v>1</v>
      </c>
      <c r="AA338" s="147">
        <f>IF(M2S_Eligibility_List!AA88=DataPaths_Code,1,0)+Z338</f>
        <v>1</v>
      </c>
      <c r="AB338" s="147">
        <f>IF(M2S_Eligibility_List!AB88=DataPaths_Code,1,0)+AA338</f>
        <v>1</v>
      </c>
      <c r="AC338" s="147">
        <f>IF(M2S_Eligibility_List!AC88=DataPaths_Code,1,0)+AB338</f>
        <v>1</v>
      </c>
      <c r="AD338" s="147">
        <f>IF(M2S_Eligibility_List!AD88=DataPaths_Code,1,0)+AC338</f>
        <v>1</v>
      </c>
      <c r="AE338" s="147">
        <f>IF(M2S_Eligibility_List!AE88=DataPaths_Code,1,0)+AD338</f>
        <v>1</v>
      </c>
      <c r="AF338" s="147">
        <f>IF(M2S_Eligibility_List!AF88=DataPaths_Code,1,0)+AE338</f>
        <v>1</v>
      </c>
      <c r="AG338" s="147">
        <f>IF(M2S_Eligibility_List!AG88=DataPaths_Code,1,0)+AF338</f>
        <v>1</v>
      </c>
      <c r="AH338" s="147">
        <f>IF(M2S_Eligibility_List!AH88=DataPaths_Code,1,0)+AG338</f>
        <v>1</v>
      </c>
      <c r="AI338" s="147">
        <f>IF(M2S_Eligibility_List!AI88=DataPaths_Code,1,0)+AH338</f>
        <v>1</v>
      </c>
      <c r="AJ338" s="147">
        <f>IF(M2S_Eligibility_List!AJ88=DataPaths_Code,1,0)+AI338</f>
        <v>1</v>
      </c>
      <c r="AK338" s="147">
        <f>IF(M2S_Eligibility_List!AK88=DataPaths_Code,1,0)+AJ338</f>
        <v>1</v>
      </c>
      <c r="AL338" s="147">
        <f>IF(M2S_Eligibility_List!AL88=DataPaths_Code,1,0)+AK338</f>
        <v>1</v>
      </c>
      <c r="AM338" s="147">
        <f>IF(M2S_Eligibility_List!AM88=DataPaths_Code,1,0)+AL338</f>
        <v>1</v>
      </c>
      <c r="AN338" s="147">
        <f>IF(M2S_Eligibility_List!AN88=DataPaths_Code,1,0)+AM338</f>
        <v>1</v>
      </c>
      <c r="AO338" s="147">
        <f>IF(M2S_Eligibility_List!AO88=DataPaths_Code,1,0)+AN338</f>
        <v>1</v>
      </c>
      <c r="AP338" s="147">
        <f>IF(M2S_Eligibility_List!AP88=DataPaths_Code,1,0)+AO338</f>
        <v>1</v>
      </c>
      <c r="AQ338" s="147">
        <f>IF(M2S_Eligibility_List!AQ88=DataPaths_Code,1,0)+AP338</f>
        <v>1</v>
      </c>
      <c r="AR338" s="147">
        <f>IF(M2S_Eligibility_List!AR88=DataPaths_Code,1,0)+AQ338</f>
        <v>1</v>
      </c>
      <c r="AS338" s="147">
        <f>IF(M2S_Eligibility_List!AS88=DataPaths_Code,1,0)+AR338</f>
        <v>1</v>
      </c>
      <c r="AT338" s="147">
        <f>IF(M2S_Eligibility_List!AT88=DataPaths_Code,1,0)+AS338</f>
        <v>1</v>
      </c>
      <c r="AU338" s="147">
        <f>IF(M2S_Eligibility_List!AU88=DataPaths_Code,1,0)+AT338</f>
        <v>1</v>
      </c>
      <c r="AV338" s="147">
        <f>IF(M2S_Eligibility_List!AV88=DataPaths_Code,1,0)+AU338</f>
        <v>1</v>
      </c>
      <c r="AW338" s="147">
        <f>IF(M2S_Eligibility_List!AW88=DataPaths_Code,1,0)+AV338</f>
        <v>1</v>
      </c>
      <c r="AX338" s="147">
        <f>IF(M2S_Eligibility_List!AX88=DataPaths_Code,1,0)+AW338</f>
        <v>1</v>
      </c>
      <c r="AY338" s="147">
        <f>IF(M2S_Eligibility_List!AY88=DataPaths_Code,1,0)+AX338</f>
        <v>1</v>
      </c>
      <c r="AZ338" s="147">
        <f>IF(M2S_Eligibility_List!AZ88=DataPaths_Code,1,0)+AY338</f>
        <v>1</v>
      </c>
      <c r="BA338" s="147">
        <f>IF(M2S_Eligibility_List!BA88=DataPaths_Code,1,0)+AZ338</f>
        <v>1</v>
      </c>
      <c r="BB338" s="147">
        <f>IF(M2S_Eligibility_List!BB88=DataPaths_Code,1,0)+BA338</f>
        <v>1</v>
      </c>
      <c r="BC338" s="147">
        <f>IF(M2S_Eligibility_List!BC88=DataPaths_Code,1,0)+BB338</f>
        <v>1</v>
      </c>
      <c r="BD338" s="147">
        <f>IF(M2S_Eligibility_List!BD88=DataPaths_Code,1,0)+BC338</f>
        <v>1</v>
      </c>
      <c r="BE338" s="147">
        <f>IF(M2S_Eligibility_List!BE88=DataPaths_Code,1,0)+BD338</f>
        <v>1</v>
      </c>
      <c r="BF338" s="147">
        <f>IF(M2S_Eligibility_List!BF88=DataPaths_Code,1,0)+BE338</f>
        <v>1</v>
      </c>
      <c r="BG338" s="147">
        <f>IF(M2S_Eligibility_List!BG88=DataPaths_Code,1,0)+BF338</f>
        <v>1</v>
      </c>
      <c r="BH338" s="147">
        <f>IF(M2S_Eligibility_List!BH88=DataPaths_Code,1,0)+BG338</f>
        <v>1</v>
      </c>
      <c r="BI338" s="147">
        <f>IF(M2S_Eligibility_List!BI88=DataPaths_Code,1,0)+BH338</f>
        <v>1</v>
      </c>
      <c r="BJ338" s="147">
        <f>IF(M2S_Eligibility_List!BJ88=DataPaths_Code,1,0)+BI338</f>
        <v>1</v>
      </c>
      <c r="BK338" s="147">
        <f>IF(M2S_Eligibility_List!BK88=DataPaths_Code,1,0)+BJ338</f>
        <v>1</v>
      </c>
      <c r="BL338" s="147">
        <f>IF(M2S_Eligibility_List!BL88=DataPaths_Code,1,0)+BK338</f>
        <v>1</v>
      </c>
      <c r="BM338" s="147">
        <f>IF(M2S_Eligibility_List!BM88=DataPaths_Code,1,0)+BL338</f>
        <v>1</v>
      </c>
      <c r="BN338" s="147">
        <f>IF(M2S_Eligibility_List!BN88=DataPaths_Code,1,0)+BM338</f>
        <v>1</v>
      </c>
      <c r="BO338" s="147">
        <f>IF(M2S_Eligibility_List!BO88=DataPaths_Code,1,0)+BN338</f>
        <v>1</v>
      </c>
      <c r="BP338" s="147">
        <f>IF(M2S_Eligibility_List!BP88=DataPaths_Code,1,0)+BO338</f>
        <v>1</v>
      </c>
      <c r="BQ338" s="147">
        <f>IF(M2S_Eligibility_List!BQ88=DataPaths_Code,1,0)+BP338</f>
        <v>1</v>
      </c>
      <c r="BR338" s="147">
        <f>IF(M2S_Eligibility_List!BR88=DataPaths_Code,1,0)+BQ338</f>
        <v>1</v>
      </c>
      <c r="BS338" s="147">
        <f>IF(M2S_Eligibility_List!BS88=DataPaths_Code,1,0)+BR338</f>
        <v>1</v>
      </c>
      <c r="BT338" s="147">
        <f>IF(M2S_Eligibility_List!BT88=DataPaths_Code,1,0)+BS338</f>
        <v>1</v>
      </c>
      <c r="BU338" s="147">
        <f>IF(M2S_Eligibility_List!BU88=DataPaths_Code,1,0)+BT338</f>
        <v>1</v>
      </c>
      <c r="BV338" s="147">
        <f>IF(M2S_Eligibility_List!BV88=DataPaths_Code,1,0)+BU338</f>
        <v>1</v>
      </c>
      <c r="BW338" s="147">
        <f>IF(M2S_Eligibility_List!BW88=DataPaths_Code,1,0)+BV338</f>
        <v>1</v>
      </c>
    </row>
    <row r="339" spans="1:75" ht="20.100000000000001" customHeight="1">
      <c r="A339" s="145"/>
      <c r="B339" s="170" t="str">
        <f>IF(M2S_Eligibility_List!$B89&lt;&gt;"",RIGHT(M2S_Eligibility_List!$B89,LEN(M2S_Eligibility_List!$B89)-LEN(nmADwSP)),0)</f>
        <v>Navisworks Manage*</v>
      </c>
      <c r="C339" s="147">
        <f>IF(M2S_Eligibility_List!C89=DataPaths_Code,1,0)</f>
        <v>1</v>
      </c>
      <c r="D339" s="147">
        <f>IF(M2S_Eligibility_List!D89=DataPaths_Code,1,0)+C339</f>
        <v>2</v>
      </c>
      <c r="E339" s="147">
        <f>IF(M2S_Eligibility_List!E89=DataPaths_Code,1,0)+D339</f>
        <v>2</v>
      </c>
      <c r="F339" s="147">
        <f>IF(M2S_Eligibility_List!F89=DataPaths_Code,1,0)+E339</f>
        <v>2</v>
      </c>
      <c r="G339" s="147">
        <f>IF(M2S_Eligibility_List!G89=DataPaths_Code,1,0)+F339</f>
        <v>2</v>
      </c>
      <c r="H339" s="147">
        <f>IF(M2S_Eligibility_List!H89=DataPaths_Code,1,0)+G339</f>
        <v>2</v>
      </c>
      <c r="I339" s="147">
        <f>IF(M2S_Eligibility_List!I89=DataPaths_Code,1,0)+H339</f>
        <v>2</v>
      </c>
      <c r="J339" s="147">
        <f>IF(M2S_Eligibility_List!J89=DataPaths_Code,1,0)+I339</f>
        <v>2</v>
      </c>
      <c r="K339" s="147">
        <f>IF(M2S_Eligibility_List!K89=DataPaths_Code,1,0)+J339</f>
        <v>2</v>
      </c>
      <c r="L339" s="147">
        <f>IF(M2S_Eligibility_List!L89=DataPaths_Code,1,0)+K339</f>
        <v>2</v>
      </c>
      <c r="M339" s="147">
        <f>IF(M2S_Eligibility_List!M89=DataPaths_Code,1,0)+L339</f>
        <v>2</v>
      </c>
      <c r="N339" s="147">
        <f>IF(M2S_Eligibility_List!N89=DataPaths_Code,1,0)+M339</f>
        <v>2</v>
      </c>
      <c r="O339" s="147">
        <f>IF(M2S_Eligibility_List!O89=DataPaths_Code,1,0)+N339</f>
        <v>2</v>
      </c>
      <c r="P339" s="147">
        <f>IF(M2S_Eligibility_List!P89=DataPaths_Code,1,0)+O339</f>
        <v>2</v>
      </c>
      <c r="Q339" s="147">
        <f>IF(M2S_Eligibility_List!Q89=DataPaths_Code,1,0)+P339</f>
        <v>2</v>
      </c>
      <c r="R339" s="147">
        <f>IF(M2S_Eligibility_List!R89=DataPaths_Code,1,0)+Q339</f>
        <v>2</v>
      </c>
      <c r="S339" s="147">
        <f>IF(M2S_Eligibility_List!S89=DataPaths_Code,1,0)+R339</f>
        <v>2</v>
      </c>
      <c r="T339" s="147">
        <f>IF(M2S_Eligibility_List!T89=DataPaths_Code,1,0)+S339</f>
        <v>2</v>
      </c>
      <c r="U339" s="147">
        <f>IF(M2S_Eligibility_List!U89=DataPaths_Code,1,0)+T339</f>
        <v>2</v>
      </c>
      <c r="V339" s="147">
        <f>IF(M2S_Eligibility_List!V89=DataPaths_Code,1,0)+U339</f>
        <v>2</v>
      </c>
      <c r="W339" s="147">
        <f>IF(M2S_Eligibility_List!W89=DataPaths_Code,1,0)+V339</f>
        <v>2</v>
      </c>
      <c r="X339" s="147">
        <f>IF(M2S_Eligibility_List!X89=DataPaths_Code,1,0)+W339</f>
        <v>2</v>
      </c>
      <c r="Y339" s="147">
        <f>IF(M2S_Eligibility_List!Y89=DataPaths_Code,1,0)+X339</f>
        <v>2</v>
      </c>
      <c r="Z339" s="147">
        <f>IF(M2S_Eligibility_List!Z89=DataPaths_Code,1,0)+Y339</f>
        <v>2</v>
      </c>
      <c r="AA339" s="147">
        <f>IF(M2S_Eligibility_List!AA89=DataPaths_Code,1,0)+Z339</f>
        <v>2</v>
      </c>
      <c r="AB339" s="147">
        <f>IF(M2S_Eligibility_List!AB89=DataPaths_Code,1,0)+AA339</f>
        <v>2</v>
      </c>
      <c r="AC339" s="147">
        <f>IF(M2S_Eligibility_List!AC89=DataPaths_Code,1,0)+AB339</f>
        <v>2</v>
      </c>
      <c r="AD339" s="147">
        <f>IF(M2S_Eligibility_List!AD89=DataPaths_Code,1,0)+AC339</f>
        <v>2</v>
      </c>
      <c r="AE339" s="147">
        <f>IF(M2S_Eligibility_List!AE89=DataPaths_Code,1,0)+AD339</f>
        <v>2</v>
      </c>
      <c r="AF339" s="147">
        <f>IF(M2S_Eligibility_List!AF89=DataPaths_Code,1,0)+AE339</f>
        <v>2</v>
      </c>
      <c r="AG339" s="147">
        <f>IF(M2S_Eligibility_List!AG89=DataPaths_Code,1,0)+AF339</f>
        <v>2</v>
      </c>
      <c r="AH339" s="147">
        <f>IF(M2S_Eligibility_List!AH89=DataPaths_Code,1,0)+AG339</f>
        <v>2</v>
      </c>
      <c r="AI339" s="147">
        <f>IF(M2S_Eligibility_List!AI89=DataPaths_Code,1,0)+AH339</f>
        <v>2</v>
      </c>
      <c r="AJ339" s="147">
        <f>IF(M2S_Eligibility_List!AJ89=DataPaths_Code,1,0)+AI339</f>
        <v>2</v>
      </c>
      <c r="AK339" s="147">
        <f>IF(M2S_Eligibility_List!AK89=DataPaths_Code,1,0)+AJ339</f>
        <v>2</v>
      </c>
      <c r="AL339" s="147">
        <f>IF(M2S_Eligibility_List!AL89=DataPaths_Code,1,0)+AK339</f>
        <v>2</v>
      </c>
      <c r="AM339" s="147">
        <f>IF(M2S_Eligibility_List!AM89=DataPaths_Code,1,0)+AL339</f>
        <v>3</v>
      </c>
      <c r="AN339" s="147">
        <f>IF(M2S_Eligibility_List!AN89=DataPaths_Code,1,0)+AM339</f>
        <v>3</v>
      </c>
      <c r="AO339" s="147">
        <f>IF(M2S_Eligibility_List!AO89=DataPaths_Code,1,0)+AN339</f>
        <v>3</v>
      </c>
      <c r="AP339" s="147">
        <f>IF(M2S_Eligibility_List!AP89=DataPaths_Code,1,0)+AO339</f>
        <v>3</v>
      </c>
      <c r="AQ339" s="147">
        <f>IF(M2S_Eligibility_List!AQ89=DataPaths_Code,1,0)+AP339</f>
        <v>3</v>
      </c>
      <c r="AR339" s="147">
        <f>IF(M2S_Eligibility_List!AR89=DataPaths_Code,1,0)+AQ339</f>
        <v>3</v>
      </c>
      <c r="AS339" s="147">
        <f>IF(M2S_Eligibility_List!AS89=DataPaths_Code,1,0)+AR339</f>
        <v>3</v>
      </c>
      <c r="AT339" s="147">
        <f>IF(M2S_Eligibility_List!AT89=DataPaths_Code,1,0)+AS339</f>
        <v>3</v>
      </c>
      <c r="AU339" s="147">
        <f>IF(M2S_Eligibility_List!AU89=DataPaths_Code,1,0)+AT339</f>
        <v>3</v>
      </c>
      <c r="AV339" s="147">
        <f>IF(M2S_Eligibility_List!AV89=DataPaths_Code,1,0)+AU339</f>
        <v>3</v>
      </c>
      <c r="AW339" s="147">
        <f>IF(M2S_Eligibility_List!AW89=DataPaths_Code,1,0)+AV339</f>
        <v>3</v>
      </c>
      <c r="AX339" s="147">
        <f>IF(M2S_Eligibility_List!AX89=DataPaths_Code,1,0)+AW339</f>
        <v>3</v>
      </c>
      <c r="AY339" s="147">
        <f>IF(M2S_Eligibility_List!AY89=DataPaths_Code,1,0)+AX339</f>
        <v>3</v>
      </c>
      <c r="AZ339" s="147">
        <f>IF(M2S_Eligibility_List!AZ89=DataPaths_Code,1,0)+AY339</f>
        <v>3</v>
      </c>
      <c r="BA339" s="147">
        <f>IF(M2S_Eligibility_List!BA89=DataPaths_Code,1,0)+AZ339</f>
        <v>3</v>
      </c>
      <c r="BB339" s="147">
        <f>IF(M2S_Eligibility_List!BB89=DataPaths_Code,1,0)+BA339</f>
        <v>3</v>
      </c>
      <c r="BC339" s="147">
        <f>IF(M2S_Eligibility_List!BC89=DataPaths_Code,1,0)+BB339</f>
        <v>3</v>
      </c>
      <c r="BD339" s="147">
        <f>IF(M2S_Eligibility_List!BD89=DataPaths_Code,1,0)+BC339</f>
        <v>3</v>
      </c>
      <c r="BE339" s="147">
        <f>IF(M2S_Eligibility_List!BE89=DataPaths_Code,1,0)+BD339</f>
        <v>3</v>
      </c>
      <c r="BF339" s="147">
        <f>IF(M2S_Eligibility_List!BF89=DataPaths_Code,1,0)+BE339</f>
        <v>3</v>
      </c>
      <c r="BG339" s="147">
        <f>IF(M2S_Eligibility_List!BG89=DataPaths_Code,1,0)+BF339</f>
        <v>3</v>
      </c>
      <c r="BH339" s="147">
        <f>IF(M2S_Eligibility_List!BH89=DataPaths_Code,1,0)+BG339</f>
        <v>3</v>
      </c>
      <c r="BI339" s="147">
        <f>IF(M2S_Eligibility_List!BI89=DataPaths_Code,1,0)+BH339</f>
        <v>3</v>
      </c>
      <c r="BJ339" s="147">
        <f>IF(M2S_Eligibility_List!BJ89=DataPaths_Code,1,0)+BI339</f>
        <v>3</v>
      </c>
      <c r="BK339" s="147">
        <f>IF(M2S_Eligibility_List!BK89=DataPaths_Code,1,0)+BJ339</f>
        <v>3</v>
      </c>
      <c r="BL339" s="147">
        <f>IF(M2S_Eligibility_List!BL89=DataPaths_Code,1,0)+BK339</f>
        <v>3</v>
      </c>
      <c r="BM339" s="147">
        <f>IF(M2S_Eligibility_List!BM89=DataPaths_Code,1,0)+BL339</f>
        <v>3</v>
      </c>
      <c r="BN339" s="147">
        <f>IF(M2S_Eligibility_List!BN89=DataPaths_Code,1,0)+BM339</f>
        <v>3</v>
      </c>
      <c r="BO339" s="147">
        <f>IF(M2S_Eligibility_List!BO89=DataPaths_Code,1,0)+BN339</f>
        <v>3</v>
      </c>
      <c r="BP339" s="147">
        <f>IF(M2S_Eligibility_List!BP89=DataPaths_Code,1,0)+BO339</f>
        <v>3</v>
      </c>
      <c r="BQ339" s="147">
        <f>IF(M2S_Eligibility_List!BQ89=DataPaths_Code,1,0)+BP339</f>
        <v>3</v>
      </c>
      <c r="BR339" s="147">
        <f>IF(M2S_Eligibility_List!BR89=DataPaths_Code,1,0)+BQ339</f>
        <v>3</v>
      </c>
      <c r="BS339" s="147">
        <f>IF(M2S_Eligibility_List!BS89=DataPaths_Code,1,0)+BR339</f>
        <v>3</v>
      </c>
      <c r="BT339" s="147">
        <f>IF(M2S_Eligibility_List!BT89=DataPaths_Code,1,0)+BS339</f>
        <v>3</v>
      </c>
      <c r="BU339" s="147">
        <f>IF(M2S_Eligibility_List!BU89=DataPaths_Code,1,0)+BT339</f>
        <v>3</v>
      </c>
      <c r="BV339" s="147">
        <f>IF(M2S_Eligibility_List!BV89=DataPaths_Code,1,0)+BU339</f>
        <v>3</v>
      </c>
      <c r="BW339" s="147">
        <f>IF(M2S_Eligibility_List!BW89=DataPaths_Code,1,0)+BV339</f>
        <v>3</v>
      </c>
    </row>
    <row r="340" spans="1:75" ht="20.100000000000001" customHeight="1">
      <c r="A340" s="145"/>
      <c r="B340" s="170" t="str">
        <f>IF(M2S_Eligibility_List!$B90&lt;&gt;"",RIGHT(M2S_Eligibility_List!$B90,LEN(M2S_Eligibility_List!$B90)-LEN(nmADwSP)),0)</f>
        <v>Navisworks Simulate</v>
      </c>
      <c r="C340" s="147">
        <f>IF(M2S_Eligibility_List!C90=DataPaths_Code,1,0)</f>
        <v>1</v>
      </c>
      <c r="D340" s="147">
        <f>IF(M2S_Eligibility_List!D90=DataPaths_Code,1,0)+C340</f>
        <v>1</v>
      </c>
      <c r="E340" s="147">
        <f>IF(M2S_Eligibility_List!E90=DataPaths_Code,1,0)+D340</f>
        <v>1</v>
      </c>
      <c r="F340" s="147">
        <f>IF(M2S_Eligibility_List!F90=DataPaths_Code,1,0)+E340</f>
        <v>1</v>
      </c>
      <c r="G340" s="147">
        <f>IF(M2S_Eligibility_List!G90=DataPaths_Code,1,0)+F340</f>
        <v>1</v>
      </c>
      <c r="H340" s="147">
        <f>IF(M2S_Eligibility_List!H90=DataPaths_Code,1,0)+G340</f>
        <v>1</v>
      </c>
      <c r="I340" s="147">
        <f>IF(M2S_Eligibility_List!I90=DataPaths_Code,1,0)+H340</f>
        <v>1</v>
      </c>
      <c r="J340" s="147">
        <f>IF(M2S_Eligibility_List!J90=DataPaths_Code,1,0)+I340</f>
        <v>1</v>
      </c>
      <c r="K340" s="147">
        <f>IF(M2S_Eligibility_List!K90=DataPaths_Code,1,0)+J340</f>
        <v>1</v>
      </c>
      <c r="L340" s="147">
        <f>IF(M2S_Eligibility_List!L90=DataPaths_Code,1,0)+K340</f>
        <v>1</v>
      </c>
      <c r="M340" s="147">
        <f>IF(M2S_Eligibility_List!M90=DataPaths_Code,1,0)+L340</f>
        <v>1</v>
      </c>
      <c r="N340" s="147">
        <f>IF(M2S_Eligibility_List!N90=DataPaths_Code,1,0)+M340</f>
        <v>1</v>
      </c>
      <c r="O340" s="147">
        <f>IF(M2S_Eligibility_List!O90=DataPaths_Code,1,0)+N340</f>
        <v>1</v>
      </c>
      <c r="P340" s="147">
        <f>IF(M2S_Eligibility_List!P90=DataPaths_Code,1,0)+O340</f>
        <v>1</v>
      </c>
      <c r="Q340" s="147">
        <f>IF(M2S_Eligibility_List!Q90=DataPaths_Code,1,0)+P340</f>
        <v>1</v>
      </c>
      <c r="R340" s="147">
        <f>IF(M2S_Eligibility_List!R90=DataPaths_Code,1,0)+Q340</f>
        <v>1</v>
      </c>
      <c r="S340" s="147">
        <f>IF(M2S_Eligibility_List!S90=DataPaths_Code,1,0)+R340</f>
        <v>1</v>
      </c>
      <c r="T340" s="147">
        <f>IF(M2S_Eligibility_List!T90=DataPaths_Code,1,0)+S340</f>
        <v>1</v>
      </c>
      <c r="U340" s="147">
        <f>IF(M2S_Eligibility_List!U90=DataPaths_Code,1,0)+T340</f>
        <v>1</v>
      </c>
      <c r="V340" s="147">
        <f>IF(M2S_Eligibility_List!V90=DataPaths_Code,1,0)+U340</f>
        <v>1</v>
      </c>
      <c r="W340" s="147">
        <f>IF(M2S_Eligibility_List!W90=DataPaths_Code,1,0)+V340</f>
        <v>1</v>
      </c>
      <c r="X340" s="147">
        <f>IF(M2S_Eligibility_List!X90=DataPaths_Code,1,0)+W340</f>
        <v>1</v>
      </c>
      <c r="Y340" s="147">
        <f>IF(M2S_Eligibility_List!Y90=DataPaths_Code,1,0)+X340</f>
        <v>1</v>
      </c>
      <c r="Z340" s="147">
        <f>IF(M2S_Eligibility_List!Z90=DataPaths_Code,1,0)+Y340</f>
        <v>1</v>
      </c>
      <c r="AA340" s="147">
        <f>IF(M2S_Eligibility_List!AA90=DataPaths_Code,1,0)+Z340</f>
        <v>1</v>
      </c>
      <c r="AB340" s="147">
        <f>IF(M2S_Eligibility_List!AB90=DataPaths_Code,1,0)+AA340</f>
        <v>1</v>
      </c>
      <c r="AC340" s="147">
        <f>IF(M2S_Eligibility_List!AC90=DataPaths_Code,1,0)+AB340</f>
        <v>1</v>
      </c>
      <c r="AD340" s="147">
        <f>IF(M2S_Eligibility_List!AD90=DataPaths_Code,1,0)+AC340</f>
        <v>1</v>
      </c>
      <c r="AE340" s="147">
        <f>IF(M2S_Eligibility_List!AE90=DataPaths_Code,1,0)+AD340</f>
        <v>1</v>
      </c>
      <c r="AF340" s="147">
        <f>IF(M2S_Eligibility_List!AF90=DataPaths_Code,1,0)+AE340</f>
        <v>1</v>
      </c>
      <c r="AG340" s="147">
        <f>IF(M2S_Eligibility_List!AG90=DataPaths_Code,1,0)+AF340</f>
        <v>1</v>
      </c>
      <c r="AH340" s="147">
        <f>IF(M2S_Eligibility_List!AH90=DataPaths_Code,1,0)+AG340</f>
        <v>1</v>
      </c>
      <c r="AI340" s="147">
        <f>IF(M2S_Eligibility_List!AI90=DataPaths_Code,1,0)+AH340</f>
        <v>1</v>
      </c>
      <c r="AJ340" s="147">
        <f>IF(M2S_Eligibility_List!AJ90=DataPaths_Code,1,0)+AI340</f>
        <v>1</v>
      </c>
      <c r="AK340" s="147">
        <f>IF(M2S_Eligibility_List!AK90=DataPaths_Code,1,0)+AJ340</f>
        <v>1</v>
      </c>
      <c r="AL340" s="147">
        <f>IF(M2S_Eligibility_List!AL90=DataPaths_Code,1,0)+AK340</f>
        <v>1</v>
      </c>
      <c r="AM340" s="147">
        <f>IF(M2S_Eligibility_List!AM90=DataPaths_Code,1,0)+AL340</f>
        <v>2</v>
      </c>
      <c r="AN340" s="147">
        <f>IF(M2S_Eligibility_List!AN90=DataPaths_Code,1,0)+AM340</f>
        <v>3</v>
      </c>
      <c r="AO340" s="147">
        <f>IF(M2S_Eligibility_List!AO90=DataPaths_Code,1,0)+AN340</f>
        <v>3</v>
      </c>
      <c r="AP340" s="147">
        <f>IF(M2S_Eligibility_List!AP90=DataPaths_Code,1,0)+AO340</f>
        <v>3</v>
      </c>
      <c r="AQ340" s="147">
        <f>IF(M2S_Eligibility_List!AQ90=DataPaths_Code,1,0)+AP340</f>
        <v>3</v>
      </c>
      <c r="AR340" s="147">
        <f>IF(M2S_Eligibility_List!AR90=DataPaths_Code,1,0)+AQ340</f>
        <v>3</v>
      </c>
      <c r="AS340" s="147">
        <f>IF(M2S_Eligibility_List!AS90=DataPaths_Code,1,0)+AR340</f>
        <v>3</v>
      </c>
      <c r="AT340" s="147">
        <f>IF(M2S_Eligibility_List!AT90=DataPaths_Code,1,0)+AS340</f>
        <v>3</v>
      </c>
      <c r="AU340" s="147">
        <f>IF(M2S_Eligibility_List!AU90=DataPaths_Code,1,0)+AT340</f>
        <v>3</v>
      </c>
      <c r="AV340" s="147">
        <f>IF(M2S_Eligibility_List!AV90=DataPaths_Code,1,0)+AU340</f>
        <v>3</v>
      </c>
      <c r="AW340" s="147">
        <f>IF(M2S_Eligibility_List!AW90=DataPaths_Code,1,0)+AV340</f>
        <v>3</v>
      </c>
      <c r="AX340" s="147">
        <f>IF(M2S_Eligibility_List!AX90=DataPaths_Code,1,0)+AW340</f>
        <v>3</v>
      </c>
      <c r="AY340" s="147">
        <f>IF(M2S_Eligibility_List!AY90=DataPaths_Code,1,0)+AX340</f>
        <v>3</v>
      </c>
      <c r="AZ340" s="147">
        <f>IF(M2S_Eligibility_List!AZ90=DataPaths_Code,1,0)+AY340</f>
        <v>3</v>
      </c>
      <c r="BA340" s="147">
        <f>IF(M2S_Eligibility_List!BA90=DataPaths_Code,1,0)+AZ340</f>
        <v>3</v>
      </c>
      <c r="BB340" s="147">
        <f>IF(M2S_Eligibility_List!BB90=DataPaths_Code,1,0)+BA340</f>
        <v>3</v>
      </c>
      <c r="BC340" s="147">
        <f>IF(M2S_Eligibility_List!BC90=DataPaths_Code,1,0)+BB340</f>
        <v>3</v>
      </c>
      <c r="BD340" s="147">
        <f>IF(M2S_Eligibility_List!BD90=DataPaths_Code,1,0)+BC340</f>
        <v>3</v>
      </c>
      <c r="BE340" s="147">
        <f>IF(M2S_Eligibility_List!BE90=DataPaths_Code,1,0)+BD340</f>
        <v>3</v>
      </c>
      <c r="BF340" s="147">
        <f>IF(M2S_Eligibility_List!BF90=DataPaths_Code,1,0)+BE340</f>
        <v>3</v>
      </c>
      <c r="BG340" s="147">
        <f>IF(M2S_Eligibility_List!BG90=DataPaths_Code,1,0)+BF340</f>
        <v>3</v>
      </c>
      <c r="BH340" s="147">
        <f>IF(M2S_Eligibility_List!BH90=DataPaths_Code,1,0)+BG340</f>
        <v>3</v>
      </c>
      <c r="BI340" s="147">
        <f>IF(M2S_Eligibility_List!BI90=DataPaths_Code,1,0)+BH340</f>
        <v>3</v>
      </c>
      <c r="BJ340" s="147">
        <f>IF(M2S_Eligibility_List!BJ90=DataPaths_Code,1,0)+BI340</f>
        <v>3</v>
      </c>
      <c r="BK340" s="147">
        <f>IF(M2S_Eligibility_List!BK90=DataPaths_Code,1,0)+BJ340</f>
        <v>3</v>
      </c>
      <c r="BL340" s="147">
        <f>IF(M2S_Eligibility_List!BL90=DataPaths_Code,1,0)+BK340</f>
        <v>3</v>
      </c>
      <c r="BM340" s="147">
        <f>IF(M2S_Eligibility_List!BM90=DataPaths_Code,1,0)+BL340</f>
        <v>3</v>
      </c>
      <c r="BN340" s="147">
        <f>IF(M2S_Eligibility_List!BN90=DataPaths_Code,1,0)+BM340</f>
        <v>3</v>
      </c>
      <c r="BO340" s="147">
        <f>IF(M2S_Eligibility_List!BO90=DataPaths_Code,1,0)+BN340</f>
        <v>3</v>
      </c>
      <c r="BP340" s="147">
        <f>IF(M2S_Eligibility_List!BP90=DataPaths_Code,1,0)+BO340</f>
        <v>3</v>
      </c>
      <c r="BQ340" s="147">
        <f>IF(M2S_Eligibility_List!BQ90=DataPaths_Code,1,0)+BP340</f>
        <v>3</v>
      </c>
      <c r="BR340" s="147">
        <f>IF(M2S_Eligibility_List!BR90=DataPaths_Code,1,0)+BQ340</f>
        <v>3</v>
      </c>
      <c r="BS340" s="147">
        <f>IF(M2S_Eligibility_List!BS90=DataPaths_Code,1,0)+BR340</f>
        <v>3</v>
      </c>
      <c r="BT340" s="147">
        <f>IF(M2S_Eligibility_List!BT90=DataPaths_Code,1,0)+BS340</f>
        <v>3</v>
      </c>
      <c r="BU340" s="147">
        <f>IF(M2S_Eligibility_List!BU90=DataPaths_Code,1,0)+BT340</f>
        <v>3</v>
      </c>
      <c r="BV340" s="147">
        <f>IF(M2S_Eligibility_List!BV90=DataPaths_Code,1,0)+BU340</f>
        <v>3</v>
      </c>
      <c r="BW340" s="147">
        <f>IF(M2S_Eligibility_List!BW90=DataPaths_Code,1,0)+BV340</f>
        <v>3</v>
      </c>
    </row>
    <row r="341" spans="1:75" ht="20.100000000000001" customHeight="1">
      <c r="A341" s="145"/>
      <c r="B341" s="170" t="str">
        <f>IF(M2S_Eligibility_List!$B91&lt;&gt;"",RIGHT(M2S_Eligibility_List!$B91,LEN(M2S_Eligibility_List!$B91)-LEN(nmADwSP)),0)</f>
        <v>Plant Design Suite Premium</v>
      </c>
      <c r="C341" s="147">
        <f>IF(M2S_Eligibility_List!C91=DataPaths_Code,1,0)</f>
        <v>1</v>
      </c>
      <c r="D341" s="147">
        <f>IF(M2S_Eligibility_List!D91=DataPaths_Code,1,0)+C341</f>
        <v>2</v>
      </c>
      <c r="E341" s="147">
        <f>IF(M2S_Eligibility_List!E91=DataPaths_Code,1,0)+D341</f>
        <v>2</v>
      </c>
      <c r="F341" s="147">
        <f>IF(M2S_Eligibility_List!F91=DataPaths_Code,1,0)+E341</f>
        <v>2</v>
      </c>
      <c r="G341" s="147">
        <f>IF(M2S_Eligibility_List!G91=DataPaths_Code,1,0)+F341</f>
        <v>2</v>
      </c>
      <c r="H341" s="147">
        <f>IF(M2S_Eligibility_List!H91=DataPaths_Code,1,0)+G341</f>
        <v>2</v>
      </c>
      <c r="I341" s="147">
        <f>IF(M2S_Eligibility_List!I91=DataPaths_Code,1,0)+H341</f>
        <v>2</v>
      </c>
      <c r="J341" s="147">
        <f>IF(M2S_Eligibility_List!J91=DataPaths_Code,1,0)+I341</f>
        <v>2</v>
      </c>
      <c r="K341" s="147">
        <f>IF(M2S_Eligibility_List!K91=DataPaths_Code,1,0)+J341</f>
        <v>2</v>
      </c>
      <c r="L341" s="147">
        <f>IF(M2S_Eligibility_List!L91=DataPaths_Code,1,0)+K341</f>
        <v>2</v>
      </c>
      <c r="M341" s="147">
        <f>IF(M2S_Eligibility_List!M91=DataPaths_Code,1,0)+L341</f>
        <v>2</v>
      </c>
      <c r="N341" s="147">
        <f>IF(M2S_Eligibility_List!N91=DataPaths_Code,1,0)+M341</f>
        <v>2</v>
      </c>
      <c r="O341" s="147">
        <f>IF(M2S_Eligibility_List!O91=DataPaths_Code,1,0)+N341</f>
        <v>2</v>
      </c>
      <c r="P341" s="147">
        <f>IF(M2S_Eligibility_List!P91=DataPaths_Code,1,0)+O341</f>
        <v>2</v>
      </c>
      <c r="Q341" s="147">
        <f>IF(M2S_Eligibility_List!Q91=DataPaths_Code,1,0)+P341</f>
        <v>2</v>
      </c>
      <c r="R341" s="147">
        <f>IF(M2S_Eligibility_List!R91=DataPaths_Code,1,0)+Q341</f>
        <v>2</v>
      </c>
      <c r="S341" s="147">
        <f>IF(M2S_Eligibility_List!S91=DataPaths_Code,1,0)+R341</f>
        <v>2</v>
      </c>
      <c r="T341" s="147">
        <f>IF(M2S_Eligibility_List!T91=DataPaths_Code,1,0)+S341</f>
        <v>2</v>
      </c>
      <c r="U341" s="147">
        <f>IF(M2S_Eligibility_List!U91=DataPaths_Code,1,0)+T341</f>
        <v>2</v>
      </c>
      <c r="V341" s="147">
        <f>IF(M2S_Eligibility_List!V91=DataPaths_Code,1,0)+U341</f>
        <v>2</v>
      </c>
      <c r="W341" s="147">
        <f>IF(M2S_Eligibility_List!W91=DataPaths_Code,1,0)+V341</f>
        <v>2</v>
      </c>
      <c r="X341" s="147">
        <f>IF(M2S_Eligibility_List!X91=DataPaths_Code,1,0)+W341</f>
        <v>2</v>
      </c>
      <c r="Y341" s="147">
        <f>IF(M2S_Eligibility_List!Y91=DataPaths_Code,1,0)+X341</f>
        <v>2</v>
      </c>
      <c r="Z341" s="147">
        <f>IF(M2S_Eligibility_List!Z91=DataPaths_Code,1,0)+Y341</f>
        <v>2</v>
      </c>
      <c r="AA341" s="147">
        <f>IF(M2S_Eligibility_List!AA91=DataPaths_Code,1,0)+Z341</f>
        <v>2</v>
      </c>
      <c r="AB341" s="147">
        <f>IF(M2S_Eligibility_List!AB91=DataPaths_Code,1,0)+AA341</f>
        <v>2</v>
      </c>
      <c r="AC341" s="147">
        <f>IF(M2S_Eligibility_List!AC91=DataPaths_Code,1,0)+AB341</f>
        <v>2</v>
      </c>
      <c r="AD341" s="147">
        <f>IF(M2S_Eligibility_List!AD91=DataPaths_Code,1,0)+AC341</f>
        <v>2</v>
      </c>
      <c r="AE341" s="147">
        <f>IF(M2S_Eligibility_List!AE91=DataPaths_Code,1,0)+AD341</f>
        <v>2</v>
      </c>
      <c r="AF341" s="147">
        <f>IF(M2S_Eligibility_List!AF91=DataPaths_Code,1,0)+AE341</f>
        <v>2</v>
      </c>
      <c r="AG341" s="147">
        <f>IF(M2S_Eligibility_List!AG91=DataPaths_Code,1,0)+AF341</f>
        <v>2</v>
      </c>
      <c r="AH341" s="147">
        <f>IF(M2S_Eligibility_List!AH91=DataPaths_Code,1,0)+AG341</f>
        <v>2</v>
      </c>
      <c r="AI341" s="147">
        <f>IF(M2S_Eligibility_List!AI91=DataPaths_Code,1,0)+AH341</f>
        <v>2</v>
      </c>
      <c r="AJ341" s="147">
        <f>IF(M2S_Eligibility_List!AJ91=DataPaths_Code,1,0)+AI341</f>
        <v>2</v>
      </c>
      <c r="AK341" s="147">
        <f>IF(M2S_Eligibility_List!AK91=DataPaths_Code,1,0)+AJ341</f>
        <v>2</v>
      </c>
      <c r="AL341" s="147">
        <f>IF(M2S_Eligibility_List!AL91=DataPaths_Code,1,0)+AK341</f>
        <v>2</v>
      </c>
      <c r="AM341" s="147">
        <f>IF(M2S_Eligibility_List!AM91=DataPaths_Code,1,0)+AL341</f>
        <v>2</v>
      </c>
      <c r="AN341" s="147">
        <f>IF(M2S_Eligibility_List!AN91=DataPaths_Code,1,0)+AM341</f>
        <v>2</v>
      </c>
      <c r="AO341" s="147">
        <f>IF(M2S_Eligibility_List!AO91=DataPaths_Code,1,0)+AN341</f>
        <v>2</v>
      </c>
      <c r="AP341" s="147">
        <f>IF(M2S_Eligibility_List!AP91=DataPaths_Code,1,0)+AO341</f>
        <v>2</v>
      </c>
      <c r="AQ341" s="147">
        <f>IF(M2S_Eligibility_List!AQ91=DataPaths_Code,1,0)+AP341</f>
        <v>2</v>
      </c>
      <c r="AR341" s="147">
        <f>IF(M2S_Eligibility_List!AR91=DataPaths_Code,1,0)+AQ341</f>
        <v>2</v>
      </c>
      <c r="AS341" s="147">
        <f>IF(M2S_Eligibility_List!AS91=DataPaths_Code,1,0)+AR341</f>
        <v>2</v>
      </c>
      <c r="AT341" s="147">
        <f>IF(M2S_Eligibility_List!AT91=DataPaths_Code,1,0)+AS341</f>
        <v>2</v>
      </c>
      <c r="AU341" s="147">
        <f>IF(M2S_Eligibility_List!AU91=DataPaths_Code,1,0)+AT341</f>
        <v>2</v>
      </c>
      <c r="AV341" s="147">
        <f>IF(M2S_Eligibility_List!AV91=DataPaths_Code,1,0)+AU341</f>
        <v>2</v>
      </c>
      <c r="AW341" s="147">
        <f>IF(M2S_Eligibility_List!AW91=DataPaths_Code,1,0)+AV341</f>
        <v>2</v>
      </c>
      <c r="AX341" s="147">
        <f>IF(M2S_Eligibility_List!AX91=DataPaths_Code,1,0)+AW341</f>
        <v>2</v>
      </c>
      <c r="AY341" s="147">
        <f>IF(M2S_Eligibility_List!AY91=DataPaths_Code,1,0)+AX341</f>
        <v>2</v>
      </c>
      <c r="AZ341" s="147">
        <f>IF(M2S_Eligibility_List!AZ91=DataPaths_Code,1,0)+AY341</f>
        <v>2</v>
      </c>
      <c r="BA341" s="147">
        <f>IF(M2S_Eligibility_List!BA91=DataPaths_Code,1,0)+AZ341</f>
        <v>2</v>
      </c>
      <c r="BB341" s="147">
        <f>IF(M2S_Eligibility_List!BB91=DataPaths_Code,1,0)+BA341</f>
        <v>2</v>
      </c>
      <c r="BC341" s="147">
        <f>IF(M2S_Eligibility_List!BC91=DataPaths_Code,1,0)+BB341</f>
        <v>2</v>
      </c>
      <c r="BD341" s="147">
        <f>IF(M2S_Eligibility_List!BD91=DataPaths_Code,1,0)+BC341</f>
        <v>2</v>
      </c>
      <c r="BE341" s="147">
        <f>IF(M2S_Eligibility_List!BE91=DataPaths_Code,1,0)+BD341</f>
        <v>2</v>
      </c>
      <c r="BF341" s="147">
        <f>IF(M2S_Eligibility_List!BF91=DataPaths_Code,1,0)+BE341</f>
        <v>2</v>
      </c>
      <c r="BG341" s="147">
        <f>IF(M2S_Eligibility_List!BG91=DataPaths_Code,1,0)+BF341</f>
        <v>2</v>
      </c>
      <c r="BH341" s="147">
        <f>IF(M2S_Eligibility_List!BH91=DataPaths_Code,1,0)+BG341</f>
        <v>2</v>
      </c>
      <c r="BI341" s="147">
        <f>IF(M2S_Eligibility_List!BI91=DataPaths_Code,1,0)+BH341</f>
        <v>2</v>
      </c>
      <c r="BJ341" s="147">
        <f>IF(M2S_Eligibility_List!BJ91=DataPaths_Code,1,0)+BI341</f>
        <v>2</v>
      </c>
      <c r="BK341" s="147">
        <f>IF(M2S_Eligibility_List!BK91=DataPaths_Code,1,0)+BJ341</f>
        <v>2</v>
      </c>
      <c r="BL341" s="147">
        <f>IF(M2S_Eligibility_List!BL91=DataPaths_Code,1,0)+BK341</f>
        <v>2</v>
      </c>
      <c r="BM341" s="147">
        <f>IF(M2S_Eligibility_List!BM91=DataPaths_Code,1,0)+BL341</f>
        <v>2</v>
      </c>
      <c r="BN341" s="147">
        <f>IF(M2S_Eligibility_List!BN91=DataPaths_Code,1,0)+BM341</f>
        <v>2</v>
      </c>
      <c r="BO341" s="147">
        <f>IF(M2S_Eligibility_List!BO91=DataPaths_Code,1,0)+BN341</f>
        <v>2</v>
      </c>
      <c r="BP341" s="147">
        <f>IF(M2S_Eligibility_List!BP91=DataPaths_Code,1,0)+BO341</f>
        <v>2</v>
      </c>
      <c r="BQ341" s="147">
        <f>IF(M2S_Eligibility_List!BQ91=DataPaths_Code,1,0)+BP341</f>
        <v>2</v>
      </c>
      <c r="BR341" s="147">
        <f>IF(M2S_Eligibility_List!BR91=DataPaths_Code,1,0)+BQ341</f>
        <v>2</v>
      </c>
      <c r="BS341" s="147">
        <f>IF(M2S_Eligibility_List!BS91=DataPaths_Code,1,0)+BR341</f>
        <v>2</v>
      </c>
      <c r="BT341" s="147">
        <f>IF(M2S_Eligibility_List!BT91=DataPaths_Code,1,0)+BS341</f>
        <v>2</v>
      </c>
      <c r="BU341" s="147">
        <f>IF(M2S_Eligibility_List!BU91=DataPaths_Code,1,0)+BT341</f>
        <v>2</v>
      </c>
      <c r="BV341" s="147">
        <f>IF(M2S_Eligibility_List!BV91=DataPaths_Code,1,0)+BU341</f>
        <v>2</v>
      </c>
      <c r="BW341" s="147">
        <f>IF(M2S_Eligibility_List!BW91=DataPaths_Code,1,0)+BV341</f>
        <v>2</v>
      </c>
    </row>
    <row r="342" spans="1:75" ht="20.100000000000001" customHeight="1">
      <c r="A342" s="145"/>
      <c r="B342" s="170" t="str">
        <f>IF(M2S_Eligibility_List!$B92&lt;&gt;"",RIGHT(M2S_Eligibility_List!$B92,LEN(M2S_Eligibility_List!$B92)-LEN(nmADwSP)),0)</f>
        <v>Plant Design Suite Standard</v>
      </c>
      <c r="C342" s="147">
        <f>IF(M2S_Eligibility_List!C92=DataPaths_Code,1,0)</f>
        <v>1</v>
      </c>
      <c r="D342" s="147">
        <f>IF(M2S_Eligibility_List!D92=DataPaths_Code,1,0)+C342</f>
        <v>2</v>
      </c>
      <c r="E342" s="147">
        <f>IF(M2S_Eligibility_List!E92=DataPaths_Code,1,0)+D342</f>
        <v>2</v>
      </c>
      <c r="F342" s="147">
        <f>IF(M2S_Eligibility_List!F92=DataPaths_Code,1,0)+E342</f>
        <v>2</v>
      </c>
      <c r="G342" s="147">
        <f>IF(M2S_Eligibility_List!G92=DataPaths_Code,1,0)+F342</f>
        <v>2</v>
      </c>
      <c r="H342" s="147">
        <f>IF(M2S_Eligibility_List!H92=DataPaths_Code,1,0)+G342</f>
        <v>2</v>
      </c>
      <c r="I342" s="147">
        <f>IF(M2S_Eligibility_List!I92=DataPaths_Code,1,0)+H342</f>
        <v>2</v>
      </c>
      <c r="J342" s="147">
        <f>IF(M2S_Eligibility_List!J92=DataPaths_Code,1,0)+I342</f>
        <v>2</v>
      </c>
      <c r="K342" s="147">
        <f>IF(M2S_Eligibility_List!K92=DataPaths_Code,1,0)+J342</f>
        <v>2</v>
      </c>
      <c r="L342" s="147">
        <f>IF(M2S_Eligibility_List!L92=DataPaths_Code,1,0)+K342</f>
        <v>2</v>
      </c>
      <c r="M342" s="147">
        <f>IF(M2S_Eligibility_List!M92=DataPaths_Code,1,0)+L342</f>
        <v>3</v>
      </c>
      <c r="N342" s="147">
        <f>IF(M2S_Eligibility_List!N92=DataPaths_Code,1,0)+M342</f>
        <v>3</v>
      </c>
      <c r="O342" s="147">
        <f>IF(M2S_Eligibility_List!O92=DataPaths_Code,1,0)+N342</f>
        <v>3</v>
      </c>
      <c r="P342" s="147">
        <f>IF(M2S_Eligibility_List!P92=DataPaths_Code,1,0)+O342</f>
        <v>3</v>
      </c>
      <c r="Q342" s="147">
        <f>IF(M2S_Eligibility_List!Q92=DataPaths_Code,1,0)+P342</f>
        <v>3</v>
      </c>
      <c r="R342" s="147">
        <f>IF(M2S_Eligibility_List!R92=DataPaths_Code,1,0)+Q342</f>
        <v>3</v>
      </c>
      <c r="S342" s="147">
        <f>IF(M2S_Eligibility_List!S92=DataPaths_Code,1,0)+R342</f>
        <v>3</v>
      </c>
      <c r="T342" s="147">
        <f>IF(M2S_Eligibility_List!T92=DataPaths_Code,1,0)+S342</f>
        <v>3</v>
      </c>
      <c r="U342" s="147">
        <f>IF(M2S_Eligibility_List!U92=DataPaths_Code,1,0)+T342</f>
        <v>3</v>
      </c>
      <c r="V342" s="147">
        <f>IF(M2S_Eligibility_List!V92=DataPaths_Code,1,0)+U342</f>
        <v>3</v>
      </c>
      <c r="W342" s="147">
        <f>IF(M2S_Eligibility_List!W92=DataPaths_Code,1,0)+V342</f>
        <v>3</v>
      </c>
      <c r="X342" s="147">
        <f>IF(M2S_Eligibility_List!X92=DataPaths_Code,1,0)+W342</f>
        <v>3</v>
      </c>
      <c r="Y342" s="147">
        <f>IF(M2S_Eligibility_List!Y92=DataPaths_Code,1,0)+X342</f>
        <v>3</v>
      </c>
      <c r="Z342" s="147">
        <f>IF(M2S_Eligibility_List!Z92=DataPaths_Code,1,0)+Y342</f>
        <v>3</v>
      </c>
      <c r="AA342" s="147">
        <f>IF(M2S_Eligibility_List!AA92=DataPaths_Code,1,0)+Z342</f>
        <v>3</v>
      </c>
      <c r="AB342" s="147">
        <f>IF(M2S_Eligibility_List!AB92=DataPaths_Code,1,0)+AA342</f>
        <v>3</v>
      </c>
      <c r="AC342" s="147">
        <f>IF(M2S_Eligibility_List!AC92=DataPaths_Code,1,0)+AB342</f>
        <v>3</v>
      </c>
      <c r="AD342" s="147">
        <f>IF(M2S_Eligibility_List!AD92=DataPaths_Code,1,0)+AC342</f>
        <v>3</v>
      </c>
      <c r="AE342" s="147">
        <f>IF(M2S_Eligibility_List!AE92=DataPaths_Code,1,0)+AD342</f>
        <v>3</v>
      </c>
      <c r="AF342" s="147">
        <f>IF(M2S_Eligibility_List!AF92=DataPaths_Code,1,0)+AE342</f>
        <v>3</v>
      </c>
      <c r="AG342" s="147">
        <f>IF(M2S_Eligibility_List!AG92=DataPaths_Code,1,0)+AF342</f>
        <v>3</v>
      </c>
      <c r="AH342" s="147">
        <f>IF(M2S_Eligibility_List!AH92=DataPaths_Code,1,0)+AG342</f>
        <v>3</v>
      </c>
      <c r="AI342" s="147">
        <f>IF(M2S_Eligibility_List!AI92=DataPaths_Code,1,0)+AH342</f>
        <v>3</v>
      </c>
      <c r="AJ342" s="147">
        <f>IF(M2S_Eligibility_List!AJ92=DataPaths_Code,1,0)+AI342</f>
        <v>3</v>
      </c>
      <c r="AK342" s="147">
        <f>IF(M2S_Eligibility_List!AK92=DataPaths_Code,1,0)+AJ342</f>
        <v>3</v>
      </c>
      <c r="AL342" s="147">
        <f>IF(M2S_Eligibility_List!AL92=DataPaths_Code,1,0)+AK342</f>
        <v>3</v>
      </c>
      <c r="AM342" s="147">
        <f>IF(M2S_Eligibility_List!AM92=DataPaths_Code,1,0)+AL342</f>
        <v>3</v>
      </c>
      <c r="AN342" s="147">
        <f>IF(M2S_Eligibility_List!AN92=DataPaths_Code,1,0)+AM342</f>
        <v>3</v>
      </c>
      <c r="AO342" s="147">
        <f>IF(M2S_Eligibility_List!AO92=DataPaths_Code,1,0)+AN342</f>
        <v>3</v>
      </c>
      <c r="AP342" s="147">
        <f>IF(M2S_Eligibility_List!AP92=DataPaths_Code,1,0)+AO342</f>
        <v>3</v>
      </c>
      <c r="AQ342" s="147">
        <f>IF(M2S_Eligibility_List!AQ92=DataPaths_Code,1,0)+AP342</f>
        <v>3</v>
      </c>
      <c r="AR342" s="147">
        <f>IF(M2S_Eligibility_List!AR92=DataPaths_Code,1,0)+AQ342</f>
        <v>3</v>
      </c>
      <c r="AS342" s="147">
        <f>IF(M2S_Eligibility_List!AS92=DataPaths_Code,1,0)+AR342</f>
        <v>3</v>
      </c>
      <c r="AT342" s="147">
        <f>IF(M2S_Eligibility_List!AT92=DataPaths_Code,1,0)+AS342</f>
        <v>3</v>
      </c>
      <c r="AU342" s="147">
        <f>IF(M2S_Eligibility_List!AU92=DataPaths_Code,1,0)+AT342</f>
        <v>3</v>
      </c>
      <c r="AV342" s="147">
        <f>IF(M2S_Eligibility_List!AV92=DataPaths_Code,1,0)+AU342</f>
        <v>3</v>
      </c>
      <c r="AW342" s="147">
        <f>IF(M2S_Eligibility_List!AW92=DataPaths_Code,1,0)+AV342</f>
        <v>3</v>
      </c>
      <c r="AX342" s="147">
        <f>IF(M2S_Eligibility_List!AX92=DataPaths_Code,1,0)+AW342</f>
        <v>3</v>
      </c>
      <c r="AY342" s="147">
        <f>IF(M2S_Eligibility_List!AY92=DataPaths_Code,1,0)+AX342</f>
        <v>3</v>
      </c>
      <c r="AZ342" s="147">
        <f>IF(M2S_Eligibility_List!AZ92=DataPaths_Code,1,0)+AY342</f>
        <v>3</v>
      </c>
      <c r="BA342" s="147">
        <f>IF(M2S_Eligibility_List!BA92=DataPaths_Code,1,0)+AZ342</f>
        <v>3</v>
      </c>
      <c r="BB342" s="147">
        <f>IF(M2S_Eligibility_List!BB92=DataPaths_Code,1,0)+BA342</f>
        <v>3</v>
      </c>
      <c r="BC342" s="147">
        <f>IF(M2S_Eligibility_List!BC92=DataPaths_Code,1,0)+BB342</f>
        <v>3</v>
      </c>
      <c r="BD342" s="147">
        <f>IF(M2S_Eligibility_List!BD92=DataPaths_Code,1,0)+BC342</f>
        <v>3</v>
      </c>
      <c r="BE342" s="147">
        <f>IF(M2S_Eligibility_List!BE92=DataPaths_Code,1,0)+BD342</f>
        <v>3</v>
      </c>
      <c r="BF342" s="147">
        <f>IF(M2S_Eligibility_List!BF92=DataPaths_Code,1,0)+BE342</f>
        <v>3</v>
      </c>
      <c r="BG342" s="147">
        <f>IF(M2S_Eligibility_List!BG92=DataPaths_Code,1,0)+BF342</f>
        <v>3</v>
      </c>
      <c r="BH342" s="147">
        <f>IF(M2S_Eligibility_List!BH92=DataPaths_Code,1,0)+BG342</f>
        <v>3</v>
      </c>
      <c r="BI342" s="147">
        <f>IF(M2S_Eligibility_List!BI92=DataPaths_Code,1,0)+BH342</f>
        <v>3</v>
      </c>
      <c r="BJ342" s="147">
        <f>IF(M2S_Eligibility_List!BJ92=DataPaths_Code,1,0)+BI342</f>
        <v>3</v>
      </c>
      <c r="BK342" s="147">
        <f>IF(M2S_Eligibility_List!BK92=DataPaths_Code,1,0)+BJ342</f>
        <v>3</v>
      </c>
      <c r="BL342" s="147">
        <f>IF(M2S_Eligibility_List!BL92=DataPaths_Code,1,0)+BK342</f>
        <v>3</v>
      </c>
      <c r="BM342" s="147">
        <f>IF(M2S_Eligibility_List!BM92=DataPaths_Code,1,0)+BL342</f>
        <v>3</v>
      </c>
      <c r="BN342" s="147">
        <f>IF(M2S_Eligibility_List!BN92=DataPaths_Code,1,0)+BM342</f>
        <v>3</v>
      </c>
      <c r="BO342" s="147">
        <f>IF(M2S_Eligibility_List!BO92=DataPaths_Code,1,0)+BN342</f>
        <v>3</v>
      </c>
      <c r="BP342" s="147">
        <f>IF(M2S_Eligibility_List!BP92=DataPaths_Code,1,0)+BO342</f>
        <v>3</v>
      </c>
      <c r="BQ342" s="147">
        <f>IF(M2S_Eligibility_List!BQ92=DataPaths_Code,1,0)+BP342</f>
        <v>3</v>
      </c>
      <c r="BR342" s="147">
        <f>IF(M2S_Eligibility_List!BR92=DataPaths_Code,1,0)+BQ342</f>
        <v>3</v>
      </c>
      <c r="BS342" s="147">
        <f>IF(M2S_Eligibility_List!BS92=DataPaths_Code,1,0)+BR342</f>
        <v>3</v>
      </c>
      <c r="BT342" s="147">
        <f>IF(M2S_Eligibility_List!BT92=DataPaths_Code,1,0)+BS342</f>
        <v>3</v>
      </c>
      <c r="BU342" s="147">
        <f>IF(M2S_Eligibility_List!BU92=DataPaths_Code,1,0)+BT342</f>
        <v>3</v>
      </c>
      <c r="BV342" s="147">
        <f>IF(M2S_Eligibility_List!BV92=DataPaths_Code,1,0)+BU342</f>
        <v>3</v>
      </c>
      <c r="BW342" s="147">
        <f>IF(M2S_Eligibility_List!BW92=DataPaths_Code,1,0)+BV342</f>
        <v>3</v>
      </c>
    </row>
    <row r="343" spans="1:75" ht="20.100000000000001" customHeight="1">
      <c r="A343" s="145"/>
      <c r="B343" s="170" t="str">
        <f>IF(M2S_Eligibility_List!$B93&lt;&gt;"",RIGHT(M2S_Eligibility_List!$B93,LEN(M2S_Eligibility_List!$B93)-LEN(nmADwSP)),0)</f>
        <v>Plant Design Suite Ultimate</v>
      </c>
      <c r="C343" s="147">
        <f>IF(M2S_Eligibility_List!C93=DataPaths_Code,1,0)</f>
        <v>1</v>
      </c>
      <c r="D343" s="147">
        <f>IF(M2S_Eligibility_List!D93=DataPaths_Code,1,0)+C343</f>
        <v>2</v>
      </c>
      <c r="E343" s="147">
        <f>IF(M2S_Eligibility_List!E93=DataPaths_Code,1,0)+D343</f>
        <v>2</v>
      </c>
      <c r="F343" s="147">
        <f>IF(M2S_Eligibility_List!F93=DataPaths_Code,1,0)+E343</f>
        <v>2</v>
      </c>
      <c r="G343" s="147">
        <f>IF(M2S_Eligibility_List!G93=DataPaths_Code,1,0)+F343</f>
        <v>2</v>
      </c>
      <c r="H343" s="147">
        <f>IF(M2S_Eligibility_List!H93=DataPaths_Code,1,0)+G343</f>
        <v>2</v>
      </c>
      <c r="I343" s="147">
        <f>IF(M2S_Eligibility_List!I93=DataPaths_Code,1,0)+H343</f>
        <v>2</v>
      </c>
      <c r="J343" s="147">
        <f>IF(M2S_Eligibility_List!J93=DataPaths_Code,1,0)+I343</f>
        <v>2</v>
      </c>
      <c r="K343" s="147">
        <f>IF(M2S_Eligibility_List!K93=DataPaths_Code,1,0)+J343</f>
        <v>2</v>
      </c>
      <c r="L343" s="147">
        <f>IF(M2S_Eligibility_List!L93=DataPaths_Code,1,0)+K343</f>
        <v>2</v>
      </c>
      <c r="M343" s="147">
        <f>IF(M2S_Eligibility_List!M93=DataPaths_Code,1,0)+L343</f>
        <v>2</v>
      </c>
      <c r="N343" s="147">
        <f>IF(M2S_Eligibility_List!N93=DataPaths_Code,1,0)+M343</f>
        <v>2</v>
      </c>
      <c r="O343" s="147">
        <f>IF(M2S_Eligibility_List!O93=DataPaths_Code,1,0)+N343</f>
        <v>2</v>
      </c>
      <c r="P343" s="147">
        <f>IF(M2S_Eligibility_List!P93=DataPaths_Code,1,0)+O343</f>
        <v>2</v>
      </c>
      <c r="Q343" s="147">
        <f>IF(M2S_Eligibility_List!Q93=DataPaths_Code,1,0)+P343</f>
        <v>2</v>
      </c>
      <c r="R343" s="147">
        <f>IF(M2S_Eligibility_List!R93=DataPaths_Code,1,0)+Q343</f>
        <v>2</v>
      </c>
      <c r="S343" s="147">
        <f>IF(M2S_Eligibility_List!S93=DataPaths_Code,1,0)+R343</f>
        <v>2</v>
      </c>
      <c r="T343" s="147">
        <f>IF(M2S_Eligibility_List!T93=DataPaths_Code,1,0)+S343</f>
        <v>2</v>
      </c>
      <c r="U343" s="147">
        <f>IF(M2S_Eligibility_List!U93=DataPaths_Code,1,0)+T343</f>
        <v>2</v>
      </c>
      <c r="V343" s="147">
        <f>IF(M2S_Eligibility_List!V93=DataPaths_Code,1,0)+U343</f>
        <v>2</v>
      </c>
      <c r="W343" s="147">
        <f>IF(M2S_Eligibility_List!W93=DataPaths_Code,1,0)+V343</f>
        <v>2</v>
      </c>
      <c r="X343" s="147">
        <f>IF(M2S_Eligibility_List!X93=DataPaths_Code,1,0)+W343</f>
        <v>2</v>
      </c>
      <c r="Y343" s="147">
        <f>IF(M2S_Eligibility_List!Y93=DataPaths_Code,1,0)+X343</f>
        <v>2</v>
      </c>
      <c r="Z343" s="147">
        <f>IF(M2S_Eligibility_List!Z93=DataPaths_Code,1,0)+Y343</f>
        <v>2</v>
      </c>
      <c r="AA343" s="147">
        <f>IF(M2S_Eligibility_List!AA93=DataPaths_Code,1,0)+Z343</f>
        <v>2</v>
      </c>
      <c r="AB343" s="147">
        <f>IF(M2S_Eligibility_List!AB93=DataPaths_Code,1,0)+AA343</f>
        <v>2</v>
      </c>
      <c r="AC343" s="147">
        <f>IF(M2S_Eligibility_List!AC93=DataPaths_Code,1,0)+AB343</f>
        <v>2</v>
      </c>
      <c r="AD343" s="147">
        <f>IF(M2S_Eligibility_List!AD93=DataPaths_Code,1,0)+AC343</f>
        <v>2</v>
      </c>
      <c r="AE343" s="147">
        <f>IF(M2S_Eligibility_List!AE93=DataPaths_Code,1,0)+AD343</f>
        <v>2</v>
      </c>
      <c r="AF343" s="147">
        <f>IF(M2S_Eligibility_List!AF93=DataPaths_Code,1,0)+AE343</f>
        <v>2</v>
      </c>
      <c r="AG343" s="147">
        <f>IF(M2S_Eligibility_List!AG93=DataPaths_Code,1,0)+AF343</f>
        <v>2</v>
      </c>
      <c r="AH343" s="147">
        <f>IF(M2S_Eligibility_List!AH93=DataPaths_Code,1,0)+AG343</f>
        <v>2</v>
      </c>
      <c r="AI343" s="147">
        <f>IF(M2S_Eligibility_List!AI93=DataPaths_Code,1,0)+AH343</f>
        <v>2</v>
      </c>
      <c r="AJ343" s="147">
        <f>IF(M2S_Eligibility_List!AJ93=DataPaths_Code,1,0)+AI343</f>
        <v>2</v>
      </c>
      <c r="AK343" s="147">
        <f>IF(M2S_Eligibility_List!AK93=DataPaths_Code,1,0)+AJ343</f>
        <v>2</v>
      </c>
      <c r="AL343" s="147">
        <f>IF(M2S_Eligibility_List!AL93=DataPaths_Code,1,0)+AK343</f>
        <v>2</v>
      </c>
      <c r="AM343" s="147">
        <f>IF(M2S_Eligibility_List!AM93=DataPaths_Code,1,0)+AL343</f>
        <v>2</v>
      </c>
      <c r="AN343" s="147">
        <f>IF(M2S_Eligibility_List!AN93=DataPaths_Code,1,0)+AM343</f>
        <v>2</v>
      </c>
      <c r="AO343" s="147">
        <f>IF(M2S_Eligibility_List!AO93=DataPaths_Code,1,0)+AN343</f>
        <v>2</v>
      </c>
      <c r="AP343" s="147">
        <f>IF(M2S_Eligibility_List!AP93=DataPaths_Code,1,0)+AO343</f>
        <v>2</v>
      </c>
      <c r="AQ343" s="147">
        <f>IF(M2S_Eligibility_List!AQ93=DataPaths_Code,1,0)+AP343</f>
        <v>2</v>
      </c>
      <c r="AR343" s="147">
        <f>IF(M2S_Eligibility_List!AR93=DataPaths_Code,1,0)+AQ343</f>
        <v>2</v>
      </c>
      <c r="AS343" s="147">
        <f>IF(M2S_Eligibility_List!AS93=DataPaths_Code,1,0)+AR343</f>
        <v>2</v>
      </c>
      <c r="AT343" s="147">
        <f>IF(M2S_Eligibility_List!AT93=DataPaths_Code,1,0)+AS343</f>
        <v>2</v>
      </c>
      <c r="AU343" s="147">
        <f>IF(M2S_Eligibility_List!AU93=DataPaths_Code,1,0)+AT343</f>
        <v>2</v>
      </c>
      <c r="AV343" s="147">
        <f>IF(M2S_Eligibility_List!AV93=DataPaths_Code,1,0)+AU343</f>
        <v>2</v>
      </c>
      <c r="AW343" s="147">
        <f>IF(M2S_Eligibility_List!AW93=DataPaths_Code,1,0)+AV343</f>
        <v>2</v>
      </c>
      <c r="AX343" s="147">
        <f>IF(M2S_Eligibility_List!AX93=DataPaths_Code,1,0)+AW343</f>
        <v>2</v>
      </c>
      <c r="AY343" s="147">
        <f>IF(M2S_Eligibility_List!AY93=DataPaths_Code,1,0)+AX343</f>
        <v>2</v>
      </c>
      <c r="AZ343" s="147">
        <f>IF(M2S_Eligibility_List!AZ93=DataPaths_Code,1,0)+AY343</f>
        <v>2</v>
      </c>
      <c r="BA343" s="147">
        <f>IF(M2S_Eligibility_List!BA93=DataPaths_Code,1,0)+AZ343</f>
        <v>2</v>
      </c>
      <c r="BB343" s="147">
        <f>IF(M2S_Eligibility_List!BB93=DataPaths_Code,1,0)+BA343</f>
        <v>2</v>
      </c>
      <c r="BC343" s="147">
        <f>IF(M2S_Eligibility_List!BC93=DataPaths_Code,1,0)+BB343</f>
        <v>2</v>
      </c>
      <c r="BD343" s="147">
        <f>IF(M2S_Eligibility_List!BD93=DataPaths_Code,1,0)+BC343</f>
        <v>2</v>
      </c>
      <c r="BE343" s="147">
        <f>IF(M2S_Eligibility_List!BE93=DataPaths_Code,1,0)+BD343</f>
        <v>2</v>
      </c>
      <c r="BF343" s="147">
        <f>IF(M2S_Eligibility_List!BF93=DataPaths_Code,1,0)+BE343</f>
        <v>2</v>
      </c>
      <c r="BG343" s="147">
        <f>IF(M2S_Eligibility_List!BG93=DataPaths_Code,1,0)+BF343</f>
        <v>2</v>
      </c>
      <c r="BH343" s="147">
        <f>IF(M2S_Eligibility_List!BH93=DataPaths_Code,1,0)+BG343</f>
        <v>2</v>
      </c>
      <c r="BI343" s="147">
        <f>IF(M2S_Eligibility_List!BI93=DataPaths_Code,1,0)+BH343</f>
        <v>2</v>
      </c>
      <c r="BJ343" s="147">
        <f>IF(M2S_Eligibility_List!BJ93=DataPaths_Code,1,0)+BI343</f>
        <v>2</v>
      </c>
      <c r="BK343" s="147">
        <f>IF(M2S_Eligibility_List!BK93=DataPaths_Code,1,0)+BJ343</f>
        <v>2</v>
      </c>
      <c r="BL343" s="147">
        <f>IF(M2S_Eligibility_List!BL93=DataPaths_Code,1,0)+BK343</f>
        <v>2</v>
      </c>
      <c r="BM343" s="147">
        <f>IF(M2S_Eligibility_List!BM93=DataPaths_Code,1,0)+BL343</f>
        <v>2</v>
      </c>
      <c r="BN343" s="147">
        <f>IF(M2S_Eligibility_List!BN93=DataPaths_Code,1,0)+BM343</f>
        <v>2</v>
      </c>
      <c r="BO343" s="147">
        <f>IF(M2S_Eligibility_List!BO93=DataPaths_Code,1,0)+BN343</f>
        <v>2</v>
      </c>
      <c r="BP343" s="147">
        <f>IF(M2S_Eligibility_List!BP93=DataPaths_Code,1,0)+BO343</f>
        <v>2</v>
      </c>
      <c r="BQ343" s="147">
        <f>IF(M2S_Eligibility_List!BQ93=DataPaths_Code,1,0)+BP343</f>
        <v>2</v>
      </c>
      <c r="BR343" s="147">
        <f>IF(M2S_Eligibility_List!BR93=DataPaths_Code,1,0)+BQ343</f>
        <v>2</v>
      </c>
      <c r="BS343" s="147">
        <f>IF(M2S_Eligibility_List!BS93=DataPaths_Code,1,0)+BR343</f>
        <v>2</v>
      </c>
      <c r="BT343" s="147">
        <f>IF(M2S_Eligibility_List!BT93=DataPaths_Code,1,0)+BS343</f>
        <v>2</v>
      </c>
      <c r="BU343" s="147">
        <f>IF(M2S_Eligibility_List!BU93=DataPaths_Code,1,0)+BT343</f>
        <v>2</v>
      </c>
      <c r="BV343" s="147">
        <f>IF(M2S_Eligibility_List!BV93=DataPaths_Code,1,0)+BU343</f>
        <v>2</v>
      </c>
      <c r="BW343" s="147">
        <f>IF(M2S_Eligibility_List!BW93=DataPaths_Code,1,0)+BV343</f>
        <v>2</v>
      </c>
    </row>
    <row r="344" spans="1:75" ht="20.100000000000001" customHeight="1">
      <c r="A344" s="145"/>
      <c r="B344" s="170" t="str">
        <f>IF(M2S_Eligibility_List!$B94&lt;&gt;"",RIGHT(M2S_Eligibility_List!$B94,LEN(M2S_Eligibility_List!$B94)-LEN(nmADwSP)),0)</f>
        <v>Point Layout</v>
      </c>
      <c r="C344" s="147">
        <f>IF(M2S_Eligibility_List!C94=DataPaths_Code,1,0)</f>
        <v>0</v>
      </c>
      <c r="D344" s="147">
        <f>IF(M2S_Eligibility_List!D94=DataPaths_Code,1,0)+C344</f>
        <v>0</v>
      </c>
      <c r="E344" s="147">
        <f>IF(M2S_Eligibility_List!E94=DataPaths_Code,1,0)+D344</f>
        <v>0</v>
      </c>
      <c r="F344" s="147">
        <f>IF(M2S_Eligibility_List!F94=DataPaths_Code,1,0)+E344</f>
        <v>0</v>
      </c>
      <c r="G344" s="147">
        <f>IF(M2S_Eligibility_List!G94=DataPaths_Code,1,0)+F344</f>
        <v>0</v>
      </c>
      <c r="H344" s="147">
        <f>IF(M2S_Eligibility_List!H94=DataPaths_Code,1,0)+G344</f>
        <v>0</v>
      </c>
      <c r="I344" s="147">
        <f>IF(M2S_Eligibility_List!I94=DataPaths_Code,1,0)+H344</f>
        <v>0</v>
      </c>
      <c r="J344" s="147">
        <f>IF(M2S_Eligibility_List!J94=DataPaths_Code,1,0)+I344</f>
        <v>0</v>
      </c>
      <c r="K344" s="147">
        <f>IF(M2S_Eligibility_List!K94=DataPaths_Code,1,0)+J344</f>
        <v>0</v>
      </c>
      <c r="L344" s="147">
        <f>IF(M2S_Eligibility_List!L94=DataPaths_Code,1,0)+K344</f>
        <v>0</v>
      </c>
      <c r="M344" s="147">
        <f>IF(M2S_Eligibility_List!M94=DataPaths_Code,1,0)+L344</f>
        <v>0</v>
      </c>
      <c r="N344" s="147">
        <f>IF(M2S_Eligibility_List!N94=DataPaths_Code,1,0)+M344</f>
        <v>0</v>
      </c>
      <c r="O344" s="147">
        <f>IF(M2S_Eligibility_List!O94=DataPaths_Code,1,0)+N344</f>
        <v>0</v>
      </c>
      <c r="P344" s="147">
        <f>IF(M2S_Eligibility_List!P94=DataPaths_Code,1,0)+O344</f>
        <v>0</v>
      </c>
      <c r="Q344" s="147">
        <f>IF(M2S_Eligibility_List!Q94=DataPaths_Code,1,0)+P344</f>
        <v>0</v>
      </c>
      <c r="R344" s="147">
        <f>IF(M2S_Eligibility_List!R94=DataPaths_Code,1,0)+Q344</f>
        <v>0</v>
      </c>
      <c r="S344" s="147">
        <f>IF(M2S_Eligibility_List!S94=DataPaths_Code,1,0)+R344</f>
        <v>0</v>
      </c>
      <c r="T344" s="147">
        <f>IF(M2S_Eligibility_List!T94=DataPaths_Code,1,0)+S344</f>
        <v>0</v>
      </c>
      <c r="U344" s="147">
        <f>IF(M2S_Eligibility_List!U94=DataPaths_Code,1,0)+T344</f>
        <v>0</v>
      </c>
      <c r="V344" s="147">
        <f>IF(M2S_Eligibility_List!V94=DataPaths_Code,1,0)+U344</f>
        <v>0</v>
      </c>
      <c r="W344" s="147">
        <f>IF(M2S_Eligibility_List!W94=DataPaths_Code,1,0)+V344</f>
        <v>0</v>
      </c>
      <c r="X344" s="147">
        <f>IF(M2S_Eligibility_List!X94=DataPaths_Code,1,0)+W344</f>
        <v>0</v>
      </c>
      <c r="Y344" s="147">
        <f>IF(M2S_Eligibility_List!Y94=DataPaths_Code,1,0)+X344</f>
        <v>0</v>
      </c>
      <c r="Z344" s="147">
        <f>IF(M2S_Eligibility_List!Z94=DataPaths_Code,1,0)+Y344</f>
        <v>0</v>
      </c>
      <c r="AA344" s="147">
        <f>IF(M2S_Eligibility_List!AA94=DataPaths_Code,1,0)+Z344</f>
        <v>0</v>
      </c>
      <c r="AB344" s="147">
        <f>IF(M2S_Eligibility_List!AB94=DataPaths_Code,1,0)+AA344</f>
        <v>0</v>
      </c>
      <c r="AC344" s="147">
        <f>IF(M2S_Eligibility_List!AC94=DataPaths_Code,1,0)+AB344</f>
        <v>0</v>
      </c>
      <c r="AD344" s="147">
        <f>IF(M2S_Eligibility_List!AD94=DataPaths_Code,1,0)+AC344</f>
        <v>0</v>
      </c>
      <c r="AE344" s="147">
        <f>IF(M2S_Eligibility_List!AE94=DataPaths_Code,1,0)+AD344</f>
        <v>0</v>
      </c>
      <c r="AF344" s="147">
        <f>IF(M2S_Eligibility_List!AF94=DataPaths_Code,1,0)+AE344</f>
        <v>0</v>
      </c>
      <c r="AG344" s="147">
        <f>IF(M2S_Eligibility_List!AG94=DataPaths_Code,1,0)+AF344</f>
        <v>0</v>
      </c>
      <c r="AH344" s="147">
        <f>IF(M2S_Eligibility_List!AH94=DataPaths_Code,1,0)+AG344</f>
        <v>0</v>
      </c>
      <c r="AI344" s="147">
        <f>IF(M2S_Eligibility_List!AI94=DataPaths_Code,1,0)+AH344</f>
        <v>0</v>
      </c>
      <c r="AJ344" s="147">
        <f>IF(M2S_Eligibility_List!AJ94=DataPaths_Code,1,0)+AI344</f>
        <v>0</v>
      </c>
      <c r="AK344" s="147">
        <f>IF(M2S_Eligibility_List!AK94=DataPaths_Code,1,0)+AJ344</f>
        <v>0</v>
      </c>
      <c r="AL344" s="147">
        <f>IF(M2S_Eligibility_List!AL94=DataPaths_Code,1,0)+AK344</f>
        <v>0</v>
      </c>
      <c r="AM344" s="147">
        <f>IF(M2S_Eligibility_List!AM94=DataPaths_Code,1,0)+AL344</f>
        <v>0</v>
      </c>
      <c r="AN344" s="147">
        <f>IF(M2S_Eligibility_List!AN94=DataPaths_Code,1,0)+AM344</f>
        <v>0</v>
      </c>
      <c r="AO344" s="147">
        <f>IF(M2S_Eligibility_List!AO94=DataPaths_Code,1,0)+AN344</f>
        <v>1</v>
      </c>
      <c r="AP344" s="147">
        <f>IF(M2S_Eligibility_List!AP94=DataPaths_Code,1,0)+AO344</f>
        <v>1</v>
      </c>
      <c r="AQ344" s="147">
        <f>IF(M2S_Eligibility_List!AQ94=DataPaths_Code,1,0)+AP344</f>
        <v>1</v>
      </c>
      <c r="AR344" s="147">
        <f>IF(M2S_Eligibility_List!AR94=DataPaths_Code,1,0)+AQ344</f>
        <v>1</v>
      </c>
      <c r="AS344" s="147">
        <f>IF(M2S_Eligibility_List!AS94=DataPaths_Code,1,0)+AR344</f>
        <v>1</v>
      </c>
      <c r="AT344" s="147">
        <f>IF(M2S_Eligibility_List!AT94=DataPaths_Code,1,0)+AS344</f>
        <v>1</v>
      </c>
      <c r="AU344" s="147">
        <f>IF(M2S_Eligibility_List!AU94=DataPaths_Code,1,0)+AT344</f>
        <v>1</v>
      </c>
      <c r="AV344" s="147">
        <f>IF(M2S_Eligibility_List!AV94=DataPaths_Code,1,0)+AU344</f>
        <v>1</v>
      </c>
      <c r="AW344" s="147">
        <f>IF(M2S_Eligibility_List!AW94=DataPaths_Code,1,0)+AV344</f>
        <v>1</v>
      </c>
      <c r="AX344" s="147">
        <f>IF(M2S_Eligibility_List!AX94=DataPaths_Code,1,0)+AW344</f>
        <v>1</v>
      </c>
      <c r="AY344" s="147">
        <f>IF(M2S_Eligibility_List!AY94=DataPaths_Code,1,0)+AX344</f>
        <v>1</v>
      </c>
      <c r="AZ344" s="147">
        <f>IF(M2S_Eligibility_List!AZ94=DataPaths_Code,1,0)+AY344</f>
        <v>1</v>
      </c>
      <c r="BA344" s="147">
        <f>IF(M2S_Eligibility_List!BA94=DataPaths_Code,1,0)+AZ344</f>
        <v>1</v>
      </c>
      <c r="BB344" s="147">
        <f>IF(M2S_Eligibility_List!BB94=DataPaths_Code,1,0)+BA344</f>
        <v>1</v>
      </c>
      <c r="BC344" s="147">
        <f>IF(M2S_Eligibility_List!BC94=DataPaths_Code,1,0)+BB344</f>
        <v>1</v>
      </c>
      <c r="BD344" s="147">
        <f>IF(M2S_Eligibility_List!BD94=DataPaths_Code,1,0)+BC344</f>
        <v>1</v>
      </c>
      <c r="BE344" s="147">
        <f>IF(M2S_Eligibility_List!BE94=DataPaths_Code,1,0)+BD344</f>
        <v>1</v>
      </c>
      <c r="BF344" s="147">
        <f>IF(M2S_Eligibility_List!BF94=DataPaths_Code,1,0)+BE344</f>
        <v>1</v>
      </c>
      <c r="BG344" s="147">
        <f>IF(M2S_Eligibility_List!BG94=DataPaths_Code,1,0)+BF344</f>
        <v>1</v>
      </c>
      <c r="BH344" s="147">
        <f>IF(M2S_Eligibility_List!BH94=DataPaths_Code,1,0)+BG344</f>
        <v>1</v>
      </c>
      <c r="BI344" s="147">
        <f>IF(M2S_Eligibility_List!BI94=DataPaths_Code,1,0)+BH344</f>
        <v>1</v>
      </c>
      <c r="BJ344" s="147">
        <f>IF(M2S_Eligibility_List!BJ94=DataPaths_Code,1,0)+BI344</f>
        <v>1</v>
      </c>
      <c r="BK344" s="147">
        <f>IF(M2S_Eligibility_List!BK94=DataPaths_Code,1,0)+BJ344</f>
        <v>1</v>
      </c>
      <c r="BL344" s="147">
        <f>IF(M2S_Eligibility_List!BL94=DataPaths_Code,1,0)+BK344</f>
        <v>1</v>
      </c>
      <c r="BM344" s="147">
        <f>IF(M2S_Eligibility_List!BM94=DataPaths_Code,1,0)+BL344</f>
        <v>1</v>
      </c>
      <c r="BN344" s="147">
        <f>IF(M2S_Eligibility_List!BN94=DataPaths_Code,1,0)+BM344</f>
        <v>1</v>
      </c>
      <c r="BO344" s="147">
        <f>IF(M2S_Eligibility_List!BO94=DataPaths_Code,1,0)+BN344</f>
        <v>1</v>
      </c>
      <c r="BP344" s="147">
        <f>IF(M2S_Eligibility_List!BP94=DataPaths_Code,1,0)+BO344</f>
        <v>1</v>
      </c>
      <c r="BQ344" s="147">
        <f>IF(M2S_Eligibility_List!BQ94=DataPaths_Code,1,0)+BP344</f>
        <v>1</v>
      </c>
      <c r="BR344" s="147">
        <f>IF(M2S_Eligibility_List!BR94=DataPaths_Code,1,0)+BQ344</f>
        <v>1</v>
      </c>
      <c r="BS344" s="147">
        <f>IF(M2S_Eligibility_List!BS94=DataPaths_Code,1,0)+BR344</f>
        <v>1</v>
      </c>
      <c r="BT344" s="147">
        <f>IF(M2S_Eligibility_List!BT94=DataPaths_Code,1,0)+BS344</f>
        <v>1</v>
      </c>
      <c r="BU344" s="147">
        <f>IF(M2S_Eligibility_List!BU94=DataPaths_Code,1,0)+BT344</f>
        <v>1</v>
      </c>
      <c r="BV344" s="147">
        <f>IF(M2S_Eligibility_List!BV94=DataPaths_Code,1,0)+BU344</f>
        <v>1</v>
      </c>
      <c r="BW344" s="147">
        <f>IF(M2S_Eligibility_List!BW94=DataPaths_Code,1,0)+BV344</f>
        <v>1</v>
      </c>
    </row>
    <row r="345" spans="1:75" ht="20.100000000000001" customHeight="1">
      <c r="A345" s="145"/>
      <c r="B345" s="170" t="str">
        <f>IF(M2S_Eligibility_List!$B95&lt;&gt;"",RIGHT(M2S_Eligibility_List!$B95,LEN(M2S_Eligibility_List!$B95)-LEN(nmADwSP)),0)</f>
        <v>PowerInspect - Premium</v>
      </c>
      <c r="C345" s="147">
        <f>IF(M2S_Eligibility_List!C95=DataPaths_Code,1,0)</f>
        <v>0</v>
      </c>
      <c r="D345" s="147">
        <f>IF(M2S_Eligibility_List!D95=DataPaths_Code,1,0)+C345</f>
        <v>0</v>
      </c>
      <c r="E345" s="147">
        <f>IF(M2S_Eligibility_List!E95=DataPaths_Code,1,0)+D345</f>
        <v>0</v>
      </c>
      <c r="F345" s="147">
        <f>IF(M2S_Eligibility_List!F95=DataPaths_Code,1,0)+E345</f>
        <v>0</v>
      </c>
      <c r="G345" s="147">
        <f>IF(M2S_Eligibility_List!G95=DataPaths_Code,1,0)+F345</f>
        <v>0</v>
      </c>
      <c r="H345" s="147">
        <f>IF(M2S_Eligibility_List!H95=DataPaths_Code,1,0)+G345</f>
        <v>0</v>
      </c>
      <c r="I345" s="147">
        <f>IF(M2S_Eligibility_List!I95=DataPaths_Code,1,0)+H345</f>
        <v>0</v>
      </c>
      <c r="J345" s="147">
        <f>IF(M2S_Eligibility_List!J95=DataPaths_Code,1,0)+I345</f>
        <v>0</v>
      </c>
      <c r="K345" s="147">
        <f>IF(M2S_Eligibility_List!K95=DataPaths_Code,1,0)+J345</f>
        <v>0</v>
      </c>
      <c r="L345" s="147">
        <f>IF(M2S_Eligibility_List!L95=DataPaths_Code,1,0)+K345</f>
        <v>0</v>
      </c>
      <c r="M345" s="147">
        <f>IF(M2S_Eligibility_List!M95=DataPaths_Code,1,0)+L345</f>
        <v>0</v>
      </c>
      <c r="N345" s="147">
        <f>IF(M2S_Eligibility_List!N95=DataPaths_Code,1,0)+M345</f>
        <v>0</v>
      </c>
      <c r="O345" s="147">
        <f>IF(M2S_Eligibility_List!O95=DataPaths_Code,1,0)+N345</f>
        <v>0</v>
      </c>
      <c r="P345" s="147">
        <f>IF(M2S_Eligibility_List!P95=DataPaths_Code,1,0)+O345</f>
        <v>0</v>
      </c>
      <c r="Q345" s="147">
        <f>IF(M2S_Eligibility_List!Q95=DataPaths_Code,1,0)+P345</f>
        <v>0</v>
      </c>
      <c r="R345" s="147">
        <f>IF(M2S_Eligibility_List!R95=DataPaths_Code,1,0)+Q345</f>
        <v>0</v>
      </c>
      <c r="S345" s="147">
        <f>IF(M2S_Eligibility_List!S95=DataPaths_Code,1,0)+R345</f>
        <v>0</v>
      </c>
      <c r="T345" s="147">
        <f>IF(M2S_Eligibility_List!T95=DataPaths_Code,1,0)+S345</f>
        <v>0</v>
      </c>
      <c r="U345" s="147">
        <f>IF(M2S_Eligibility_List!U95=DataPaths_Code,1,0)+T345</f>
        <v>0</v>
      </c>
      <c r="V345" s="147">
        <f>IF(M2S_Eligibility_List!V95=DataPaths_Code,1,0)+U345</f>
        <v>0</v>
      </c>
      <c r="W345" s="147">
        <f>IF(M2S_Eligibility_List!W95=DataPaths_Code,1,0)+V345</f>
        <v>0</v>
      </c>
      <c r="X345" s="147">
        <f>IF(M2S_Eligibility_List!X95=DataPaths_Code,1,0)+W345</f>
        <v>0</v>
      </c>
      <c r="Y345" s="147">
        <f>IF(M2S_Eligibility_List!Y95=DataPaths_Code,1,0)+X345</f>
        <v>0</v>
      </c>
      <c r="Z345" s="147">
        <f>IF(M2S_Eligibility_List!Z95=DataPaths_Code,1,0)+Y345</f>
        <v>0</v>
      </c>
      <c r="AA345" s="147">
        <f>IF(M2S_Eligibility_List!AA95=DataPaths_Code,1,0)+Z345</f>
        <v>0</v>
      </c>
      <c r="AB345" s="147">
        <f>IF(M2S_Eligibility_List!AB95=DataPaths_Code,1,0)+AA345</f>
        <v>0</v>
      </c>
      <c r="AC345" s="147">
        <f>IF(M2S_Eligibility_List!AC95=DataPaths_Code,1,0)+AB345</f>
        <v>0</v>
      </c>
      <c r="AD345" s="147">
        <f>IF(M2S_Eligibility_List!AD95=DataPaths_Code,1,0)+AC345</f>
        <v>0</v>
      </c>
      <c r="AE345" s="147">
        <f>IF(M2S_Eligibility_List!AE95=DataPaths_Code,1,0)+AD345</f>
        <v>0</v>
      </c>
      <c r="AF345" s="147">
        <f>IF(M2S_Eligibility_List!AF95=DataPaths_Code,1,0)+AE345</f>
        <v>0</v>
      </c>
      <c r="AG345" s="147">
        <f>IF(M2S_Eligibility_List!AG95=DataPaths_Code,1,0)+AF345</f>
        <v>0</v>
      </c>
      <c r="AH345" s="147">
        <f>IF(M2S_Eligibility_List!AH95=DataPaths_Code,1,0)+AG345</f>
        <v>0</v>
      </c>
      <c r="AI345" s="147">
        <f>IF(M2S_Eligibility_List!AI95=DataPaths_Code,1,0)+AH345</f>
        <v>0</v>
      </c>
      <c r="AJ345" s="147">
        <f>IF(M2S_Eligibility_List!AJ95=DataPaths_Code,1,0)+AI345</f>
        <v>0</v>
      </c>
      <c r="AK345" s="147">
        <f>IF(M2S_Eligibility_List!AK95=DataPaths_Code,1,0)+AJ345</f>
        <v>0</v>
      </c>
      <c r="AL345" s="147">
        <f>IF(M2S_Eligibility_List!AL95=DataPaths_Code,1,0)+AK345</f>
        <v>0</v>
      </c>
      <c r="AM345" s="147">
        <f>IF(M2S_Eligibility_List!AM95=DataPaths_Code,1,0)+AL345</f>
        <v>0</v>
      </c>
      <c r="AN345" s="147">
        <f>IF(M2S_Eligibility_List!AN95=DataPaths_Code,1,0)+AM345</f>
        <v>0</v>
      </c>
      <c r="AO345" s="147">
        <f>IF(M2S_Eligibility_List!AO95=DataPaths_Code,1,0)+AN345</f>
        <v>0</v>
      </c>
      <c r="AP345" s="147">
        <f>IF(M2S_Eligibility_List!AP95=DataPaths_Code,1,0)+AO345</f>
        <v>0</v>
      </c>
      <c r="AQ345" s="147">
        <f>IF(M2S_Eligibility_List!AQ95=DataPaths_Code,1,0)+AP345</f>
        <v>0</v>
      </c>
      <c r="AR345" s="147">
        <f>IF(M2S_Eligibility_List!AR95=DataPaths_Code,1,0)+AQ345</f>
        <v>0</v>
      </c>
      <c r="AS345" s="147">
        <f>IF(M2S_Eligibility_List!AS95=DataPaths_Code,1,0)+AR345</f>
        <v>0</v>
      </c>
      <c r="AT345" s="147">
        <f>IF(M2S_Eligibility_List!AT95=DataPaths_Code,1,0)+AS345</f>
        <v>0</v>
      </c>
      <c r="AU345" s="147">
        <f>IF(M2S_Eligibility_List!AU95=DataPaths_Code,1,0)+AT345</f>
        <v>0</v>
      </c>
      <c r="AV345" s="147">
        <f>IF(M2S_Eligibility_List!AV95=DataPaths_Code,1,0)+AU345</f>
        <v>0</v>
      </c>
      <c r="AW345" s="147">
        <f>IF(M2S_Eligibility_List!AW95=DataPaths_Code,1,0)+AV345</f>
        <v>0</v>
      </c>
      <c r="AX345" s="147">
        <f>IF(M2S_Eligibility_List!AX95=DataPaths_Code,1,0)+AW345</f>
        <v>0</v>
      </c>
      <c r="AY345" s="147">
        <f>IF(M2S_Eligibility_List!AY95=DataPaths_Code,1,0)+AX345</f>
        <v>0</v>
      </c>
      <c r="AZ345" s="147">
        <f>IF(M2S_Eligibility_List!AZ95=DataPaths_Code,1,0)+AY345</f>
        <v>0</v>
      </c>
      <c r="BA345" s="147">
        <f>IF(M2S_Eligibility_List!BA95=DataPaths_Code,1,0)+AZ345</f>
        <v>0</v>
      </c>
      <c r="BB345" s="147">
        <f>IF(M2S_Eligibility_List!BB95=DataPaths_Code,1,0)+BA345</f>
        <v>0</v>
      </c>
      <c r="BC345" s="147">
        <f>IF(M2S_Eligibility_List!BC95=DataPaths_Code,1,0)+BB345</f>
        <v>0</v>
      </c>
      <c r="BD345" s="147">
        <f>IF(M2S_Eligibility_List!BD95=DataPaths_Code,1,0)+BC345</f>
        <v>0</v>
      </c>
      <c r="BE345" s="147">
        <f>IF(M2S_Eligibility_List!BE95=DataPaths_Code,1,0)+BD345</f>
        <v>0</v>
      </c>
      <c r="BF345" s="147">
        <f>IF(M2S_Eligibility_List!BF95=DataPaths_Code,1,0)+BE345</f>
        <v>0</v>
      </c>
      <c r="BG345" s="147">
        <f>IF(M2S_Eligibility_List!BG95=DataPaths_Code,1,0)+BF345</f>
        <v>0</v>
      </c>
      <c r="BH345" s="147">
        <f>IF(M2S_Eligibility_List!BH95=DataPaths_Code,1,0)+BG345</f>
        <v>0</v>
      </c>
      <c r="BI345" s="147">
        <f>IF(M2S_Eligibility_List!BI95=DataPaths_Code,1,0)+BH345</f>
        <v>0</v>
      </c>
      <c r="BJ345" s="147">
        <f>IF(M2S_Eligibility_List!BJ95=DataPaths_Code,1,0)+BI345</f>
        <v>0</v>
      </c>
      <c r="BK345" s="147">
        <f>IF(M2S_Eligibility_List!BK95=DataPaths_Code,1,0)+BJ345</f>
        <v>1</v>
      </c>
      <c r="BL345" s="147">
        <f>IF(M2S_Eligibility_List!BL95=DataPaths_Code,1,0)+BK345</f>
        <v>1</v>
      </c>
      <c r="BM345" s="147">
        <f>IF(M2S_Eligibility_List!BM95=DataPaths_Code,1,0)+BL345</f>
        <v>2</v>
      </c>
      <c r="BN345" s="147">
        <f>IF(M2S_Eligibility_List!BN95=DataPaths_Code,1,0)+BM345</f>
        <v>2</v>
      </c>
      <c r="BO345" s="147">
        <f>IF(M2S_Eligibility_List!BO95=DataPaths_Code,1,0)+BN345</f>
        <v>2</v>
      </c>
      <c r="BP345" s="147">
        <f>IF(M2S_Eligibility_List!BP95=DataPaths_Code,1,0)+BO345</f>
        <v>2</v>
      </c>
      <c r="BQ345" s="147">
        <f>IF(M2S_Eligibility_List!BQ95=DataPaths_Code,1,0)+BP345</f>
        <v>2</v>
      </c>
      <c r="BR345" s="147">
        <f>IF(M2S_Eligibility_List!BR95=DataPaths_Code,1,0)+BQ345</f>
        <v>2</v>
      </c>
      <c r="BS345" s="147">
        <f>IF(M2S_Eligibility_List!BS95=DataPaths_Code,1,0)+BR345</f>
        <v>2</v>
      </c>
      <c r="BT345" s="147">
        <f>IF(M2S_Eligibility_List!BT95=DataPaths_Code,1,0)+BS345</f>
        <v>2</v>
      </c>
      <c r="BU345" s="147">
        <f>IF(M2S_Eligibility_List!BU95=DataPaths_Code,1,0)+BT345</f>
        <v>2</v>
      </c>
      <c r="BV345" s="147">
        <f>IF(M2S_Eligibility_List!BV95=DataPaths_Code,1,0)+BU345</f>
        <v>2</v>
      </c>
      <c r="BW345" s="147">
        <f>IF(M2S_Eligibility_List!BW95=DataPaths_Code,1,0)+BV345</f>
        <v>2</v>
      </c>
    </row>
    <row r="346" spans="1:75" ht="20.100000000000001" customHeight="1">
      <c r="A346" s="145"/>
      <c r="B346" s="170" t="str">
        <f>IF(M2S_Eligibility_List!$B96&lt;&gt;"",RIGHT(M2S_Eligibility_List!$B96,LEN(M2S_Eligibility_List!$B96)-LEN(nmADwSP)),0)</f>
        <v xml:space="preserve">PowerInspect - Standard </v>
      </c>
      <c r="C346" s="147">
        <f>IF(M2S_Eligibility_List!C96=DataPaths_Code,1,0)</f>
        <v>0</v>
      </c>
      <c r="D346" s="147">
        <f>IF(M2S_Eligibility_List!D96=DataPaths_Code,1,0)+C346</f>
        <v>0</v>
      </c>
      <c r="E346" s="147">
        <f>IF(M2S_Eligibility_List!E96=DataPaths_Code,1,0)+D346</f>
        <v>0</v>
      </c>
      <c r="F346" s="147">
        <f>IF(M2S_Eligibility_List!F96=DataPaths_Code,1,0)+E346</f>
        <v>0</v>
      </c>
      <c r="G346" s="147">
        <f>IF(M2S_Eligibility_List!G96=DataPaths_Code,1,0)+F346</f>
        <v>0</v>
      </c>
      <c r="H346" s="147">
        <f>IF(M2S_Eligibility_List!H96=DataPaths_Code,1,0)+G346</f>
        <v>0</v>
      </c>
      <c r="I346" s="147">
        <f>IF(M2S_Eligibility_List!I96=DataPaths_Code,1,0)+H346</f>
        <v>0</v>
      </c>
      <c r="J346" s="147">
        <f>IF(M2S_Eligibility_List!J96=DataPaths_Code,1,0)+I346</f>
        <v>0</v>
      </c>
      <c r="K346" s="147">
        <f>IF(M2S_Eligibility_List!K96=DataPaths_Code,1,0)+J346</f>
        <v>0</v>
      </c>
      <c r="L346" s="147">
        <f>IF(M2S_Eligibility_List!L96=DataPaths_Code,1,0)+K346</f>
        <v>0</v>
      </c>
      <c r="M346" s="147">
        <f>IF(M2S_Eligibility_List!M96=DataPaths_Code,1,0)+L346</f>
        <v>0</v>
      </c>
      <c r="N346" s="147">
        <f>IF(M2S_Eligibility_List!N96=DataPaths_Code,1,0)+M346</f>
        <v>0</v>
      </c>
      <c r="O346" s="147">
        <f>IF(M2S_Eligibility_List!O96=DataPaths_Code,1,0)+N346</f>
        <v>0</v>
      </c>
      <c r="P346" s="147">
        <f>IF(M2S_Eligibility_List!P96=DataPaths_Code,1,0)+O346</f>
        <v>0</v>
      </c>
      <c r="Q346" s="147">
        <f>IF(M2S_Eligibility_List!Q96=DataPaths_Code,1,0)+P346</f>
        <v>0</v>
      </c>
      <c r="R346" s="147">
        <f>IF(M2S_Eligibility_List!R96=DataPaths_Code,1,0)+Q346</f>
        <v>0</v>
      </c>
      <c r="S346" s="147">
        <f>IF(M2S_Eligibility_List!S96=DataPaths_Code,1,0)+R346</f>
        <v>0</v>
      </c>
      <c r="T346" s="147">
        <f>IF(M2S_Eligibility_List!T96=DataPaths_Code,1,0)+S346</f>
        <v>0</v>
      </c>
      <c r="U346" s="147">
        <f>IF(M2S_Eligibility_List!U96=DataPaths_Code,1,0)+T346</f>
        <v>0</v>
      </c>
      <c r="V346" s="147">
        <f>IF(M2S_Eligibility_List!V96=DataPaths_Code,1,0)+U346</f>
        <v>0</v>
      </c>
      <c r="W346" s="147">
        <f>IF(M2S_Eligibility_List!W96=DataPaths_Code,1,0)+V346</f>
        <v>0</v>
      </c>
      <c r="X346" s="147">
        <f>IF(M2S_Eligibility_List!X96=DataPaths_Code,1,0)+W346</f>
        <v>0</v>
      </c>
      <c r="Y346" s="147">
        <f>IF(M2S_Eligibility_List!Y96=DataPaths_Code,1,0)+X346</f>
        <v>0</v>
      </c>
      <c r="Z346" s="147">
        <f>IF(M2S_Eligibility_List!Z96=DataPaths_Code,1,0)+Y346</f>
        <v>0</v>
      </c>
      <c r="AA346" s="147">
        <f>IF(M2S_Eligibility_List!AA96=DataPaths_Code,1,0)+Z346</f>
        <v>0</v>
      </c>
      <c r="AB346" s="147">
        <f>IF(M2S_Eligibility_List!AB96=DataPaths_Code,1,0)+AA346</f>
        <v>0</v>
      </c>
      <c r="AC346" s="147">
        <f>IF(M2S_Eligibility_List!AC96=DataPaths_Code,1,0)+AB346</f>
        <v>0</v>
      </c>
      <c r="AD346" s="147">
        <f>IF(M2S_Eligibility_List!AD96=DataPaths_Code,1,0)+AC346</f>
        <v>0</v>
      </c>
      <c r="AE346" s="147">
        <f>IF(M2S_Eligibility_List!AE96=DataPaths_Code,1,0)+AD346</f>
        <v>0</v>
      </c>
      <c r="AF346" s="147">
        <f>IF(M2S_Eligibility_List!AF96=DataPaths_Code,1,0)+AE346</f>
        <v>0</v>
      </c>
      <c r="AG346" s="147">
        <f>IF(M2S_Eligibility_List!AG96=DataPaths_Code,1,0)+AF346</f>
        <v>0</v>
      </c>
      <c r="AH346" s="147">
        <f>IF(M2S_Eligibility_List!AH96=DataPaths_Code,1,0)+AG346</f>
        <v>0</v>
      </c>
      <c r="AI346" s="147">
        <f>IF(M2S_Eligibility_List!AI96=DataPaths_Code,1,0)+AH346</f>
        <v>0</v>
      </c>
      <c r="AJ346" s="147">
        <f>IF(M2S_Eligibility_List!AJ96=DataPaths_Code,1,0)+AI346</f>
        <v>0</v>
      </c>
      <c r="AK346" s="147">
        <f>IF(M2S_Eligibility_List!AK96=DataPaths_Code,1,0)+AJ346</f>
        <v>0</v>
      </c>
      <c r="AL346" s="147">
        <f>IF(M2S_Eligibility_List!AL96=DataPaths_Code,1,0)+AK346</f>
        <v>0</v>
      </c>
      <c r="AM346" s="147">
        <f>IF(M2S_Eligibility_List!AM96=DataPaths_Code,1,0)+AL346</f>
        <v>0</v>
      </c>
      <c r="AN346" s="147">
        <f>IF(M2S_Eligibility_List!AN96=DataPaths_Code,1,0)+AM346</f>
        <v>0</v>
      </c>
      <c r="AO346" s="147">
        <f>IF(M2S_Eligibility_List!AO96=DataPaths_Code,1,0)+AN346</f>
        <v>0</v>
      </c>
      <c r="AP346" s="147">
        <f>IF(M2S_Eligibility_List!AP96=DataPaths_Code,1,0)+AO346</f>
        <v>0</v>
      </c>
      <c r="AQ346" s="147">
        <f>IF(M2S_Eligibility_List!AQ96=DataPaths_Code,1,0)+AP346</f>
        <v>0</v>
      </c>
      <c r="AR346" s="147">
        <f>IF(M2S_Eligibility_List!AR96=DataPaths_Code,1,0)+AQ346</f>
        <v>0</v>
      </c>
      <c r="AS346" s="147">
        <f>IF(M2S_Eligibility_List!AS96=DataPaths_Code,1,0)+AR346</f>
        <v>0</v>
      </c>
      <c r="AT346" s="147">
        <f>IF(M2S_Eligibility_List!AT96=DataPaths_Code,1,0)+AS346</f>
        <v>0</v>
      </c>
      <c r="AU346" s="147">
        <f>IF(M2S_Eligibility_List!AU96=DataPaths_Code,1,0)+AT346</f>
        <v>0</v>
      </c>
      <c r="AV346" s="147">
        <f>IF(M2S_Eligibility_List!AV96=DataPaths_Code,1,0)+AU346</f>
        <v>0</v>
      </c>
      <c r="AW346" s="147">
        <f>IF(M2S_Eligibility_List!AW96=DataPaths_Code,1,0)+AV346</f>
        <v>0</v>
      </c>
      <c r="AX346" s="147">
        <f>IF(M2S_Eligibility_List!AX96=DataPaths_Code,1,0)+AW346</f>
        <v>0</v>
      </c>
      <c r="AY346" s="147">
        <f>IF(M2S_Eligibility_List!AY96=DataPaths_Code,1,0)+AX346</f>
        <v>0</v>
      </c>
      <c r="AZ346" s="147">
        <f>IF(M2S_Eligibility_List!AZ96=DataPaths_Code,1,0)+AY346</f>
        <v>0</v>
      </c>
      <c r="BA346" s="147">
        <f>IF(M2S_Eligibility_List!BA96=DataPaths_Code,1,0)+AZ346</f>
        <v>0</v>
      </c>
      <c r="BB346" s="147">
        <f>IF(M2S_Eligibility_List!BB96=DataPaths_Code,1,0)+BA346</f>
        <v>0</v>
      </c>
      <c r="BC346" s="147">
        <f>IF(M2S_Eligibility_List!BC96=DataPaths_Code,1,0)+BB346</f>
        <v>0</v>
      </c>
      <c r="BD346" s="147">
        <f>IF(M2S_Eligibility_List!BD96=DataPaths_Code,1,0)+BC346</f>
        <v>0</v>
      </c>
      <c r="BE346" s="147">
        <f>IF(M2S_Eligibility_List!BE96=DataPaths_Code,1,0)+BD346</f>
        <v>0</v>
      </c>
      <c r="BF346" s="147">
        <f>IF(M2S_Eligibility_List!BF96=DataPaths_Code,1,0)+BE346</f>
        <v>0</v>
      </c>
      <c r="BG346" s="147">
        <f>IF(M2S_Eligibility_List!BG96=DataPaths_Code,1,0)+BF346</f>
        <v>0</v>
      </c>
      <c r="BH346" s="147">
        <f>IF(M2S_Eligibility_List!BH96=DataPaths_Code,1,0)+BG346</f>
        <v>0</v>
      </c>
      <c r="BI346" s="147">
        <f>IF(M2S_Eligibility_List!BI96=DataPaths_Code,1,0)+BH346</f>
        <v>0</v>
      </c>
      <c r="BJ346" s="147">
        <f>IF(M2S_Eligibility_List!BJ96=DataPaths_Code,1,0)+BI346</f>
        <v>0</v>
      </c>
      <c r="BK346" s="147">
        <f>IF(M2S_Eligibility_List!BK96=DataPaths_Code,1,0)+BJ346</f>
        <v>1</v>
      </c>
      <c r="BL346" s="147">
        <f>IF(M2S_Eligibility_List!BL96=DataPaths_Code,1,0)+BK346</f>
        <v>2</v>
      </c>
      <c r="BM346" s="147">
        <f>IF(M2S_Eligibility_List!BM96=DataPaths_Code,1,0)+BL346</f>
        <v>3</v>
      </c>
      <c r="BN346" s="147">
        <f>IF(M2S_Eligibility_List!BN96=DataPaths_Code,1,0)+BM346</f>
        <v>3</v>
      </c>
      <c r="BO346" s="147">
        <f>IF(M2S_Eligibility_List!BO96=DataPaths_Code,1,0)+BN346</f>
        <v>3</v>
      </c>
      <c r="BP346" s="147">
        <f>IF(M2S_Eligibility_List!BP96=DataPaths_Code,1,0)+BO346</f>
        <v>3</v>
      </c>
      <c r="BQ346" s="147">
        <f>IF(M2S_Eligibility_List!BQ96=DataPaths_Code,1,0)+BP346</f>
        <v>3</v>
      </c>
      <c r="BR346" s="147">
        <f>IF(M2S_Eligibility_List!BR96=DataPaths_Code,1,0)+BQ346</f>
        <v>3</v>
      </c>
      <c r="BS346" s="147">
        <f>IF(M2S_Eligibility_List!BS96=DataPaths_Code,1,0)+BR346</f>
        <v>3</v>
      </c>
      <c r="BT346" s="147">
        <f>IF(M2S_Eligibility_List!BT96=DataPaths_Code,1,0)+BS346</f>
        <v>3</v>
      </c>
      <c r="BU346" s="147">
        <f>IF(M2S_Eligibility_List!BU96=DataPaths_Code,1,0)+BT346</f>
        <v>3</v>
      </c>
      <c r="BV346" s="147">
        <f>IF(M2S_Eligibility_List!BV96=DataPaths_Code,1,0)+BU346</f>
        <v>3</v>
      </c>
      <c r="BW346" s="147">
        <f>IF(M2S_Eligibility_List!BW96=DataPaths_Code,1,0)+BV346</f>
        <v>3</v>
      </c>
    </row>
    <row r="347" spans="1:75" ht="20.100000000000001" customHeight="1">
      <c r="A347" s="145"/>
      <c r="B347" s="170" t="str">
        <f>IF(M2S_Eligibility_List!$B97&lt;&gt;"",RIGHT(M2S_Eligibility_List!$B97,LEN(M2S_Eligibility_List!$B97)-LEN(nmADwSP)),0)</f>
        <v>PowerInspect - Ultimate</v>
      </c>
      <c r="C347" s="147">
        <f>IF(M2S_Eligibility_List!C97=DataPaths_Code,1,0)</f>
        <v>0</v>
      </c>
      <c r="D347" s="147">
        <f>IF(M2S_Eligibility_List!D97=DataPaths_Code,1,0)+C347</f>
        <v>0</v>
      </c>
      <c r="E347" s="147">
        <f>IF(M2S_Eligibility_List!E97=DataPaths_Code,1,0)+D347</f>
        <v>0</v>
      </c>
      <c r="F347" s="147">
        <f>IF(M2S_Eligibility_List!F97=DataPaths_Code,1,0)+E347</f>
        <v>0</v>
      </c>
      <c r="G347" s="147">
        <f>IF(M2S_Eligibility_List!G97=DataPaths_Code,1,0)+F347</f>
        <v>0</v>
      </c>
      <c r="H347" s="147">
        <f>IF(M2S_Eligibility_List!H97=DataPaths_Code,1,0)+G347</f>
        <v>0</v>
      </c>
      <c r="I347" s="147">
        <f>IF(M2S_Eligibility_List!I97=DataPaths_Code,1,0)+H347</f>
        <v>0</v>
      </c>
      <c r="J347" s="147">
        <f>IF(M2S_Eligibility_List!J97=DataPaths_Code,1,0)+I347</f>
        <v>0</v>
      </c>
      <c r="K347" s="147">
        <f>IF(M2S_Eligibility_List!K97=DataPaths_Code,1,0)+J347</f>
        <v>0</v>
      </c>
      <c r="L347" s="147">
        <f>IF(M2S_Eligibility_List!L97=DataPaths_Code,1,0)+K347</f>
        <v>0</v>
      </c>
      <c r="M347" s="147">
        <f>IF(M2S_Eligibility_List!M97=DataPaths_Code,1,0)+L347</f>
        <v>0</v>
      </c>
      <c r="N347" s="147">
        <f>IF(M2S_Eligibility_List!N97=DataPaths_Code,1,0)+M347</f>
        <v>0</v>
      </c>
      <c r="O347" s="147">
        <f>IF(M2S_Eligibility_List!O97=DataPaths_Code,1,0)+N347</f>
        <v>0</v>
      </c>
      <c r="P347" s="147">
        <f>IF(M2S_Eligibility_List!P97=DataPaths_Code,1,0)+O347</f>
        <v>0</v>
      </c>
      <c r="Q347" s="147">
        <f>IF(M2S_Eligibility_List!Q97=DataPaths_Code,1,0)+P347</f>
        <v>0</v>
      </c>
      <c r="R347" s="147">
        <f>IF(M2S_Eligibility_List!R97=DataPaths_Code,1,0)+Q347</f>
        <v>0</v>
      </c>
      <c r="S347" s="147">
        <f>IF(M2S_Eligibility_List!S97=DataPaths_Code,1,0)+R347</f>
        <v>0</v>
      </c>
      <c r="T347" s="147">
        <f>IF(M2S_Eligibility_List!T97=DataPaths_Code,1,0)+S347</f>
        <v>0</v>
      </c>
      <c r="U347" s="147">
        <f>IF(M2S_Eligibility_List!U97=DataPaths_Code,1,0)+T347</f>
        <v>0</v>
      </c>
      <c r="V347" s="147">
        <f>IF(M2S_Eligibility_List!V97=DataPaths_Code,1,0)+U347</f>
        <v>0</v>
      </c>
      <c r="W347" s="147">
        <f>IF(M2S_Eligibility_List!W97=DataPaths_Code,1,0)+V347</f>
        <v>0</v>
      </c>
      <c r="X347" s="147">
        <f>IF(M2S_Eligibility_List!X97=DataPaths_Code,1,0)+W347</f>
        <v>0</v>
      </c>
      <c r="Y347" s="147">
        <f>IF(M2S_Eligibility_List!Y97=DataPaths_Code,1,0)+X347</f>
        <v>0</v>
      </c>
      <c r="Z347" s="147">
        <f>IF(M2S_Eligibility_List!Z97=DataPaths_Code,1,0)+Y347</f>
        <v>0</v>
      </c>
      <c r="AA347" s="147">
        <f>IF(M2S_Eligibility_List!AA97=DataPaths_Code,1,0)+Z347</f>
        <v>0</v>
      </c>
      <c r="AB347" s="147">
        <f>IF(M2S_Eligibility_List!AB97=DataPaths_Code,1,0)+AA347</f>
        <v>0</v>
      </c>
      <c r="AC347" s="147">
        <f>IF(M2S_Eligibility_List!AC97=DataPaths_Code,1,0)+AB347</f>
        <v>0</v>
      </c>
      <c r="AD347" s="147">
        <f>IF(M2S_Eligibility_List!AD97=DataPaths_Code,1,0)+AC347</f>
        <v>0</v>
      </c>
      <c r="AE347" s="147">
        <f>IF(M2S_Eligibility_List!AE97=DataPaths_Code,1,0)+AD347</f>
        <v>0</v>
      </c>
      <c r="AF347" s="147">
        <f>IF(M2S_Eligibility_List!AF97=DataPaths_Code,1,0)+AE347</f>
        <v>0</v>
      </c>
      <c r="AG347" s="147">
        <f>IF(M2S_Eligibility_List!AG97=DataPaths_Code,1,0)+AF347</f>
        <v>0</v>
      </c>
      <c r="AH347" s="147">
        <f>IF(M2S_Eligibility_List!AH97=DataPaths_Code,1,0)+AG347</f>
        <v>0</v>
      </c>
      <c r="AI347" s="147">
        <f>IF(M2S_Eligibility_List!AI97=DataPaths_Code,1,0)+AH347</f>
        <v>0</v>
      </c>
      <c r="AJ347" s="147">
        <f>IF(M2S_Eligibility_List!AJ97=DataPaths_Code,1,0)+AI347</f>
        <v>0</v>
      </c>
      <c r="AK347" s="147">
        <f>IF(M2S_Eligibility_List!AK97=DataPaths_Code,1,0)+AJ347</f>
        <v>0</v>
      </c>
      <c r="AL347" s="147">
        <f>IF(M2S_Eligibility_List!AL97=DataPaths_Code,1,0)+AK347</f>
        <v>0</v>
      </c>
      <c r="AM347" s="147">
        <f>IF(M2S_Eligibility_List!AM97=DataPaths_Code,1,0)+AL347</f>
        <v>0</v>
      </c>
      <c r="AN347" s="147">
        <f>IF(M2S_Eligibility_List!AN97=DataPaths_Code,1,0)+AM347</f>
        <v>0</v>
      </c>
      <c r="AO347" s="147">
        <f>IF(M2S_Eligibility_List!AO97=DataPaths_Code,1,0)+AN347</f>
        <v>0</v>
      </c>
      <c r="AP347" s="147">
        <f>IF(M2S_Eligibility_List!AP97=DataPaths_Code,1,0)+AO347</f>
        <v>0</v>
      </c>
      <c r="AQ347" s="147">
        <f>IF(M2S_Eligibility_List!AQ97=DataPaths_Code,1,0)+AP347</f>
        <v>0</v>
      </c>
      <c r="AR347" s="147">
        <f>IF(M2S_Eligibility_List!AR97=DataPaths_Code,1,0)+AQ347</f>
        <v>0</v>
      </c>
      <c r="AS347" s="147">
        <f>IF(M2S_Eligibility_List!AS97=DataPaths_Code,1,0)+AR347</f>
        <v>0</v>
      </c>
      <c r="AT347" s="147">
        <f>IF(M2S_Eligibility_List!AT97=DataPaths_Code,1,0)+AS347</f>
        <v>0</v>
      </c>
      <c r="AU347" s="147">
        <f>IF(M2S_Eligibility_List!AU97=DataPaths_Code,1,0)+AT347</f>
        <v>0</v>
      </c>
      <c r="AV347" s="147">
        <f>IF(M2S_Eligibility_List!AV97=DataPaths_Code,1,0)+AU347</f>
        <v>0</v>
      </c>
      <c r="AW347" s="147">
        <f>IF(M2S_Eligibility_List!AW97=DataPaths_Code,1,0)+AV347</f>
        <v>0</v>
      </c>
      <c r="AX347" s="147">
        <f>IF(M2S_Eligibility_List!AX97=DataPaths_Code,1,0)+AW347</f>
        <v>0</v>
      </c>
      <c r="AY347" s="147">
        <f>IF(M2S_Eligibility_List!AY97=DataPaths_Code,1,0)+AX347</f>
        <v>0</v>
      </c>
      <c r="AZ347" s="147">
        <f>IF(M2S_Eligibility_List!AZ97=DataPaths_Code,1,0)+AY347</f>
        <v>0</v>
      </c>
      <c r="BA347" s="147">
        <f>IF(M2S_Eligibility_List!BA97=DataPaths_Code,1,0)+AZ347</f>
        <v>0</v>
      </c>
      <c r="BB347" s="147">
        <f>IF(M2S_Eligibility_List!BB97=DataPaths_Code,1,0)+BA347</f>
        <v>0</v>
      </c>
      <c r="BC347" s="147">
        <f>IF(M2S_Eligibility_List!BC97=DataPaths_Code,1,0)+BB347</f>
        <v>0</v>
      </c>
      <c r="BD347" s="147">
        <f>IF(M2S_Eligibility_List!BD97=DataPaths_Code,1,0)+BC347</f>
        <v>0</v>
      </c>
      <c r="BE347" s="147">
        <f>IF(M2S_Eligibility_List!BE97=DataPaths_Code,1,0)+BD347</f>
        <v>0</v>
      </c>
      <c r="BF347" s="147">
        <f>IF(M2S_Eligibility_List!BF97=DataPaths_Code,1,0)+BE347</f>
        <v>0</v>
      </c>
      <c r="BG347" s="147">
        <f>IF(M2S_Eligibility_List!BG97=DataPaths_Code,1,0)+BF347</f>
        <v>0</v>
      </c>
      <c r="BH347" s="147">
        <f>IF(M2S_Eligibility_List!BH97=DataPaths_Code,1,0)+BG347</f>
        <v>0</v>
      </c>
      <c r="BI347" s="147">
        <f>IF(M2S_Eligibility_List!BI97=DataPaths_Code,1,0)+BH347</f>
        <v>0</v>
      </c>
      <c r="BJ347" s="147">
        <f>IF(M2S_Eligibility_List!BJ97=DataPaths_Code,1,0)+BI347</f>
        <v>0</v>
      </c>
      <c r="BK347" s="147">
        <f>IF(M2S_Eligibility_List!BK97=DataPaths_Code,1,0)+BJ347</f>
        <v>0</v>
      </c>
      <c r="BL347" s="147">
        <f>IF(M2S_Eligibility_List!BL97=DataPaths_Code,1,0)+BK347</f>
        <v>0</v>
      </c>
      <c r="BM347" s="147">
        <f>IF(M2S_Eligibility_List!BM97=DataPaths_Code,1,0)+BL347</f>
        <v>1</v>
      </c>
      <c r="BN347" s="147">
        <f>IF(M2S_Eligibility_List!BN97=DataPaths_Code,1,0)+BM347</f>
        <v>1</v>
      </c>
      <c r="BO347" s="147">
        <f>IF(M2S_Eligibility_List!BO97=DataPaths_Code,1,0)+BN347</f>
        <v>1</v>
      </c>
      <c r="BP347" s="147">
        <f>IF(M2S_Eligibility_List!BP97=DataPaths_Code,1,0)+BO347</f>
        <v>1</v>
      </c>
      <c r="BQ347" s="147">
        <f>IF(M2S_Eligibility_List!BQ97=DataPaths_Code,1,0)+BP347</f>
        <v>1</v>
      </c>
      <c r="BR347" s="147">
        <f>IF(M2S_Eligibility_List!BR97=DataPaths_Code,1,0)+BQ347</f>
        <v>1</v>
      </c>
      <c r="BS347" s="147">
        <f>IF(M2S_Eligibility_List!BS97=DataPaths_Code,1,0)+BR347</f>
        <v>1</v>
      </c>
      <c r="BT347" s="147">
        <f>IF(M2S_Eligibility_List!BT97=DataPaths_Code,1,0)+BS347</f>
        <v>1</v>
      </c>
      <c r="BU347" s="147">
        <f>IF(M2S_Eligibility_List!BU97=DataPaths_Code,1,0)+BT347</f>
        <v>1</v>
      </c>
      <c r="BV347" s="147">
        <f>IF(M2S_Eligibility_List!BV97=DataPaths_Code,1,0)+BU347</f>
        <v>1</v>
      </c>
      <c r="BW347" s="147">
        <f>IF(M2S_Eligibility_List!BW97=DataPaths_Code,1,0)+BV347</f>
        <v>1</v>
      </c>
    </row>
    <row r="348" spans="1:75" ht="20.100000000000001" customHeight="1">
      <c r="A348" s="145"/>
      <c r="B348" s="170" t="str">
        <f>IF(M2S_Eligibility_List!$B98&lt;&gt;"",RIGHT(M2S_Eligibility_List!$B98,LEN(M2S_Eligibility_List!$B98)-LEN(nmADwSP)),0)</f>
        <v>PowerMill - Premium</v>
      </c>
      <c r="C348" s="147">
        <f>IF(M2S_Eligibility_List!C98=DataPaths_Code,1,0)</f>
        <v>0</v>
      </c>
      <c r="D348" s="147">
        <f>IF(M2S_Eligibility_List!D98=DataPaths_Code,1,0)+C348</f>
        <v>0</v>
      </c>
      <c r="E348" s="147">
        <f>IF(M2S_Eligibility_List!E98=DataPaths_Code,1,0)+D348</f>
        <v>0</v>
      </c>
      <c r="F348" s="147">
        <f>IF(M2S_Eligibility_List!F98=DataPaths_Code,1,0)+E348</f>
        <v>0</v>
      </c>
      <c r="G348" s="147">
        <f>IF(M2S_Eligibility_List!G98=DataPaths_Code,1,0)+F348</f>
        <v>0</v>
      </c>
      <c r="H348" s="147">
        <f>IF(M2S_Eligibility_List!H98=DataPaths_Code,1,0)+G348</f>
        <v>0</v>
      </c>
      <c r="I348" s="147">
        <f>IF(M2S_Eligibility_List!I98=DataPaths_Code,1,0)+H348</f>
        <v>0</v>
      </c>
      <c r="J348" s="147">
        <f>IF(M2S_Eligibility_List!J98=DataPaths_Code,1,0)+I348</f>
        <v>0</v>
      </c>
      <c r="K348" s="147">
        <f>IF(M2S_Eligibility_List!K98=DataPaths_Code,1,0)+J348</f>
        <v>0</v>
      </c>
      <c r="L348" s="147">
        <f>IF(M2S_Eligibility_List!L98=DataPaths_Code,1,0)+K348</f>
        <v>0</v>
      </c>
      <c r="M348" s="147">
        <f>IF(M2S_Eligibility_List!M98=DataPaths_Code,1,0)+L348</f>
        <v>0</v>
      </c>
      <c r="N348" s="147">
        <f>IF(M2S_Eligibility_List!N98=DataPaths_Code,1,0)+M348</f>
        <v>0</v>
      </c>
      <c r="O348" s="147">
        <f>IF(M2S_Eligibility_List!O98=DataPaths_Code,1,0)+N348</f>
        <v>0</v>
      </c>
      <c r="P348" s="147">
        <f>IF(M2S_Eligibility_List!P98=DataPaths_Code,1,0)+O348</f>
        <v>0</v>
      </c>
      <c r="Q348" s="147">
        <f>IF(M2S_Eligibility_List!Q98=DataPaths_Code,1,0)+P348</f>
        <v>0</v>
      </c>
      <c r="R348" s="147">
        <f>IF(M2S_Eligibility_List!R98=DataPaths_Code,1,0)+Q348</f>
        <v>0</v>
      </c>
      <c r="S348" s="147">
        <f>IF(M2S_Eligibility_List!S98=DataPaths_Code,1,0)+R348</f>
        <v>0</v>
      </c>
      <c r="T348" s="147">
        <f>IF(M2S_Eligibility_List!T98=DataPaths_Code,1,0)+S348</f>
        <v>0</v>
      </c>
      <c r="U348" s="147">
        <f>IF(M2S_Eligibility_List!U98=DataPaths_Code,1,0)+T348</f>
        <v>0</v>
      </c>
      <c r="V348" s="147">
        <f>IF(M2S_Eligibility_List!V98=DataPaths_Code,1,0)+U348</f>
        <v>0</v>
      </c>
      <c r="W348" s="147">
        <f>IF(M2S_Eligibility_List!W98=DataPaths_Code,1,0)+V348</f>
        <v>0</v>
      </c>
      <c r="X348" s="147">
        <f>IF(M2S_Eligibility_List!X98=DataPaths_Code,1,0)+W348</f>
        <v>0</v>
      </c>
      <c r="Y348" s="147">
        <f>IF(M2S_Eligibility_List!Y98=DataPaths_Code,1,0)+X348</f>
        <v>0</v>
      </c>
      <c r="Z348" s="147">
        <f>IF(M2S_Eligibility_List!Z98=DataPaths_Code,1,0)+Y348</f>
        <v>0</v>
      </c>
      <c r="AA348" s="147">
        <f>IF(M2S_Eligibility_List!AA98=DataPaths_Code,1,0)+Z348</f>
        <v>0</v>
      </c>
      <c r="AB348" s="147">
        <f>IF(M2S_Eligibility_List!AB98=DataPaths_Code,1,0)+AA348</f>
        <v>0</v>
      </c>
      <c r="AC348" s="147">
        <f>IF(M2S_Eligibility_List!AC98=DataPaths_Code,1,0)+AB348</f>
        <v>0</v>
      </c>
      <c r="AD348" s="147">
        <f>IF(M2S_Eligibility_List!AD98=DataPaths_Code,1,0)+AC348</f>
        <v>0</v>
      </c>
      <c r="AE348" s="147">
        <f>IF(M2S_Eligibility_List!AE98=DataPaths_Code,1,0)+AD348</f>
        <v>0</v>
      </c>
      <c r="AF348" s="147">
        <f>IF(M2S_Eligibility_List!AF98=DataPaths_Code,1,0)+AE348</f>
        <v>0</v>
      </c>
      <c r="AG348" s="147">
        <f>IF(M2S_Eligibility_List!AG98=DataPaths_Code,1,0)+AF348</f>
        <v>0</v>
      </c>
      <c r="AH348" s="147">
        <f>IF(M2S_Eligibility_List!AH98=DataPaths_Code,1,0)+AG348</f>
        <v>0</v>
      </c>
      <c r="AI348" s="147">
        <f>IF(M2S_Eligibility_List!AI98=DataPaths_Code,1,0)+AH348</f>
        <v>0</v>
      </c>
      <c r="AJ348" s="147">
        <f>IF(M2S_Eligibility_List!AJ98=DataPaths_Code,1,0)+AI348</f>
        <v>0</v>
      </c>
      <c r="AK348" s="147">
        <f>IF(M2S_Eligibility_List!AK98=DataPaths_Code,1,0)+AJ348</f>
        <v>0</v>
      </c>
      <c r="AL348" s="147">
        <f>IF(M2S_Eligibility_List!AL98=DataPaths_Code,1,0)+AK348</f>
        <v>0</v>
      </c>
      <c r="AM348" s="147">
        <f>IF(M2S_Eligibility_List!AM98=DataPaths_Code,1,0)+AL348</f>
        <v>0</v>
      </c>
      <c r="AN348" s="147">
        <f>IF(M2S_Eligibility_List!AN98=DataPaths_Code,1,0)+AM348</f>
        <v>0</v>
      </c>
      <c r="AO348" s="147">
        <f>IF(M2S_Eligibility_List!AO98=DataPaths_Code,1,0)+AN348</f>
        <v>0</v>
      </c>
      <c r="AP348" s="147">
        <f>IF(M2S_Eligibility_List!AP98=DataPaths_Code,1,0)+AO348</f>
        <v>0</v>
      </c>
      <c r="AQ348" s="147">
        <f>IF(M2S_Eligibility_List!AQ98=DataPaths_Code,1,0)+AP348</f>
        <v>0</v>
      </c>
      <c r="AR348" s="147">
        <f>IF(M2S_Eligibility_List!AR98=DataPaths_Code,1,0)+AQ348</f>
        <v>0</v>
      </c>
      <c r="AS348" s="147">
        <f>IF(M2S_Eligibility_List!AS98=DataPaths_Code,1,0)+AR348</f>
        <v>0</v>
      </c>
      <c r="AT348" s="147">
        <f>IF(M2S_Eligibility_List!AT98=DataPaths_Code,1,0)+AS348</f>
        <v>0</v>
      </c>
      <c r="AU348" s="147">
        <f>IF(M2S_Eligibility_List!AU98=DataPaths_Code,1,0)+AT348</f>
        <v>0</v>
      </c>
      <c r="AV348" s="147">
        <f>IF(M2S_Eligibility_List!AV98=DataPaths_Code,1,0)+AU348</f>
        <v>0</v>
      </c>
      <c r="AW348" s="147">
        <f>IF(M2S_Eligibility_List!AW98=DataPaths_Code,1,0)+AV348</f>
        <v>0</v>
      </c>
      <c r="AX348" s="147">
        <f>IF(M2S_Eligibility_List!AX98=DataPaths_Code,1,0)+AW348</f>
        <v>0</v>
      </c>
      <c r="AY348" s="147">
        <f>IF(M2S_Eligibility_List!AY98=DataPaths_Code,1,0)+AX348</f>
        <v>0</v>
      </c>
      <c r="AZ348" s="147">
        <f>IF(M2S_Eligibility_List!AZ98=DataPaths_Code,1,0)+AY348</f>
        <v>0</v>
      </c>
      <c r="BA348" s="147">
        <f>IF(M2S_Eligibility_List!BA98=DataPaths_Code,1,0)+AZ348</f>
        <v>0</v>
      </c>
      <c r="BB348" s="147">
        <f>IF(M2S_Eligibility_List!BB98=DataPaths_Code,1,0)+BA348</f>
        <v>0</v>
      </c>
      <c r="BC348" s="147">
        <f>IF(M2S_Eligibility_List!BC98=DataPaths_Code,1,0)+BB348</f>
        <v>0</v>
      </c>
      <c r="BD348" s="147">
        <f>IF(M2S_Eligibility_List!BD98=DataPaths_Code,1,0)+BC348</f>
        <v>0</v>
      </c>
      <c r="BE348" s="147">
        <f>IF(M2S_Eligibility_List!BE98=DataPaths_Code,1,0)+BD348</f>
        <v>0</v>
      </c>
      <c r="BF348" s="147">
        <f>IF(M2S_Eligibility_List!BF98=DataPaths_Code,1,0)+BE348</f>
        <v>0</v>
      </c>
      <c r="BG348" s="147">
        <f>IF(M2S_Eligibility_List!BG98=DataPaths_Code,1,0)+BF348</f>
        <v>0</v>
      </c>
      <c r="BH348" s="147">
        <f>IF(M2S_Eligibility_List!BH98=DataPaths_Code,1,0)+BG348</f>
        <v>0</v>
      </c>
      <c r="BI348" s="147">
        <f>IF(M2S_Eligibility_List!BI98=DataPaths_Code,1,0)+BH348</f>
        <v>0</v>
      </c>
      <c r="BJ348" s="147">
        <f>IF(M2S_Eligibility_List!BJ98=DataPaths_Code,1,0)+BI348</f>
        <v>0</v>
      </c>
      <c r="BK348" s="147">
        <f>IF(M2S_Eligibility_List!BK98=DataPaths_Code,1,0)+BJ348</f>
        <v>0</v>
      </c>
      <c r="BL348" s="147">
        <f>IF(M2S_Eligibility_List!BL98=DataPaths_Code,1,0)+BK348</f>
        <v>0</v>
      </c>
      <c r="BM348" s="147">
        <f>IF(M2S_Eligibility_List!BM98=DataPaths_Code,1,0)+BL348</f>
        <v>0</v>
      </c>
      <c r="BN348" s="147">
        <f>IF(M2S_Eligibility_List!BN98=DataPaths_Code,1,0)+BM348</f>
        <v>1</v>
      </c>
      <c r="BO348" s="147">
        <f>IF(M2S_Eligibility_List!BO98=DataPaths_Code,1,0)+BN348</f>
        <v>1</v>
      </c>
      <c r="BP348" s="147">
        <f>IF(M2S_Eligibility_List!BP98=DataPaths_Code,1,0)+BO348</f>
        <v>2</v>
      </c>
      <c r="BQ348" s="147">
        <f>IF(M2S_Eligibility_List!BQ98=DataPaths_Code,1,0)+BP348</f>
        <v>2</v>
      </c>
      <c r="BR348" s="147">
        <f>IF(M2S_Eligibility_List!BR98=DataPaths_Code,1,0)+BQ348</f>
        <v>2</v>
      </c>
      <c r="BS348" s="147">
        <f>IF(M2S_Eligibility_List!BS98=DataPaths_Code,1,0)+BR348</f>
        <v>2</v>
      </c>
      <c r="BT348" s="147">
        <f>IF(M2S_Eligibility_List!BT98=DataPaths_Code,1,0)+BS348</f>
        <v>2</v>
      </c>
      <c r="BU348" s="147">
        <f>IF(M2S_Eligibility_List!BU98=DataPaths_Code,1,0)+BT348</f>
        <v>2</v>
      </c>
      <c r="BV348" s="147">
        <f>IF(M2S_Eligibility_List!BV98=DataPaths_Code,1,0)+BU348</f>
        <v>2</v>
      </c>
      <c r="BW348" s="147">
        <f>IF(M2S_Eligibility_List!BW98=DataPaths_Code,1,0)+BV348</f>
        <v>2</v>
      </c>
    </row>
    <row r="349" spans="1:75" ht="20.100000000000001" customHeight="1">
      <c r="A349" s="145"/>
      <c r="B349" s="170" t="str">
        <f>IF(M2S_Eligibility_List!$B99&lt;&gt;"",RIGHT(M2S_Eligibility_List!$B99,LEN(M2S_Eligibility_List!$B99)-LEN(nmADwSP)),0)</f>
        <v>PowerMill - Standard</v>
      </c>
      <c r="C349" s="147">
        <f>IF(M2S_Eligibility_List!C99=DataPaths_Code,1,0)</f>
        <v>0</v>
      </c>
      <c r="D349" s="147">
        <f>IF(M2S_Eligibility_List!D99=DataPaths_Code,1,0)+C349</f>
        <v>0</v>
      </c>
      <c r="E349" s="147">
        <f>IF(M2S_Eligibility_List!E99=DataPaths_Code,1,0)+D349</f>
        <v>0</v>
      </c>
      <c r="F349" s="147">
        <f>IF(M2S_Eligibility_List!F99=DataPaths_Code,1,0)+E349</f>
        <v>0</v>
      </c>
      <c r="G349" s="147">
        <f>IF(M2S_Eligibility_List!G99=DataPaths_Code,1,0)+F349</f>
        <v>0</v>
      </c>
      <c r="H349" s="147">
        <f>IF(M2S_Eligibility_List!H99=DataPaths_Code,1,0)+G349</f>
        <v>0</v>
      </c>
      <c r="I349" s="147">
        <f>IF(M2S_Eligibility_List!I99=DataPaths_Code,1,0)+H349</f>
        <v>0</v>
      </c>
      <c r="J349" s="147">
        <f>IF(M2S_Eligibility_List!J99=DataPaths_Code,1,0)+I349</f>
        <v>0</v>
      </c>
      <c r="K349" s="147">
        <f>IF(M2S_Eligibility_List!K99=DataPaths_Code,1,0)+J349</f>
        <v>0</v>
      </c>
      <c r="L349" s="147">
        <f>IF(M2S_Eligibility_List!L99=DataPaths_Code,1,0)+K349</f>
        <v>0</v>
      </c>
      <c r="M349" s="147">
        <f>IF(M2S_Eligibility_List!M99=DataPaths_Code,1,0)+L349</f>
        <v>0</v>
      </c>
      <c r="N349" s="147">
        <f>IF(M2S_Eligibility_List!N99=DataPaths_Code,1,0)+M349</f>
        <v>0</v>
      </c>
      <c r="O349" s="147">
        <f>IF(M2S_Eligibility_List!O99=DataPaths_Code,1,0)+N349</f>
        <v>0</v>
      </c>
      <c r="P349" s="147">
        <f>IF(M2S_Eligibility_List!P99=DataPaths_Code,1,0)+O349</f>
        <v>0</v>
      </c>
      <c r="Q349" s="147">
        <f>IF(M2S_Eligibility_List!Q99=DataPaths_Code,1,0)+P349</f>
        <v>0</v>
      </c>
      <c r="R349" s="147">
        <f>IF(M2S_Eligibility_List!R99=DataPaths_Code,1,0)+Q349</f>
        <v>0</v>
      </c>
      <c r="S349" s="147">
        <f>IF(M2S_Eligibility_List!S99=DataPaths_Code,1,0)+R349</f>
        <v>0</v>
      </c>
      <c r="T349" s="147">
        <f>IF(M2S_Eligibility_List!T99=DataPaths_Code,1,0)+S349</f>
        <v>0</v>
      </c>
      <c r="U349" s="147">
        <f>IF(M2S_Eligibility_List!U99=DataPaths_Code,1,0)+T349</f>
        <v>0</v>
      </c>
      <c r="V349" s="147">
        <f>IF(M2S_Eligibility_List!V99=DataPaths_Code,1,0)+U349</f>
        <v>0</v>
      </c>
      <c r="W349" s="147">
        <f>IF(M2S_Eligibility_List!W99=DataPaths_Code,1,0)+V349</f>
        <v>0</v>
      </c>
      <c r="X349" s="147">
        <f>IF(M2S_Eligibility_List!X99=DataPaths_Code,1,0)+W349</f>
        <v>0</v>
      </c>
      <c r="Y349" s="147">
        <f>IF(M2S_Eligibility_List!Y99=DataPaths_Code,1,0)+X349</f>
        <v>0</v>
      </c>
      <c r="Z349" s="147">
        <f>IF(M2S_Eligibility_List!Z99=DataPaths_Code,1,0)+Y349</f>
        <v>0</v>
      </c>
      <c r="AA349" s="147">
        <f>IF(M2S_Eligibility_List!AA99=DataPaths_Code,1,0)+Z349</f>
        <v>0</v>
      </c>
      <c r="AB349" s="147">
        <f>IF(M2S_Eligibility_List!AB99=DataPaths_Code,1,0)+AA349</f>
        <v>0</v>
      </c>
      <c r="AC349" s="147">
        <f>IF(M2S_Eligibility_List!AC99=DataPaths_Code,1,0)+AB349</f>
        <v>0</v>
      </c>
      <c r="AD349" s="147">
        <f>IF(M2S_Eligibility_List!AD99=DataPaths_Code,1,0)+AC349</f>
        <v>0</v>
      </c>
      <c r="AE349" s="147">
        <f>IF(M2S_Eligibility_List!AE99=DataPaths_Code,1,0)+AD349</f>
        <v>0</v>
      </c>
      <c r="AF349" s="147">
        <f>IF(M2S_Eligibility_List!AF99=DataPaths_Code,1,0)+AE349</f>
        <v>0</v>
      </c>
      <c r="AG349" s="147">
        <f>IF(M2S_Eligibility_List!AG99=DataPaths_Code,1,0)+AF349</f>
        <v>0</v>
      </c>
      <c r="AH349" s="147">
        <f>IF(M2S_Eligibility_List!AH99=DataPaths_Code,1,0)+AG349</f>
        <v>0</v>
      </c>
      <c r="AI349" s="147">
        <f>IF(M2S_Eligibility_List!AI99=DataPaths_Code,1,0)+AH349</f>
        <v>0</v>
      </c>
      <c r="AJ349" s="147">
        <f>IF(M2S_Eligibility_List!AJ99=DataPaths_Code,1,0)+AI349</f>
        <v>0</v>
      </c>
      <c r="AK349" s="147">
        <f>IF(M2S_Eligibility_List!AK99=DataPaths_Code,1,0)+AJ349</f>
        <v>0</v>
      </c>
      <c r="AL349" s="147">
        <f>IF(M2S_Eligibility_List!AL99=DataPaths_Code,1,0)+AK349</f>
        <v>0</v>
      </c>
      <c r="AM349" s="147">
        <f>IF(M2S_Eligibility_List!AM99=DataPaths_Code,1,0)+AL349</f>
        <v>0</v>
      </c>
      <c r="AN349" s="147">
        <f>IF(M2S_Eligibility_List!AN99=DataPaths_Code,1,0)+AM349</f>
        <v>0</v>
      </c>
      <c r="AO349" s="147">
        <f>IF(M2S_Eligibility_List!AO99=DataPaths_Code,1,0)+AN349</f>
        <v>0</v>
      </c>
      <c r="AP349" s="147">
        <f>IF(M2S_Eligibility_List!AP99=DataPaths_Code,1,0)+AO349</f>
        <v>0</v>
      </c>
      <c r="AQ349" s="147">
        <f>IF(M2S_Eligibility_List!AQ99=DataPaths_Code,1,0)+AP349</f>
        <v>0</v>
      </c>
      <c r="AR349" s="147">
        <f>IF(M2S_Eligibility_List!AR99=DataPaths_Code,1,0)+AQ349</f>
        <v>0</v>
      </c>
      <c r="AS349" s="147">
        <f>IF(M2S_Eligibility_List!AS99=DataPaths_Code,1,0)+AR349</f>
        <v>0</v>
      </c>
      <c r="AT349" s="147">
        <f>IF(M2S_Eligibility_List!AT99=DataPaths_Code,1,0)+AS349</f>
        <v>0</v>
      </c>
      <c r="AU349" s="147">
        <f>IF(M2S_Eligibility_List!AU99=DataPaths_Code,1,0)+AT349</f>
        <v>0</v>
      </c>
      <c r="AV349" s="147">
        <f>IF(M2S_Eligibility_List!AV99=DataPaths_Code,1,0)+AU349</f>
        <v>0</v>
      </c>
      <c r="AW349" s="147">
        <f>IF(M2S_Eligibility_List!AW99=DataPaths_Code,1,0)+AV349</f>
        <v>0</v>
      </c>
      <c r="AX349" s="147">
        <f>IF(M2S_Eligibility_List!AX99=DataPaths_Code,1,0)+AW349</f>
        <v>0</v>
      </c>
      <c r="AY349" s="147">
        <f>IF(M2S_Eligibility_List!AY99=DataPaths_Code,1,0)+AX349</f>
        <v>0</v>
      </c>
      <c r="AZ349" s="147">
        <f>IF(M2S_Eligibility_List!AZ99=DataPaths_Code,1,0)+AY349</f>
        <v>0</v>
      </c>
      <c r="BA349" s="147">
        <f>IF(M2S_Eligibility_List!BA99=DataPaths_Code,1,0)+AZ349</f>
        <v>0</v>
      </c>
      <c r="BB349" s="147">
        <f>IF(M2S_Eligibility_List!BB99=DataPaths_Code,1,0)+BA349</f>
        <v>0</v>
      </c>
      <c r="BC349" s="147">
        <f>IF(M2S_Eligibility_List!BC99=DataPaths_Code,1,0)+BB349</f>
        <v>0</v>
      </c>
      <c r="BD349" s="147">
        <f>IF(M2S_Eligibility_List!BD99=DataPaths_Code,1,0)+BC349</f>
        <v>0</v>
      </c>
      <c r="BE349" s="147">
        <f>IF(M2S_Eligibility_List!BE99=DataPaths_Code,1,0)+BD349</f>
        <v>0</v>
      </c>
      <c r="BF349" s="147">
        <f>IF(M2S_Eligibility_List!BF99=DataPaths_Code,1,0)+BE349</f>
        <v>0</v>
      </c>
      <c r="BG349" s="147">
        <f>IF(M2S_Eligibility_List!BG99=DataPaths_Code,1,0)+BF349</f>
        <v>0</v>
      </c>
      <c r="BH349" s="147">
        <f>IF(M2S_Eligibility_List!BH99=DataPaths_Code,1,0)+BG349</f>
        <v>0</v>
      </c>
      <c r="BI349" s="147">
        <f>IF(M2S_Eligibility_List!BI99=DataPaths_Code,1,0)+BH349</f>
        <v>0</v>
      </c>
      <c r="BJ349" s="147">
        <f>IF(M2S_Eligibility_List!BJ99=DataPaths_Code,1,0)+BI349</f>
        <v>0</v>
      </c>
      <c r="BK349" s="147">
        <f>IF(M2S_Eligibility_List!BK99=DataPaths_Code,1,0)+BJ349</f>
        <v>0</v>
      </c>
      <c r="BL349" s="147">
        <f>IF(M2S_Eligibility_List!BL99=DataPaths_Code,1,0)+BK349</f>
        <v>0</v>
      </c>
      <c r="BM349" s="147">
        <f>IF(M2S_Eligibility_List!BM99=DataPaths_Code,1,0)+BL349</f>
        <v>0</v>
      </c>
      <c r="BN349" s="147">
        <f>IF(M2S_Eligibility_List!BN99=DataPaths_Code,1,0)+BM349</f>
        <v>1</v>
      </c>
      <c r="BO349" s="147">
        <f>IF(M2S_Eligibility_List!BO99=DataPaths_Code,1,0)+BN349</f>
        <v>2</v>
      </c>
      <c r="BP349" s="147">
        <f>IF(M2S_Eligibility_List!BP99=DataPaths_Code,1,0)+BO349</f>
        <v>3</v>
      </c>
      <c r="BQ349" s="147">
        <f>IF(M2S_Eligibility_List!BQ99=DataPaths_Code,1,0)+BP349</f>
        <v>3</v>
      </c>
      <c r="BR349" s="147">
        <f>IF(M2S_Eligibility_List!BR99=DataPaths_Code,1,0)+BQ349</f>
        <v>3</v>
      </c>
      <c r="BS349" s="147">
        <f>IF(M2S_Eligibility_List!BS99=DataPaths_Code,1,0)+BR349</f>
        <v>3</v>
      </c>
      <c r="BT349" s="147">
        <f>IF(M2S_Eligibility_List!BT99=DataPaths_Code,1,0)+BS349</f>
        <v>3</v>
      </c>
      <c r="BU349" s="147">
        <f>IF(M2S_Eligibility_List!BU99=DataPaths_Code,1,0)+BT349</f>
        <v>3</v>
      </c>
      <c r="BV349" s="147">
        <f>IF(M2S_Eligibility_List!BV99=DataPaths_Code,1,0)+BU349</f>
        <v>3</v>
      </c>
      <c r="BW349" s="147">
        <f>IF(M2S_Eligibility_List!BW99=DataPaths_Code,1,0)+BV349</f>
        <v>3</v>
      </c>
    </row>
    <row r="350" spans="1:75" ht="20.100000000000001" customHeight="1">
      <c r="A350" s="145"/>
      <c r="B350" s="170" t="str">
        <f>IF(M2S_Eligibility_List!$B100&lt;&gt;"",RIGHT(M2S_Eligibility_List!$B100,LEN(M2S_Eligibility_List!$B100)-LEN(nmADwSP)),0)</f>
        <v>PowerMill - Ultimate</v>
      </c>
      <c r="C350" s="147">
        <f>IF(M2S_Eligibility_List!C100=DataPaths_Code,1,0)</f>
        <v>0</v>
      </c>
      <c r="D350" s="147">
        <f>IF(M2S_Eligibility_List!D100=DataPaths_Code,1,0)+C350</f>
        <v>0</v>
      </c>
      <c r="E350" s="147">
        <f>IF(M2S_Eligibility_List!E100=DataPaths_Code,1,0)+D350</f>
        <v>0</v>
      </c>
      <c r="F350" s="147">
        <f>IF(M2S_Eligibility_List!F100=DataPaths_Code,1,0)+E350</f>
        <v>0</v>
      </c>
      <c r="G350" s="147">
        <f>IF(M2S_Eligibility_List!G100=DataPaths_Code,1,0)+F350</f>
        <v>0</v>
      </c>
      <c r="H350" s="147">
        <f>IF(M2S_Eligibility_List!H100=DataPaths_Code,1,0)+G350</f>
        <v>0</v>
      </c>
      <c r="I350" s="147">
        <f>IF(M2S_Eligibility_List!I100=DataPaths_Code,1,0)+H350</f>
        <v>0</v>
      </c>
      <c r="J350" s="147">
        <f>IF(M2S_Eligibility_List!J100=DataPaths_Code,1,0)+I350</f>
        <v>0</v>
      </c>
      <c r="K350" s="147">
        <f>IF(M2S_Eligibility_List!K100=DataPaths_Code,1,0)+J350</f>
        <v>0</v>
      </c>
      <c r="L350" s="147">
        <f>IF(M2S_Eligibility_List!L100=DataPaths_Code,1,0)+K350</f>
        <v>0</v>
      </c>
      <c r="M350" s="147">
        <f>IF(M2S_Eligibility_List!M100=DataPaths_Code,1,0)+L350</f>
        <v>0</v>
      </c>
      <c r="N350" s="147">
        <f>IF(M2S_Eligibility_List!N100=DataPaths_Code,1,0)+M350</f>
        <v>0</v>
      </c>
      <c r="O350" s="147">
        <f>IF(M2S_Eligibility_List!O100=DataPaths_Code,1,0)+N350</f>
        <v>0</v>
      </c>
      <c r="P350" s="147">
        <f>IF(M2S_Eligibility_List!P100=DataPaths_Code,1,0)+O350</f>
        <v>0</v>
      </c>
      <c r="Q350" s="147">
        <f>IF(M2S_Eligibility_List!Q100=DataPaths_Code,1,0)+P350</f>
        <v>0</v>
      </c>
      <c r="R350" s="147">
        <f>IF(M2S_Eligibility_List!R100=DataPaths_Code,1,0)+Q350</f>
        <v>0</v>
      </c>
      <c r="S350" s="147">
        <f>IF(M2S_Eligibility_List!S100=DataPaths_Code,1,0)+R350</f>
        <v>0</v>
      </c>
      <c r="T350" s="147">
        <f>IF(M2S_Eligibility_List!T100=DataPaths_Code,1,0)+S350</f>
        <v>0</v>
      </c>
      <c r="U350" s="147">
        <f>IF(M2S_Eligibility_List!U100=DataPaths_Code,1,0)+T350</f>
        <v>0</v>
      </c>
      <c r="V350" s="147">
        <f>IF(M2S_Eligibility_List!V100=DataPaths_Code,1,0)+U350</f>
        <v>0</v>
      </c>
      <c r="W350" s="147">
        <f>IF(M2S_Eligibility_List!W100=DataPaths_Code,1,0)+V350</f>
        <v>0</v>
      </c>
      <c r="X350" s="147">
        <f>IF(M2S_Eligibility_List!X100=DataPaths_Code,1,0)+W350</f>
        <v>0</v>
      </c>
      <c r="Y350" s="147">
        <f>IF(M2S_Eligibility_List!Y100=DataPaths_Code,1,0)+X350</f>
        <v>0</v>
      </c>
      <c r="Z350" s="147">
        <f>IF(M2S_Eligibility_List!Z100=DataPaths_Code,1,0)+Y350</f>
        <v>0</v>
      </c>
      <c r="AA350" s="147">
        <f>IF(M2S_Eligibility_List!AA100=DataPaths_Code,1,0)+Z350</f>
        <v>0</v>
      </c>
      <c r="AB350" s="147">
        <f>IF(M2S_Eligibility_List!AB100=DataPaths_Code,1,0)+AA350</f>
        <v>0</v>
      </c>
      <c r="AC350" s="147">
        <f>IF(M2S_Eligibility_List!AC100=DataPaths_Code,1,0)+AB350</f>
        <v>0</v>
      </c>
      <c r="AD350" s="147">
        <f>IF(M2S_Eligibility_List!AD100=DataPaths_Code,1,0)+AC350</f>
        <v>0</v>
      </c>
      <c r="AE350" s="147">
        <f>IF(M2S_Eligibility_List!AE100=DataPaths_Code,1,0)+AD350</f>
        <v>0</v>
      </c>
      <c r="AF350" s="147">
        <f>IF(M2S_Eligibility_List!AF100=DataPaths_Code,1,0)+AE350</f>
        <v>0</v>
      </c>
      <c r="AG350" s="147">
        <f>IF(M2S_Eligibility_List!AG100=DataPaths_Code,1,0)+AF350</f>
        <v>0</v>
      </c>
      <c r="AH350" s="147">
        <f>IF(M2S_Eligibility_List!AH100=DataPaths_Code,1,0)+AG350</f>
        <v>0</v>
      </c>
      <c r="AI350" s="147">
        <f>IF(M2S_Eligibility_List!AI100=DataPaths_Code,1,0)+AH350</f>
        <v>0</v>
      </c>
      <c r="AJ350" s="147">
        <f>IF(M2S_Eligibility_List!AJ100=DataPaths_Code,1,0)+AI350</f>
        <v>0</v>
      </c>
      <c r="AK350" s="147">
        <f>IF(M2S_Eligibility_List!AK100=DataPaths_Code,1,0)+AJ350</f>
        <v>0</v>
      </c>
      <c r="AL350" s="147">
        <f>IF(M2S_Eligibility_List!AL100=DataPaths_Code,1,0)+AK350</f>
        <v>0</v>
      </c>
      <c r="AM350" s="147">
        <f>IF(M2S_Eligibility_List!AM100=DataPaths_Code,1,0)+AL350</f>
        <v>0</v>
      </c>
      <c r="AN350" s="147">
        <f>IF(M2S_Eligibility_List!AN100=DataPaths_Code,1,0)+AM350</f>
        <v>0</v>
      </c>
      <c r="AO350" s="147">
        <f>IF(M2S_Eligibility_List!AO100=DataPaths_Code,1,0)+AN350</f>
        <v>0</v>
      </c>
      <c r="AP350" s="147">
        <f>IF(M2S_Eligibility_List!AP100=DataPaths_Code,1,0)+AO350</f>
        <v>0</v>
      </c>
      <c r="AQ350" s="147">
        <f>IF(M2S_Eligibility_List!AQ100=DataPaths_Code,1,0)+AP350</f>
        <v>0</v>
      </c>
      <c r="AR350" s="147">
        <f>IF(M2S_Eligibility_List!AR100=DataPaths_Code,1,0)+AQ350</f>
        <v>0</v>
      </c>
      <c r="AS350" s="147">
        <f>IF(M2S_Eligibility_List!AS100=DataPaths_Code,1,0)+AR350</f>
        <v>0</v>
      </c>
      <c r="AT350" s="147">
        <f>IF(M2S_Eligibility_List!AT100=DataPaths_Code,1,0)+AS350</f>
        <v>0</v>
      </c>
      <c r="AU350" s="147">
        <f>IF(M2S_Eligibility_List!AU100=DataPaths_Code,1,0)+AT350</f>
        <v>0</v>
      </c>
      <c r="AV350" s="147">
        <f>IF(M2S_Eligibility_List!AV100=DataPaths_Code,1,0)+AU350</f>
        <v>0</v>
      </c>
      <c r="AW350" s="147">
        <f>IF(M2S_Eligibility_List!AW100=DataPaths_Code,1,0)+AV350</f>
        <v>0</v>
      </c>
      <c r="AX350" s="147">
        <f>IF(M2S_Eligibility_List!AX100=DataPaths_Code,1,0)+AW350</f>
        <v>0</v>
      </c>
      <c r="AY350" s="147">
        <f>IF(M2S_Eligibility_List!AY100=DataPaths_Code,1,0)+AX350</f>
        <v>0</v>
      </c>
      <c r="AZ350" s="147">
        <f>IF(M2S_Eligibility_List!AZ100=DataPaths_Code,1,0)+AY350</f>
        <v>0</v>
      </c>
      <c r="BA350" s="147">
        <f>IF(M2S_Eligibility_List!BA100=DataPaths_Code,1,0)+AZ350</f>
        <v>0</v>
      </c>
      <c r="BB350" s="147">
        <f>IF(M2S_Eligibility_List!BB100=DataPaths_Code,1,0)+BA350</f>
        <v>0</v>
      </c>
      <c r="BC350" s="147">
        <f>IF(M2S_Eligibility_List!BC100=DataPaths_Code,1,0)+BB350</f>
        <v>0</v>
      </c>
      <c r="BD350" s="147">
        <f>IF(M2S_Eligibility_List!BD100=DataPaths_Code,1,0)+BC350</f>
        <v>0</v>
      </c>
      <c r="BE350" s="147">
        <f>IF(M2S_Eligibility_List!BE100=DataPaths_Code,1,0)+BD350</f>
        <v>0</v>
      </c>
      <c r="BF350" s="147">
        <f>IF(M2S_Eligibility_List!BF100=DataPaths_Code,1,0)+BE350</f>
        <v>0</v>
      </c>
      <c r="BG350" s="147">
        <f>IF(M2S_Eligibility_List!BG100=DataPaths_Code,1,0)+BF350</f>
        <v>0</v>
      </c>
      <c r="BH350" s="147">
        <f>IF(M2S_Eligibility_List!BH100=DataPaths_Code,1,0)+BG350</f>
        <v>0</v>
      </c>
      <c r="BI350" s="147">
        <f>IF(M2S_Eligibility_List!BI100=DataPaths_Code,1,0)+BH350</f>
        <v>0</v>
      </c>
      <c r="BJ350" s="147">
        <f>IF(M2S_Eligibility_List!BJ100=DataPaths_Code,1,0)+BI350</f>
        <v>0</v>
      </c>
      <c r="BK350" s="147">
        <f>IF(M2S_Eligibility_List!BK100=DataPaths_Code,1,0)+BJ350</f>
        <v>0</v>
      </c>
      <c r="BL350" s="147">
        <f>IF(M2S_Eligibility_List!BL100=DataPaths_Code,1,0)+BK350</f>
        <v>0</v>
      </c>
      <c r="BM350" s="147">
        <f>IF(M2S_Eligibility_List!BM100=DataPaths_Code,1,0)+BL350</f>
        <v>0</v>
      </c>
      <c r="BN350" s="147">
        <f>IF(M2S_Eligibility_List!BN100=DataPaths_Code,1,0)+BM350</f>
        <v>0</v>
      </c>
      <c r="BO350" s="147">
        <f>IF(M2S_Eligibility_List!BO100=DataPaths_Code,1,0)+BN350</f>
        <v>0</v>
      </c>
      <c r="BP350" s="147">
        <f>IF(M2S_Eligibility_List!BP100=DataPaths_Code,1,0)+BO350</f>
        <v>1</v>
      </c>
      <c r="BQ350" s="147">
        <f>IF(M2S_Eligibility_List!BQ100=DataPaths_Code,1,0)+BP350</f>
        <v>1</v>
      </c>
      <c r="BR350" s="147">
        <f>IF(M2S_Eligibility_List!BR100=DataPaths_Code,1,0)+BQ350</f>
        <v>1</v>
      </c>
      <c r="BS350" s="147">
        <f>IF(M2S_Eligibility_List!BS100=DataPaths_Code,1,0)+BR350</f>
        <v>1</v>
      </c>
      <c r="BT350" s="147">
        <f>IF(M2S_Eligibility_List!BT100=DataPaths_Code,1,0)+BS350</f>
        <v>1</v>
      </c>
      <c r="BU350" s="147">
        <f>IF(M2S_Eligibility_List!BU100=DataPaths_Code,1,0)+BT350</f>
        <v>1</v>
      </c>
      <c r="BV350" s="147">
        <f>IF(M2S_Eligibility_List!BV100=DataPaths_Code,1,0)+BU350</f>
        <v>1</v>
      </c>
      <c r="BW350" s="147">
        <f>IF(M2S_Eligibility_List!BW100=DataPaths_Code,1,0)+BV350</f>
        <v>1</v>
      </c>
    </row>
    <row r="351" spans="1:75" ht="20.100000000000001" customHeight="1">
      <c r="A351" s="145"/>
      <c r="B351" s="170" t="str">
        <f>IF(M2S_Eligibility_List!$B101&lt;&gt;"",RIGHT(M2S_Eligibility_List!$B101,LEN(M2S_Eligibility_List!$B101)-LEN(nmADwSP)),0)</f>
        <v>PowerShape - Premium</v>
      </c>
      <c r="C351" s="147">
        <f>IF(M2S_Eligibility_List!C101=DataPaths_Code,1,0)</f>
        <v>0</v>
      </c>
      <c r="D351" s="147">
        <f>IF(M2S_Eligibility_List!D101=DataPaths_Code,1,0)+C351</f>
        <v>0</v>
      </c>
      <c r="E351" s="147">
        <f>IF(M2S_Eligibility_List!E101=DataPaths_Code,1,0)+D351</f>
        <v>0</v>
      </c>
      <c r="F351" s="147">
        <f>IF(M2S_Eligibility_List!F101=DataPaths_Code,1,0)+E351</f>
        <v>0</v>
      </c>
      <c r="G351" s="147">
        <f>IF(M2S_Eligibility_List!G101=DataPaths_Code,1,0)+F351</f>
        <v>0</v>
      </c>
      <c r="H351" s="147">
        <f>IF(M2S_Eligibility_List!H101=DataPaths_Code,1,0)+G351</f>
        <v>0</v>
      </c>
      <c r="I351" s="147">
        <f>IF(M2S_Eligibility_List!I101=DataPaths_Code,1,0)+H351</f>
        <v>0</v>
      </c>
      <c r="J351" s="147">
        <f>IF(M2S_Eligibility_List!J101=DataPaths_Code,1,0)+I351</f>
        <v>0</v>
      </c>
      <c r="K351" s="147">
        <f>IF(M2S_Eligibility_List!K101=DataPaths_Code,1,0)+J351</f>
        <v>0</v>
      </c>
      <c r="L351" s="147">
        <f>IF(M2S_Eligibility_List!L101=DataPaths_Code,1,0)+K351</f>
        <v>0</v>
      </c>
      <c r="M351" s="147">
        <f>IF(M2S_Eligibility_List!M101=DataPaths_Code,1,0)+L351</f>
        <v>0</v>
      </c>
      <c r="N351" s="147">
        <f>IF(M2S_Eligibility_List!N101=DataPaths_Code,1,0)+M351</f>
        <v>0</v>
      </c>
      <c r="O351" s="147">
        <f>IF(M2S_Eligibility_List!O101=DataPaths_Code,1,0)+N351</f>
        <v>0</v>
      </c>
      <c r="P351" s="147">
        <f>IF(M2S_Eligibility_List!P101=DataPaths_Code,1,0)+O351</f>
        <v>0</v>
      </c>
      <c r="Q351" s="147">
        <f>IF(M2S_Eligibility_List!Q101=DataPaths_Code,1,0)+P351</f>
        <v>0</v>
      </c>
      <c r="R351" s="147">
        <f>IF(M2S_Eligibility_List!R101=DataPaths_Code,1,0)+Q351</f>
        <v>0</v>
      </c>
      <c r="S351" s="147">
        <f>IF(M2S_Eligibility_List!S101=DataPaths_Code,1,0)+R351</f>
        <v>0</v>
      </c>
      <c r="T351" s="147">
        <f>IF(M2S_Eligibility_List!T101=DataPaths_Code,1,0)+S351</f>
        <v>0</v>
      </c>
      <c r="U351" s="147">
        <f>IF(M2S_Eligibility_List!U101=DataPaths_Code,1,0)+T351</f>
        <v>0</v>
      </c>
      <c r="V351" s="147">
        <f>IF(M2S_Eligibility_List!V101=DataPaths_Code,1,0)+U351</f>
        <v>0</v>
      </c>
      <c r="W351" s="147">
        <f>IF(M2S_Eligibility_List!W101=DataPaths_Code,1,0)+V351</f>
        <v>0</v>
      </c>
      <c r="X351" s="147">
        <f>IF(M2S_Eligibility_List!X101=DataPaths_Code,1,0)+W351</f>
        <v>0</v>
      </c>
      <c r="Y351" s="147">
        <f>IF(M2S_Eligibility_List!Y101=DataPaths_Code,1,0)+X351</f>
        <v>0</v>
      </c>
      <c r="Z351" s="147">
        <f>IF(M2S_Eligibility_List!Z101=DataPaths_Code,1,0)+Y351</f>
        <v>0</v>
      </c>
      <c r="AA351" s="147">
        <f>IF(M2S_Eligibility_List!AA101=DataPaths_Code,1,0)+Z351</f>
        <v>0</v>
      </c>
      <c r="AB351" s="147">
        <f>IF(M2S_Eligibility_List!AB101=DataPaths_Code,1,0)+AA351</f>
        <v>0</v>
      </c>
      <c r="AC351" s="147">
        <f>IF(M2S_Eligibility_List!AC101=DataPaths_Code,1,0)+AB351</f>
        <v>0</v>
      </c>
      <c r="AD351" s="147">
        <f>IF(M2S_Eligibility_List!AD101=DataPaths_Code,1,0)+AC351</f>
        <v>0</v>
      </c>
      <c r="AE351" s="147">
        <f>IF(M2S_Eligibility_List!AE101=DataPaths_Code,1,0)+AD351</f>
        <v>0</v>
      </c>
      <c r="AF351" s="147">
        <f>IF(M2S_Eligibility_List!AF101=DataPaths_Code,1,0)+AE351</f>
        <v>0</v>
      </c>
      <c r="AG351" s="147">
        <f>IF(M2S_Eligibility_List!AG101=DataPaths_Code,1,0)+AF351</f>
        <v>0</v>
      </c>
      <c r="AH351" s="147">
        <f>IF(M2S_Eligibility_List!AH101=DataPaths_Code,1,0)+AG351</f>
        <v>0</v>
      </c>
      <c r="AI351" s="147">
        <f>IF(M2S_Eligibility_List!AI101=DataPaths_Code,1,0)+AH351</f>
        <v>0</v>
      </c>
      <c r="AJ351" s="147">
        <f>IF(M2S_Eligibility_List!AJ101=DataPaths_Code,1,0)+AI351</f>
        <v>0</v>
      </c>
      <c r="AK351" s="147">
        <f>IF(M2S_Eligibility_List!AK101=DataPaths_Code,1,0)+AJ351</f>
        <v>0</v>
      </c>
      <c r="AL351" s="147">
        <f>IF(M2S_Eligibility_List!AL101=DataPaths_Code,1,0)+AK351</f>
        <v>0</v>
      </c>
      <c r="AM351" s="147">
        <f>IF(M2S_Eligibility_List!AM101=DataPaths_Code,1,0)+AL351</f>
        <v>0</v>
      </c>
      <c r="AN351" s="147">
        <f>IF(M2S_Eligibility_List!AN101=DataPaths_Code,1,0)+AM351</f>
        <v>0</v>
      </c>
      <c r="AO351" s="147">
        <f>IF(M2S_Eligibility_List!AO101=DataPaths_Code,1,0)+AN351</f>
        <v>0</v>
      </c>
      <c r="AP351" s="147">
        <f>IF(M2S_Eligibility_List!AP101=DataPaths_Code,1,0)+AO351</f>
        <v>0</v>
      </c>
      <c r="AQ351" s="147">
        <f>IF(M2S_Eligibility_List!AQ101=DataPaths_Code,1,0)+AP351</f>
        <v>0</v>
      </c>
      <c r="AR351" s="147">
        <f>IF(M2S_Eligibility_List!AR101=DataPaths_Code,1,0)+AQ351</f>
        <v>0</v>
      </c>
      <c r="AS351" s="147">
        <f>IF(M2S_Eligibility_List!AS101=DataPaths_Code,1,0)+AR351</f>
        <v>0</v>
      </c>
      <c r="AT351" s="147">
        <f>IF(M2S_Eligibility_List!AT101=DataPaths_Code,1,0)+AS351</f>
        <v>0</v>
      </c>
      <c r="AU351" s="147">
        <f>IF(M2S_Eligibility_List!AU101=DataPaths_Code,1,0)+AT351</f>
        <v>0</v>
      </c>
      <c r="AV351" s="147">
        <f>IF(M2S_Eligibility_List!AV101=DataPaths_Code,1,0)+AU351</f>
        <v>0</v>
      </c>
      <c r="AW351" s="147">
        <f>IF(M2S_Eligibility_List!AW101=DataPaths_Code,1,0)+AV351</f>
        <v>0</v>
      </c>
      <c r="AX351" s="147">
        <f>IF(M2S_Eligibility_List!AX101=DataPaths_Code,1,0)+AW351</f>
        <v>0</v>
      </c>
      <c r="AY351" s="147">
        <f>IF(M2S_Eligibility_List!AY101=DataPaths_Code,1,0)+AX351</f>
        <v>0</v>
      </c>
      <c r="AZ351" s="147">
        <f>IF(M2S_Eligibility_List!AZ101=DataPaths_Code,1,0)+AY351</f>
        <v>0</v>
      </c>
      <c r="BA351" s="147">
        <f>IF(M2S_Eligibility_List!BA101=DataPaths_Code,1,0)+AZ351</f>
        <v>0</v>
      </c>
      <c r="BB351" s="147">
        <f>IF(M2S_Eligibility_List!BB101=DataPaths_Code,1,0)+BA351</f>
        <v>0</v>
      </c>
      <c r="BC351" s="147">
        <f>IF(M2S_Eligibility_List!BC101=DataPaths_Code,1,0)+BB351</f>
        <v>0</v>
      </c>
      <c r="BD351" s="147">
        <f>IF(M2S_Eligibility_List!BD101=DataPaths_Code,1,0)+BC351</f>
        <v>0</v>
      </c>
      <c r="BE351" s="147">
        <f>IF(M2S_Eligibility_List!BE101=DataPaths_Code,1,0)+BD351</f>
        <v>0</v>
      </c>
      <c r="BF351" s="147">
        <f>IF(M2S_Eligibility_List!BF101=DataPaths_Code,1,0)+BE351</f>
        <v>0</v>
      </c>
      <c r="BG351" s="147">
        <f>IF(M2S_Eligibility_List!BG101=DataPaths_Code,1,0)+BF351</f>
        <v>0</v>
      </c>
      <c r="BH351" s="147">
        <f>IF(M2S_Eligibility_List!BH101=DataPaths_Code,1,0)+BG351</f>
        <v>0</v>
      </c>
      <c r="BI351" s="147">
        <f>IF(M2S_Eligibility_List!BI101=DataPaths_Code,1,0)+BH351</f>
        <v>0</v>
      </c>
      <c r="BJ351" s="147">
        <f>IF(M2S_Eligibility_List!BJ101=DataPaths_Code,1,0)+BI351</f>
        <v>0</v>
      </c>
      <c r="BK351" s="147">
        <f>IF(M2S_Eligibility_List!BK101=DataPaths_Code,1,0)+BJ351</f>
        <v>0</v>
      </c>
      <c r="BL351" s="147">
        <f>IF(M2S_Eligibility_List!BL101=DataPaths_Code,1,0)+BK351</f>
        <v>0</v>
      </c>
      <c r="BM351" s="147">
        <f>IF(M2S_Eligibility_List!BM101=DataPaths_Code,1,0)+BL351</f>
        <v>0</v>
      </c>
      <c r="BN351" s="147">
        <f>IF(M2S_Eligibility_List!BN101=DataPaths_Code,1,0)+BM351</f>
        <v>0</v>
      </c>
      <c r="BO351" s="147">
        <f>IF(M2S_Eligibility_List!BO101=DataPaths_Code,1,0)+BN351</f>
        <v>0</v>
      </c>
      <c r="BP351" s="147">
        <f>IF(M2S_Eligibility_List!BP101=DataPaths_Code,1,0)+BO351</f>
        <v>0</v>
      </c>
      <c r="BQ351" s="147">
        <f>IF(M2S_Eligibility_List!BQ101=DataPaths_Code,1,0)+BP351</f>
        <v>1</v>
      </c>
      <c r="BR351" s="147">
        <f>IF(M2S_Eligibility_List!BR101=DataPaths_Code,1,0)+BQ351</f>
        <v>1</v>
      </c>
      <c r="BS351" s="147">
        <f>IF(M2S_Eligibility_List!BS101=DataPaths_Code,1,0)+BR351</f>
        <v>2</v>
      </c>
      <c r="BT351" s="147">
        <f>IF(M2S_Eligibility_List!BT101=DataPaths_Code,1,0)+BS351</f>
        <v>2</v>
      </c>
      <c r="BU351" s="147">
        <f>IF(M2S_Eligibility_List!BU101=DataPaths_Code,1,0)+BT351</f>
        <v>2</v>
      </c>
      <c r="BV351" s="147">
        <f>IF(M2S_Eligibility_List!BV101=DataPaths_Code,1,0)+BU351</f>
        <v>2</v>
      </c>
      <c r="BW351" s="147">
        <f>IF(M2S_Eligibility_List!BW101=DataPaths_Code,1,0)+BV351</f>
        <v>2</v>
      </c>
    </row>
    <row r="352" spans="1:75" ht="20.100000000000001" customHeight="1">
      <c r="A352" s="145"/>
      <c r="B352" s="170" t="str">
        <f>IF(M2S_Eligibility_List!$B102&lt;&gt;"",RIGHT(M2S_Eligibility_List!$B102,LEN(M2S_Eligibility_List!$B102)-LEN(nmADwSP)),0)</f>
        <v>PowerShape - Standard</v>
      </c>
      <c r="C352" s="147">
        <f>IF(M2S_Eligibility_List!C102=DataPaths_Code,1,0)</f>
        <v>0</v>
      </c>
      <c r="D352" s="147">
        <f>IF(M2S_Eligibility_List!D102=DataPaths_Code,1,0)+C352</f>
        <v>0</v>
      </c>
      <c r="E352" s="147">
        <f>IF(M2S_Eligibility_List!E102=DataPaths_Code,1,0)+D352</f>
        <v>0</v>
      </c>
      <c r="F352" s="147">
        <f>IF(M2S_Eligibility_List!F102=DataPaths_Code,1,0)+E352</f>
        <v>0</v>
      </c>
      <c r="G352" s="147">
        <f>IF(M2S_Eligibility_List!G102=DataPaths_Code,1,0)+F352</f>
        <v>0</v>
      </c>
      <c r="H352" s="147">
        <f>IF(M2S_Eligibility_List!H102=DataPaths_Code,1,0)+G352</f>
        <v>0</v>
      </c>
      <c r="I352" s="147">
        <f>IF(M2S_Eligibility_List!I102=DataPaths_Code,1,0)+H352</f>
        <v>0</v>
      </c>
      <c r="J352" s="147">
        <f>IF(M2S_Eligibility_List!J102=DataPaths_Code,1,0)+I352</f>
        <v>0</v>
      </c>
      <c r="K352" s="147">
        <f>IF(M2S_Eligibility_List!K102=DataPaths_Code,1,0)+J352</f>
        <v>0</v>
      </c>
      <c r="L352" s="147">
        <f>IF(M2S_Eligibility_List!L102=DataPaths_Code,1,0)+K352</f>
        <v>0</v>
      </c>
      <c r="M352" s="147">
        <f>IF(M2S_Eligibility_List!M102=DataPaths_Code,1,0)+L352</f>
        <v>0</v>
      </c>
      <c r="N352" s="147">
        <f>IF(M2S_Eligibility_List!N102=DataPaths_Code,1,0)+M352</f>
        <v>0</v>
      </c>
      <c r="O352" s="147">
        <f>IF(M2S_Eligibility_List!O102=DataPaths_Code,1,0)+N352</f>
        <v>0</v>
      </c>
      <c r="P352" s="147">
        <f>IF(M2S_Eligibility_List!P102=DataPaths_Code,1,0)+O352</f>
        <v>0</v>
      </c>
      <c r="Q352" s="147">
        <f>IF(M2S_Eligibility_List!Q102=DataPaths_Code,1,0)+P352</f>
        <v>0</v>
      </c>
      <c r="R352" s="147">
        <f>IF(M2S_Eligibility_List!R102=DataPaths_Code,1,0)+Q352</f>
        <v>0</v>
      </c>
      <c r="S352" s="147">
        <f>IF(M2S_Eligibility_List!S102=DataPaths_Code,1,0)+R352</f>
        <v>0</v>
      </c>
      <c r="T352" s="147">
        <f>IF(M2S_Eligibility_List!T102=DataPaths_Code,1,0)+S352</f>
        <v>0</v>
      </c>
      <c r="U352" s="147">
        <f>IF(M2S_Eligibility_List!U102=DataPaths_Code,1,0)+T352</f>
        <v>0</v>
      </c>
      <c r="V352" s="147">
        <f>IF(M2S_Eligibility_List!V102=DataPaths_Code,1,0)+U352</f>
        <v>0</v>
      </c>
      <c r="W352" s="147">
        <f>IF(M2S_Eligibility_List!W102=DataPaths_Code,1,0)+V352</f>
        <v>0</v>
      </c>
      <c r="X352" s="147">
        <f>IF(M2S_Eligibility_List!X102=DataPaths_Code,1,0)+W352</f>
        <v>0</v>
      </c>
      <c r="Y352" s="147">
        <f>IF(M2S_Eligibility_List!Y102=DataPaths_Code,1,0)+X352</f>
        <v>0</v>
      </c>
      <c r="Z352" s="147">
        <f>IF(M2S_Eligibility_List!Z102=DataPaths_Code,1,0)+Y352</f>
        <v>0</v>
      </c>
      <c r="AA352" s="147">
        <f>IF(M2S_Eligibility_List!AA102=DataPaths_Code,1,0)+Z352</f>
        <v>0</v>
      </c>
      <c r="AB352" s="147">
        <f>IF(M2S_Eligibility_List!AB102=DataPaths_Code,1,0)+AA352</f>
        <v>0</v>
      </c>
      <c r="AC352" s="147">
        <f>IF(M2S_Eligibility_List!AC102=DataPaths_Code,1,0)+AB352</f>
        <v>0</v>
      </c>
      <c r="AD352" s="147">
        <f>IF(M2S_Eligibility_List!AD102=DataPaths_Code,1,0)+AC352</f>
        <v>0</v>
      </c>
      <c r="AE352" s="147">
        <f>IF(M2S_Eligibility_List!AE102=DataPaths_Code,1,0)+AD352</f>
        <v>0</v>
      </c>
      <c r="AF352" s="147">
        <f>IF(M2S_Eligibility_List!AF102=DataPaths_Code,1,0)+AE352</f>
        <v>0</v>
      </c>
      <c r="AG352" s="147">
        <f>IF(M2S_Eligibility_List!AG102=DataPaths_Code,1,0)+AF352</f>
        <v>0</v>
      </c>
      <c r="AH352" s="147">
        <f>IF(M2S_Eligibility_List!AH102=DataPaths_Code,1,0)+AG352</f>
        <v>0</v>
      </c>
      <c r="AI352" s="147">
        <f>IF(M2S_Eligibility_List!AI102=DataPaths_Code,1,0)+AH352</f>
        <v>0</v>
      </c>
      <c r="AJ352" s="147">
        <f>IF(M2S_Eligibility_List!AJ102=DataPaths_Code,1,0)+AI352</f>
        <v>0</v>
      </c>
      <c r="AK352" s="147">
        <f>IF(M2S_Eligibility_List!AK102=DataPaths_Code,1,0)+AJ352</f>
        <v>0</v>
      </c>
      <c r="AL352" s="147">
        <f>IF(M2S_Eligibility_List!AL102=DataPaths_Code,1,0)+AK352</f>
        <v>0</v>
      </c>
      <c r="AM352" s="147">
        <f>IF(M2S_Eligibility_List!AM102=DataPaths_Code,1,0)+AL352</f>
        <v>0</v>
      </c>
      <c r="AN352" s="147">
        <f>IF(M2S_Eligibility_List!AN102=DataPaths_Code,1,0)+AM352</f>
        <v>0</v>
      </c>
      <c r="AO352" s="147">
        <f>IF(M2S_Eligibility_List!AO102=DataPaths_Code,1,0)+AN352</f>
        <v>0</v>
      </c>
      <c r="AP352" s="147">
        <f>IF(M2S_Eligibility_List!AP102=DataPaths_Code,1,0)+AO352</f>
        <v>0</v>
      </c>
      <c r="AQ352" s="147">
        <f>IF(M2S_Eligibility_List!AQ102=DataPaths_Code,1,0)+AP352</f>
        <v>0</v>
      </c>
      <c r="AR352" s="147">
        <f>IF(M2S_Eligibility_List!AR102=DataPaths_Code,1,0)+AQ352</f>
        <v>0</v>
      </c>
      <c r="AS352" s="147">
        <f>IF(M2S_Eligibility_List!AS102=DataPaths_Code,1,0)+AR352</f>
        <v>0</v>
      </c>
      <c r="AT352" s="147">
        <f>IF(M2S_Eligibility_List!AT102=DataPaths_Code,1,0)+AS352</f>
        <v>0</v>
      </c>
      <c r="AU352" s="147">
        <f>IF(M2S_Eligibility_List!AU102=DataPaths_Code,1,0)+AT352</f>
        <v>0</v>
      </c>
      <c r="AV352" s="147">
        <f>IF(M2S_Eligibility_List!AV102=DataPaths_Code,1,0)+AU352</f>
        <v>0</v>
      </c>
      <c r="AW352" s="147">
        <f>IF(M2S_Eligibility_List!AW102=DataPaths_Code,1,0)+AV352</f>
        <v>0</v>
      </c>
      <c r="AX352" s="147">
        <f>IF(M2S_Eligibility_List!AX102=DataPaths_Code,1,0)+AW352</f>
        <v>0</v>
      </c>
      <c r="AY352" s="147">
        <f>IF(M2S_Eligibility_List!AY102=DataPaths_Code,1,0)+AX352</f>
        <v>0</v>
      </c>
      <c r="AZ352" s="147">
        <f>IF(M2S_Eligibility_List!AZ102=DataPaths_Code,1,0)+AY352</f>
        <v>0</v>
      </c>
      <c r="BA352" s="147">
        <f>IF(M2S_Eligibility_List!BA102=DataPaths_Code,1,0)+AZ352</f>
        <v>0</v>
      </c>
      <c r="BB352" s="147">
        <f>IF(M2S_Eligibility_List!BB102=DataPaths_Code,1,0)+BA352</f>
        <v>0</v>
      </c>
      <c r="BC352" s="147">
        <f>IF(M2S_Eligibility_List!BC102=DataPaths_Code,1,0)+BB352</f>
        <v>0</v>
      </c>
      <c r="BD352" s="147">
        <f>IF(M2S_Eligibility_List!BD102=DataPaths_Code,1,0)+BC352</f>
        <v>0</v>
      </c>
      <c r="BE352" s="147">
        <f>IF(M2S_Eligibility_List!BE102=DataPaths_Code,1,0)+BD352</f>
        <v>0</v>
      </c>
      <c r="BF352" s="147">
        <f>IF(M2S_Eligibility_List!BF102=DataPaths_Code,1,0)+BE352</f>
        <v>0</v>
      </c>
      <c r="BG352" s="147">
        <f>IF(M2S_Eligibility_List!BG102=DataPaths_Code,1,0)+BF352</f>
        <v>0</v>
      </c>
      <c r="BH352" s="147">
        <f>IF(M2S_Eligibility_List!BH102=DataPaths_Code,1,0)+BG352</f>
        <v>0</v>
      </c>
      <c r="BI352" s="147">
        <f>IF(M2S_Eligibility_List!BI102=DataPaths_Code,1,0)+BH352</f>
        <v>0</v>
      </c>
      <c r="BJ352" s="147">
        <f>IF(M2S_Eligibility_List!BJ102=DataPaths_Code,1,0)+BI352</f>
        <v>0</v>
      </c>
      <c r="BK352" s="147">
        <f>IF(M2S_Eligibility_List!BK102=DataPaths_Code,1,0)+BJ352</f>
        <v>0</v>
      </c>
      <c r="BL352" s="147">
        <f>IF(M2S_Eligibility_List!BL102=DataPaths_Code,1,0)+BK352</f>
        <v>0</v>
      </c>
      <c r="BM352" s="147">
        <f>IF(M2S_Eligibility_List!BM102=DataPaths_Code,1,0)+BL352</f>
        <v>0</v>
      </c>
      <c r="BN352" s="147">
        <f>IF(M2S_Eligibility_List!BN102=DataPaths_Code,1,0)+BM352</f>
        <v>0</v>
      </c>
      <c r="BO352" s="147">
        <f>IF(M2S_Eligibility_List!BO102=DataPaths_Code,1,0)+BN352</f>
        <v>0</v>
      </c>
      <c r="BP352" s="147">
        <f>IF(M2S_Eligibility_List!BP102=DataPaths_Code,1,0)+BO352</f>
        <v>0</v>
      </c>
      <c r="BQ352" s="147">
        <f>IF(M2S_Eligibility_List!BQ102=DataPaths_Code,1,0)+BP352</f>
        <v>1</v>
      </c>
      <c r="BR352" s="147">
        <f>IF(M2S_Eligibility_List!BR102=DataPaths_Code,1,0)+BQ352</f>
        <v>2</v>
      </c>
      <c r="BS352" s="147">
        <f>IF(M2S_Eligibility_List!BS102=DataPaths_Code,1,0)+BR352</f>
        <v>3</v>
      </c>
      <c r="BT352" s="147">
        <f>IF(M2S_Eligibility_List!BT102=DataPaths_Code,1,0)+BS352</f>
        <v>3</v>
      </c>
      <c r="BU352" s="147">
        <f>IF(M2S_Eligibility_List!BU102=DataPaths_Code,1,0)+BT352</f>
        <v>3</v>
      </c>
      <c r="BV352" s="147">
        <f>IF(M2S_Eligibility_List!BV102=DataPaths_Code,1,0)+BU352</f>
        <v>3</v>
      </c>
      <c r="BW352" s="147">
        <f>IF(M2S_Eligibility_List!BW102=DataPaths_Code,1,0)+BV352</f>
        <v>3</v>
      </c>
    </row>
    <row r="353" spans="1:75" ht="20.100000000000001" customHeight="1">
      <c r="A353" s="145"/>
      <c r="B353" s="170" t="str">
        <f>IF(M2S_Eligibility_List!$B103&lt;&gt;"",RIGHT(M2S_Eligibility_List!$B103,LEN(M2S_Eligibility_List!$B103)-LEN(nmADwSP)),0)</f>
        <v>PowerShape - Ultimate</v>
      </c>
      <c r="C353" s="147">
        <f>IF(M2S_Eligibility_List!C103=DataPaths_Code,1,0)</f>
        <v>0</v>
      </c>
      <c r="D353" s="147">
        <f>IF(M2S_Eligibility_List!D103=DataPaths_Code,1,0)+C353</f>
        <v>0</v>
      </c>
      <c r="E353" s="147">
        <f>IF(M2S_Eligibility_List!E103=DataPaths_Code,1,0)+D353</f>
        <v>0</v>
      </c>
      <c r="F353" s="147">
        <f>IF(M2S_Eligibility_List!F103=DataPaths_Code,1,0)+E353</f>
        <v>0</v>
      </c>
      <c r="G353" s="147">
        <f>IF(M2S_Eligibility_List!G103=DataPaths_Code,1,0)+F353</f>
        <v>0</v>
      </c>
      <c r="H353" s="147">
        <f>IF(M2S_Eligibility_List!H103=DataPaths_Code,1,0)+G353</f>
        <v>0</v>
      </c>
      <c r="I353" s="147">
        <f>IF(M2S_Eligibility_List!I103=DataPaths_Code,1,0)+H353</f>
        <v>0</v>
      </c>
      <c r="J353" s="147">
        <f>IF(M2S_Eligibility_List!J103=DataPaths_Code,1,0)+I353</f>
        <v>0</v>
      </c>
      <c r="K353" s="147">
        <f>IF(M2S_Eligibility_List!K103=DataPaths_Code,1,0)+J353</f>
        <v>0</v>
      </c>
      <c r="L353" s="147">
        <f>IF(M2S_Eligibility_List!L103=DataPaths_Code,1,0)+K353</f>
        <v>0</v>
      </c>
      <c r="M353" s="147">
        <f>IF(M2S_Eligibility_List!M103=DataPaths_Code,1,0)+L353</f>
        <v>0</v>
      </c>
      <c r="N353" s="147">
        <f>IF(M2S_Eligibility_List!N103=DataPaths_Code,1,0)+M353</f>
        <v>0</v>
      </c>
      <c r="O353" s="147">
        <f>IF(M2S_Eligibility_List!O103=DataPaths_Code,1,0)+N353</f>
        <v>0</v>
      </c>
      <c r="P353" s="147">
        <f>IF(M2S_Eligibility_List!P103=DataPaths_Code,1,0)+O353</f>
        <v>0</v>
      </c>
      <c r="Q353" s="147">
        <f>IF(M2S_Eligibility_List!Q103=DataPaths_Code,1,0)+P353</f>
        <v>0</v>
      </c>
      <c r="R353" s="147">
        <f>IF(M2S_Eligibility_List!R103=DataPaths_Code,1,0)+Q353</f>
        <v>0</v>
      </c>
      <c r="S353" s="147">
        <f>IF(M2S_Eligibility_List!S103=DataPaths_Code,1,0)+R353</f>
        <v>0</v>
      </c>
      <c r="T353" s="147">
        <f>IF(M2S_Eligibility_List!T103=DataPaths_Code,1,0)+S353</f>
        <v>0</v>
      </c>
      <c r="U353" s="147">
        <f>IF(M2S_Eligibility_List!U103=DataPaths_Code,1,0)+T353</f>
        <v>0</v>
      </c>
      <c r="V353" s="147">
        <f>IF(M2S_Eligibility_List!V103=DataPaths_Code,1,0)+U353</f>
        <v>0</v>
      </c>
      <c r="W353" s="147">
        <f>IF(M2S_Eligibility_List!W103=DataPaths_Code,1,0)+V353</f>
        <v>0</v>
      </c>
      <c r="X353" s="147">
        <f>IF(M2S_Eligibility_List!X103=DataPaths_Code,1,0)+W353</f>
        <v>0</v>
      </c>
      <c r="Y353" s="147">
        <f>IF(M2S_Eligibility_List!Y103=DataPaths_Code,1,0)+X353</f>
        <v>0</v>
      </c>
      <c r="Z353" s="147">
        <f>IF(M2S_Eligibility_List!Z103=DataPaths_Code,1,0)+Y353</f>
        <v>0</v>
      </c>
      <c r="AA353" s="147">
        <f>IF(M2S_Eligibility_List!AA103=DataPaths_Code,1,0)+Z353</f>
        <v>0</v>
      </c>
      <c r="AB353" s="147">
        <f>IF(M2S_Eligibility_List!AB103=DataPaths_Code,1,0)+AA353</f>
        <v>0</v>
      </c>
      <c r="AC353" s="147">
        <f>IF(M2S_Eligibility_List!AC103=DataPaths_Code,1,0)+AB353</f>
        <v>0</v>
      </c>
      <c r="AD353" s="147">
        <f>IF(M2S_Eligibility_List!AD103=DataPaths_Code,1,0)+AC353</f>
        <v>0</v>
      </c>
      <c r="AE353" s="147">
        <f>IF(M2S_Eligibility_List!AE103=DataPaths_Code,1,0)+AD353</f>
        <v>0</v>
      </c>
      <c r="AF353" s="147">
        <f>IF(M2S_Eligibility_List!AF103=DataPaths_Code,1,0)+AE353</f>
        <v>0</v>
      </c>
      <c r="AG353" s="147">
        <f>IF(M2S_Eligibility_List!AG103=DataPaths_Code,1,0)+AF353</f>
        <v>0</v>
      </c>
      <c r="AH353" s="147">
        <f>IF(M2S_Eligibility_List!AH103=DataPaths_Code,1,0)+AG353</f>
        <v>0</v>
      </c>
      <c r="AI353" s="147">
        <f>IF(M2S_Eligibility_List!AI103=DataPaths_Code,1,0)+AH353</f>
        <v>0</v>
      </c>
      <c r="AJ353" s="147">
        <f>IF(M2S_Eligibility_List!AJ103=DataPaths_Code,1,0)+AI353</f>
        <v>0</v>
      </c>
      <c r="AK353" s="147">
        <f>IF(M2S_Eligibility_List!AK103=DataPaths_Code,1,0)+AJ353</f>
        <v>0</v>
      </c>
      <c r="AL353" s="147">
        <f>IF(M2S_Eligibility_List!AL103=DataPaths_Code,1,0)+AK353</f>
        <v>0</v>
      </c>
      <c r="AM353" s="147">
        <f>IF(M2S_Eligibility_List!AM103=DataPaths_Code,1,0)+AL353</f>
        <v>0</v>
      </c>
      <c r="AN353" s="147">
        <f>IF(M2S_Eligibility_List!AN103=DataPaths_Code,1,0)+AM353</f>
        <v>0</v>
      </c>
      <c r="AO353" s="147">
        <f>IF(M2S_Eligibility_List!AO103=DataPaths_Code,1,0)+AN353</f>
        <v>0</v>
      </c>
      <c r="AP353" s="147">
        <f>IF(M2S_Eligibility_List!AP103=DataPaths_Code,1,0)+AO353</f>
        <v>0</v>
      </c>
      <c r="AQ353" s="147">
        <f>IF(M2S_Eligibility_List!AQ103=DataPaths_Code,1,0)+AP353</f>
        <v>0</v>
      </c>
      <c r="AR353" s="147">
        <f>IF(M2S_Eligibility_List!AR103=DataPaths_Code,1,0)+AQ353</f>
        <v>0</v>
      </c>
      <c r="AS353" s="147">
        <f>IF(M2S_Eligibility_List!AS103=DataPaths_Code,1,0)+AR353</f>
        <v>0</v>
      </c>
      <c r="AT353" s="147">
        <f>IF(M2S_Eligibility_List!AT103=DataPaths_Code,1,0)+AS353</f>
        <v>0</v>
      </c>
      <c r="AU353" s="147">
        <f>IF(M2S_Eligibility_List!AU103=DataPaths_Code,1,0)+AT353</f>
        <v>0</v>
      </c>
      <c r="AV353" s="147">
        <f>IF(M2S_Eligibility_List!AV103=DataPaths_Code,1,0)+AU353</f>
        <v>0</v>
      </c>
      <c r="AW353" s="147">
        <f>IF(M2S_Eligibility_List!AW103=DataPaths_Code,1,0)+AV353</f>
        <v>0</v>
      </c>
      <c r="AX353" s="147">
        <f>IF(M2S_Eligibility_List!AX103=DataPaths_Code,1,0)+AW353</f>
        <v>0</v>
      </c>
      <c r="AY353" s="147">
        <f>IF(M2S_Eligibility_List!AY103=DataPaths_Code,1,0)+AX353</f>
        <v>0</v>
      </c>
      <c r="AZ353" s="147">
        <f>IF(M2S_Eligibility_List!AZ103=DataPaths_Code,1,0)+AY353</f>
        <v>0</v>
      </c>
      <c r="BA353" s="147">
        <f>IF(M2S_Eligibility_List!BA103=DataPaths_Code,1,0)+AZ353</f>
        <v>0</v>
      </c>
      <c r="BB353" s="147">
        <f>IF(M2S_Eligibility_List!BB103=DataPaths_Code,1,0)+BA353</f>
        <v>0</v>
      </c>
      <c r="BC353" s="147">
        <f>IF(M2S_Eligibility_List!BC103=DataPaths_Code,1,0)+BB353</f>
        <v>0</v>
      </c>
      <c r="BD353" s="147">
        <f>IF(M2S_Eligibility_List!BD103=DataPaths_Code,1,0)+BC353</f>
        <v>0</v>
      </c>
      <c r="BE353" s="147">
        <f>IF(M2S_Eligibility_List!BE103=DataPaths_Code,1,0)+BD353</f>
        <v>0</v>
      </c>
      <c r="BF353" s="147">
        <f>IF(M2S_Eligibility_List!BF103=DataPaths_Code,1,0)+BE353</f>
        <v>0</v>
      </c>
      <c r="BG353" s="147">
        <f>IF(M2S_Eligibility_List!BG103=DataPaths_Code,1,0)+BF353</f>
        <v>0</v>
      </c>
      <c r="BH353" s="147">
        <f>IF(M2S_Eligibility_List!BH103=DataPaths_Code,1,0)+BG353</f>
        <v>0</v>
      </c>
      <c r="BI353" s="147">
        <f>IF(M2S_Eligibility_List!BI103=DataPaths_Code,1,0)+BH353</f>
        <v>0</v>
      </c>
      <c r="BJ353" s="147">
        <f>IF(M2S_Eligibility_List!BJ103=DataPaths_Code,1,0)+BI353</f>
        <v>0</v>
      </c>
      <c r="BK353" s="147">
        <f>IF(M2S_Eligibility_List!BK103=DataPaths_Code,1,0)+BJ353</f>
        <v>0</v>
      </c>
      <c r="BL353" s="147">
        <f>IF(M2S_Eligibility_List!BL103=DataPaths_Code,1,0)+BK353</f>
        <v>0</v>
      </c>
      <c r="BM353" s="147">
        <f>IF(M2S_Eligibility_List!BM103=DataPaths_Code,1,0)+BL353</f>
        <v>0</v>
      </c>
      <c r="BN353" s="147">
        <f>IF(M2S_Eligibility_List!BN103=DataPaths_Code,1,0)+BM353</f>
        <v>0</v>
      </c>
      <c r="BO353" s="147">
        <f>IF(M2S_Eligibility_List!BO103=DataPaths_Code,1,0)+BN353</f>
        <v>0</v>
      </c>
      <c r="BP353" s="147">
        <f>IF(M2S_Eligibility_List!BP103=DataPaths_Code,1,0)+BO353</f>
        <v>0</v>
      </c>
      <c r="BQ353" s="147">
        <f>IF(M2S_Eligibility_List!BQ103=DataPaths_Code,1,0)+BP353</f>
        <v>0</v>
      </c>
      <c r="BR353" s="147">
        <f>IF(M2S_Eligibility_List!BR103=DataPaths_Code,1,0)+BQ353</f>
        <v>0</v>
      </c>
      <c r="BS353" s="147">
        <f>IF(M2S_Eligibility_List!BS103=DataPaths_Code,1,0)+BR353</f>
        <v>1</v>
      </c>
      <c r="BT353" s="147">
        <f>IF(M2S_Eligibility_List!BT103=DataPaths_Code,1,0)+BS353</f>
        <v>1</v>
      </c>
      <c r="BU353" s="147">
        <f>IF(M2S_Eligibility_List!BU103=DataPaths_Code,1,0)+BT353</f>
        <v>1</v>
      </c>
      <c r="BV353" s="147">
        <f>IF(M2S_Eligibility_List!BV103=DataPaths_Code,1,0)+BU353</f>
        <v>1</v>
      </c>
      <c r="BW353" s="147">
        <f>IF(M2S_Eligibility_List!BW103=DataPaths_Code,1,0)+BV353</f>
        <v>1</v>
      </c>
    </row>
    <row r="354" spans="1:75" ht="20.100000000000001" customHeight="1">
      <c r="A354" s="145"/>
      <c r="B354" s="170" t="str">
        <f>IF(M2S_Eligibility_List!$B104&lt;&gt;"",RIGHT(M2S_Eligibility_List!$B104,LEN(M2S_Eligibility_List!$B104)-LEN(nmADwSP)),0)</f>
        <v>Product Design Suite Premium</v>
      </c>
      <c r="C354" s="147">
        <f>IF(M2S_Eligibility_List!C104=DataPaths_Code,1,0)</f>
        <v>1</v>
      </c>
      <c r="D354" s="147">
        <f>IF(M2S_Eligibility_List!D104=DataPaths_Code,1,0)+C354</f>
        <v>2</v>
      </c>
      <c r="E354" s="147">
        <f>IF(M2S_Eligibility_List!E104=DataPaths_Code,1,0)+D354</f>
        <v>2</v>
      </c>
      <c r="F354" s="147">
        <f>IF(M2S_Eligibility_List!F104=DataPaths_Code,1,0)+E354</f>
        <v>2</v>
      </c>
      <c r="G354" s="147">
        <f>IF(M2S_Eligibility_List!G104=DataPaths_Code,1,0)+F354</f>
        <v>2</v>
      </c>
      <c r="H354" s="147">
        <f>IF(M2S_Eligibility_List!H104=DataPaths_Code,1,0)+G354</f>
        <v>2</v>
      </c>
      <c r="I354" s="147">
        <f>IF(M2S_Eligibility_List!I104=DataPaths_Code,1,0)+H354</f>
        <v>2</v>
      </c>
      <c r="J354" s="147">
        <f>IF(M2S_Eligibility_List!J104=DataPaths_Code,1,0)+I354</f>
        <v>2</v>
      </c>
      <c r="K354" s="147">
        <f>IF(M2S_Eligibility_List!K104=DataPaths_Code,1,0)+J354</f>
        <v>2</v>
      </c>
      <c r="L354" s="147">
        <f>IF(M2S_Eligibility_List!L104=DataPaths_Code,1,0)+K354</f>
        <v>2</v>
      </c>
      <c r="M354" s="147">
        <f>IF(M2S_Eligibility_List!M104=DataPaths_Code,1,0)+L354</f>
        <v>2</v>
      </c>
      <c r="N354" s="147">
        <f>IF(M2S_Eligibility_List!N104=DataPaths_Code,1,0)+M354</f>
        <v>2</v>
      </c>
      <c r="O354" s="147">
        <f>IF(M2S_Eligibility_List!O104=DataPaths_Code,1,0)+N354</f>
        <v>2</v>
      </c>
      <c r="P354" s="147">
        <f>IF(M2S_Eligibility_List!P104=DataPaths_Code,1,0)+O354</f>
        <v>2</v>
      </c>
      <c r="Q354" s="147">
        <f>IF(M2S_Eligibility_List!Q104=DataPaths_Code,1,0)+P354</f>
        <v>2</v>
      </c>
      <c r="R354" s="147">
        <f>IF(M2S_Eligibility_List!R104=DataPaths_Code,1,0)+Q354</f>
        <v>2</v>
      </c>
      <c r="S354" s="147">
        <f>IF(M2S_Eligibility_List!S104=DataPaths_Code,1,0)+R354</f>
        <v>2</v>
      </c>
      <c r="T354" s="147">
        <f>IF(M2S_Eligibility_List!T104=DataPaths_Code,1,0)+S354</f>
        <v>2</v>
      </c>
      <c r="U354" s="147">
        <f>IF(M2S_Eligibility_List!U104=DataPaths_Code,1,0)+T354</f>
        <v>2</v>
      </c>
      <c r="V354" s="147">
        <f>IF(M2S_Eligibility_List!V104=DataPaths_Code,1,0)+U354</f>
        <v>2</v>
      </c>
      <c r="W354" s="147">
        <f>IF(M2S_Eligibility_List!W104=DataPaths_Code,1,0)+V354</f>
        <v>2</v>
      </c>
      <c r="X354" s="147">
        <f>IF(M2S_Eligibility_List!X104=DataPaths_Code,1,0)+W354</f>
        <v>2</v>
      </c>
      <c r="Y354" s="147">
        <f>IF(M2S_Eligibility_List!Y104=DataPaths_Code,1,0)+X354</f>
        <v>2</v>
      </c>
      <c r="Z354" s="147">
        <f>IF(M2S_Eligibility_List!Z104=DataPaths_Code,1,0)+Y354</f>
        <v>2</v>
      </c>
      <c r="AA354" s="147">
        <f>IF(M2S_Eligibility_List!AA104=DataPaths_Code,1,0)+Z354</f>
        <v>2</v>
      </c>
      <c r="AB354" s="147">
        <f>IF(M2S_Eligibility_List!AB104=DataPaths_Code,1,0)+AA354</f>
        <v>2</v>
      </c>
      <c r="AC354" s="147">
        <f>IF(M2S_Eligibility_List!AC104=DataPaths_Code,1,0)+AB354</f>
        <v>2</v>
      </c>
      <c r="AD354" s="147">
        <f>IF(M2S_Eligibility_List!AD104=DataPaths_Code,1,0)+AC354</f>
        <v>2</v>
      </c>
      <c r="AE354" s="147">
        <f>IF(M2S_Eligibility_List!AE104=DataPaths_Code,1,0)+AD354</f>
        <v>2</v>
      </c>
      <c r="AF354" s="147">
        <f>IF(M2S_Eligibility_List!AF104=DataPaths_Code,1,0)+AE354</f>
        <v>2</v>
      </c>
      <c r="AG354" s="147">
        <f>IF(M2S_Eligibility_List!AG104=DataPaths_Code,1,0)+AF354</f>
        <v>2</v>
      </c>
      <c r="AH354" s="147">
        <f>IF(M2S_Eligibility_List!AH104=DataPaths_Code,1,0)+AG354</f>
        <v>2</v>
      </c>
      <c r="AI354" s="147">
        <f>IF(M2S_Eligibility_List!AI104=DataPaths_Code,1,0)+AH354</f>
        <v>2</v>
      </c>
      <c r="AJ354" s="147">
        <f>IF(M2S_Eligibility_List!AJ104=DataPaths_Code,1,0)+AI354</f>
        <v>2</v>
      </c>
      <c r="AK354" s="147">
        <f>IF(M2S_Eligibility_List!AK104=DataPaths_Code,1,0)+AJ354</f>
        <v>2</v>
      </c>
      <c r="AL354" s="147">
        <f>IF(M2S_Eligibility_List!AL104=DataPaths_Code,1,0)+AK354</f>
        <v>2</v>
      </c>
      <c r="AM354" s="147">
        <f>IF(M2S_Eligibility_List!AM104=DataPaths_Code,1,0)+AL354</f>
        <v>2</v>
      </c>
      <c r="AN354" s="147">
        <f>IF(M2S_Eligibility_List!AN104=DataPaths_Code,1,0)+AM354</f>
        <v>2</v>
      </c>
      <c r="AO354" s="147">
        <f>IF(M2S_Eligibility_List!AO104=DataPaths_Code,1,0)+AN354</f>
        <v>2</v>
      </c>
      <c r="AP354" s="147">
        <f>IF(M2S_Eligibility_List!AP104=DataPaths_Code,1,0)+AO354</f>
        <v>2</v>
      </c>
      <c r="AQ354" s="147">
        <f>IF(M2S_Eligibility_List!AQ104=DataPaths_Code,1,0)+AP354</f>
        <v>2</v>
      </c>
      <c r="AR354" s="147">
        <f>IF(M2S_Eligibility_List!AR104=DataPaths_Code,1,0)+AQ354</f>
        <v>2</v>
      </c>
      <c r="AS354" s="147">
        <f>IF(M2S_Eligibility_List!AS104=DataPaths_Code,1,0)+AR354</f>
        <v>2</v>
      </c>
      <c r="AT354" s="147">
        <f>IF(M2S_Eligibility_List!AT104=DataPaths_Code,1,0)+AS354</f>
        <v>2</v>
      </c>
      <c r="AU354" s="147">
        <f>IF(M2S_Eligibility_List!AU104=DataPaths_Code,1,0)+AT354</f>
        <v>2</v>
      </c>
      <c r="AV354" s="147">
        <f>IF(M2S_Eligibility_List!AV104=DataPaths_Code,1,0)+AU354</f>
        <v>2</v>
      </c>
      <c r="AW354" s="147">
        <f>IF(M2S_Eligibility_List!AW104=DataPaths_Code,1,0)+AV354</f>
        <v>2</v>
      </c>
      <c r="AX354" s="147">
        <f>IF(M2S_Eligibility_List!AX104=DataPaths_Code,1,0)+AW354</f>
        <v>2</v>
      </c>
      <c r="AY354" s="147">
        <f>IF(M2S_Eligibility_List!AY104=DataPaths_Code,1,0)+AX354</f>
        <v>2</v>
      </c>
      <c r="AZ354" s="147">
        <f>IF(M2S_Eligibility_List!AZ104=DataPaths_Code,1,0)+AY354</f>
        <v>2</v>
      </c>
      <c r="BA354" s="147">
        <f>IF(M2S_Eligibility_List!BA104=DataPaths_Code,1,0)+AZ354</f>
        <v>2</v>
      </c>
      <c r="BB354" s="147">
        <f>IF(M2S_Eligibility_List!BB104=DataPaths_Code,1,0)+BA354</f>
        <v>2</v>
      </c>
      <c r="BC354" s="147">
        <f>IF(M2S_Eligibility_List!BC104=DataPaths_Code,1,0)+BB354</f>
        <v>2</v>
      </c>
      <c r="BD354" s="147">
        <f>IF(M2S_Eligibility_List!BD104=DataPaths_Code,1,0)+BC354</f>
        <v>2</v>
      </c>
      <c r="BE354" s="147">
        <f>IF(M2S_Eligibility_List!BE104=DataPaths_Code,1,0)+BD354</f>
        <v>2</v>
      </c>
      <c r="BF354" s="147">
        <f>IF(M2S_Eligibility_List!BF104=DataPaths_Code,1,0)+BE354</f>
        <v>2</v>
      </c>
      <c r="BG354" s="147">
        <f>IF(M2S_Eligibility_List!BG104=DataPaths_Code,1,0)+BF354</f>
        <v>2</v>
      </c>
      <c r="BH354" s="147">
        <f>IF(M2S_Eligibility_List!BH104=DataPaths_Code,1,0)+BG354</f>
        <v>2</v>
      </c>
      <c r="BI354" s="147">
        <f>IF(M2S_Eligibility_List!BI104=DataPaths_Code,1,0)+BH354</f>
        <v>2</v>
      </c>
      <c r="BJ354" s="147">
        <f>IF(M2S_Eligibility_List!BJ104=DataPaths_Code,1,0)+BI354</f>
        <v>2</v>
      </c>
      <c r="BK354" s="147">
        <f>IF(M2S_Eligibility_List!BK104=DataPaths_Code,1,0)+BJ354</f>
        <v>2</v>
      </c>
      <c r="BL354" s="147">
        <f>IF(M2S_Eligibility_List!BL104=DataPaths_Code,1,0)+BK354</f>
        <v>2</v>
      </c>
      <c r="BM354" s="147">
        <f>IF(M2S_Eligibility_List!BM104=DataPaths_Code,1,0)+BL354</f>
        <v>2</v>
      </c>
      <c r="BN354" s="147">
        <f>IF(M2S_Eligibility_List!BN104=DataPaths_Code,1,0)+BM354</f>
        <v>2</v>
      </c>
      <c r="BO354" s="147">
        <f>IF(M2S_Eligibility_List!BO104=DataPaths_Code,1,0)+BN354</f>
        <v>2</v>
      </c>
      <c r="BP354" s="147">
        <f>IF(M2S_Eligibility_List!BP104=DataPaths_Code,1,0)+BO354</f>
        <v>2</v>
      </c>
      <c r="BQ354" s="147">
        <f>IF(M2S_Eligibility_List!BQ104=DataPaths_Code,1,0)+BP354</f>
        <v>2</v>
      </c>
      <c r="BR354" s="147">
        <f>IF(M2S_Eligibility_List!BR104=DataPaths_Code,1,0)+BQ354</f>
        <v>2</v>
      </c>
      <c r="BS354" s="147">
        <f>IF(M2S_Eligibility_List!BS104=DataPaths_Code,1,0)+BR354</f>
        <v>2</v>
      </c>
      <c r="BT354" s="147">
        <f>IF(M2S_Eligibility_List!BT104=DataPaths_Code,1,0)+BS354</f>
        <v>2</v>
      </c>
      <c r="BU354" s="147">
        <f>IF(M2S_Eligibility_List!BU104=DataPaths_Code,1,0)+BT354</f>
        <v>2</v>
      </c>
      <c r="BV354" s="147">
        <f>IF(M2S_Eligibility_List!BV104=DataPaths_Code,1,0)+BU354</f>
        <v>2</v>
      </c>
      <c r="BW354" s="147">
        <f>IF(M2S_Eligibility_List!BW104=DataPaths_Code,1,0)+BV354</f>
        <v>2</v>
      </c>
    </row>
    <row r="355" spans="1:75" ht="20.100000000000001" customHeight="1">
      <c r="A355" s="145"/>
      <c r="B355" s="170" t="str">
        <f>IF(M2S_Eligibility_List!$B105&lt;&gt;"",RIGHT(M2S_Eligibility_List!$B105,LEN(M2S_Eligibility_List!$B105)-LEN(nmADwSP)),0)</f>
        <v>Product Design Suite Ultimate</v>
      </c>
      <c r="C355" s="147">
        <f>IF(M2S_Eligibility_List!C105=DataPaths_Code,1,0)</f>
        <v>1</v>
      </c>
      <c r="D355" s="147">
        <f>IF(M2S_Eligibility_List!D105=DataPaths_Code,1,0)+C355</f>
        <v>2</v>
      </c>
      <c r="E355" s="147">
        <f>IF(M2S_Eligibility_List!E105=DataPaths_Code,1,0)+D355</f>
        <v>2</v>
      </c>
      <c r="F355" s="147">
        <f>IF(M2S_Eligibility_List!F105=DataPaths_Code,1,0)+E355</f>
        <v>2</v>
      </c>
      <c r="G355" s="147">
        <f>IF(M2S_Eligibility_List!G105=DataPaths_Code,1,0)+F355</f>
        <v>2</v>
      </c>
      <c r="H355" s="147">
        <f>IF(M2S_Eligibility_List!H105=DataPaths_Code,1,0)+G355</f>
        <v>2</v>
      </c>
      <c r="I355" s="147">
        <f>IF(M2S_Eligibility_List!I105=DataPaths_Code,1,0)+H355</f>
        <v>2</v>
      </c>
      <c r="J355" s="147">
        <f>IF(M2S_Eligibility_List!J105=DataPaths_Code,1,0)+I355</f>
        <v>2</v>
      </c>
      <c r="K355" s="147">
        <f>IF(M2S_Eligibility_List!K105=DataPaths_Code,1,0)+J355</f>
        <v>2</v>
      </c>
      <c r="L355" s="147">
        <f>IF(M2S_Eligibility_List!L105=DataPaths_Code,1,0)+K355</f>
        <v>2</v>
      </c>
      <c r="M355" s="147">
        <f>IF(M2S_Eligibility_List!M105=DataPaths_Code,1,0)+L355</f>
        <v>2</v>
      </c>
      <c r="N355" s="147">
        <f>IF(M2S_Eligibility_List!N105=DataPaths_Code,1,0)+M355</f>
        <v>2</v>
      </c>
      <c r="O355" s="147">
        <f>IF(M2S_Eligibility_List!O105=DataPaths_Code,1,0)+N355</f>
        <v>2</v>
      </c>
      <c r="P355" s="147">
        <f>IF(M2S_Eligibility_List!P105=DataPaths_Code,1,0)+O355</f>
        <v>2</v>
      </c>
      <c r="Q355" s="147">
        <f>IF(M2S_Eligibility_List!Q105=DataPaths_Code,1,0)+P355</f>
        <v>2</v>
      </c>
      <c r="R355" s="147">
        <f>IF(M2S_Eligibility_List!R105=DataPaths_Code,1,0)+Q355</f>
        <v>2</v>
      </c>
      <c r="S355" s="147">
        <f>IF(M2S_Eligibility_List!S105=DataPaths_Code,1,0)+R355</f>
        <v>2</v>
      </c>
      <c r="T355" s="147">
        <f>IF(M2S_Eligibility_List!T105=DataPaths_Code,1,0)+S355</f>
        <v>2</v>
      </c>
      <c r="U355" s="147">
        <f>IF(M2S_Eligibility_List!U105=DataPaths_Code,1,0)+T355</f>
        <v>2</v>
      </c>
      <c r="V355" s="147">
        <f>IF(M2S_Eligibility_List!V105=DataPaths_Code,1,0)+U355</f>
        <v>2</v>
      </c>
      <c r="W355" s="147">
        <f>IF(M2S_Eligibility_List!W105=DataPaths_Code,1,0)+V355</f>
        <v>2</v>
      </c>
      <c r="X355" s="147">
        <f>IF(M2S_Eligibility_List!X105=DataPaths_Code,1,0)+W355</f>
        <v>2</v>
      </c>
      <c r="Y355" s="147">
        <f>IF(M2S_Eligibility_List!Y105=DataPaths_Code,1,0)+X355</f>
        <v>2</v>
      </c>
      <c r="Z355" s="147">
        <f>IF(M2S_Eligibility_List!Z105=DataPaths_Code,1,0)+Y355</f>
        <v>2</v>
      </c>
      <c r="AA355" s="147">
        <f>IF(M2S_Eligibility_List!AA105=DataPaths_Code,1,0)+Z355</f>
        <v>2</v>
      </c>
      <c r="AB355" s="147">
        <f>IF(M2S_Eligibility_List!AB105=DataPaths_Code,1,0)+AA355</f>
        <v>2</v>
      </c>
      <c r="AC355" s="147">
        <f>IF(M2S_Eligibility_List!AC105=DataPaths_Code,1,0)+AB355</f>
        <v>2</v>
      </c>
      <c r="AD355" s="147">
        <f>IF(M2S_Eligibility_List!AD105=DataPaths_Code,1,0)+AC355</f>
        <v>2</v>
      </c>
      <c r="AE355" s="147">
        <f>IF(M2S_Eligibility_List!AE105=DataPaths_Code,1,0)+AD355</f>
        <v>2</v>
      </c>
      <c r="AF355" s="147">
        <f>IF(M2S_Eligibility_List!AF105=DataPaths_Code,1,0)+AE355</f>
        <v>2</v>
      </c>
      <c r="AG355" s="147">
        <f>IF(M2S_Eligibility_List!AG105=DataPaths_Code,1,0)+AF355</f>
        <v>2</v>
      </c>
      <c r="AH355" s="147">
        <f>IF(M2S_Eligibility_List!AH105=DataPaths_Code,1,0)+AG355</f>
        <v>2</v>
      </c>
      <c r="AI355" s="147">
        <f>IF(M2S_Eligibility_List!AI105=DataPaths_Code,1,0)+AH355</f>
        <v>2</v>
      </c>
      <c r="AJ355" s="147">
        <f>IF(M2S_Eligibility_List!AJ105=DataPaths_Code,1,0)+AI355</f>
        <v>2</v>
      </c>
      <c r="AK355" s="147">
        <f>IF(M2S_Eligibility_List!AK105=DataPaths_Code,1,0)+AJ355</f>
        <v>2</v>
      </c>
      <c r="AL355" s="147">
        <f>IF(M2S_Eligibility_List!AL105=DataPaths_Code,1,0)+AK355</f>
        <v>2</v>
      </c>
      <c r="AM355" s="147">
        <f>IF(M2S_Eligibility_List!AM105=DataPaths_Code,1,0)+AL355</f>
        <v>2</v>
      </c>
      <c r="AN355" s="147">
        <f>IF(M2S_Eligibility_List!AN105=DataPaths_Code,1,0)+AM355</f>
        <v>2</v>
      </c>
      <c r="AO355" s="147">
        <f>IF(M2S_Eligibility_List!AO105=DataPaths_Code,1,0)+AN355</f>
        <v>2</v>
      </c>
      <c r="AP355" s="147">
        <f>IF(M2S_Eligibility_List!AP105=DataPaths_Code,1,0)+AO355</f>
        <v>2</v>
      </c>
      <c r="AQ355" s="147">
        <f>IF(M2S_Eligibility_List!AQ105=DataPaths_Code,1,0)+AP355</f>
        <v>2</v>
      </c>
      <c r="AR355" s="147">
        <f>IF(M2S_Eligibility_List!AR105=DataPaths_Code,1,0)+AQ355</f>
        <v>2</v>
      </c>
      <c r="AS355" s="147">
        <f>IF(M2S_Eligibility_List!AS105=DataPaths_Code,1,0)+AR355</f>
        <v>2</v>
      </c>
      <c r="AT355" s="147">
        <f>IF(M2S_Eligibility_List!AT105=DataPaths_Code,1,0)+AS355</f>
        <v>2</v>
      </c>
      <c r="AU355" s="147">
        <f>IF(M2S_Eligibility_List!AU105=DataPaths_Code,1,0)+AT355</f>
        <v>2</v>
      </c>
      <c r="AV355" s="147">
        <f>IF(M2S_Eligibility_List!AV105=DataPaths_Code,1,0)+AU355</f>
        <v>2</v>
      </c>
      <c r="AW355" s="147">
        <f>IF(M2S_Eligibility_List!AW105=DataPaths_Code,1,0)+AV355</f>
        <v>2</v>
      </c>
      <c r="AX355" s="147">
        <f>IF(M2S_Eligibility_List!AX105=DataPaths_Code,1,0)+AW355</f>
        <v>2</v>
      </c>
      <c r="AY355" s="147">
        <f>IF(M2S_Eligibility_List!AY105=DataPaths_Code,1,0)+AX355</f>
        <v>2</v>
      </c>
      <c r="AZ355" s="147">
        <f>IF(M2S_Eligibility_List!AZ105=DataPaths_Code,1,0)+AY355</f>
        <v>2</v>
      </c>
      <c r="BA355" s="147">
        <f>IF(M2S_Eligibility_List!BA105=DataPaths_Code,1,0)+AZ355</f>
        <v>2</v>
      </c>
      <c r="BB355" s="147">
        <f>IF(M2S_Eligibility_List!BB105=DataPaths_Code,1,0)+BA355</f>
        <v>2</v>
      </c>
      <c r="BC355" s="147">
        <f>IF(M2S_Eligibility_List!BC105=DataPaths_Code,1,0)+BB355</f>
        <v>2</v>
      </c>
      <c r="BD355" s="147">
        <f>IF(M2S_Eligibility_List!BD105=DataPaths_Code,1,0)+BC355</f>
        <v>2</v>
      </c>
      <c r="BE355" s="147">
        <f>IF(M2S_Eligibility_List!BE105=DataPaths_Code,1,0)+BD355</f>
        <v>2</v>
      </c>
      <c r="BF355" s="147">
        <f>IF(M2S_Eligibility_List!BF105=DataPaths_Code,1,0)+BE355</f>
        <v>2</v>
      </c>
      <c r="BG355" s="147">
        <f>IF(M2S_Eligibility_List!BG105=DataPaths_Code,1,0)+BF355</f>
        <v>2</v>
      </c>
      <c r="BH355" s="147">
        <f>IF(M2S_Eligibility_List!BH105=DataPaths_Code,1,0)+BG355</f>
        <v>2</v>
      </c>
      <c r="BI355" s="147">
        <f>IF(M2S_Eligibility_List!BI105=DataPaths_Code,1,0)+BH355</f>
        <v>2</v>
      </c>
      <c r="BJ355" s="147">
        <f>IF(M2S_Eligibility_List!BJ105=DataPaths_Code,1,0)+BI355</f>
        <v>2</v>
      </c>
      <c r="BK355" s="147">
        <f>IF(M2S_Eligibility_List!BK105=DataPaths_Code,1,0)+BJ355</f>
        <v>2</v>
      </c>
      <c r="BL355" s="147">
        <f>IF(M2S_Eligibility_List!BL105=DataPaths_Code,1,0)+BK355</f>
        <v>2</v>
      </c>
      <c r="BM355" s="147">
        <f>IF(M2S_Eligibility_List!BM105=DataPaths_Code,1,0)+BL355</f>
        <v>2</v>
      </c>
      <c r="BN355" s="147">
        <f>IF(M2S_Eligibility_List!BN105=DataPaths_Code,1,0)+BM355</f>
        <v>2</v>
      </c>
      <c r="BO355" s="147">
        <f>IF(M2S_Eligibility_List!BO105=DataPaths_Code,1,0)+BN355</f>
        <v>2</v>
      </c>
      <c r="BP355" s="147">
        <f>IF(M2S_Eligibility_List!BP105=DataPaths_Code,1,0)+BO355</f>
        <v>2</v>
      </c>
      <c r="BQ355" s="147">
        <f>IF(M2S_Eligibility_List!BQ105=DataPaths_Code,1,0)+BP355</f>
        <v>2</v>
      </c>
      <c r="BR355" s="147">
        <f>IF(M2S_Eligibility_List!BR105=DataPaths_Code,1,0)+BQ355</f>
        <v>2</v>
      </c>
      <c r="BS355" s="147">
        <f>IF(M2S_Eligibility_List!BS105=DataPaths_Code,1,0)+BR355</f>
        <v>2</v>
      </c>
      <c r="BT355" s="147">
        <f>IF(M2S_Eligibility_List!BT105=DataPaths_Code,1,0)+BS355</f>
        <v>2</v>
      </c>
      <c r="BU355" s="147">
        <f>IF(M2S_Eligibility_List!BU105=DataPaths_Code,1,0)+BT355</f>
        <v>2</v>
      </c>
      <c r="BV355" s="147">
        <f>IF(M2S_Eligibility_List!BV105=DataPaths_Code,1,0)+BU355</f>
        <v>2</v>
      </c>
      <c r="BW355" s="147">
        <f>IF(M2S_Eligibility_List!BW105=DataPaths_Code,1,0)+BV355</f>
        <v>2</v>
      </c>
    </row>
    <row r="356" spans="1:75" ht="20.100000000000001" customHeight="1">
      <c r="A356" s="145"/>
      <c r="B356" s="170" t="str">
        <f>IF(M2S_Eligibility_List!$B106&lt;&gt;"",RIGHT(M2S_Eligibility_List!$B106,LEN(M2S_Eligibility_List!$B106)-LEN(nmADwSP)),0)</f>
        <v>Quantity Take Off</v>
      </c>
      <c r="C356" s="147">
        <f>IF(M2S_Eligibility_List!C106=DataPaths_Code,1,0)</f>
        <v>1</v>
      </c>
      <c r="D356" s="147">
        <f>IF(M2S_Eligibility_List!D106=DataPaths_Code,1,0)+C356</f>
        <v>1</v>
      </c>
      <c r="E356" s="147">
        <f>IF(M2S_Eligibility_List!E106=DataPaths_Code,1,0)+D356</f>
        <v>1</v>
      </c>
      <c r="F356" s="147">
        <f>IF(M2S_Eligibility_List!F106=DataPaths_Code,1,0)+E356</f>
        <v>1</v>
      </c>
      <c r="G356" s="147">
        <f>IF(M2S_Eligibility_List!G106=DataPaths_Code,1,0)+F356</f>
        <v>1</v>
      </c>
      <c r="H356" s="147">
        <f>IF(M2S_Eligibility_List!H106=DataPaths_Code,1,0)+G356</f>
        <v>1</v>
      </c>
      <c r="I356" s="147">
        <f>IF(M2S_Eligibility_List!I106=DataPaths_Code,1,0)+H356</f>
        <v>1</v>
      </c>
      <c r="J356" s="147">
        <f>IF(M2S_Eligibility_List!J106=DataPaths_Code,1,0)+I356</f>
        <v>1</v>
      </c>
      <c r="K356" s="147">
        <f>IF(M2S_Eligibility_List!K106=DataPaths_Code,1,0)+J356</f>
        <v>1</v>
      </c>
      <c r="L356" s="147">
        <f>IF(M2S_Eligibility_List!L106=DataPaths_Code,1,0)+K356</f>
        <v>1</v>
      </c>
      <c r="M356" s="147">
        <f>IF(M2S_Eligibility_List!M106=DataPaths_Code,1,0)+L356</f>
        <v>1</v>
      </c>
      <c r="N356" s="147">
        <f>IF(M2S_Eligibility_List!N106=DataPaths_Code,1,0)+M356</f>
        <v>1</v>
      </c>
      <c r="O356" s="147">
        <f>IF(M2S_Eligibility_List!O106=DataPaths_Code,1,0)+N356</f>
        <v>1</v>
      </c>
      <c r="P356" s="147">
        <f>IF(M2S_Eligibility_List!P106=DataPaths_Code,1,0)+O356</f>
        <v>1</v>
      </c>
      <c r="Q356" s="147">
        <f>IF(M2S_Eligibility_List!Q106=DataPaths_Code,1,0)+P356</f>
        <v>1</v>
      </c>
      <c r="R356" s="147">
        <f>IF(M2S_Eligibility_List!R106=DataPaths_Code,1,0)+Q356</f>
        <v>1</v>
      </c>
      <c r="S356" s="147">
        <f>IF(M2S_Eligibility_List!S106=DataPaths_Code,1,0)+R356</f>
        <v>1</v>
      </c>
      <c r="T356" s="147">
        <f>IF(M2S_Eligibility_List!T106=DataPaths_Code,1,0)+S356</f>
        <v>1</v>
      </c>
      <c r="U356" s="147">
        <f>IF(M2S_Eligibility_List!U106=DataPaths_Code,1,0)+T356</f>
        <v>1</v>
      </c>
      <c r="V356" s="147">
        <f>IF(M2S_Eligibility_List!V106=DataPaths_Code,1,0)+U356</f>
        <v>1</v>
      </c>
      <c r="W356" s="147">
        <f>IF(M2S_Eligibility_List!W106=DataPaths_Code,1,0)+V356</f>
        <v>1</v>
      </c>
      <c r="X356" s="147">
        <f>IF(M2S_Eligibility_List!X106=DataPaths_Code,1,0)+W356</f>
        <v>1</v>
      </c>
      <c r="Y356" s="147">
        <f>IF(M2S_Eligibility_List!Y106=DataPaths_Code,1,0)+X356</f>
        <v>1</v>
      </c>
      <c r="Z356" s="147">
        <f>IF(M2S_Eligibility_List!Z106=DataPaths_Code,1,0)+Y356</f>
        <v>1</v>
      </c>
      <c r="AA356" s="147">
        <f>IF(M2S_Eligibility_List!AA106=DataPaths_Code,1,0)+Z356</f>
        <v>1</v>
      </c>
      <c r="AB356" s="147">
        <f>IF(M2S_Eligibility_List!AB106=DataPaths_Code,1,0)+AA356</f>
        <v>1</v>
      </c>
      <c r="AC356" s="147">
        <f>IF(M2S_Eligibility_List!AC106=DataPaths_Code,1,0)+AB356</f>
        <v>1</v>
      </c>
      <c r="AD356" s="147">
        <f>IF(M2S_Eligibility_List!AD106=DataPaths_Code,1,0)+AC356</f>
        <v>1</v>
      </c>
      <c r="AE356" s="147">
        <f>IF(M2S_Eligibility_List!AE106=DataPaths_Code,1,0)+AD356</f>
        <v>1</v>
      </c>
      <c r="AF356" s="147">
        <f>IF(M2S_Eligibility_List!AF106=DataPaths_Code,1,0)+AE356</f>
        <v>1</v>
      </c>
      <c r="AG356" s="147">
        <f>IF(M2S_Eligibility_List!AG106=DataPaths_Code,1,0)+AF356</f>
        <v>1</v>
      </c>
      <c r="AH356" s="147">
        <f>IF(M2S_Eligibility_List!AH106=DataPaths_Code,1,0)+AG356</f>
        <v>1</v>
      </c>
      <c r="AI356" s="147">
        <f>IF(M2S_Eligibility_List!AI106=DataPaths_Code,1,0)+AH356</f>
        <v>1</v>
      </c>
      <c r="AJ356" s="147">
        <f>IF(M2S_Eligibility_List!AJ106=DataPaths_Code,1,0)+AI356</f>
        <v>1</v>
      </c>
      <c r="AK356" s="147">
        <f>IF(M2S_Eligibility_List!AK106=DataPaths_Code,1,0)+AJ356</f>
        <v>1</v>
      </c>
      <c r="AL356" s="147">
        <f>IF(M2S_Eligibility_List!AL106=DataPaths_Code,1,0)+AK356</f>
        <v>1</v>
      </c>
      <c r="AM356" s="147">
        <f>IF(M2S_Eligibility_List!AM106=DataPaths_Code,1,0)+AL356</f>
        <v>2</v>
      </c>
      <c r="AN356" s="147">
        <f>IF(M2S_Eligibility_List!AN106=DataPaths_Code,1,0)+AM356</f>
        <v>3</v>
      </c>
      <c r="AO356" s="147">
        <f>IF(M2S_Eligibility_List!AO106=DataPaths_Code,1,0)+AN356</f>
        <v>3</v>
      </c>
      <c r="AP356" s="147">
        <f>IF(M2S_Eligibility_List!AP106=DataPaths_Code,1,0)+AO356</f>
        <v>3</v>
      </c>
      <c r="AQ356" s="147">
        <f>IF(M2S_Eligibility_List!AQ106=DataPaths_Code,1,0)+AP356</f>
        <v>3</v>
      </c>
      <c r="AR356" s="147">
        <f>IF(M2S_Eligibility_List!AR106=DataPaths_Code,1,0)+AQ356</f>
        <v>3</v>
      </c>
      <c r="AS356" s="147">
        <f>IF(M2S_Eligibility_List!AS106=DataPaths_Code,1,0)+AR356</f>
        <v>3</v>
      </c>
      <c r="AT356" s="147">
        <f>IF(M2S_Eligibility_List!AT106=DataPaths_Code,1,0)+AS356</f>
        <v>3</v>
      </c>
      <c r="AU356" s="147">
        <f>IF(M2S_Eligibility_List!AU106=DataPaths_Code,1,0)+AT356</f>
        <v>3</v>
      </c>
      <c r="AV356" s="147">
        <f>IF(M2S_Eligibility_List!AV106=DataPaths_Code,1,0)+AU356</f>
        <v>3</v>
      </c>
      <c r="AW356" s="147">
        <f>IF(M2S_Eligibility_List!AW106=DataPaths_Code,1,0)+AV356</f>
        <v>3</v>
      </c>
      <c r="AX356" s="147">
        <f>IF(M2S_Eligibility_List!AX106=DataPaths_Code,1,0)+AW356</f>
        <v>3</v>
      </c>
      <c r="AY356" s="147">
        <f>IF(M2S_Eligibility_List!AY106=DataPaths_Code,1,0)+AX356</f>
        <v>3</v>
      </c>
      <c r="AZ356" s="147">
        <f>IF(M2S_Eligibility_List!AZ106=DataPaths_Code,1,0)+AY356</f>
        <v>3</v>
      </c>
      <c r="BA356" s="147">
        <f>IF(M2S_Eligibility_List!BA106=DataPaths_Code,1,0)+AZ356</f>
        <v>3</v>
      </c>
      <c r="BB356" s="147">
        <f>IF(M2S_Eligibility_List!BB106=DataPaths_Code,1,0)+BA356</f>
        <v>3</v>
      </c>
      <c r="BC356" s="147">
        <f>IF(M2S_Eligibility_List!BC106=DataPaths_Code,1,0)+BB356</f>
        <v>3</v>
      </c>
      <c r="BD356" s="147">
        <f>IF(M2S_Eligibility_List!BD106=DataPaths_Code,1,0)+BC356</f>
        <v>3</v>
      </c>
      <c r="BE356" s="147">
        <f>IF(M2S_Eligibility_List!BE106=DataPaths_Code,1,0)+BD356</f>
        <v>3</v>
      </c>
      <c r="BF356" s="147">
        <f>IF(M2S_Eligibility_List!BF106=DataPaths_Code,1,0)+BE356</f>
        <v>3</v>
      </c>
      <c r="BG356" s="147">
        <f>IF(M2S_Eligibility_List!BG106=DataPaths_Code,1,0)+BF356</f>
        <v>3</v>
      </c>
      <c r="BH356" s="147">
        <f>IF(M2S_Eligibility_List!BH106=DataPaths_Code,1,0)+BG356</f>
        <v>3</v>
      </c>
      <c r="BI356" s="147">
        <f>IF(M2S_Eligibility_List!BI106=DataPaths_Code,1,0)+BH356</f>
        <v>3</v>
      </c>
      <c r="BJ356" s="147">
        <f>IF(M2S_Eligibility_List!BJ106=DataPaths_Code,1,0)+BI356</f>
        <v>3</v>
      </c>
      <c r="BK356" s="147">
        <f>IF(M2S_Eligibility_List!BK106=DataPaths_Code,1,0)+BJ356</f>
        <v>3</v>
      </c>
      <c r="BL356" s="147">
        <f>IF(M2S_Eligibility_List!BL106=DataPaths_Code,1,0)+BK356</f>
        <v>3</v>
      </c>
      <c r="BM356" s="147">
        <f>IF(M2S_Eligibility_List!BM106=DataPaths_Code,1,0)+BL356</f>
        <v>3</v>
      </c>
      <c r="BN356" s="147">
        <f>IF(M2S_Eligibility_List!BN106=DataPaths_Code,1,0)+BM356</f>
        <v>3</v>
      </c>
      <c r="BO356" s="147">
        <f>IF(M2S_Eligibility_List!BO106=DataPaths_Code,1,0)+BN356</f>
        <v>3</v>
      </c>
      <c r="BP356" s="147">
        <f>IF(M2S_Eligibility_List!BP106=DataPaths_Code,1,0)+BO356</f>
        <v>3</v>
      </c>
      <c r="BQ356" s="147">
        <f>IF(M2S_Eligibility_List!BQ106=DataPaths_Code,1,0)+BP356</f>
        <v>3</v>
      </c>
      <c r="BR356" s="147">
        <f>IF(M2S_Eligibility_List!BR106=DataPaths_Code,1,0)+BQ356</f>
        <v>3</v>
      </c>
      <c r="BS356" s="147">
        <f>IF(M2S_Eligibility_List!BS106=DataPaths_Code,1,0)+BR356</f>
        <v>3</v>
      </c>
      <c r="BT356" s="147">
        <f>IF(M2S_Eligibility_List!BT106=DataPaths_Code,1,0)+BS356</f>
        <v>3</v>
      </c>
      <c r="BU356" s="147">
        <f>IF(M2S_Eligibility_List!BU106=DataPaths_Code,1,0)+BT356</f>
        <v>3</v>
      </c>
      <c r="BV356" s="147">
        <f>IF(M2S_Eligibility_List!BV106=DataPaths_Code,1,0)+BU356</f>
        <v>3</v>
      </c>
      <c r="BW356" s="147">
        <f>IF(M2S_Eligibility_List!BW106=DataPaths_Code,1,0)+BV356</f>
        <v>3</v>
      </c>
    </row>
    <row r="357" spans="1:75" ht="20.100000000000001" customHeight="1">
      <c r="A357" s="145"/>
      <c r="B357" s="170" t="str">
        <f>IF(M2S_Eligibility_List!$B107&lt;&gt;"",RIGHT(M2S_Eligibility_List!$B107,LEN(M2S_Eligibility_List!$B107)-LEN(nmADwSP)),0)</f>
        <v>Revit</v>
      </c>
      <c r="C357" s="147">
        <f>IF(M2S_Eligibility_List!C107=DataPaths_Code,1,0)</f>
        <v>1</v>
      </c>
      <c r="D357" s="147">
        <f>IF(M2S_Eligibility_List!D107=DataPaths_Code,1,0)+C357</f>
        <v>1</v>
      </c>
      <c r="E357" s="147">
        <f>IF(M2S_Eligibility_List!E107=DataPaths_Code,1,0)+D357</f>
        <v>1</v>
      </c>
      <c r="F357" s="147">
        <f>IF(M2S_Eligibility_List!F107=DataPaths_Code,1,0)+E357</f>
        <v>1</v>
      </c>
      <c r="G357" s="147">
        <f>IF(M2S_Eligibility_List!G107=DataPaths_Code,1,0)+F357</f>
        <v>1</v>
      </c>
      <c r="H357" s="147">
        <f>IF(M2S_Eligibility_List!H107=DataPaths_Code,1,0)+G357</f>
        <v>1</v>
      </c>
      <c r="I357" s="147">
        <f>IF(M2S_Eligibility_List!I107=DataPaths_Code,1,0)+H357</f>
        <v>1</v>
      </c>
      <c r="J357" s="147">
        <f>IF(M2S_Eligibility_List!J107=DataPaths_Code,1,0)+I357</f>
        <v>1</v>
      </c>
      <c r="K357" s="147">
        <f>IF(M2S_Eligibility_List!K107=DataPaths_Code,1,0)+J357</f>
        <v>1</v>
      </c>
      <c r="L357" s="147">
        <f>IF(M2S_Eligibility_List!L107=DataPaths_Code,1,0)+K357</f>
        <v>1</v>
      </c>
      <c r="M357" s="147">
        <f>IF(M2S_Eligibility_List!M107=DataPaths_Code,1,0)+L357</f>
        <v>1</v>
      </c>
      <c r="N357" s="147">
        <f>IF(M2S_Eligibility_List!N107=DataPaths_Code,1,0)+M357</f>
        <v>1</v>
      </c>
      <c r="O357" s="147">
        <f>IF(M2S_Eligibility_List!O107=DataPaths_Code,1,0)+N357</f>
        <v>1</v>
      </c>
      <c r="P357" s="147">
        <f>IF(M2S_Eligibility_List!P107=DataPaths_Code,1,0)+O357</f>
        <v>1</v>
      </c>
      <c r="Q357" s="147">
        <f>IF(M2S_Eligibility_List!Q107=DataPaths_Code,1,0)+P357</f>
        <v>1</v>
      </c>
      <c r="R357" s="147">
        <f>IF(M2S_Eligibility_List!R107=DataPaths_Code,1,0)+Q357</f>
        <v>1</v>
      </c>
      <c r="S357" s="147">
        <f>IF(M2S_Eligibility_List!S107=DataPaths_Code,1,0)+R357</f>
        <v>1</v>
      </c>
      <c r="T357" s="147">
        <f>IF(M2S_Eligibility_List!T107=DataPaths_Code,1,0)+S357</f>
        <v>1</v>
      </c>
      <c r="U357" s="147">
        <f>IF(M2S_Eligibility_List!U107=DataPaths_Code,1,0)+T357</f>
        <v>1</v>
      </c>
      <c r="V357" s="147">
        <f>IF(M2S_Eligibility_List!V107=DataPaths_Code,1,0)+U357</f>
        <v>1</v>
      </c>
      <c r="W357" s="147">
        <f>IF(M2S_Eligibility_List!W107=DataPaths_Code,1,0)+V357</f>
        <v>1</v>
      </c>
      <c r="X357" s="147">
        <f>IF(M2S_Eligibility_List!X107=DataPaths_Code,1,0)+W357</f>
        <v>1</v>
      </c>
      <c r="Y357" s="147">
        <f>IF(M2S_Eligibility_List!Y107=DataPaths_Code,1,0)+X357</f>
        <v>1</v>
      </c>
      <c r="Z357" s="147">
        <f>IF(M2S_Eligibility_List!Z107=DataPaths_Code,1,0)+Y357</f>
        <v>1</v>
      </c>
      <c r="AA357" s="147">
        <f>IF(M2S_Eligibility_List!AA107=DataPaths_Code,1,0)+Z357</f>
        <v>1</v>
      </c>
      <c r="AB357" s="147">
        <f>IF(M2S_Eligibility_List!AB107=DataPaths_Code,1,0)+AA357</f>
        <v>1</v>
      </c>
      <c r="AC357" s="147">
        <f>IF(M2S_Eligibility_List!AC107=DataPaths_Code,1,0)+AB357</f>
        <v>1</v>
      </c>
      <c r="AD357" s="147">
        <f>IF(M2S_Eligibility_List!AD107=DataPaths_Code,1,0)+AC357</f>
        <v>1</v>
      </c>
      <c r="AE357" s="147">
        <f>IF(M2S_Eligibility_List!AE107=DataPaths_Code,1,0)+AD357</f>
        <v>1</v>
      </c>
      <c r="AF357" s="147">
        <f>IF(M2S_Eligibility_List!AF107=DataPaths_Code,1,0)+AE357</f>
        <v>1</v>
      </c>
      <c r="AG357" s="147">
        <f>IF(M2S_Eligibility_List!AG107=DataPaths_Code,1,0)+AF357</f>
        <v>1</v>
      </c>
      <c r="AH357" s="147">
        <f>IF(M2S_Eligibility_List!AH107=DataPaths_Code,1,0)+AG357</f>
        <v>1</v>
      </c>
      <c r="AI357" s="147">
        <f>IF(M2S_Eligibility_List!AI107=DataPaths_Code,1,0)+AH357</f>
        <v>1</v>
      </c>
      <c r="AJ357" s="147">
        <f>IF(M2S_Eligibility_List!AJ107=DataPaths_Code,1,0)+AI357</f>
        <v>1</v>
      </c>
      <c r="AK357" s="147">
        <f>IF(M2S_Eligibility_List!AK107=DataPaths_Code,1,0)+AJ357</f>
        <v>1</v>
      </c>
      <c r="AL357" s="147">
        <f>IF(M2S_Eligibility_List!AL107=DataPaths_Code,1,0)+AK357</f>
        <v>1</v>
      </c>
      <c r="AM357" s="147">
        <f>IF(M2S_Eligibility_List!AM107=DataPaths_Code,1,0)+AL357</f>
        <v>1</v>
      </c>
      <c r="AN357" s="147">
        <f>IF(M2S_Eligibility_List!AN107=DataPaths_Code,1,0)+AM357</f>
        <v>1</v>
      </c>
      <c r="AO357" s="147">
        <f>IF(M2S_Eligibility_List!AO107=DataPaths_Code,1,0)+AN357</f>
        <v>1</v>
      </c>
      <c r="AP357" s="147">
        <f>IF(M2S_Eligibility_List!AP107=DataPaths_Code,1,0)+AO357</f>
        <v>2</v>
      </c>
      <c r="AQ357" s="147">
        <f>IF(M2S_Eligibility_List!AQ107=DataPaths_Code,1,0)+AP357</f>
        <v>2</v>
      </c>
      <c r="AR357" s="147">
        <f>IF(M2S_Eligibility_List!AR107=DataPaths_Code,1,0)+AQ357</f>
        <v>2</v>
      </c>
      <c r="AS357" s="147">
        <f>IF(M2S_Eligibility_List!AS107=DataPaths_Code,1,0)+AR357</f>
        <v>2</v>
      </c>
      <c r="AT357" s="147">
        <f>IF(M2S_Eligibility_List!AT107=DataPaths_Code,1,0)+AS357</f>
        <v>2</v>
      </c>
      <c r="AU357" s="147">
        <f>IF(M2S_Eligibility_List!AU107=DataPaths_Code,1,0)+AT357</f>
        <v>2</v>
      </c>
      <c r="AV357" s="147">
        <f>IF(M2S_Eligibility_List!AV107=DataPaths_Code,1,0)+AU357</f>
        <v>2</v>
      </c>
      <c r="AW357" s="147">
        <f>IF(M2S_Eligibility_List!AW107=DataPaths_Code,1,0)+AV357</f>
        <v>2</v>
      </c>
      <c r="AX357" s="147">
        <f>IF(M2S_Eligibility_List!AX107=DataPaths_Code,1,0)+AW357</f>
        <v>2</v>
      </c>
      <c r="AY357" s="147">
        <f>IF(M2S_Eligibility_List!AY107=DataPaths_Code,1,0)+AX357</f>
        <v>2</v>
      </c>
      <c r="AZ357" s="147">
        <f>IF(M2S_Eligibility_List!AZ107=DataPaths_Code,1,0)+AY357</f>
        <v>2</v>
      </c>
      <c r="BA357" s="147">
        <f>IF(M2S_Eligibility_List!BA107=DataPaths_Code,1,0)+AZ357</f>
        <v>2</v>
      </c>
      <c r="BB357" s="147">
        <f>IF(M2S_Eligibility_List!BB107=DataPaths_Code,1,0)+BA357</f>
        <v>2</v>
      </c>
      <c r="BC357" s="147">
        <f>IF(M2S_Eligibility_List!BC107=DataPaths_Code,1,0)+BB357</f>
        <v>2</v>
      </c>
      <c r="BD357" s="147">
        <f>IF(M2S_Eligibility_List!BD107=DataPaths_Code,1,0)+BC357</f>
        <v>2</v>
      </c>
      <c r="BE357" s="147">
        <f>IF(M2S_Eligibility_List!BE107=DataPaths_Code,1,0)+BD357</f>
        <v>2</v>
      </c>
      <c r="BF357" s="147">
        <f>IF(M2S_Eligibility_List!BF107=DataPaths_Code,1,0)+BE357</f>
        <v>2</v>
      </c>
      <c r="BG357" s="147">
        <f>IF(M2S_Eligibility_List!BG107=DataPaths_Code,1,0)+BF357</f>
        <v>2</v>
      </c>
      <c r="BH357" s="147">
        <f>IF(M2S_Eligibility_List!BH107=DataPaths_Code,1,0)+BG357</f>
        <v>2</v>
      </c>
      <c r="BI357" s="147">
        <f>IF(M2S_Eligibility_List!BI107=DataPaths_Code,1,0)+BH357</f>
        <v>2</v>
      </c>
      <c r="BJ357" s="147">
        <f>IF(M2S_Eligibility_List!BJ107=DataPaths_Code,1,0)+BI357</f>
        <v>2</v>
      </c>
      <c r="BK357" s="147">
        <f>IF(M2S_Eligibility_List!BK107=DataPaths_Code,1,0)+BJ357</f>
        <v>2</v>
      </c>
      <c r="BL357" s="147">
        <f>IF(M2S_Eligibility_List!BL107=DataPaths_Code,1,0)+BK357</f>
        <v>2</v>
      </c>
      <c r="BM357" s="147">
        <f>IF(M2S_Eligibility_List!BM107=DataPaths_Code,1,0)+BL357</f>
        <v>2</v>
      </c>
      <c r="BN357" s="147">
        <f>IF(M2S_Eligibility_List!BN107=DataPaths_Code,1,0)+BM357</f>
        <v>2</v>
      </c>
      <c r="BO357" s="147">
        <f>IF(M2S_Eligibility_List!BO107=DataPaths_Code,1,0)+BN357</f>
        <v>2</v>
      </c>
      <c r="BP357" s="147">
        <f>IF(M2S_Eligibility_List!BP107=DataPaths_Code,1,0)+BO357</f>
        <v>2</v>
      </c>
      <c r="BQ357" s="147">
        <f>IF(M2S_Eligibility_List!BQ107=DataPaths_Code,1,0)+BP357</f>
        <v>2</v>
      </c>
      <c r="BR357" s="147">
        <f>IF(M2S_Eligibility_List!BR107=DataPaths_Code,1,0)+BQ357</f>
        <v>2</v>
      </c>
      <c r="BS357" s="147">
        <f>IF(M2S_Eligibility_List!BS107=DataPaths_Code,1,0)+BR357</f>
        <v>2</v>
      </c>
      <c r="BT357" s="147">
        <f>IF(M2S_Eligibility_List!BT107=DataPaths_Code,1,0)+BS357</f>
        <v>2</v>
      </c>
      <c r="BU357" s="147">
        <f>IF(M2S_Eligibility_List!BU107=DataPaths_Code,1,0)+BT357</f>
        <v>2</v>
      </c>
      <c r="BV357" s="147">
        <f>IF(M2S_Eligibility_List!BV107=DataPaths_Code,1,0)+BU357</f>
        <v>2</v>
      </c>
      <c r="BW357" s="147">
        <f>IF(M2S_Eligibility_List!BW107=DataPaths_Code,1,0)+BV357</f>
        <v>2</v>
      </c>
    </row>
    <row r="358" spans="1:75" ht="20.100000000000001" customHeight="1">
      <c r="A358" s="145"/>
      <c r="B358" s="170" t="str">
        <f>IF(M2S_Eligibility_List!$B108&lt;&gt;"",RIGHT(M2S_Eligibility_List!$B108,LEN(M2S_Eligibility_List!$B108)-LEN(nmADwSP)),0)</f>
        <v>Revit Architecture</v>
      </c>
      <c r="C358" s="147">
        <f>IF(M2S_Eligibility_List!C108=DataPaths_Code,1,0)</f>
        <v>1</v>
      </c>
      <c r="D358" s="147">
        <f>IF(M2S_Eligibility_List!D108=DataPaths_Code,1,0)+C358</f>
        <v>1</v>
      </c>
      <c r="E358" s="147">
        <f>IF(M2S_Eligibility_List!E108=DataPaths_Code,1,0)+D358</f>
        <v>1</v>
      </c>
      <c r="F358" s="147">
        <f>IF(M2S_Eligibility_List!F108=DataPaths_Code,1,0)+E358</f>
        <v>1</v>
      </c>
      <c r="G358" s="147">
        <f>IF(M2S_Eligibility_List!G108=DataPaths_Code,1,0)+F358</f>
        <v>1</v>
      </c>
      <c r="H358" s="147">
        <f>IF(M2S_Eligibility_List!H108=DataPaths_Code,1,0)+G358</f>
        <v>1</v>
      </c>
      <c r="I358" s="147">
        <f>IF(M2S_Eligibility_List!I108=DataPaths_Code,1,0)+H358</f>
        <v>1</v>
      </c>
      <c r="J358" s="147">
        <f>IF(M2S_Eligibility_List!J108=DataPaths_Code,1,0)+I358</f>
        <v>1</v>
      </c>
      <c r="K358" s="147">
        <f>IF(M2S_Eligibility_List!K108=DataPaths_Code,1,0)+J358</f>
        <v>1</v>
      </c>
      <c r="L358" s="147">
        <f>IF(M2S_Eligibility_List!L108=DataPaths_Code,1,0)+K358</f>
        <v>1</v>
      </c>
      <c r="M358" s="147">
        <f>IF(M2S_Eligibility_List!M108=DataPaths_Code,1,0)+L358</f>
        <v>1</v>
      </c>
      <c r="N358" s="147">
        <f>IF(M2S_Eligibility_List!N108=DataPaths_Code,1,0)+M358</f>
        <v>1</v>
      </c>
      <c r="O358" s="147">
        <f>IF(M2S_Eligibility_List!O108=DataPaths_Code,1,0)+N358</f>
        <v>1</v>
      </c>
      <c r="P358" s="147">
        <f>IF(M2S_Eligibility_List!P108=DataPaths_Code,1,0)+O358</f>
        <v>1</v>
      </c>
      <c r="Q358" s="147">
        <f>IF(M2S_Eligibility_List!Q108=DataPaths_Code,1,0)+P358</f>
        <v>1</v>
      </c>
      <c r="R358" s="147">
        <f>IF(M2S_Eligibility_List!R108=DataPaths_Code,1,0)+Q358</f>
        <v>1</v>
      </c>
      <c r="S358" s="147">
        <f>IF(M2S_Eligibility_List!S108=DataPaths_Code,1,0)+R358</f>
        <v>1</v>
      </c>
      <c r="T358" s="147">
        <f>IF(M2S_Eligibility_List!T108=DataPaths_Code,1,0)+S358</f>
        <v>1</v>
      </c>
      <c r="U358" s="147">
        <f>IF(M2S_Eligibility_List!U108=DataPaths_Code,1,0)+T358</f>
        <v>1</v>
      </c>
      <c r="V358" s="147">
        <f>IF(M2S_Eligibility_List!V108=DataPaths_Code,1,0)+U358</f>
        <v>1</v>
      </c>
      <c r="W358" s="147">
        <f>IF(M2S_Eligibility_List!W108=DataPaths_Code,1,0)+V358</f>
        <v>1</v>
      </c>
      <c r="X358" s="147">
        <f>IF(M2S_Eligibility_List!X108=DataPaths_Code,1,0)+W358</f>
        <v>1</v>
      </c>
      <c r="Y358" s="147">
        <f>IF(M2S_Eligibility_List!Y108=DataPaths_Code,1,0)+X358</f>
        <v>1</v>
      </c>
      <c r="Z358" s="147">
        <f>IF(M2S_Eligibility_List!Z108=DataPaths_Code,1,0)+Y358</f>
        <v>1</v>
      </c>
      <c r="AA358" s="147">
        <f>IF(M2S_Eligibility_List!AA108=DataPaths_Code,1,0)+Z358</f>
        <v>1</v>
      </c>
      <c r="AB358" s="147">
        <f>IF(M2S_Eligibility_List!AB108=DataPaths_Code,1,0)+AA358</f>
        <v>1</v>
      </c>
      <c r="AC358" s="147">
        <f>IF(M2S_Eligibility_List!AC108=DataPaths_Code,1,0)+AB358</f>
        <v>1</v>
      </c>
      <c r="AD358" s="147">
        <f>IF(M2S_Eligibility_List!AD108=DataPaths_Code,1,0)+AC358</f>
        <v>1</v>
      </c>
      <c r="AE358" s="147">
        <f>IF(M2S_Eligibility_List!AE108=DataPaths_Code,1,0)+AD358</f>
        <v>1</v>
      </c>
      <c r="AF358" s="147">
        <f>IF(M2S_Eligibility_List!AF108=DataPaths_Code,1,0)+AE358</f>
        <v>1</v>
      </c>
      <c r="AG358" s="147">
        <f>IF(M2S_Eligibility_List!AG108=DataPaths_Code,1,0)+AF358</f>
        <v>1</v>
      </c>
      <c r="AH358" s="147">
        <f>IF(M2S_Eligibility_List!AH108=DataPaths_Code,1,0)+AG358</f>
        <v>1</v>
      </c>
      <c r="AI358" s="147">
        <f>IF(M2S_Eligibility_List!AI108=DataPaths_Code,1,0)+AH358</f>
        <v>1</v>
      </c>
      <c r="AJ358" s="147">
        <f>IF(M2S_Eligibility_List!AJ108=DataPaths_Code,1,0)+AI358</f>
        <v>1</v>
      </c>
      <c r="AK358" s="147">
        <f>IF(M2S_Eligibility_List!AK108=DataPaths_Code,1,0)+AJ358</f>
        <v>1</v>
      </c>
      <c r="AL358" s="147">
        <f>IF(M2S_Eligibility_List!AL108=DataPaths_Code,1,0)+AK358</f>
        <v>1</v>
      </c>
      <c r="AM358" s="147">
        <f>IF(M2S_Eligibility_List!AM108=DataPaths_Code,1,0)+AL358</f>
        <v>1</v>
      </c>
      <c r="AN358" s="147">
        <f>IF(M2S_Eligibility_List!AN108=DataPaths_Code,1,0)+AM358</f>
        <v>1</v>
      </c>
      <c r="AO358" s="147">
        <f>IF(M2S_Eligibility_List!AO108=DataPaths_Code,1,0)+AN358</f>
        <v>1</v>
      </c>
      <c r="AP358" s="147">
        <f>IF(M2S_Eligibility_List!AP108=DataPaths_Code,1,0)+AO358</f>
        <v>2</v>
      </c>
      <c r="AQ358" s="147">
        <f>IF(M2S_Eligibility_List!AQ108=DataPaths_Code,1,0)+AP358</f>
        <v>2</v>
      </c>
      <c r="AR358" s="147">
        <f>IF(M2S_Eligibility_List!AR108=DataPaths_Code,1,0)+AQ358</f>
        <v>2</v>
      </c>
      <c r="AS358" s="147">
        <f>IF(M2S_Eligibility_List!AS108=DataPaths_Code,1,0)+AR358</f>
        <v>2</v>
      </c>
      <c r="AT358" s="147">
        <f>IF(M2S_Eligibility_List!AT108=DataPaths_Code,1,0)+AS358</f>
        <v>2</v>
      </c>
      <c r="AU358" s="147">
        <f>IF(M2S_Eligibility_List!AU108=DataPaths_Code,1,0)+AT358</f>
        <v>2</v>
      </c>
      <c r="AV358" s="147">
        <f>IF(M2S_Eligibility_List!AV108=DataPaths_Code,1,0)+AU358</f>
        <v>2</v>
      </c>
      <c r="AW358" s="147">
        <f>IF(M2S_Eligibility_List!AW108=DataPaths_Code,1,0)+AV358</f>
        <v>2</v>
      </c>
      <c r="AX358" s="147">
        <f>IF(M2S_Eligibility_List!AX108=DataPaths_Code,1,0)+AW358</f>
        <v>2</v>
      </c>
      <c r="AY358" s="147">
        <f>IF(M2S_Eligibility_List!AY108=DataPaths_Code,1,0)+AX358</f>
        <v>2</v>
      </c>
      <c r="AZ358" s="147">
        <f>IF(M2S_Eligibility_List!AZ108=DataPaths_Code,1,0)+AY358</f>
        <v>2</v>
      </c>
      <c r="BA358" s="147">
        <f>IF(M2S_Eligibility_List!BA108=DataPaths_Code,1,0)+AZ358</f>
        <v>2</v>
      </c>
      <c r="BB358" s="147">
        <f>IF(M2S_Eligibility_List!BB108=DataPaths_Code,1,0)+BA358</f>
        <v>2</v>
      </c>
      <c r="BC358" s="147">
        <f>IF(M2S_Eligibility_List!BC108=DataPaths_Code,1,0)+BB358</f>
        <v>2</v>
      </c>
      <c r="BD358" s="147">
        <f>IF(M2S_Eligibility_List!BD108=DataPaths_Code,1,0)+BC358</f>
        <v>2</v>
      </c>
      <c r="BE358" s="147">
        <f>IF(M2S_Eligibility_List!BE108=DataPaths_Code,1,0)+BD358</f>
        <v>2</v>
      </c>
      <c r="BF358" s="147">
        <f>IF(M2S_Eligibility_List!BF108=DataPaths_Code,1,0)+BE358</f>
        <v>2</v>
      </c>
      <c r="BG358" s="147">
        <f>IF(M2S_Eligibility_List!BG108=DataPaths_Code,1,0)+BF358</f>
        <v>2</v>
      </c>
      <c r="BH358" s="147">
        <f>IF(M2S_Eligibility_List!BH108=DataPaths_Code,1,0)+BG358</f>
        <v>2</v>
      </c>
      <c r="BI358" s="147">
        <f>IF(M2S_Eligibility_List!BI108=DataPaths_Code,1,0)+BH358</f>
        <v>2</v>
      </c>
      <c r="BJ358" s="147">
        <f>IF(M2S_Eligibility_List!BJ108=DataPaths_Code,1,0)+BI358</f>
        <v>2</v>
      </c>
      <c r="BK358" s="147">
        <f>IF(M2S_Eligibility_List!BK108=DataPaths_Code,1,0)+BJ358</f>
        <v>2</v>
      </c>
      <c r="BL358" s="147">
        <f>IF(M2S_Eligibility_List!BL108=DataPaths_Code,1,0)+BK358</f>
        <v>2</v>
      </c>
      <c r="BM358" s="147">
        <f>IF(M2S_Eligibility_List!BM108=DataPaths_Code,1,0)+BL358</f>
        <v>2</v>
      </c>
      <c r="BN358" s="147">
        <f>IF(M2S_Eligibility_List!BN108=DataPaths_Code,1,0)+BM358</f>
        <v>2</v>
      </c>
      <c r="BO358" s="147">
        <f>IF(M2S_Eligibility_List!BO108=DataPaths_Code,1,0)+BN358</f>
        <v>2</v>
      </c>
      <c r="BP358" s="147">
        <f>IF(M2S_Eligibility_List!BP108=DataPaths_Code,1,0)+BO358</f>
        <v>2</v>
      </c>
      <c r="BQ358" s="147">
        <f>IF(M2S_Eligibility_List!BQ108=DataPaths_Code,1,0)+BP358</f>
        <v>2</v>
      </c>
      <c r="BR358" s="147">
        <f>IF(M2S_Eligibility_List!BR108=DataPaths_Code,1,0)+BQ358</f>
        <v>2</v>
      </c>
      <c r="BS358" s="147">
        <f>IF(M2S_Eligibility_List!BS108=DataPaths_Code,1,0)+BR358</f>
        <v>2</v>
      </c>
      <c r="BT358" s="147">
        <f>IF(M2S_Eligibility_List!BT108=DataPaths_Code,1,0)+BS358</f>
        <v>2</v>
      </c>
      <c r="BU358" s="147">
        <f>IF(M2S_Eligibility_List!BU108=DataPaths_Code,1,0)+BT358</f>
        <v>2</v>
      </c>
      <c r="BV358" s="147">
        <f>IF(M2S_Eligibility_List!BV108=DataPaths_Code,1,0)+BU358</f>
        <v>2</v>
      </c>
      <c r="BW358" s="147">
        <f>IF(M2S_Eligibility_List!BW108=DataPaths_Code,1,0)+BV358</f>
        <v>2</v>
      </c>
    </row>
    <row r="359" spans="1:75" ht="20.100000000000001" customHeight="1">
      <c r="A359" s="145"/>
      <c r="B359" s="170" t="str">
        <f>IF(M2S_Eligibility_List!$B109&lt;&gt;"",RIGHT(M2S_Eligibility_List!$B109,LEN(M2S_Eligibility_List!$B109)-LEN(nmADwSP)),0)</f>
        <v>Revit LT</v>
      </c>
      <c r="C359" s="147">
        <f>IF(M2S_Eligibility_List!C109=DataPaths_Code,1,0)</f>
        <v>0</v>
      </c>
      <c r="D359" s="147">
        <f>IF(M2S_Eligibility_List!D109=DataPaths_Code,1,0)+C359</f>
        <v>0</v>
      </c>
      <c r="E359" s="147">
        <f>IF(M2S_Eligibility_List!E109=DataPaths_Code,1,0)+D359</f>
        <v>0</v>
      </c>
      <c r="F359" s="147">
        <f>IF(M2S_Eligibility_List!F109=DataPaths_Code,1,0)+E359</f>
        <v>0</v>
      </c>
      <c r="G359" s="147">
        <f>IF(M2S_Eligibility_List!G109=DataPaths_Code,1,0)+F359</f>
        <v>0</v>
      </c>
      <c r="H359" s="147">
        <f>IF(M2S_Eligibility_List!H109=DataPaths_Code,1,0)+G359</f>
        <v>0</v>
      </c>
      <c r="I359" s="147">
        <f>IF(M2S_Eligibility_List!I109=DataPaths_Code,1,0)+H359</f>
        <v>0</v>
      </c>
      <c r="J359" s="147">
        <f>IF(M2S_Eligibility_List!J109=DataPaths_Code,1,0)+I359</f>
        <v>0</v>
      </c>
      <c r="K359" s="147">
        <f>IF(M2S_Eligibility_List!K109=DataPaths_Code,1,0)+J359</f>
        <v>0</v>
      </c>
      <c r="L359" s="147">
        <f>IF(M2S_Eligibility_List!L109=DataPaths_Code,1,0)+K359</f>
        <v>0</v>
      </c>
      <c r="M359" s="147">
        <f>IF(M2S_Eligibility_List!M109=DataPaths_Code,1,0)+L359</f>
        <v>0</v>
      </c>
      <c r="N359" s="147">
        <f>IF(M2S_Eligibility_List!N109=DataPaths_Code,1,0)+M359</f>
        <v>0</v>
      </c>
      <c r="O359" s="147">
        <f>IF(M2S_Eligibility_List!O109=DataPaths_Code,1,0)+N359</f>
        <v>0</v>
      </c>
      <c r="P359" s="147">
        <f>IF(M2S_Eligibility_List!P109=DataPaths_Code,1,0)+O359</f>
        <v>0</v>
      </c>
      <c r="Q359" s="147">
        <f>IF(M2S_Eligibility_List!Q109=DataPaths_Code,1,0)+P359</f>
        <v>0</v>
      </c>
      <c r="R359" s="147">
        <f>IF(M2S_Eligibility_List!R109=DataPaths_Code,1,0)+Q359</f>
        <v>0</v>
      </c>
      <c r="S359" s="147">
        <f>IF(M2S_Eligibility_List!S109=DataPaths_Code,1,0)+R359</f>
        <v>0</v>
      </c>
      <c r="T359" s="147">
        <f>IF(M2S_Eligibility_List!T109=DataPaths_Code,1,0)+S359</f>
        <v>0</v>
      </c>
      <c r="U359" s="147">
        <f>IF(M2S_Eligibility_List!U109=DataPaths_Code,1,0)+T359</f>
        <v>0</v>
      </c>
      <c r="V359" s="147">
        <f>IF(M2S_Eligibility_List!V109=DataPaths_Code,1,0)+U359</f>
        <v>0</v>
      </c>
      <c r="W359" s="147">
        <f>IF(M2S_Eligibility_List!W109=DataPaths_Code,1,0)+V359</f>
        <v>0</v>
      </c>
      <c r="X359" s="147">
        <f>IF(M2S_Eligibility_List!X109=DataPaths_Code,1,0)+W359</f>
        <v>0</v>
      </c>
      <c r="Y359" s="147">
        <f>IF(M2S_Eligibility_List!Y109=DataPaths_Code,1,0)+X359</f>
        <v>0</v>
      </c>
      <c r="Z359" s="147">
        <f>IF(M2S_Eligibility_List!Z109=DataPaths_Code,1,0)+Y359</f>
        <v>0</v>
      </c>
      <c r="AA359" s="147">
        <f>IF(M2S_Eligibility_List!AA109=DataPaths_Code,1,0)+Z359</f>
        <v>0</v>
      </c>
      <c r="AB359" s="147">
        <f>IF(M2S_Eligibility_List!AB109=DataPaths_Code,1,0)+AA359</f>
        <v>0</v>
      </c>
      <c r="AC359" s="147">
        <f>IF(M2S_Eligibility_List!AC109=DataPaths_Code,1,0)+AB359</f>
        <v>0</v>
      </c>
      <c r="AD359" s="147">
        <f>IF(M2S_Eligibility_List!AD109=DataPaths_Code,1,0)+AC359</f>
        <v>0</v>
      </c>
      <c r="AE359" s="147">
        <f>IF(M2S_Eligibility_List!AE109=DataPaths_Code,1,0)+AD359</f>
        <v>0</v>
      </c>
      <c r="AF359" s="147">
        <f>IF(M2S_Eligibility_List!AF109=DataPaths_Code,1,0)+AE359</f>
        <v>0</v>
      </c>
      <c r="AG359" s="147">
        <f>IF(M2S_Eligibility_List!AG109=DataPaths_Code,1,0)+AF359</f>
        <v>0</v>
      </c>
      <c r="AH359" s="147">
        <f>IF(M2S_Eligibility_List!AH109=DataPaths_Code,1,0)+AG359</f>
        <v>0</v>
      </c>
      <c r="AI359" s="147">
        <f>IF(M2S_Eligibility_List!AI109=DataPaths_Code,1,0)+AH359</f>
        <v>0</v>
      </c>
      <c r="AJ359" s="147">
        <f>IF(M2S_Eligibility_List!AJ109=DataPaths_Code,1,0)+AI359</f>
        <v>0</v>
      </c>
      <c r="AK359" s="147">
        <f>IF(M2S_Eligibility_List!AK109=DataPaths_Code,1,0)+AJ359</f>
        <v>0</v>
      </c>
      <c r="AL359" s="147">
        <f>IF(M2S_Eligibility_List!AL109=DataPaths_Code,1,0)+AK359</f>
        <v>0</v>
      </c>
      <c r="AM359" s="147">
        <f>IF(M2S_Eligibility_List!AM109=DataPaths_Code,1,0)+AL359</f>
        <v>0</v>
      </c>
      <c r="AN359" s="147">
        <f>IF(M2S_Eligibility_List!AN109=DataPaths_Code,1,0)+AM359</f>
        <v>0</v>
      </c>
      <c r="AO359" s="147">
        <f>IF(M2S_Eligibility_List!AO109=DataPaths_Code,1,0)+AN359</f>
        <v>0</v>
      </c>
      <c r="AP359" s="147">
        <f>IF(M2S_Eligibility_List!AP109=DataPaths_Code,1,0)+AO359</f>
        <v>0</v>
      </c>
      <c r="AQ359" s="147">
        <f>IF(M2S_Eligibility_List!AQ109=DataPaths_Code,1,0)+AP359</f>
        <v>1</v>
      </c>
      <c r="AR359" s="147">
        <f>IF(M2S_Eligibility_List!AR109=DataPaths_Code,1,0)+AQ359</f>
        <v>2</v>
      </c>
      <c r="AS359" s="147">
        <f>IF(M2S_Eligibility_List!AS109=DataPaths_Code,1,0)+AR359</f>
        <v>2</v>
      </c>
      <c r="AT359" s="147">
        <f>IF(M2S_Eligibility_List!AT109=DataPaths_Code,1,0)+AS359</f>
        <v>2</v>
      </c>
      <c r="AU359" s="147">
        <f>IF(M2S_Eligibility_List!AU109=DataPaths_Code,1,0)+AT359</f>
        <v>2</v>
      </c>
      <c r="AV359" s="147">
        <f>IF(M2S_Eligibility_List!AV109=DataPaths_Code,1,0)+AU359</f>
        <v>2</v>
      </c>
      <c r="AW359" s="147">
        <f>IF(M2S_Eligibility_List!AW109=DataPaths_Code,1,0)+AV359</f>
        <v>2</v>
      </c>
      <c r="AX359" s="147">
        <f>IF(M2S_Eligibility_List!AX109=DataPaths_Code,1,0)+AW359</f>
        <v>2</v>
      </c>
      <c r="AY359" s="147">
        <f>IF(M2S_Eligibility_List!AY109=DataPaths_Code,1,0)+AX359</f>
        <v>2</v>
      </c>
      <c r="AZ359" s="147">
        <f>IF(M2S_Eligibility_List!AZ109=DataPaths_Code,1,0)+AY359</f>
        <v>2</v>
      </c>
      <c r="BA359" s="147">
        <f>IF(M2S_Eligibility_List!BA109=DataPaths_Code,1,0)+AZ359</f>
        <v>2</v>
      </c>
      <c r="BB359" s="147">
        <f>IF(M2S_Eligibility_List!BB109=DataPaths_Code,1,0)+BA359</f>
        <v>2</v>
      </c>
      <c r="BC359" s="147">
        <f>IF(M2S_Eligibility_List!BC109=DataPaths_Code,1,0)+BB359</f>
        <v>2</v>
      </c>
      <c r="BD359" s="147">
        <f>IF(M2S_Eligibility_List!BD109=DataPaths_Code,1,0)+BC359</f>
        <v>2</v>
      </c>
      <c r="BE359" s="147">
        <f>IF(M2S_Eligibility_List!BE109=DataPaths_Code,1,0)+BD359</f>
        <v>2</v>
      </c>
      <c r="BF359" s="147">
        <f>IF(M2S_Eligibility_List!BF109=DataPaths_Code,1,0)+BE359</f>
        <v>2</v>
      </c>
      <c r="BG359" s="147">
        <f>IF(M2S_Eligibility_List!BG109=DataPaths_Code,1,0)+BF359</f>
        <v>2</v>
      </c>
      <c r="BH359" s="147">
        <f>IF(M2S_Eligibility_List!BH109=DataPaths_Code,1,0)+BG359</f>
        <v>2</v>
      </c>
      <c r="BI359" s="147">
        <f>IF(M2S_Eligibility_List!BI109=DataPaths_Code,1,0)+BH359</f>
        <v>2</v>
      </c>
      <c r="BJ359" s="147">
        <f>IF(M2S_Eligibility_List!BJ109=DataPaths_Code,1,0)+BI359</f>
        <v>2</v>
      </c>
      <c r="BK359" s="147">
        <f>IF(M2S_Eligibility_List!BK109=DataPaths_Code,1,0)+BJ359</f>
        <v>2</v>
      </c>
      <c r="BL359" s="147">
        <f>IF(M2S_Eligibility_List!BL109=DataPaths_Code,1,0)+BK359</f>
        <v>2</v>
      </c>
      <c r="BM359" s="147">
        <f>IF(M2S_Eligibility_List!BM109=DataPaths_Code,1,0)+BL359</f>
        <v>2</v>
      </c>
      <c r="BN359" s="147">
        <f>IF(M2S_Eligibility_List!BN109=DataPaths_Code,1,0)+BM359</f>
        <v>2</v>
      </c>
      <c r="BO359" s="147">
        <f>IF(M2S_Eligibility_List!BO109=DataPaths_Code,1,0)+BN359</f>
        <v>2</v>
      </c>
      <c r="BP359" s="147">
        <f>IF(M2S_Eligibility_List!BP109=DataPaths_Code,1,0)+BO359</f>
        <v>2</v>
      </c>
      <c r="BQ359" s="147">
        <f>IF(M2S_Eligibility_List!BQ109=DataPaths_Code,1,0)+BP359</f>
        <v>2</v>
      </c>
      <c r="BR359" s="147">
        <f>IF(M2S_Eligibility_List!BR109=DataPaths_Code,1,0)+BQ359</f>
        <v>2</v>
      </c>
      <c r="BS359" s="147">
        <f>IF(M2S_Eligibility_List!BS109=DataPaths_Code,1,0)+BR359</f>
        <v>2</v>
      </c>
      <c r="BT359" s="147">
        <f>IF(M2S_Eligibility_List!BT109=DataPaths_Code,1,0)+BS359</f>
        <v>2</v>
      </c>
      <c r="BU359" s="147">
        <f>IF(M2S_Eligibility_List!BU109=DataPaths_Code,1,0)+BT359</f>
        <v>2</v>
      </c>
      <c r="BV359" s="147">
        <f>IF(M2S_Eligibility_List!BV109=DataPaths_Code,1,0)+BU359</f>
        <v>2</v>
      </c>
      <c r="BW359" s="147">
        <f>IF(M2S_Eligibility_List!BW109=DataPaths_Code,1,0)+BV359</f>
        <v>2</v>
      </c>
    </row>
    <row r="360" spans="1:75" ht="20.100000000000001" customHeight="1">
      <c r="A360" s="145"/>
      <c r="B360" s="170" t="str">
        <f>IF(M2S_Eligibility_List!$B110&lt;&gt;"",RIGHT(M2S_Eligibility_List!$B110,LEN(M2S_Eligibility_List!$B110)-LEN(nmADwSP)),0)</f>
        <v>AutoCAD Revit LT Suite</v>
      </c>
      <c r="C360" s="147">
        <f>IF(M2S_Eligibility_List!C110=DataPaths_Code,1,0)</f>
        <v>0</v>
      </c>
      <c r="D360" s="147">
        <f>IF(M2S_Eligibility_List!D110=DataPaths_Code,1,0)+C360</f>
        <v>0</v>
      </c>
      <c r="E360" s="147">
        <f>IF(M2S_Eligibility_List!E110=DataPaths_Code,1,0)+D360</f>
        <v>0</v>
      </c>
      <c r="F360" s="147">
        <f>IF(M2S_Eligibility_List!F110=DataPaths_Code,1,0)+E360</f>
        <v>0</v>
      </c>
      <c r="G360" s="147">
        <f>IF(M2S_Eligibility_List!G110=DataPaths_Code,1,0)+F360</f>
        <v>0</v>
      </c>
      <c r="H360" s="147">
        <f>IF(M2S_Eligibility_List!H110=DataPaths_Code,1,0)+G360</f>
        <v>0</v>
      </c>
      <c r="I360" s="147">
        <f>IF(M2S_Eligibility_List!I110=DataPaths_Code,1,0)+H360</f>
        <v>0</v>
      </c>
      <c r="J360" s="147">
        <f>IF(M2S_Eligibility_List!J110=DataPaths_Code,1,0)+I360</f>
        <v>0</v>
      </c>
      <c r="K360" s="147">
        <f>IF(M2S_Eligibility_List!K110=DataPaths_Code,1,0)+J360</f>
        <v>0</v>
      </c>
      <c r="L360" s="147">
        <f>IF(M2S_Eligibility_List!L110=DataPaths_Code,1,0)+K360</f>
        <v>0</v>
      </c>
      <c r="M360" s="147">
        <f>IF(M2S_Eligibility_List!M110=DataPaths_Code,1,0)+L360</f>
        <v>0</v>
      </c>
      <c r="N360" s="147">
        <f>IF(M2S_Eligibility_List!N110=DataPaths_Code,1,0)+M360</f>
        <v>0</v>
      </c>
      <c r="O360" s="147">
        <f>IF(M2S_Eligibility_List!O110=DataPaths_Code,1,0)+N360</f>
        <v>0</v>
      </c>
      <c r="P360" s="147">
        <f>IF(M2S_Eligibility_List!P110=DataPaths_Code,1,0)+O360</f>
        <v>0</v>
      </c>
      <c r="Q360" s="147">
        <f>IF(M2S_Eligibility_List!Q110=DataPaths_Code,1,0)+P360</f>
        <v>0</v>
      </c>
      <c r="R360" s="147">
        <f>IF(M2S_Eligibility_List!R110=DataPaths_Code,1,0)+Q360</f>
        <v>0</v>
      </c>
      <c r="S360" s="147">
        <f>IF(M2S_Eligibility_List!S110=DataPaths_Code,1,0)+R360</f>
        <v>0</v>
      </c>
      <c r="T360" s="147">
        <f>IF(M2S_Eligibility_List!T110=DataPaths_Code,1,0)+S360</f>
        <v>0</v>
      </c>
      <c r="U360" s="147">
        <f>IF(M2S_Eligibility_List!U110=DataPaths_Code,1,0)+T360</f>
        <v>0</v>
      </c>
      <c r="V360" s="147">
        <f>IF(M2S_Eligibility_List!V110=DataPaths_Code,1,0)+U360</f>
        <v>0</v>
      </c>
      <c r="W360" s="147">
        <f>IF(M2S_Eligibility_List!W110=DataPaths_Code,1,0)+V360</f>
        <v>0</v>
      </c>
      <c r="X360" s="147">
        <f>IF(M2S_Eligibility_List!X110=DataPaths_Code,1,0)+W360</f>
        <v>0</v>
      </c>
      <c r="Y360" s="147">
        <f>IF(M2S_Eligibility_List!Y110=DataPaths_Code,1,0)+X360</f>
        <v>0</v>
      </c>
      <c r="Z360" s="147">
        <f>IF(M2S_Eligibility_List!Z110=DataPaths_Code,1,0)+Y360</f>
        <v>0</v>
      </c>
      <c r="AA360" s="147">
        <f>IF(M2S_Eligibility_List!AA110=DataPaths_Code,1,0)+Z360</f>
        <v>0</v>
      </c>
      <c r="AB360" s="147">
        <f>IF(M2S_Eligibility_List!AB110=DataPaths_Code,1,0)+AA360</f>
        <v>0</v>
      </c>
      <c r="AC360" s="147">
        <f>IF(M2S_Eligibility_List!AC110=DataPaths_Code,1,0)+AB360</f>
        <v>0</v>
      </c>
      <c r="AD360" s="147">
        <f>IF(M2S_Eligibility_List!AD110=DataPaths_Code,1,0)+AC360</f>
        <v>0</v>
      </c>
      <c r="AE360" s="147">
        <f>IF(M2S_Eligibility_List!AE110=DataPaths_Code,1,0)+AD360</f>
        <v>0</v>
      </c>
      <c r="AF360" s="147">
        <f>IF(M2S_Eligibility_List!AF110=DataPaths_Code,1,0)+AE360</f>
        <v>0</v>
      </c>
      <c r="AG360" s="147">
        <f>IF(M2S_Eligibility_List!AG110=DataPaths_Code,1,0)+AF360</f>
        <v>0</v>
      </c>
      <c r="AH360" s="147">
        <f>IF(M2S_Eligibility_List!AH110=DataPaths_Code,1,0)+AG360</f>
        <v>0</v>
      </c>
      <c r="AI360" s="147">
        <f>IF(M2S_Eligibility_List!AI110=DataPaths_Code,1,0)+AH360</f>
        <v>0</v>
      </c>
      <c r="AJ360" s="147">
        <f>IF(M2S_Eligibility_List!AJ110=DataPaths_Code,1,0)+AI360</f>
        <v>0</v>
      </c>
      <c r="AK360" s="147">
        <f>IF(M2S_Eligibility_List!AK110=DataPaths_Code,1,0)+AJ360</f>
        <v>0</v>
      </c>
      <c r="AL360" s="147">
        <f>IF(M2S_Eligibility_List!AL110=DataPaths_Code,1,0)+AK360</f>
        <v>0</v>
      </c>
      <c r="AM360" s="147">
        <f>IF(M2S_Eligibility_List!AM110=DataPaths_Code,1,0)+AL360</f>
        <v>0</v>
      </c>
      <c r="AN360" s="147">
        <f>IF(M2S_Eligibility_List!AN110=DataPaths_Code,1,0)+AM360</f>
        <v>0</v>
      </c>
      <c r="AO360" s="147">
        <f>IF(M2S_Eligibility_List!AO110=DataPaths_Code,1,0)+AN360</f>
        <v>0</v>
      </c>
      <c r="AP360" s="147">
        <f>IF(M2S_Eligibility_List!AP110=DataPaths_Code,1,0)+AO360</f>
        <v>0</v>
      </c>
      <c r="AQ360" s="147">
        <f>IF(M2S_Eligibility_List!AQ110=DataPaths_Code,1,0)+AP360</f>
        <v>0</v>
      </c>
      <c r="AR360" s="147">
        <f>IF(M2S_Eligibility_List!AR110=DataPaths_Code,1,0)+AQ360</f>
        <v>1</v>
      </c>
      <c r="AS360" s="147">
        <f>IF(M2S_Eligibility_List!AS110=DataPaths_Code,1,0)+AR360</f>
        <v>1</v>
      </c>
      <c r="AT360" s="147">
        <f>IF(M2S_Eligibility_List!AT110=DataPaths_Code,1,0)+AS360</f>
        <v>1</v>
      </c>
      <c r="AU360" s="147">
        <f>IF(M2S_Eligibility_List!AU110=DataPaths_Code,1,0)+AT360</f>
        <v>1</v>
      </c>
      <c r="AV360" s="147">
        <f>IF(M2S_Eligibility_List!AV110=DataPaths_Code,1,0)+AU360</f>
        <v>1</v>
      </c>
      <c r="AW360" s="147">
        <f>IF(M2S_Eligibility_List!AW110=DataPaths_Code,1,0)+AV360</f>
        <v>1</v>
      </c>
      <c r="AX360" s="147">
        <f>IF(M2S_Eligibility_List!AX110=DataPaths_Code,1,0)+AW360</f>
        <v>1</v>
      </c>
      <c r="AY360" s="147">
        <f>IF(M2S_Eligibility_List!AY110=DataPaths_Code,1,0)+AX360</f>
        <v>1</v>
      </c>
      <c r="AZ360" s="147">
        <f>IF(M2S_Eligibility_List!AZ110=DataPaths_Code,1,0)+AY360</f>
        <v>1</v>
      </c>
      <c r="BA360" s="147">
        <f>IF(M2S_Eligibility_List!BA110=DataPaths_Code,1,0)+AZ360</f>
        <v>1</v>
      </c>
      <c r="BB360" s="147">
        <f>IF(M2S_Eligibility_List!BB110=DataPaths_Code,1,0)+BA360</f>
        <v>1</v>
      </c>
      <c r="BC360" s="147">
        <f>IF(M2S_Eligibility_List!BC110=DataPaths_Code,1,0)+BB360</f>
        <v>1</v>
      </c>
      <c r="BD360" s="147">
        <f>IF(M2S_Eligibility_List!BD110=DataPaths_Code,1,0)+BC360</f>
        <v>1</v>
      </c>
      <c r="BE360" s="147">
        <f>IF(M2S_Eligibility_List!BE110=DataPaths_Code,1,0)+BD360</f>
        <v>1</v>
      </c>
      <c r="BF360" s="147">
        <f>IF(M2S_Eligibility_List!BF110=DataPaths_Code,1,0)+BE360</f>
        <v>1</v>
      </c>
      <c r="BG360" s="147">
        <f>IF(M2S_Eligibility_List!BG110=DataPaths_Code,1,0)+BF360</f>
        <v>1</v>
      </c>
      <c r="BH360" s="147">
        <f>IF(M2S_Eligibility_List!BH110=DataPaths_Code,1,0)+BG360</f>
        <v>1</v>
      </c>
      <c r="BI360" s="147">
        <f>IF(M2S_Eligibility_List!BI110=DataPaths_Code,1,0)+BH360</f>
        <v>1</v>
      </c>
      <c r="BJ360" s="147">
        <f>IF(M2S_Eligibility_List!BJ110=DataPaths_Code,1,0)+BI360</f>
        <v>1</v>
      </c>
      <c r="BK360" s="147">
        <f>IF(M2S_Eligibility_List!BK110=DataPaths_Code,1,0)+BJ360</f>
        <v>1</v>
      </c>
      <c r="BL360" s="147">
        <f>IF(M2S_Eligibility_List!BL110=DataPaths_Code,1,0)+BK360</f>
        <v>1</v>
      </c>
      <c r="BM360" s="147">
        <f>IF(M2S_Eligibility_List!BM110=DataPaths_Code,1,0)+BL360</f>
        <v>1</v>
      </c>
      <c r="BN360" s="147">
        <f>IF(M2S_Eligibility_List!BN110=DataPaths_Code,1,0)+BM360</f>
        <v>1</v>
      </c>
      <c r="BO360" s="147">
        <f>IF(M2S_Eligibility_List!BO110=DataPaths_Code,1,0)+BN360</f>
        <v>1</v>
      </c>
      <c r="BP360" s="147">
        <f>IF(M2S_Eligibility_List!BP110=DataPaths_Code,1,0)+BO360</f>
        <v>1</v>
      </c>
      <c r="BQ360" s="147">
        <f>IF(M2S_Eligibility_List!BQ110=DataPaths_Code,1,0)+BP360</f>
        <v>1</v>
      </c>
      <c r="BR360" s="147">
        <f>IF(M2S_Eligibility_List!BR110=DataPaths_Code,1,0)+BQ360</f>
        <v>1</v>
      </c>
      <c r="BS360" s="147">
        <f>IF(M2S_Eligibility_List!BS110=DataPaths_Code,1,0)+BR360</f>
        <v>1</v>
      </c>
      <c r="BT360" s="147">
        <f>IF(M2S_Eligibility_List!BT110=DataPaths_Code,1,0)+BS360</f>
        <v>1</v>
      </c>
      <c r="BU360" s="147">
        <f>IF(M2S_Eligibility_List!BU110=DataPaths_Code,1,0)+BT360</f>
        <v>1</v>
      </c>
      <c r="BV360" s="147">
        <f>IF(M2S_Eligibility_List!BV110=DataPaths_Code,1,0)+BU360</f>
        <v>1</v>
      </c>
      <c r="BW360" s="147">
        <f>IF(M2S_Eligibility_List!BW110=DataPaths_Code,1,0)+BV360</f>
        <v>1</v>
      </c>
    </row>
    <row r="361" spans="1:75" ht="20.100000000000001" customHeight="1">
      <c r="A361" s="145"/>
      <c r="B361" s="170" t="str">
        <f>IF(M2S_Eligibility_List!$B111&lt;&gt;"",RIGHT(M2S_Eligibility_List!$B111,LEN(M2S_Eligibility_List!$B111)-LEN(nmADwSP)),0)</f>
        <v>Revit MEP</v>
      </c>
      <c r="C361" s="147">
        <f>IF(M2S_Eligibility_List!C111=DataPaths_Code,1,0)</f>
        <v>1</v>
      </c>
      <c r="D361" s="147">
        <f>IF(M2S_Eligibility_List!D111=DataPaths_Code,1,0)+C361</f>
        <v>1</v>
      </c>
      <c r="E361" s="147">
        <f>IF(M2S_Eligibility_List!E111=DataPaths_Code,1,0)+D361</f>
        <v>1</v>
      </c>
      <c r="F361" s="147">
        <f>IF(M2S_Eligibility_List!F111=DataPaths_Code,1,0)+E361</f>
        <v>1</v>
      </c>
      <c r="G361" s="147">
        <f>IF(M2S_Eligibility_List!G111=DataPaths_Code,1,0)+F361</f>
        <v>1</v>
      </c>
      <c r="H361" s="147">
        <f>IF(M2S_Eligibility_List!H111=DataPaths_Code,1,0)+G361</f>
        <v>1</v>
      </c>
      <c r="I361" s="147">
        <f>IF(M2S_Eligibility_List!I111=DataPaths_Code,1,0)+H361</f>
        <v>1</v>
      </c>
      <c r="J361" s="147">
        <f>IF(M2S_Eligibility_List!J111=DataPaths_Code,1,0)+I361</f>
        <v>1</v>
      </c>
      <c r="K361" s="147">
        <f>IF(M2S_Eligibility_List!K111=DataPaths_Code,1,0)+J361</f>
        <v>1</v>
      </c>
      <c r="L361" s="147">
        <f>IF(M2S_Eligibility_List!L111=DataPaths_Code,1,0)+K361</f>
        <v>1</v>
      </c>
      <c r="M361" s="147">
        <f>IF(M2S_Eligibility_List!M111=DataPaths_Code,1,0)+L361</f>
        <v>1</v>
      </c>
      <c r="N361" s="147">
        <f>IF(M2S_Eligibility_List!N111=DataPaths_Code,1,0)+M361</f>
        <v>1</v>
      </c>
      <c r="O361" s="147">
        <f>IF(M2S_Eligibility_List!O111=DataPaths_Code,1,0)+N361</f>
        <v>1</v>
      </c>
      <c r="P361" s="147">
        <f>IF(M2S_Eligibility_List!P111=DataPaths_Code,1,0)+O361</f>
        <v>1</v>
      </c>
      <c r="Q361" s="147">
        <f>IF(M2S_Eligibility_List!Q111=DataPaths_Code,1,0)+P361</f>
        <v>1</v>
      </c>
      <c r="R361" s="147">
        <f>IF(M2S_Eligibility_List!R111=DataPaths_Code,1,0)+Q361</f>
        <v>1</v>
      </c>
      <c r="S361" s="147">
        <f>IF(M2S_Eligibility_List!S111=DataPaths_Code,1,0)+R361</f>
        <v>1</v>
      </c>
      <c r="T361" s="147">
        <f>IF(M2S_Eligibility_List!T111=DataPaths_Code,1,0)+S361</f>
        <v>1</v>
      </c>
      <c r="U361" s="147">
        <f>IF(M2S_Eligibility_List!U111=DataPaths_Code,1,0)+T361</f>
        <v>1</v>
      </c>
      <c r="V361" s="147">
        <f>IF(M2S_Eligibility_List!V111=DataPaths_Code,1,0)+U361</f>
        <v>1</v>
      </c>
      <c r="W361" s="147">
        <f>IF(M2S_Eligibility_List!W111=DataPaths_Code,1,0)+V361</f>
        <v>1</v>
      </c>
      <c r="X361" s="147">
        <f>IF(M2S_Eligibility_List!X111=DataPaths_Code,1,0)+W361</f>
        <v>1</v>
      </c>
      <c r="Y361" s="147">
        <f>IF(M2S_Eligibility_List!Y111=DataPaths_Code,1,0)+X361</f>
        <v>1</v>
      </c>
      <c r="Z361" s="147">
        <f>IF(M2S_Eligibility_List!Z111=DataPaths_Code,1,0)+Y361</f>
        <v>1</v>
      </c>
      <c r="AA361" s="147">
        <f>IF(M2S_Eligibility_List!AA111=DataPaths_Code,1,0)+Z361</f>
        <v>1</v>
      </c>
      <c r="AB361" s="147">
        <f>IF(M2S_Eligibility_List!AB111=DataPaths_Code,1,0)+AA361</f>
        <v>1</v>
      </c>
      <c r="AC361" s="147">
        <f>IF(M2S_Eligibility_List!AC111=DataPaths_Code,1,0)+AB361</f>
        <v>1</v>
      </c>
      <c r="AD361" s="147">
        <f>IF(M2S_Eligibility_List!AD111=DataPaths_Code,1,0)+AC361</f>
        <v>1</v>
      </c>
      <c r="AE361" s="147">
        <f>IF(M2S_Eligibility_List!AE111=DataPaths_Code,1,0)+AD361</f>
        <v>1</v>
      </c>
      <c r="AF361" s="147">
        <f>IF(M2S_Eligibility_List!AF111=DataPaths_Code,1,0)+AE361</f>
        <v>1</v>
      </c>
      <c r="AG361" s="147">
        <f>IF(M2S_Eligibility_List!AG111=DataPaths_Code,1,0)+AF361</f>
        <v>1</v>
      </c>
      <c r="AH361" s="147">
        <f>IF(M2S_Eligibility_List!AH111=DataPaths_Code,1,0)+AG361</f>
        <v>1</v>
      </c>
      <c r="AI361" s="147">
        <f>IF(M2S_Eligibility_List!AI111=DataPaths_Code,1,0)+AH361</f>
        <v>1</v>
      </c>
      <c r="AJ361" s="147">
        <f>IF(M2S_Eligibility_List!AJ111=DataPaths_Code,1,0)+AI361</f>
        <v>1</v>
      </c>
      <c r="AK361" s="147">
        <f>IF(M2S_Eligibility_List!AK111=DataPaths_Code,1,0)+AJ361</f>
        <v>1</v>
      </c>
      <c r="AL361" s="147">
        <f>IF(M2S_Eligibility_List!AL111=DataPaths_Code,1,0)+AK361</f>
        <v>1</v>
      </c>
      <c r="AM361" s="147">
        <f>IF(M2S_Eligibility_List!AM111=DataPaths_Code,1,0)+AL361</f>
        <v>1</v>
      </c>
      <c r="AN361" s="147">
        <f>IF(M2S_Eligibility_List!AN111=DataPaths_Code,1,0)+AM361</f>
        <v>1</v>
      </c>
      <c r="AO361" s="147">
        <f>IF(M2S_Eligibility_List!AO111=DataPaths_Code,1,0)+AN361</f>
        <v>1</v>
      </c>
      <c r="AP361" s="147">
        <f>IF(M2S_Eligibility_List!AP111=DataPaths_Code,1,0)+AO361</f>
        <v>2</v>
      </c>
      <c r="AQ361" s="147">
        <f>IF(M2S_Eligibility_List!AQ111=DataPaths_Code,1,0)+AP361</f>
        <v>2</v>
      </c>
      <c r="AR361" s="147">
        <f>IF(M2S_Eligibility_List!AR111=DataPaths_Code,1,0)+AQ361</f>
        <v>2</v>
      </c>
      <c r="AS361" s="147">
        <f>IF(M2S_Eligibility_List!AS111=DataPaths_Code,1,0)+AR361</f>
        <v>2</v>
      </c>
      <c r="AT361" s="147">
        <f>IF(M2S_Eligibility_List!AT111=DataPaths_Code,1,0)+AS361</f>
        <v>2</v>
      </c>
      <c r="AU361" s="147">
        <f>IF(M2S_Eligibility_List!AU111=DataPaths_Code,1,0)+AT361</f>
        <v>2</v>
      </c>
      <c r="AV361" s="147">
        <f>IF(M2S_Eligibility_List!AV111=DataPaths_Code,1,0)+AU361</f>
        <v>2</v>
      </c>
      <c r="AW361" s="147">
        <f>IF(M2S_Eligibility_List!AW111=DataPaths_Code,1,0)+AV361</f>
        <v>2</v>
      </c>
      <c r="AX361" s="147">
        <f>IF(M2S_Eligibility_List!AX111=DataPaths_Code,1,0)+AW361</f>
        <v>2</v>
      </c>
      <c r="AY361" s="147">
        <f>IF(M2S_Eligibility_List!AY111=DataPaths_Code,1,0)+AX361</f>
        <v>2</v>
      </c>
      <c r="AZ361" s="147">
        <f>IF(M2S_Eligibility_List!AZ111=DataPaths_Code,1,0)+AY361</f>
        <v>2</v>
      </c>
      <c r="BA361" s="147">
        <f>IF(M2S_Eligibility_List!BA111=DataPaths_Code,1,0)+AZ361</f>
        <v>2</v>
      </c>
      <c r="BB361" s="147">
        <f>IF(M2S_Eligibility_List!BB111=DataPaths_Code,1,0)+BA361</f>
        <v>2</v>
      </c>
      <c r="BC361" s="147">
        <f>IF(M2S_Eligibility_List!BC111=DataPaths_Code,1,0)+BB361</f>
        <v>2</v>
      </c>
      <c r="BD361" s="147">
        <f>IF(M2S_Eligibility_List!BD111=DataPaths_Code,1,0)+BC361</f>
        <v>2</v>
      </c>
      <c r="BE361" s="147">
        <f>IF(M2S_Eligibility_List!BE111=DataPaths_Code,1,0)+BD361</f>
        <v>2</v>
      </c>
      <c r="BF361" s="147">
        <f>IF(M2S_Eligibility_List!BF111=DataPaths_Code,1,0)+BE361</f>
        <v>2</v>
      </c>
      <c r="BG361" s="147">
        <f>IF(M2S_Eligibility_List!BG111=DataPaths_Code,1,0)+BF361</f>
        <v>2</v>
      </c>
      <c r="BH361" s="147">
        <f>IF(M2S_Eligibility_List!BH111=DataPaths_Code,1,0)+BG361</f>
        <v>2</v>
      </c>
      <c r="BI361" s="147">
        <f>IF(M2S_Eligibility_List!BI111=DataPaths_Code,1,0)+BH361</f>
        <v>2</v>
      </c>
      <c r="BJ361" s="147">
        <f>IF(M2S_Eligibility_List!BJ111=DataPaths_Code,1,0)+BI361</f>
        <v>2</v>
      </c>
      <c r="BK361" s="147">
        <f>IF(M2S_Eligibility_List!BK111=DataPaths_Code,1,0)+BJ361</f>
        <v>2</v>
      </c>
      <c r="BL361" s="147">
        <f>IF(M2S_Eligibility_List!BL111=DataPaths_Code,1,0)+BK361</f>
        <v>2</v>
      </c>
      <c r="BM361" s="147">
        <f>IF(M2S_Eligibility_List!BM111=DataPaths_Code,1,0)+BL361</f>
        <v>2</v>
      </c>
      <c r="BN361" s="147">
        <f>IF(M2S_Eligibility_List!BN111=DataPaths_Code,1,0)+BM361</f>
        <v>2</v>
      </c>
      <c r="BO361" s="147">
        <f>IF(M2S_Eligibility_List!BO111=DataPaths_Code,1,0)+BN361</f>
        <v>2</v>
      </c>
      <c r="BP361" s="147">
        <f>IF(M2S_Eligibility_List!BP111=DataPaths_Code,1,0)+BO361</f>
        <v>2</v>
      </c>
      <c r="BQ361" s="147">
        <f>IF(M2S_Eligibility_List!BQ111=DataPaths_Code,1,0)+BP361</f>
        <v>2</v>
      </c>
      <c r="BR361" s="147">
        <f>IF(M2S_Eligibility_List!BR111=DataPaths_Code,1,0)+BQ361</f>
        <v>2</v>
      </c>
      <c r="BS361" s="147">
        <f>IF(M2S_Eligibility_List!BS111=DataPaths_Code,1,0)+BR361</f>
        <v>2</v>
      </c>
      <c r="BT361" s="147">
        <f>IF(M2S_Eligibility_List!BT111=DataPaths_Code,1,0)+BS361</f>
        <v>2</v>
      </c>
      <c r="BU361" s="147">
        <f>IF(M2S_Eligibility_List!BU111=DataPaths_Code,1,0)+BT361</f>
        <v>2</v>
      </c>
      <c r="BV361" s="147">
        <f>IF(M2S_Eligibility_List!BV111=DataPaths_Code,1,0)+BU361</f>
        <v>2</v>
      </c>
      <c r="BW361" s="147">
        <f>IF(M2S_Eligibility_List!BW111=DataPaths_Code,1,0)+BV361</f>
        <v>2</v>
      </c>
    </row>
    <row r="362" spans="1:75" ht="20.100000000000001" customHeight="1">
      <c r="A362" s="145"/>
      <c r="B362" s="170" t="str">
        <f>IF(M2S_Eligibility_List!$B112&lt;&gt;"",RIGHT(M2S_Eligibility_List!$B112,LEN(M2S_Eligibility_List!$B112)-LEN(nmADwSP)),0)</f>
        <v>Revit Structure</v>
      </c>
      <c r="C362" s="147">
        <f>IF(M2S_Eligibility_List!C112=DataPaths_Code,1,0)</f>
        <v>1</v>
      </c>
      <c r="D362" s="147">
        <f>IF(M2S_Eligibility_List!D112=DataPaths_Code,1,0)+C362</f>
        <v>1</v>
      </c>
      <c r="E362" s="147">
        <f>IF(M2S_Eligibility_List!E112=DataPaths_Code,1,0)+D362</f>
        <v>1</v>
      </c>
      <c r="F362" s="147">
        <f>IF(M2S_Eligibility_List!F112=DataPaths_Code,1,0)+E362</f>
        <v>1</v>
      </c>
      <c r="G362" s="147">
        <f>IF(M2S_Eligibility_List!G112=DataPaths_Code,1,0)+F362</f>
        <v>1</v>
      </c>
      <c r="H362" s="147">
        <f>IF(M2S_Eligibility_List!H112=DataPaths_Code,1,0)+G362</f>
        <v>1</v>
      </c>
      <c r="I362" s="147">
        <f>IF(M2S_Eligibility_List!I112=DataPaths_Code,1,0)+H362</f>
        <v>1</v>
      </c>
      <c r="J362" s="147">
        <f>IF(M2S_Eligibility_List!J112=DataPaths_Code,1,0)+I362</f>
        <v>1</v>
      </c>
      <c r="K362" s="147">
        <f>IF(M2S_Eligibility_List!K112=DataPaths_Code,1,0)+J362</f>
        <v>1</v>
      </c>
      <c r="L362" s="147">
        <f>IF(M2S_Eligibility_List!L112=DataPaths_Code,1,0)+K362</f>
        <v>1</v>
      </c>
      <c r="M362" s="147">
        <f>IF(M2S_Eligibility_List!M112=DataPaths_Code,1,0)+L362</f>
        <v>1</v>
      </c>
      <c r="N362" s="147">
        <f>IF(M2S_Eligibility_List!N112=DataPaths_Code,1,0)+M362</f>
        <v>1</v>
      </c>
      <c r="O362" s="147">
        <f>IF(M2S_Eligibility_List!O112=DataPaths_Code,1,0)+N362</f>
        <v>1</v>
      </c>
      <c r="P362" s="147">
        <f>IF(M2S_Eligibility_List!P112=DataPaths_Code,1,0)+O362</f>
        <v>1</v>
      </c>
      <c r="Q362" s="147">
        <f>IF(M2S_Eligibility_List!Q112=DataPaths_Code,1,0)+P362</f>
        <v>1</v>
      </c>
      <c r="R362" s="147">
        <f>IF(M2S_Eligibility_List!R112=DataPaths_Code,1,0)+Q362</f>
        <v>1</v>
      </c>
      <c r="S362" s="147">
        <f>IF(M2S_Eligibility_List!S112=DataPaths_Code,1,0)+R362</f>
        <v>1</v>
      </c>
      <c r="T362" s="147">
        <f>IF(M2S_Eligibility_List!T112=DataPaths_Code,1,0)+S362</f>
        <v>1</v>
      </c>
      <c r="U362" s="147">
        <f>IF(M2S_Eligibility_List!U112=DataPaths_Code,1,0)+T362</f>
        <v>1</v>
      </c>
      <c r="V362" s="147">
        <f>IF(M2S_Eligibility_List!V112=DataPaths_Code,1,0)+U362</f>
        <v>1</v>
      </c>
      <c r="W362" s="147">
        <f>IF(M2S_Eligibility_List!W112=DataPaths_Code,1,0)+V362</f>
        <v>1</v>
      </c>
      <c r="X362" s="147">
        <f>IF(M2S_Eligibility_List!X112=DataPaths_Code,1,0)+W362</f>
        <v>1</v>
      </c>
      <c r="Y362" s="147">
        <f>IF(M2S_Eligibility_List!Y112=DataPaths_Code,1,0)+X362</f>
        <v>1</v>
      </c>
      <c r="Z362" s="147">
        <f>IF(M2S_Eligibility_List!Z112=DataPaths_Code,1,0)+Y362</f>
        <v>1</v>
      </c>
      <c r="AA362" s="147">
        <f>IF(M2S_Eligibility_List!AA112=DataPaths_Code,1,0)+Z362</f>
        <v>1</v>
      </c>
      <c r="AB362" s="147">
        <f>IF(M2S_Eligibility_List!AB112=DataPaths_Code,1,0)+AA362</f>
        <v>1</v>
      </c>
      <c r="AC362" s="147">
        <f>IF(M2S_Eligibility_List!AC112=DataPaths_Code,1,0)+AB362</f>
        <v>1</v>
      </c>
      <c r="AD362" s="147">
        <f>IF(M2S_Eligibility_List!AD112=DataPaths_Code,1,0)+AC362</f>
        <v>1</v>
      </c>
      <c r="AE362" s="147">
        <f>IF(M2S_Eligibility_List!AE112=DataPaths_Code,1,0)+AD362</f>
        <v>1</v>
      </c>
      <c r="AF362" s="147">
        <f>IF(M2S_Eligibility_List!AF112=DataPaths_Code,1,0)+AE362</f>
        <v>1</v>
      </c>
      <c r="AG362" s="147">
        <f>IF(M2S_Eligibility_List!AG112=DataPaths_Code,1,0)+AF362</f>
        <v>1</v>
      </c>
      <c r="AH362" s="147">
        <f>IF(M2S_Eligibility_List!AH112=DataPaths_Code,1,0)+AG362</f>
        <v>1</v>
      </c>
      <c r="AI362" s="147">
        <f>IF(M2S_Eligibility_List!AI112=DataPaths_Code,1,0)+AH362</f>
        <v>1</v>
      </c>
      <c r="AJ362" s="147">
        <f>IF(M2S_Eligibility_List!AJ112=DataPaths_Code,1,0)+AI362</f>
        <v>1</v>
      </c>
      <c r="AK362" s="147">
        <f>IF(M2S_Eligibility_List!AK112=DataPaths_Code,1,0)+AJ362</f>
        <v>1</v>
      </c>
      <c r="AL362" s="147">
        <f>IF(M2S_Eligibility_List!AL112=DataPaths_Code,1,0)+AK362</f>
        <v>1</v>
      </c>
      <c r="AM362" s="147">
        <f>IF(M2S_Eligibility_List!AM112=DataPaths_Code,1,0)+AL362</f>
        <v>1</v>
      </c>
      <c r="AN362" s="147">
        <f>IF(M2S_Eligibility_List!AN112=DataPaths_Code,1,0)+AM362</f>
        <v>1</v>
      </c>
      <c r="AO362" s="147">
        <f>IF(M2S_Eligibility_List!AO112=DataPaths_Code,1,0)+AN362</f>
        <v>1</v>
      </c>
      <c r="AP362" s="147">
        <f>IF(M2S_Eligibility_List!AP112=DataPaths_Code,1,0)+AO362</f>
        <v>2</v>
      </c>
      <c r="AQ362" s="147">
        <f>IF(M2S_Eligibility_List!AQ112=DataPaths_Code,1,0)+AP362</f>
        <v>2</v>
      </c>
      <c r="AR362" s="147">
        <f>IF(M2S_Eligibility_List!AR112=DataPaths_Code,1,0)+AQ362</f>
        <v>2</v>
      </c>
      <c r="AS362" s="147">
        <f>IF(M2S_Eligibility_List!AS112=DataPaths_Code,1,0)+AR362</f>
        <v>2</v>
      </c>
      <c r="AT362" s="147">
        <f>IF(M2S_Eligibility_List!AT112=DataPaths_Code,1,0)+AS362</f>
        <v>2</v>
      </c>
      <c r="AU362" s="147">
        <f>IF(M2S_Eligibility_List!AU112=DataPaths_Code,1,0)+AT362</f>
        <v>2</v>
      </c>
      <c r="AV362" s="147">
        <f>IF(M2S_Eligibility_List!AV112=DataPaths_Code,1,0)+AU362</f>
        <v>2</v>
      </c>
      <c r="AW362" s="147">
        <f>IF(M2S_Eligibility_List!AW112=DataPaths_Code,1,0)+AV362</f>
        <v>2</v>
      </c>
      <c r="AX362" s="147">
        <f>IF(M2S_Eligibility_List!AX112=DataPaths_Code,1,0)+AW362</f>
        <v>2</v>
      </c>
      <c r="AY362" s="147">
        <f>IF(M2S_Eligibility_List!AY112=DataPaths_Code,1,0)+AX362</f>
        <v>2</v>
      </c>
      <c r="AZ362" s="147">
        <f>IF(M2S_Eligibility_List!AZ112=DataPaths_Code,1,0)+AY362</f>
        <v>2</v>
      </c>
      <c r="BA362" s="147">
        <f>IF(M2S_Eligibility_List!BA112=DataPaths_Code,1,0)+AZ362</f>
        <v>2</v>
      </c>
      <c r="BB362" s="147">
        <f>IF(M2S_Eligibility_List!BB112=DataPaths_Code,1,0)+BA362</f>
        <v>2</v>
      </c>
      <c r="BC362" s="147">
        <f>IF(M2S_Eligibility_List!BC112=DataPaths_Code,1,0)+BB362</f>
        <v>2</v>
      </c>
      <c r="BD362" s="147">
        <f>IF(M2S_Eligibility_List!BD112=DataPaths_Code,1,0)+BC362</f>
        <v>2</v>
      </c>
      <c r="BE362" s="147">
        <f>IF(M2S_Eligibility_List!BE112=DataPaths_Code,1,0)+BD362</f>
        <v>2</v>
      </c>
      <c r="BF362" s="147">
        <f>IF(M2S_Eligibility_List!BF112=DataPaths_Code,1,0)+BE362</f>
        <v>2</v>
      </c>
      <c r="BG362" s="147">
        <f>IF(M2S_Eligibility_List!BG112=DataPaths_Code,1,0)+BF362</f>
        <v>2</v>
      </c>
      <c r="BH362" s="147">
        <f>IF(M2S_Eligibility_List!BH112=DataPaths_Code,1,0)+BG362</f>
        <v>2</v>
      </c>
      <c r="BI362" s="147">
        <f>IF(M2S_Eligibility_List!BI112=DataPaths_Code,1,0)+BH362</f>
        <v>2</v>
      </c>
      <c r="BJ362" s="147">
        <f>IF(M2S_Eligibility_List!BJ112=DataPaths_Code,1,0)+BI362</f>
        <v>2</v>
      </c>
      <c r="BK362" s="147">
        <f>IF(M2S_Eligibility_List!BK112=DataPaths_Code,1,0)+BJ362</f>
        <v>2</v>
      </c>
      <c r="BL362" s="147">
        <f>IF(M2S_Eligibility_List!BL112=DataPaths_Code,1,0)+BK362</f>
        <v>2</v>
      </c>
      <c r="BM362" s="147">
        <f>IF(M2S_Eligibility_List!BM112=DataPaths_Code,1,0)+BL362</f>
        <v>2</v>
      </c>
      <c r="BN362" s="147">
        <f>IF(M2S_Eligibility_List!BN112=DataPaths_Code,1,0)+BM362</f>
        <v>2</v>
      </c>
      <c r="BO362" s="147">
        <f>IF(M2S_Eligibility_List!BO112=DataPaths_Code,1,0)+BN362</f>
        <v>2</v>
      </c>
      <c r="BP362" s="147">
        <f>IF(M2S_Eligibility_List!BP112=DataPaths_Code,1,0)+BO362</f>
        <v>2</v>
      </c>
      <c r="BQ362" s="147">
        <f>IF(M2S_Eligibility_List!BQ112=DataPaths_Code,1,0)+BP362</f>
        <v>2</v>
      </c>
      <c r="BR362" s="147">
        <f>IF(M2S_Eligibility_List!BR112=DataPaths_Code,1,0)+BQ362</f>
        <v>2</v>
      </c>
      <c r="BS362" s="147">
        <f>IF(M2S_Eligibility_List!BS112=DataPaths_Code,1,0)+BR362</f>
        <v>2</v>
      </c>
      <c r="BT362" s="147">
        <f>IF(M2S_Eligibility_List!BT112=DataPaths_Code,1,0)+BS362</f>
        <v>2</v>
      </c>
      <c r="BU362" s="147">
        <f>IF(M2S_Eligibility_List!BU112=DataPaths_Code,1,0)+BT362</f>
        <v>2</v>
      </c>
      <c r="BV362" s="147">
        <f>IF(M2S_Eligibility_List!BV112=DataPaths_Code,1,0)+BU362</f>
        <v>2</v>
      </c>
      <c r="BW362" s="147">
        <f>IF(M2S_Eligibility_List!BW112=DataPaths_Code,1,0)+BV362</f>
        <v>2</v>
      </c>
    </row>
    <row r="363" spans="1:75" ht="20.100000000000001" customHeight="1">
      <c r="A363" s="145"/>
      <c r="B363" s="170" t="str">
        <f>IF(M2S_Eligibility_List!$B113&lt;&gt;"",RIGHT(M2S_Eligibility_List!$B113,LEN(M2S_Eligibility_List!$B113)-LEN(nmADwSP)),0)</f>
        <v>Robot Structural Analysis Professional</v>
      </c>
      <c r="C363" s="147">
        <f>IF(M2S_Eligibility_List!C113=DataPaths_Code,1,0)</f>
        <v>1</v>
      </c>
      <c r="D363" s="147">
        <f>IF(M2S_Eligibility_List!D113=DataPaths_Code,1,0)+C363</f>
        <v>1</v>
      </c>
      <c r="E363" s="147">
        <f>IF(M2S_Eligibility_List!E113=DataPaths_Code,1,0)+D363</f>
        <v>1</v>
      </c>
      <c r="F363" s="147">
        <f>IF(M2S_Eligibility_List!F113=DataPaths_Code,1,0)+E363</f>
        <v>1</v>
      </c>
      <c r="G363" s="147">
        <f>IF(M2S_Eligibility_List!G113=DataPaths_Code,1,0)+F363</f>
        <v>1</v>
      </c>
      <c r="H363" s="147">
        <f>IF(M2S_Eligibility_List!H113=DataPaths_Code,1,0)+G363</f>
        <v>1</v>
      </c>
      <c r="I363" s="147">
        <f>IF(M2S_Eligibility_List!I113=DataPaths_Code,1,0)+H363</f>
        <v>1</v>
      </c>
      <c r="J363" s="147">
        <f>IF(M2S_Eligibility_List!J113=DataPaths_Code,1,0)+I363</f>
        <v>1</v>
      </c>
      <c r="K363" s="147">
        <f>IF(M2S_Eligibility_List!K113=DataPaths_Code,1,0)+J363</f>
        <v>1</v>
      </c>
      <c r="L363" s="147">
        <f>IF(M2S_Eligibility_List!L113=DataPaths_Code,1,0)+K363</f>
        <v>1</v>
      </c>
      <c r="M363" s="147">
        <f>IF(M2S_Eligibility_List!M113=DataPaths_Code,1,0)+L363</f>
        <v>1</v>
      </c>
      <c r="N363" s="147">
        <f>IF(M2S_Eligibility_List!N113=DataPaths_Code,1,0)+M363</f>
        <v>1</v>
      </c>
      <c r="O363" s="147">
        <f>IF(M2S_Eligibility_List!O113=DataPaths_Code,1,0)+N363</f>
        <v>1</v>
      </c>
      <c r="P363" s="147">
        <f>IF(M2S_Eligibility_List!P113=DataPaths_Code,1,0)+O363</f>
        <v>1</v>
      </c>
      <c r="Q363" s="147">
        <f>IF(M2S_Eligibility_List!Q113=DataPaths_Code,1,0)+P363</f>
        <v>1</v>
      </c>
      <c r="R363" s="147">
        <f>IF(M2S_Eligibility_List!R113=DataPaths_Code,1,0)+Q363</f>
        <v>1</v>
      </c>
      <c r="S363" s="147">
        <f>IF(M2S_Eligibility_List!S113=DataPaths_Code,1,0)+R363</f>
        <v>1</v>
      </c>
      <c r="T363" s="147">
        <f>IF(M2S_Eligibility_List!T113=DataPaths_Code,1,0)+S363</f>
        <v>1</v>
      </c>
      <c r="U363" s="147">
        <f>IF(M2S_Eligibility_List!U113=DataPaths_Code,1,0)+T363</f>
        <v>1</v>
      </c>
      <c r="V363" s="147">
        <f>IF(M2S_Eligibility_List!V113=DataPaths_Code,1,0)+U363</f>
        <v>1</v>
      </c>
      <c r="W363" s="147">
        <f>IF(M2S_Eligibility_List!W113=DataPaths_Code,1,0)+V363</f>
        <v>1</v>
      </c>
      <c r="X363" s="147">
        <f>IF(M2S_Eligibility_List!X113=DataPaths_Code,1,0)+W363</f>
        <v>1</v>
      </c>
      <c r="Y363" s="147">
        <f>IF(M2S_Eligibility_List!Y113=DataPaths_Code,1,0)+X363</f>
        <v>1</v>
      </c>
      <c r="Z363" s="147">
        <f>IF(M2S_Eligibility_List!Z113=DataPaths_Code,1,0)+Y363</f>
        <v>1</v>
      </c>
      <c r="AA363" s="147">
        <f>IF(M2S_Eligibility_List!AA113=DataPaths_Code,1,0)+Z363</f>
        <v>1</v>
      </c>
      <c r="AB363" s="147">
        <f>IF(M2S_Eligibility_List!AB113=DataPaths_Code,1,0)+AA363</f>
        <v>1</v>
      </c>
      <c r="AC363" s="147">
        <f>IF(M2S_Eligibility_List!AC113=DataPaths_Code,1,0)+AB363</f>
        <v>1</v>
      </c>
      <c r="AD363" s="147">
        <f>IF(M2S_Eligibility_List!AD113=DataPaths_Code,1,0)+AC363</f>
        <v>1</v>
      </c>
      <c r="AE363" s="147">
        <f>IF(M2S_Eligibility_List!AE113=DataPaths_Code,1,0)+AD363</f>
        <v>1</v>
      </c>
      <c r="AF363" s="147">
        <f>IF(M2S_Eligibility_List!AF113=DataPaths_Code,1,0)+AE363</f>
        <v>1</v>
      </c>
      <c r="AG363" s="147">
        <f>IF(M2S_Eligibility_List!AG113=DataPaths_Code,1,0)+AF363</f>
        <v>1</v>
      </c>
      <c r="AH363" s="147">
        <f>IF(M2S_Eligibility_List!AH113=DataPaths_Code,1,0)+AG363</f>
        <v>1</v>
      </c>
      <c r="AI363" s="147">
        <f>IF(M2S_Eligibility_List!AI113=DataPaths_Code,1,0)+AH363</f>
        <v>1</v>
      </c>
      <c r="AJ363" s="147">
        <f>IF(M2S_Eligibility_List!AJ113=DataPaths_Code,1,0)+AI363</f>
        <v>1</v>
      </c>
      <c r="AK363" s="147">
        <f>IF(M2S_Eligibility_List!AK113=DataPaths_Code,1,0)+AJ363</f>
        <v>1</v>
      </c>
      <c r="AL363" s="147">
        <f>IF(M2S_Eligibility_List!AL113=DataPaths_Code,1,0)+AK363</f>
        <v>1</v>
      </c>
      <c r="AM363" s="147">
        <f>IF(M2S_Eligibility_List!AM113=DataPaths_Code,1,0)+AL363</f>
        <v>1</v>
      </c>
      <c r="AN363" s="147">
        <f>IF(M2S_Eligibility_List!AN113=DataPaths_Code,1,0)+AM363</f>
        <v>1</v>
      </c>
      <c r="AO363" s="147">
        <f>IF(M2S_Eligibility_List!AO113=DataPaths_Code,1,0)+AN363</f>
        <v>1</v>
      </c>
      <c r="AP363" s="147">
        <f>IF(M2S_Eligibility_List!AP113=DataPaths_Code,1,0)+AO363</f>
        <v>1</v>
      </c>
      <c r="AQ363" s="147">
        <f>IF(M2S_Eligibility_List!AQ113=DataPaths_Code,1,0)+AP363</f>
        <v>1</v>
      </c>
      <c r="AR363" s="147">
        <f>IF(M2S_Eligibility_List!AR113=DataPaths_Code,1,0)+AQ363</f>
        <v>1</v>
      </c>
      <c r="AS363" s="147">
        <f>IF(M2S_Eligibility_List!AS113=DataPaths_Code,1,0)+AR363</f>
        <v>1</v>
      </c>
      <c r="AT363" s="147">
        <f>IF(M2S_Eligibility_List!AT113=DataPaths_Code,1,0)+AS363</f>
        <v>1</v>
      </c>
      <c r="AU363" s="147">
        <f>IF(M2S_Eligibility_List!AU113=DataPaths_Code,1,0)+AT363</f>
        <v>1</v>
      </c>
      <c r="AV363" s="147">
        <f>IF(M2S_Eligibility_List!AV113=DataPaths_Code,1,0)+AU363</f>
        <v>1</v>
      </c>
      <c r="AW363" s="147">
        <f>IF(M2S_Eligibility_List!AW113=DataPaths_Code,1,0)+AV363</f>
        <v>1</v>
      </c>
      <c r="AX363" s="147">
        <f>IF(M2S_Eligibility_List!AX113=DataPaths_Code,1,0)+AW363</f>
        <v>1</v>
      </c>
      <c r="AY363" s="147">
        <f>IF(M2S_Eligibility_List!AY113=DataPaths_Code,1,0)+AX363</f>
        <v>1</v>
      </c>
      <c r="AZ363" s="147">
        <f>IF(M2S_Eligibility_List!AZ113=DataPaths_Code,1,0)+AY363</f>
        <v>1</v>
      </c>
      <c r="BA363" s="147">
        <f>IF(M2S_Eligibility_List!BA113=DataPaths_Code,1,0)+AZ363</f>
        <v>1</v>
      </c>
      <c r="BB363" s="147">
        <f>IF(M2S_Eligibility_List!BB113=DataPaths_Code,1,0)+BA363</f>
        <v>1</v>
      </c>
      <c r="BC363" s="147">
        <f>IF(M2S_Eligibility_List!BC113=DataPaths_Code,1,0)+BB363</f>
        <v>1</v>
      </c>
      <c r="BD363" s="147">
        <f>IF(M2S_Eligibility_List!BD113=DataPaths_Code,1,0)+BC363</f>
        <v>1</v>
      </c>
      <c r="BE363" s="147">
        <f>IF(M2S_Eligibility_List!BE113=DataPaths_Code,1,0)+BD363</f>
        <v>1</v>
      </c>
      <c r="BF363" s="147">
        <f>IF(M2S_Eligibility_List!BF113=DataPaths_Code,1,0)+BE363</f>
        <v>1</v>
      </c>
      <c r="BG363" s="147">
        <f>IF(M2S_Eligibility_List!BG113=DataPaths_Code,1,0)+BF363</f>
        <v>1</v>
      </c>
      <c r="BH363" s="147">
        <f>IF(M2S_Eligibility_List!BH113=DataPaths_Code,1,0)+BG363</f>
        <v>1</v>
      </c>
      <c r="BI363" s="147">
        <f>IF(M2S_Eligibility_List!BI113=DataPaths_Code,1,0)+BH363</f>
        <v>1</v>
      </c>
      <c r="BJ363" s="147">
        <f>IF(M2S_Eligibility_List!BJ113=DataPaths_Code,1,0)+BI363</f>
        <v>1</v>
      </c>
      <c r="BK363" s="147">
        <f>IF(M2S_Eligibility_List!BK113=DataPaths_Code,1,0)+BJ363</f>
        <v>1</v>
      </c>
      <c r="BL363" s="147">
        <f>IF(M2S_Eligibility_List!BL113=DataPaths_Code,1,0)+BK363</f>
        <v>1</v>
      </c>
      <c r="BM363" s="147">
        <f>IF(M2S_Eligibility_List!BM113=DataPaths_Code,1,0)+BL363</f>
        <v>1</v>
      </c>
      <c r="BN363" s="147">
        <f>IF(M2S_Eligibility_List!BN113=DataPaths_Code,1,0)+BM363</f>
        <v>1</v>
      </c>
      <c r="BO363" s="147">
        <f>IF(M2S_Eligibility_List!BO113=DataPaths_Code,1,0)+BN363</f>
        <v>1</v>
      </c>
      <c r="BP363" s="147">
        <f>IF(M2S_Eligibility_List!BP113=DataPaths_Code,1,0)+BO363</f>
        <v>1</v>
      </c>
      <c r="BQ363" s="147">
        <f>IF(M2S_Eligibility_List!BQ113=DataPaths_Code,1,0)+BP363</f>
        <v>1</v>
      </c>
      <c r="BR363" s="147">
        <f>IF(M2S_Eligibility_List!BR113=DataPaths_Code,1,0)+BQ363</f>
        <v>1</v>
      </c>
      <c r="BS363" s="147">
        <f>IF(M2S_Eligibility_List!BS113=DataPaths_Code,1,0)+BR363</f>
        <v>1</v>
      </c>
      <c r="BT363" s="147">
        <f>IF(M2S_Eligibility_List!BT113=DataPaths_Code,1,0)+BS363</f>
        <v>1</v>
      </c>
      <c r="BU363" s="147">
        <f>IF(M2S_Eligibility_List!BU113=DataPaths_Code,1,0)+BT363</f>
        <v>1</v>
      </c>
      <c r="BV363" s="147">
        <f>IF(M2S_Eligibility_List!BV113=DataPaths_Code,1,0)+BU363</f>
        <v>1</v>
      </c>
      <c r="BW363" s="147">
        <f>IF(M2S_Eligibility_List!BW113=DataPaths_Code,1,0)+BV363</f>
        <v>1</v>
      </c>
    </row>
    <row r="364" spans="1:75" ht="20.100000000000001" customHeight="1">
      <c r="A364" s="145"/>
      <c r="B364" s="170" t="str">
        <f>IF(M2S_Eligibility_List!$B114&lt;&gt;"",RIGHT(M2S_Eligibility_List!$B114,LEN(M2S_Eligibility_List!$B114)-LEN(nmADwSP)),0)</f>
        <v>Simulation Mechanical</v>
      </c>
      <c r="C364" s="147">
        <f>IF(M2S_Eligibility_List!C114=DataPaths_Code,1,0)</f>
        <v>0</v>
      </c>
      <c r="D364" s="147">
        <f>IF(M2S_Eligibility_List!D114=DataPaths_Code,1,0)+C364</f>
        <v>1</v>
      </c>
      <c r="E364" s="147">
        <f>IF(M2S_Eligibility_List!E114=DataPaths_Code,1,0)+D364</f>
        <v>1</v>
      </c>
      <c r="F364" s="147">
        <f>IF(M2S_Eligibility_List!F114=DataPaths_Code,1,0)+E364</f>
        <v>1</v>
      </c>
      <c r="G364" s="147">
        <f>IF(M2S_Eligibility_List!G114=DataPaths_Code,1,0)+F364</f>
        <v>1</v>
      </c>
      <c r="H364" s="147">
        <f>IF(M2S_Eligibility_List!H114=DataPaths_Code,1,0)+G364</f>
        <v>1</v>
      </c>
      <c r="I364" s="147">
        <f>IF(M2S_Eligibility_List!I114=DataPaths_Code,1,0)+H364</f>
        <v>1</v>
      </c>
      <c r="J364" s="147">
        <f>IF(M2S_Eligibility_List!J114=DataPaths_Code,1,0)+I364</f>
        <v>1</v>
      </c>
      <c r="K364" s="147">
        <f>IF(M2S_Eligibility_List!K114=DataPaths_Code,1,0)+J364</f>
        <v>1</v>
      </c>
      <c r="L364" s="147">
        <f>IF(M2S_Eligibility_List!L114=DataPaths_Code,1,0)+K364</f>
        <v>1</v>
      </c>
      <c r="M364" s="147">
        <f>IF(M2S_Eligibility_List!M114=DataPaths_Code,1,0)+L364</f>
        <v>1</v>
      </c>
      <c r="N364" s="147">
        <f>IF(M2S_Eligibility_List!N114=DataPaths_Code,1,0)+M364</f>
        <v>1</v>
      </c>
      <c r="O364" s="147">
        <f>IF(M2S_Eligibility_List!O114=DataPaths_Code,1,0)+N364</f>
        <v>1</v>
      </c>
      <c r="P364" s="147">
        <f>IF(M2S_Eligibility_List!P114=DataPaths_Code,1,0)+O364</f>
        <v>1</v>
      </c>
      <c r="Q364" s="147">
        <f>IF(M2S_Eligibility_List!Q114=DataPaths_Code,1,0)+P364</f>
        <v>1</v>
      </c>
      <c r="R364" s="147">
        <f>IF(M2S_Eligibility_List!R114=DataPaths_Code,1,0)+Q364</f>
        <v>1</v>
      </c>
      <c r="S364" s="147">
        <f>IF(M2S_Eligibility_List!S114=DataPaths_Code,1,0)+R364</f>
        <v>1</v>
      </c>
      <c r="T364" s="147">
        <f>IF(M2S_Eligibility_List!T114=DataPaths_Code,1,0)+S364</f>
        <v>1</v>
      </c>
      <c r="U364" s="147">
        <f>IF(M2S_Eligibility_List!U114=DataPaths_Code,1,0)+T364</f>
        <v>1</v>
      </c>
      <c r="V364" s="147">
        <f>IF(M2S_Eligibility_List!V114=DataPaths_Code,1,0)+U364</f>
        <v>1</v>
      </c>
      <c r="W364" s="147">
        <f>IF(M2S_Eligibility_List!W114=DataPaths_Code,1,0)+V364</f>
        <v>1</v>
      </c>
      <c r="X364" s="147">
        <f>IF(M2S_Eligibility_List!X114=DataPaths_Code,1,0)+W364</f>
        <v>1</v>
      </c>
      <c r="Y364" s="147">
        <f>IF(M2S_Eligibility_List!Y114=DataPaths_Code,1,0)+X364</f>
        <v>1</v>
      </c>
      <c r="Z364" s="147">
        <f>IF(M2S_Eligibility_List!Z114=DataPaths_Code,1,0)+Y364</f>
        <v>1</v>
      </c>
      <c r="AA364" s="147">
        <f>IF(M2S_Eligibility_List!AA114=DataPaths_Code,1,0)+Z364</f>
        <v>1</v>
      </c>
      <c r="AB364" s="147">
        <f>IF(M2S_Eligibility_List!AB114=DataPaths_Code,1,0)+AA364</f>
        <v>1</v>
      </c>
      <c r="AC364" s="147">
        <f>IF(M2S_Eligibility_List!AC114=DataPaths_Code,1,0)+AB364</f>
        <v>1</v>
      </c>
      <c r="AD364" s="147">
        <f>IF(M2S_Eligibility_List!AD114=DataPaths_Code,1,0)+AC364</f>
        <v>1</v>
      </c>
      <c r="AE364" s="147">
        <f>IF(M2S_Eligibility_List!AE114=DataPaths_Code,1,0)+AD364</f>
        <v>1</v>
      </c>
      <c r="AF364" s="147">
        <f>IF(M2S_Eligibility_List!AF114=DataPaths_Code,1,0)+AE364</f>
        <v>1</v>
      </c>
      <c r="AG364" s="147">
        <f>IF(M2S_Eligibility_List!AG114=DataPaths_Code,1,0)+AF364</f>
        <v>1</v>
      </c>
      <c r="AH364" s="147">
        <f>IF(M2S_Eligibility_List!AH114=DataPaths_Code,1,0)+AG364</f>
        <v>1</v>
      </c>
      <c r="AI364" s="147">
        <f>IF(M2S_Eligibility_List!AI114=DataPaths_Code,1,0)+AH364</f>
        <v>1</v>
      </c>
      <c r="AJ364" s="147">
        <f>IF(M2S_Eligibility_List!AJ114=DataPaths_Code,1,0)+AI364</f>
        <v>1</v>
      </c>
      <c r="AK364" s="147">
        <f>IF(M2S_Eligibility_List!AK114=DataPaths_Code,1,0)+AJ364</f>
        <v>1</v>
      </c>
      <c r="AL364" s="147">
        <f>IF(M2S_Eligibility_List!AL114=DataPaths_Code,1,0)+AK364</f>
        <v>1</v>
      </c>
      <c r="AM364" s="147">
        <f>IF(M2S_Eligibility_List!AM114=DataPaths_Code,1,0)+AL364</f>
        <v>1</v>
      </c>
      <c r="AN364" s="147">
        <f>IF(M2S_Eligibility_List!AN114=DataPaths_Code,1,0)+AM364</f>
        <v>1</v>
      </c>
      <c r="AO364" s="147">
        <f>IF(M2S_Eligibility_List!AO114=DataPaths_Code,1,0)+AN364</f>
        <v>1</v>
      </c>
      <c r="AP364" s="147">
        <f>IF(M2S_Eligibility_List!AP114=DataPaths_Code,1,0)+AO364</f>
        <v>1</v>
      </c>
      <c r="AQ364" s="147">
        <f>IF(M2S_Eligibility_List!AQ114=DataPaths_Code,1,0)+AP364</f>
        <v>1</v>
      </c>
      <c r="AR364" s="147">
        <f>IF(M2S_Eligibility_List!AR114=DataPaths_Code,1,0)+AQ364</f>
        <v>1</v>
      </c>
      <c r="AS364" s="147">
        <f>IF(M2S_Eligibility_List!AS114=DataPaths_Code,1,0)+AR364</f>
        <v>1</v>
      </c>
      <c r="AT364" s="147">
        <f>IF(M2S_Eligibility_List!AT114=DataPaths_Code,1,0)+AS364</f>
        <v>1</v>
      </c>
      <c r="AU364" s="147">
        <f>IF(M2S_Eligibility_List!AU114=DataPaths_Code,1,0)+AT364</f>
        <v>1</v>
      </c>
      <c r="AV364" s="147">
        <f>IF(M2S_Eligibility_List!AV114=DataPaths_Code,1,0)+AU364</f>
        <v>1</v>
      </c>
      <c r="AW364" s="147">
        <f>IF(M2S_Eligibility_List!AW114=DataPaths_Code,1,0)+AV364</f>
        <v>1</v>
      </c>
      <c r="AX364" s="147">
        <f>IF(M2S_Eligibility_List!AX114=DataPaths_Code,1,0)+AW364</f>
        <v>1</v>
      </c>
      <c r="AY364" s="147">
        <f>IF(M2S_Eligibility_List!AY114=DataPaths_Code,1,0)+AX364</f>
        <v>1</v>
      </c>
      <c r="AZ364" s="147">
        <f>IF(M2S_Eligibility_List!AZ114=DataPaths_Code,1,0)+AY364</f>
        <v>1</v>
      </c>
      <c r="BA364" s="147">
        <f>IF(M2S_Eligibility_List!BA114=DataPaths_Code,1,0)+AZ364</f>
        <v>1</v>
      </c>
      <c r="BB364" s="147">
        <f>IF(M2S_Eligibility_List!BB114=DataPaths_Code,1,0)+BA364</f>
        <v>1</v>
      </c>
      <c r="BC364" s="147">
        <f>IF(M2S_Eligibility_List!BC114=DataPaths_Code,1,0)+BB364</f>
        <v>1</v>
      </c>
      <c r="BD364" s="147">
        <f>IF(M2S_Eligibility_List!BD114=DataPaths_Code,1,0)+BC364</f>
        <v>1</v>
      </c>
      <c r="BE364" s="147">
        <f>IF(M2S_Eligibility_List!BE114=DataPaths_Code,1,0)+BD364</f>
        <v>1</v>
      </c>
      <c r="BF364" s="147">
        <f>IF(M2S_Eligibility_List!BF114=DataPaths_Code,1,0)+BE364</f>
        <v>1</v>
      </c>
      <c r="BG364" s="147">
        <f>IF(M2S_Eligibility_List!BG114=DataPaths_Code,1,0)+BF364</f>
        <v>1</v>
      </c>
      <c r="BH364" s="147">
        <f>IF(M2S_Eligibility_List!BH114=DataPaths_Code,1,0)+BG364</f>
        <v>1</v>
      </c>
      <c r="BI364" s="147">
        <f>IF(M2S_Eligibility_List!BI114=DataPaths_Code,1,0)+BH364</f>
        <v>1</v>
      </c>
      <c r="BJ364" s="147">
        <f>IF(M2S_Eligibility_List!BJ114=DataPaths_Code,1,0)+BI364</f>
        <v>1</v>
      </c>
      <c r="BK364" s="147">
        <f>IF(M2S_Eligibility_List!BK114=DataPaths_Code,1,0)+BJ364</f>
        <v>1</v>
      </c>
      <c r="BL364" s="147">
        <f>IF(M2S_Eligibility_List!BL114=DataPaths_Code,1,0)+BK364</f>
        <v>1</v>
      </c>
      <c r="BM364" s="147">
        <f>IF(M2S_Eligibility_List!BM114=DataPaths_Code,1,0)+BL364</f>
        <v>1</v>
      </c>
      <c r="BN364" s="147">
        <f>IF(M2S_Eligibility_List!BN114=DataPaths_Code,1,0)+BM364</f>
        <v>1</v>
      </c>
      <c r="BO364" s="147">
        <f>IF(M2S_Eligibility_List!BO114=DataPaths_Code,1,0)+BN364</f>
        <v>1</v>
      </c>
      <c r="BP364" s="147">
        <f>IF(M2S_Eligibility_List!BP114=DataPaths_Code,1,0)+BO364</f>
        <v>1</v>
      </c>
      <c r="BQ364" s="147">
        <f>IF(M2S_Eligibility_List!BQ114=DataPaths_Code,1,0)+BP364</f>
        <v>1</v>
      </c>
      <c r="BR364" s="147">
        <f>IF(M2S_Eligibility_List!BR114=DataPaths_Code,1,0)+BQ364</f>
        <v>1</v>
      </c>
      <c r="BS364" s="147">
        <f>IF(M2S_Eligibility_List!BS114=DataPaths_Code,1,0)+BR364</f>
        <v>1</v>
      </c>
      <c r="BT364" s="147">
        <f>IF(M2S_Eligibility_List!BT114=DataPaths_Code,1,0)+BS364</f>
        <v>1</v>
      </c>
      <c r="BU364" s="147">
        <f>IF(M2S_Eligibility_List!BU114=DataPaths_Code,1,0)+BT364</f>
        <v>1</v>
      </c>
      <c r="BV364" s="147">
        <f>IF(M2S_Eligibility_List!BV114=DataPaths_Code,1,0)+BU364</f>
        <v>1</v>
      </c>
      <c r="BW364" s="147">
        <f>IF(M2S_Eligibility_List!BW114=DataPaths_Code,1,0)+BV364</f>
        <v>1</v>
      </c>
    </row>
    <row r="365" spans="1:75" ht="20.100000000000001" customHeight="1">
      <c r="A365" s="145"/>
      <c r="B365" s="170" t="str">
        <f>IF(M2S_Eligibility_List!$B115&lt;&gt;"",RIGHT(M2S_Eligibility_List!$B115,LEN(M2S_Eligibility_List!$B115)-LEN(nmADwSP)),0)</f>
        <v>SketchBook - For Enterprise</v>
      </c>
      <c r="C365" s="147">
        <f>IF(M2S_Eligibility_List!C115=DataPaths_Code,1,0)</f>
        <v>0</v>
      </c>
      <c r="D365" s="147">
        <f>IF(M2S_Eligibility_List!D115=DataPaths_Code,1,0)+C365</f>
        <v>0</v>
      </c>
      <c r="E365" s="147">
        <f>IF(M2S_Eligibility_List!E115=DataPaths_Code,1,0)+D365</f>
        <v>0</v>
      </c>
      <c r="F365" s="147">
        <f>IF(M2S_Eligibility_List!F115=DataPaths_Code,1,0)+E365</f>
        <v>0</v>
      </c>
      <c r="G365" s="147">
        <f>IF(M2S_Eligibility_List!G115=DataPaths_Code,1,0)+F365</f>
        <v>0</v>
      </c>
      <c r="H365" s="147">
        <f>IF(M2S_Eligibility_List!H115=DataPaths_Code,1,0)+G365</f>
        <v>0</v>
      </c>
      <c r="I365" s="147">
        <f>IF(M2S_Eligibility_List!I115=DataPaths_Code,1,0)+H365</f>
        <v>0</v>
      </c>
      <c r="J365" s="147">
        <f>IF(M2S_Eligibility_List!J115=DataPaths_Code,1,0)+I365</f>
        <v>0</v>
      </c>
      <c r="K365" s="147">
        <f>IF(M2S_Eligibility_List!K115=DataPaths_Code,1,0)+J365</f>
        <v>0</v>
      </c>
      <c r="L365" s="147">
        <f>IF(M2S_Eligibility_List!L115=DataPaths_Code,1,0)+K365</f>
        <v>0</v>
      </c>
      <c r="M365" s="147">
        <f>IF(M2S_Eligibility_List!M115=DataPaths_Code,1,0)+L365</f>
        <v>0</v>
      </c>
      <c r="N365" s="147">
        <f>IF(M2S_Eligibility_List!N115=DataPaths_Code,1,0)+M365</f>
        <v>0</v>
      </c>
      <c r="O365" s="147">
        <f>IF(M2S_Eligibility_List!O115=DataPaths_Code,1,0)+N365</f>
        <v>0</v>
      </c>
      <c r="P365" s="147">
        <f>IF(M2S_Eligibility_List!P115=DataPaths_Code,1,0)+O365</f>
        <v>0</v>
      </c>
      <c r="Q365" s="147">
        <f>IF(M2S_Eligibility_List!Q115=DataPaths_Code,1,0)+P365</f>
        <v>0</v>
      </c>
      <c r="R365" s="147">
        <f>IF(M2S_Eligibility_List!R115=DataPaths_Code,1,0)+Q365</f>
        <v>0</v>
      </c>
      <c r="S365" s="147">
        <f>IF(M2S_Eligibility_List!S115=DataPaths_Code,1,0)+R365</f>
        <v>0</v>
      </c>
      <c r="T365" s="147">
        <f>IF(M2S_Eligibility_List!T115=DataPaths_Code,1,0)+S365</f>
        <v>0</v>
      </c>
      <c r="U365" s="147">
        <f>IF(M2S_Eligibility_List!U115=DataPaths_Code,1,0)+T365</f>
        <v>0</v>
      </c>
      <c r="V365" s="147">
        <f>IF(M2S_Eligibility_List!V115=DataPaths_Code,1,0)+U365</f>
        <v>0</v>
      </c>
      <c r="W365" s="147">
        <f>IF(M2S_Eligibility_List!W115=DataPaths_Code,1,0)+V365</f>
        <v>0</v>
      </c>
      <c r="X365" s="147">
        <f>IF(M2S_Eligibility_List!X115=DataPaths_Code,1,0)+W365</f>
        <v>0</v>
      </c>
      <c r="Y365" s="147">
        <f>IF(M2S_Eligibility_List!Y115=DataPaths_Code,1,0)+X365</f>
        <v>0</v>
      </c>
      <c r="Z365" s="147">
        <f>IF(M2S_Eligibility_List!Z115=DataPaths_Code,1,0)+Y365</f>
        <v>0</v>
      </c>
      <c r="AA365" s="147">
        <f>IF(M2S_Eligibility_List!AA115=DataPaths_Code,1,0)+Z365</f>
        <v>0</v>
      </c>
      <c r="AB365" s="147">
        <f>IF(M2S_Eligibility_List!AB115=DataPaths_Code,1,0)+AA365</f>
        <v>0</v>
      </c>
      <c r="AC365" s="147">
        <f>IF(M2S_Eligibility_List!AC115=DataPaths_Code,1,0)+AB365</f>
        <v>0</v>
      </c>
      <c r="AD365" s="147">
        <f>IF(M2S_Eligibility_List!AD115=DataPaths_Code,1,0)+AC365</f>
        <v>0</v>
      </c>
      <c r="AE365" s="147">
        <f>IF(M2S_Eligibility_List!AE115=DataPaths_Code,1,0)+AD365</f>
        <v>0</v>
      </c>
      <c r="AF365" s="147">
        <f>IF(M2S_Eligibility_List!AF115=DataPaths_Code,1,0)+AE365</f>
        <v>0</v>
      </c>
      <c r="AG365" s="147">
        <f>IF(M2S_Eligibility_List!AG115=DataPaths_Code,1,0)+AF365</f>
        <v>0</v>
      </c>
      <c r="AH365" s="147">
        <f>IF(M2S_Eligibility_List!AH115=DataPaths_Code,1,0)+AG365</f>
        <v>0</v>
      </c>
      <c r="AI365" s="147">
        <f>IF(M2S_Eligibility_List!AI115=DataPaths_Code,1,0)+AH365</f>
        <v>0</v>
      </c>
      <c r="AJ365" s="147">
        <f>IF(M2S_Eligibility_List!AJ115=DataPaths_Code,1,0)+AI365</f>
        <v>0</v>
      </c>
      <c r="AK365" s="147">
        <f>IF(M2S_Eligibility_List!AK115=DataPaths_Code,1,0)+AJ365</f>
        <v>0</v>
      </c>
      <c r="AL365" s="147">
        <f>IF(M2S_Eligibility_List!AL115=DataPaths_Code,1,0)+AK365</f>
        <v>0</v>
      </c>
      <c r="AM365" s="147">
        <f>IF(M2S_Eligibility_List!AM115=DataPaths_Code,1,0)+AL365</f>
        <v>0</v>
      </c>
      <c r="AN365" s="147">
        <f>IF(M2S_Eligibility_List!AN115=DataPaths_Code,1,0)+AM365</f>
        <v>0</v>
      </c>
      <c r="AO365" s="147">
        <f>IF(M2S_Eligibility_List!AO115=DataPaths_Code,1,0)+AN365</f>
        <v>0</v>
      </c>
      <c r="AP365" s="147">
        <f>IF(M2S_Eligibility_List!AP115=DataPaths_Code,1,0)+AO365</f>
        <v>0</v>
      </c>
      <c r="AQ365" s="147">
        <f>IF(M2S_Eligibility_List!AQ115=DataPaths_Code,1,0)+AP365</f>
        <v>0</v>
      </c>
      <c r="AR365" s="147">
        <f>IF(M2S_Eligibility_List!AR115=DataPaths_Code,1,0)+AQ365</f>
        <v>0</v>
      </c>
      <c r="AS365" s="147">
        <f>IF(M2S_Eligibility_List!AS115=DataPaths_Code,1,0)+AR365</f>
        <v>0</v>
      </c>
      <c r="AT365" s="147">
        <f>IF(M2S_Eligibility_List!AT115=DataPaths_Code,1,0)+AS365</f>
        <v>1</v>
      </c>
      <c r="AU365" s="147">
        <f>IF(M2S_Eligibility_List!AU115=DataPaths_Code,1,0)+AT365</f>
        <v>1</v>
      </c>
      <c r="AV365" s="147">
        <f>IF(M2S_Eligibility_List!AV115=DataPaths_Code,1,0)+AU365</f>
        <v>1</v>
      </c>
      <c r="AW365" s="147">
        <f>IF(M2S_Eligibility_List!AW115=DataPaths_Code,1,0)+AV365</f>
        <v>1</v>
      </c>
      <c r="AX365" s="147">
        <f>IF(M2S_Eligibility_List!AX115=DataPaths_Code,1,0)+AW365</f>
        <v>1</v>
      </c>
      <c r="AY365" s="147">
        <f>IF(M2S_Eligibility_List!AY115=DataPaths_Code,1,0)+AX365</f>
        <v>1</v>
      </c>
      <c r="AZ365" s="147">
        <f>IF(M2S_Eligibility_List!AZ115=DataPaths_Code,1,0)+AY365</f>
        <v>1</v>
      </c>
      <c r="BA365" s="147">
        <f>IF(M2S_Eligibility_List!BA115=DataPaths_Code,1,0)+AZ365</f>
        <v>1</v>
      </c>
      <c r="BB365" s="147">
        <f>IF(M2S_Eligibility_List!BB115=DataPaths_Code,1,0)+BA365</f>
        <v>1</v>
      </c>
      <c r="BC365" s="147">
        <f>IF(M2S_Eligibility_List!BC115=DataPaths_Code,1,0)+BB365</f>
        <v>1</v>
      </c>
      <c r="BD365" s="147">
        <f>IF(M2S_Eligibility_List!BD115=DataPaths_Code,1,0)+BC365</f>
        <v>1</v>
      </c>
      <c r="BE365" s="147">
        <f>IF(M2S_Eligibility_List!BE115=DataPaths_Code,1,0)+BD365</f>
        <v>1</v>
      </c>
      <c r="BF365" s="147">
        <f>IF(M2S_Eligibility_List!BF115=DataPaths_Code,1,0)+BE365</f>
        <v>1</v>
      </c>
      <c r="BG365" s="147">
        <f>IF(M2S_Eligibility_List!BG115=DataPaths_Code,1,0)+BF365</f>
        <v>1</v>
      </c>
      <c r="BH365" s="147">
        <f>IF(M2S_Eligibility_List!BH115=DataPaths_Code,1,0)+BG365</f>
        <v>1</v>
      </c>
      <c r="BI365" s="147">
        <f>IF(M2S_Eligibility_List!BI115=DataPaths_Code,1,0)+BH365</f>
        <v>1</v>
      </c>
      <c r="BJ365" s="147">
        <f>IF(M2S_Eligibility_List!BJ115=DataPaths_Code,1,0)+BI365</f>
        <v>1</v>
      </c>
      <c r="BK365" s="147">
        <f>IF(M2S_Eligibility_List!BK115=DataPaths_Code,1,0)+BJ365</f>
        <v>1</v>
      </c>
      <c r="BL365" s="147">
        <f>IF(M2S_Eligibility_List!BL115=DataPaths_Code,1,0)+BK365</f>
        <v>1</v>
      </c>
      <c r="BM365" s="147">
        <f>IF(M2S_Eligibility_List!BM115=DataPaths_Code,1,0)+BL365</f>
        <v>1</v>
      </c>
      <c r="BN365" s="147">
        <f>IF(M2S_Eligibility_List!BN115=DataPaths_Code,1,0)+BM365</f>
        <v>1</v>
      </c>
      <c r="BO365" s="147">
        <f>IF(M2S_Eligibility_List!BO115=DataPaths_Code,1,0)+BN365</f>
        <v>1</v>
      </c>
      <c r="BP365" s="147">
        <f>IF(M2S_Eligibility_List!BP115=DataPaths_Code,1,0)+BO365</f>
        <v>1</v>
      </c>
      <c r="BQ365" s="147">
        <f>IF(M2S_Eligibility_List!BQ115=DataPaths_Code,1,0)+BP365</f>
        <v>1</v>
      </c>
      <c r="BR365" s="147">
        <f>IF(M2S_Eligibility_List!BR115=DataPaths_Code,1,0)+BQ365</f>
        <v>1</v>
      </c>
      <c r="BS365" s="147">
        <f>IF(M2S_Eligibility_List!BS115=DataPaths_Code,1,0)+BR365</f>
        <v>1</v>
      </c>
      <c r="BT365" s="147">
        <f>IF(M2S_Eligibility_List!BT115=DataPaths_Code,1,0)+BS365</f>
        <v>1</v>
      </c>
      <c r="BU365" s="147">
        <f>IF(M2S_Eligibility_List!BU115=DataPaths_Code,1,0)+BT365</f>
        <v>1</v>
      </c>
      <c r="BV365" s="147">
        <f>IF(M2S_Eligibility_List!BV115=DataPaths_Code,1,0)+BU365</f>
        <v>1</v>
      </c>
      <c r="BW365" s="147">
        <f>IF(M2S_Eligibility_List!BW115=DataPaths_Code,1,0)+BV365</f>
        <v>1</v>
      </c>
    </row>
    <row r="366" spans="1:75" ht="20.100000000000001" customHeight="1">
      <c r="A366" s="145"/>
      <c r="B366" s="170" t="str">
        <f>IF(M2S_Eligibility_List!$B116&lt;&gt;"",RIGHT(M2S_Eligibility_List!$B116,LEN(M2S_Eligibility_List!$B116)-LEN(nmADwSP)),0)</f>
        <v>Structural Bridge Design</v>
      </c>
      <c r="C366" s="147">
        <f>IF(M2S_Eligibility_List!C116=DataPaths_Code,1,0)</f>
        <v>1</v>
      </c>
      <c r="D366" s="147">
        <f>IF(M2S_Eligibility_List!D116=DataPaths_Code,1,0)+C366</f>
        <v>1</v>
      </c>
      <c r="E366" s="147">
        <f>IF(M2S_Eligibility_List!E116=DataPaths_Code,1,0)+D366</f>
        <v>1</v>
      </c>
      <c r="F366" s="147">
        <f>IF(M2S_Eligibility_List!F116=DataPaths_Code,1,0)+E366</f>
        <v>1</v>
      </c>
      <c r="G366" s="147">
        <f>IF(M2S_Eligibility_List!G116=DataPaths_Code,1,0)+F366</f>
        <v>1</v>
      </c>
      <c r="H366" s="147">
        <f>IF(M2S_Eligibility_List!H116=DataPaths_Code,1,0)+G366</f>
        <v>1</v>
      </c>
      <c r="I366" s="147">
        <f>IF(M2S_Eligibility_List!I116=DataPaths_Code,1,0)+H366</f>
        <v>1</v>
      </c>
      <c r="J366" s="147">
        <f>IF(M2S_Eligibility_List!J116=DataPaths_Code,1,0)+I366</f>
        <v>1</v>
      </c>
      <c r="K366" s="147">
        <f>IF(M2S_Eligibility_List!K116=DataPaths_Code,1,0)+J366</f>
        <v>1</v>
      </c>
      <c r="L366" s="147">
        <f>IF(M2S_Eligibility_List!L116=DataPaths_Code,1,0)+K366</f>
        <v>1</v>
      </c>
      <c r="M366" s="147">
        <f>IF(M2S_Eligibility_List!M116=DataPaths_Code,1,0)+L366</f>
        <v>1</v>
      </c>
      <c r="N366" s="147">
        <f>IF(M2S_Eligibility_List!N116=DataPaths_Code,1,0)+M366</f>
        <v>1</v>
      </c>
      <c r="O366" s="147">
        <f>IF(M2S_Eligibility_List!O116=DataPaths_Code,1,0)+N366</f>
        <v>1</v>
      </c>
      <c r="P366" s="147">
        <f>IF(M2S_Eligibility_List!P116=DataPaths_Code,1,0)+O366</f>
        <v>1</v>
      </c>
      <c r="Q366" s="147">
        <f>IF(M2S_Eligibility_List!Q116=DataPaths_Code,1,0)+P366</f>
        <v>1</v>
      </c>
      <c r="R366" s="147">
        <f>IF(M2S_Eligibility_List!R116=DataPaths_Code,1,0)+Q366</f>
        <v>1</v>
      </c>
      <c r="S366" s="147">
        <f>IF(M2S_Eligibility_List!S116=DataPaths_Code,1,0)+R366</f>
        <v>1</v>
      </c>
      <c r="T366" s="147">
        <f>IF(M2S_Eligibility_List!T116=DataPaths_Code,1,0)+S366</f>
        <v>1</v>
      </c>
      <c r="U366" s="147">
        <f>IF(M2S_Eligibility_List!U116=DataPaths_Code,1,0)+T366</f>
        <v>1</v>
      </c>
      <c r="V366" s="147">
        <f>IF(M2S_Eligibility_List!V116=DataPaths_Code,1,0)+U366</f>
        <v>1</v>
      </c>
      <c r="W366" s="147">
        <f>IF(M2S_Eligibility_List!W116=DataPaths_Code,1,0)+V366</f>
        <v>1</v>
      </c>
      <c r="X366" s="147">
        <f>IF(M2S_Eligibility_List!X116=DataPaths_Code,1,0)+W366</f>
        <v>1</v>
      </c>
      <c r="Y366" s="147">
        <f>IF(M2S_Eligibility_List!Y116=DataPaths_Code,1,0)+X366</f>
        <v>1</v>
      </c>
      <c r="Z366" s="147">
        <f>IF(M2S_Eligibility_List!Z116=DataPaths_Code,1,0)+Y366</f>
        <v>1</v>
      </c>
      <c r="AA366" s="147">
        <f>IF(M2S_Eligibility_List!AA116=DataPaths_Code,1,0)+Z366</f>
        <v>1</v>
      </c>
      <c r="AB366" s="147">
        <f>IF(M2S_Eligibility_List!AB116=DataPaths_Code,1,0)+AA366</f>
        <v>1</v>
      </c>
      <c r="AC366" s="147">
        <f>IF(M2S_Eligibility_List!AC116=DataPaths_Code,1,0)+AB366</f>
        <v>1</v>
      </c>
      <c r="AD366" s="147">
        <f>IF(M2S_Eligibility_List!AD116=DataPaths_Code,1,0)+AC366</f>
        <v>1</v>
      </c>
      <c r="AE366" s="147">
        <f>IF(M2S_Eligibility_List!AE116=DataPaths_Code,1,0)+AD366</f>
        <v>1</v>
      </c>
      <c r="AF366" s="147">
        <f>IF(M2S_Eligibility_List!AF116=DataPaths_Code,1,0)+AE366</f>
        <v>1</v>
      </c>
      <c r="AG366" s="147">
        <f>IF(M2S_Eligibility_List!AG116=DataPaths_Code,1,0)+AF366</f>
        <v>1</v>
      </c>
      <c r="AH366" s="147">
        <f>IF(M2S_Eligibility_List!AH116=DataPaths_Code,1,0)+AG366</f>
        <v>1</v>
      </c>
      <c r="AI366" s="147">
        <f>IF(M2S_Eligibility_List!AI116=DataPaths_Code,1,0)+AH366</f>
        <v>1</v>
      </c>
      <c r="AJ366" s="147">
        <f>IF(M2S_Eligibility_List!AJ116=DataPaths_Code,1,0)+AI366</f>
        <v>1</v>
      </c>
      <c r="AK366" s="147">
        <f>IF(M2S_Eligibility_List!AK116=DataPaths_Code,1,0)+AJ366</f>
        <v>1</v>
      </c>
      <c r="AL366" s="147">
        <f>IF(M2S_Eligibility_List!AL116=DataPaths_Code,1,0)+AK366</f>
        <v>1</v>
      </c>
      <c r="AM366" s="147">
        <f>IF(M2S_Eligibility_List!AM116=DataPaths_Code,1,0)+AL366</f>
        <v>1</v>
      </c>
      <c r="AN366" s="147">
        <f>IF(M2S_Eligibility_List!AN116=DataPaths_Code,1,0)+AM366</f>
        <v>1</v>
      </c>
      <c r="AO366" s="147">
        <f>IF(M2S_Eligibility_List!AO116=DataPaths_Code,1,0)+AN366</f>
        <v>1</v>
      </c>
      <c r="AP366" s="147">
        <f>IF(M2S_Eligibility_List!AP116=DataPaths_Code,1,0)+AO366</f>
        <v>1</v>
      </c>
      <c r="AQ366" s="147">
        <f>IF(M2S_Eligibility_List!AQ116=DataPaths_Code,1,0)+AP366</f>
        <v>1</v>
      </c>
      <c r="AR366" s="147">
        <f>IF(M2S_Eligibility_List!AR116=DataPaths_Code,1,0)+AQ366</f>
        <v>1</v>
      </c>
      <c r="AS366" s="147">
        <f>IF(M2S_Eligibility_List!AS116=DataPaths_Code,1,0)+AR366</f>
        <v>1</v>
      </c>
      <c r="AT366" s="147">
        <f>IF(M2S_Eligibility_List!AT116=DataPaths_Code,1,0)+AS366</f>
        <v>1</v>
      </c>
      <c r="AU366" s="147">
        <f>IF(M2S_Eligibility_List!AU116=DataPaths_Code,1,0)+AT366</f>
        <v>1</v>
      </c>
      <c r="AV366" s="147">
        <f>IF(M2S_Eligibility_List!AV116=DataPaths_Code,1,0)+AU366</f>
        <v>1</v>
      </c>
      <c r="AW366" s="147">
        <f>IF(M2S_Eligibility_List!AW116=DataPaths_Code,1,0)+AV366</f>
        <v>1</v>
      </c>
      <c r="AX366" s="147">
        <f>IF(M2S_Eligibility_List!AX116=DataPaths_Code,1,0)+AW366</f>
        <v>1</v>
      </c>
      <c r="AY366" s="147">
        <f>IF(M2S_Eligibility_List!AY116=DataPaths_Code,1,0)+AX366</f>
        <v>1</v>
      </c>
      <c r="AZ366" s="147">
        <f>IF(M2S_Eligibility_List!AZ116=DataPaths_Code,1,0)+AY366</f>
        <v>1</v>
      </c>
      <c r="BA366" s="147">
        <f>IF(M2S_Eligibility_List!BA116=DataPaths_Code,1,0)+AZ366</f>
        <v>1</v>
      </c>
      <c r="BB366" s="147">
        <f>IF(M2S_Eligibility_List!BB116=DataPaths_Code,1,0)+BA366</f>
        <v>1</v>
      </c>
      <c r="BC366" s="147">
        <f>IF(M2S_Eligibility_List!BC116=DataPaths_Code,1,0)+BB366</f>
        <v>1</v>
      </c>
      <c r="BD366" s="147">
        <f>IF(M2S_Eligibility_List!BD116=DataPaths_Code,1,0)+BC366</f>
        <v>1</v>
      </c>
      <c r="BE366" s="147">
        <f>IF(M2S_Eligibility_List!BE116=DataPaths_Code,1,0)+BD366</f>
        <v>1</v>
      </c>
      <c r="BF366" s="147">
        <f>IF(M2S_Eligibility_List!BF116=DataPaths_Code,1,0)+BE366</f>
        <v>1</v>
      </c>
      <c r="BG366" s="147">
        <f>IF(M2S_Eligibility_List!BG116=DataPaths_Code,1,0)+BF366</f>
        <v>1</v>
      </c>
      <c r="BH366" s="147">
        <f>IF(M2S_Eligibility_List!BH116=DataPaths_Code,1,0)+BG366</f>
        <v>1</v>
      </c>
      <c r="BI366" s="147">
        <f>IF(M2S_Eligibility_List!BI116=DataPaths_Code,1,0)+BH366</f>
        <v>1</v>
      </c>
      <c r="BJ366" s="147">
        <f>IF(M2S_Eligibility_List!BJ116=DataPaths_Code,1,0)+BI366</f>
        <v>1</v>
      </c>
      <c r="BK366" s="147">
        <f>IF(M2S_Eligibility_List!BK116=DataPaths_Code,1,0)+BJ366</f>
        <v>1</v>
      </c>
      <c r="BL366" s="147">
        <f>IF(M2S_Eligibility_List!BL116=DataPaths_Code,1,0)+BK366</f>
        <v>1</v>
      </c>
      <c r="BM366" s="147">
        <f>IF(M2S_Eligibility_List!BM116=DataPaths_Code,1,0)+BL366</f>
        <v>1</v>
      </c>
      <c r="BN366" s="147">
        <f>IF(M2S_Eligibility_List!BN116=DataPaths_Code,1,0)+BM366</f>
        <v>1</v>
      </c>
      <c r="BO366" s="147">
        <f>IF(M2S_Eligibility_List!BO116=DataPaths_Code,1,0)+BN366</f>
        <v>1</v>
      </c>
      <c r="BP366" s="147">
        <f>IF(M2S_Eligibility_List!BP116=DataPaths_Code,1,0)+BO366</f>
        <v>1</v>
      </c>
      <c r="BQ366" s="147">
        <f>IF(M2S_Eligibility_List!BQ116=DataPaths_Code,1,0)+BP366</f>
        <v>1</v>
      </c>
      <c r="BR366" s="147">
        <f>IF(M2S_Eligibility_List!BR116=DataPaths_Code,1,0)+BQ366</f>
        <v>1</v>
      </c>
      <c r="BS366" s="147">
        <f>IF(M2S_Eligibility_List!BS116=DataPaths_Code,1,0)+BR366</f>
        <v>1</v>
      </c>
      <c r="BT366" s="147">
        <f>IF(M2S_Eligibility_List!BT116=DataPaths_Code,1,0)+BS366</f>
        <v>1</v>
      </c>
      <c r="BU366" s="147">
        <f>IF(M2S_Eligibility_List!BU116=DataPaths_Code,1,0)+BT366</f>
        <v>1</v>
      </c>
      <c r="BV366" s="147">
        <f>IF(M2S_Eligibility_List!BV116=DataPaths_Code,1,0)+BU366</f>
        <v>1</v>
      </c>
      <c r="BW366" s="147">
        <f>IF(M2S_Eligibility_List!BW116=DataPaths_Code,1,0)+BV366</f>
        <v>1</v>
      </c>
    </row>
    <row r="367" spans="1:75" ht="20.100000000000001" customHeight="1">
      <c r="A367" s="145"/>
      <c r="B367" s="170" t="str">
        <f>IF(M2S_Eligibility_List!$B117&lt;&gt;"",RIGHT(M2S_Eligibility_List!$B117,LEN(M2S_Eligibility_List!$B117)-LEN(nmADwSP)),0)</f>
        <v>TruComp</v>
      </c>
      <c r="C367" s="147">
        <f>IF(M2S_Eligibility_List!C117=DataPaths_Code,1,0)</f>
        <v>0</v>
      </c>
      <c r="D367" s="147">
        <f>IF(M2S_Eligibility_List!D117=DataPaths_Code,1,0)+C367</f>
        <v>0</v>
      </c>
      <c r="E367" s="147">
        <f>IF(M2S_Eligibility_List!E117=DataPaths_Code,1,0)+D367</f>
        <v>0</v>
      </c>
      <c r="F367" s="147">
        <f>IF(M2S_Eligibility_List!F117=DataPaths_Code,1,0)+E367</f>
        <v>0</v>
      </c>
      <c r="G367" s="147">
        <f>IF(M2S_Eligibility_List!G117=DataPaths_Code,1,0)+F367</f>
        <v>0</v>
      </c>
      <c r="H367" s="147">
        <f>IF(M2S_Eligibility_List!H117=DataPaths_Code,1,0)+G367</f>
        <v>0</v>
      </c>
      <c r="I367" s="147">
        <f>IF(M2S_Eligibility_List!I117=DataPaths_Code,1,0)+H367</f>
        <v>0</v>
      </c>
      <c r="J367" s="147">
        <f>IF(M2S_Eligibility_List!J117=DataPaths_Code,1,0)+I367</f>
        <v>0</v>
      </c>
      <c r="K367" s="147">
        <f>IF(M2S_Eligibility_List!K117=DataPaths_Code,1,0)+J367</f>
        <v>0</v>
      </c>
      <c r="L367" s="147">
        <f>IF(M2S_Eligibility_List!L117=DataPaths_Code,1,0)+K367</f>
        <v>0</v>
      </c>
      <c r="M367" s="147">
        <f>IF(M2S_Eligibility_List!M117=DataPaths_Code,1,0)+L367</f>
        <v>0</v>
      </c>
      <c r="N367" s="147">
        <f>IF(M2S_Eligibility_List!N117=DataPaths_Code,1,0)+M367</f>
        <v>0</v>
      </c>
      <c r="O367" s="147">
        <f>IF(M2S_Eligibility_List!O117=DataPaths_Code,1,0)+N367</f>
        <v>0</v>
      </c>
      <c r="P367" s="147">
        <f>IF(M2S_Eligibility_List!P117=DataPaths_Code,1,0)+O367</f>
        <v>0</v>
      </c>
      <c r="Q367" s="147">
        <f>IF(M2S_Eligibility_List!Q117=DataPaths_Code,1,0)+P367</f>
        <v>0</v>
      </c>
      <c r="R367" s="147">
        <f>IF(M2S_Eligibility_List!R117=DataPaths_Code,1,0)+Q367</f>
        <v>0</v>
      </c>
      <c r="S367" s="147">
        <f>IF(M2S_Eligibility_List!S117=DataPaths_Code,1,0)+R367</f>
        <v>0</v>
      </c>
      <c r="T367" s="147">
        <f>IF(M2S_Eligibility_List!T117=DataPaths_Code,1,0)+S367</f>
        <v>0</v>
      </c>
      <c r="U367" s="147">
        <f>IF(M2S_Eligibility_List!U117=DataPaths_Code,1,0)+T367</f>
        <v>0</v>
      </c>
      <c r="V367" s="147">
        <f>IF(M2S_Eligibility_List!V117=DataPaths_Code,1,0)+U367</f>
        <v>0</v>
      </c>
      <c r="W367" s="147">
        <f>IF(M2S_Eligibility_List!W117=DataPaths_Code,1,0)+V367</f>
        <v>0</v>
      </c>
      <c r="X367" s="147">
        <f>IF(M2S_Eligibility_List!X117=DataPaths_Code,1,0)+W367</f>
        <v>0</v>
      </c>
      <c r="Y367" s="147">
        <f>IF(M2S_Eligibility_List!Y117=DataPaths_Code,1,0)+X367</f>
        <v>0</v>
      </c>
      <c r="Z367" s="147">
        <f>IF(M2S_Eligibility_List!Z117=DataPaths_Code,1,0)+Y367</f>
        <v>0</v>
      </c>
      <c r="AA367" s="147">
        <f>IF(M2S_Eligibility_List!AA117=DataPaths_Code,1,0)+Z367</f>
        <v>0</v>
      </c>
      <c r="AB367" s="147">
        <f>IF(M2S_Eligibility_List!AB117=DataPaths_Code,1,0)+AA367</f>
        <v>0</v>
      </c>
      <c r="AC367" s="147">
        <f>IF(M2S_Eligibility_List!AC117=DataPaths_Code,1,0)+AB367</f>
        <v>0</v>
      </c>
      <c r="AD367" s="147">
        <f>IF(M2S_Eligibility_List!AD117=DataPaths_Code,1,0)+AC367</f>
        <v>0</v>
      </c>
      <c r="AE367" s="147">
        <f>IF(M2S_Eligibility_List!AE117=DataPaths_Code,1,0)+AD367</f>
        <v>0</v>
      </c>
      <c r="AF367" s="147">
        <f>IF(M2S_Eligibility_List!AF117=DataPaths_Code,1,0)+AE367</f>
        <v>0</v>
      </c>
      <c r="AG367" s="147">
        <f>IF(M2S_Eligibility_List!AG117=DataPaths_Code,1,0)+AF367</f>
        <v>0</v>
      </c>
      <c r="AH367" s="147">
        <f>IF(M2S_Eligibility_List!AH117=DataPaths_Code,1,0)+AG367</f>
        <v>0</v>
      </c>
      <c r="AI367" s="147">
        <f>IF(M2S_Eligibility_List!AI117=DataPaths_Code,1,0)+AH367</f>
        <v>0</v>
      </c>
      <c r="AJ367" s="147">
        <f>IF(M2S_Eligibility_List!AJ117=DataPaths_Code,1,0)+AI367</f>
        <v>0</v>
      </c>
      <c r="AK367" s="147">
        <f>IF(M2S_Eligibility_List!AK117=DataPaths_Code,1,0)+AJ367</f>
        <v>0</v>
      </c>
      <c r="AL367" s="147">
        <f>IF(M2S_Eligibility_List!AL117=DataPaths_Code,1,0)+AK367</f>
        <v>0</v>
      </c>
      <c r="AM367" s="147">
        <f>IF(M2S_Eligibility_List!AM117=DataPaths_Code,1,0)+AL367</f>
        <v>0</v>
      </c>
      <c r="AN367" s="147">
        <f>IF(M2S_Eligibility_List!AN117=DataPaths_Code,1,0)+AM367</f>
        <v>0</v>
      </c>
      <c r="AO367" s="147">
        <f>IF(M2S_Eligibility_List!AO117=DataPaths_Code,1,0)+AN367</f>
        <v>0</v>
      </c>
      <c r="AP367" s="147">
        <f>IF(M2S_Eligibility_List!AP117=DataPaths_Code,1,0)+AO367</f>
        <v>0</v>
      </c>
      <c r="AQ367" s="147">
        <f>IF(M2S_Eligibility_List!AQ117=DataPaths_Code,1,0)+AP367</f>
        <v>0</v>
      </c>
      <c r="AR367" s="147">
        <f>IF(M2S_Eligibility_List!AR117=DataPaths_Code,1,0)+AQ367</f>
        <v>0</v>
      </c>
      <c r="AS367" s="147">
        <f>IF(M2S_Eligibility_List!AS117=DataPaths_Code,1,0)+AR367</f>
        <v>0</v>
      </c>
      <c r="AT367" s="147">
        <f>IF(M2S_Eligibility_List!AT117=DataPaths_Code,1,0)+AS367</f>
        <v>0</v>
      </c>
      <c r="AU367" s="147">
        <f>IF(M2S_Eligibility_List!AU117=DataPaths_Code,1,0)+AT367</f>
        <v>1</v>
      </c>
      <c r="AV367" s="147">
        <f>IF(M2S_Eligibility_List!AV117=DataPaths_Code,1,0)+AU367</f>
        <v>1</v>
      </c>
      <c r="AW367" s="147">
        <f>IF(M2S_Eligibility_List!AW117=DataPaths_Code,1,0)+AV367</f>
        <v>1</v>
      </c>
      <c r="AX367" s="147">
        <f>IF(M2S_Eligibility_List!AX117=DataPaths_Code,1,0)+AW367</f>
        <v>1</v>
      </c>
      <c r="AY367" s="147">
        <f>IF(M2S_Eligibility_List!AY117=DataPaths_Code,1,0)+AX367</f>
        <v>1</v>
      </c>
      <c r="AZ367" s="147">
        <f>IF(M2S_Eligibility_List!AZ117=DataPaths_Code,1,0)+AY367</f>
        <v>1</v>
      </c>
      <c r="BA367" s="147">
        <f>IF(M2S_Eligibility_List!BA117=DataPaths_Code,1,0)+AZ367</f>
        <v>1</v>
      </c>
      <c r="BB367" s="147">
        <f>IF(M2S_Eligibility_List!BB117=DataPaths_Code,1,0)+BA367</f>
        <v>1</v>
      </c>
      <c r="BC367" s="147">
        <f>IF(M2S_Eligibility_List!BC117=DataPaths_Code,1,0)+BB367</f>
        <v>1</v>
      </c>
      <c r="BD367" s="147">
        <f>IF(M2S_Eligibility_List!BD117=DataPaths_Code,1,0)+BC367</f>
        <v>1</v>
      </c>
      <c r="BE367" s="147">
        <f>IF(M2S_Eligibility_List!BE117=DataPaths_Code,1,0)+BD367</f>
        <v>1</v>
      </c>
      <c r="BF367" s="147">
        <f>IF(M2S_Eligibility_List!BF117=DataPaths_Code,1,0)+BE367</f>
        <v>1</v>
      </c>
      <c r="BG367" s="147">
        <f>IF(M2S_Eligibility_List!BG117=DataPaths_Code,1,0)+BF367</f>
        <v>1</v>
      </c>
      <c r="BH367" s="147">
        <f>IF(M2S_Eligibility_List!BH117=DataPaths_Code,1,0)+BG367</f>
        <v>1</v>
      </c>
      <c r="BI367" s="147">
        <f>IF(M2S_Eligibility_List!BI117=DataPaths_Code,1,0)+BH367</f>
        <v>1</v>
      </c>
      <c r="BJ367" s="147">
        <f>IF(M2S_Eligibility_List!BJ117=DataPaths_Code,1,0)+BI367</f>
        <v>1</v>
      </c>
      <c r="BK367" s="147">
        <f>IF(M2S_Eligibility_List!BK117=DataPaths_Code,1,0)+BJ367</f>
        <v>1</v>
      </c>
      <c r="BL367" s="147">
        <f>IF(M2S_Eligibility_List!BL117=DataPaths_Code,1,0)+BK367</f>
        <v>1</v>
      </c>
      <c r="BM367" s="147">
        <f>IF(M2S_Eligibility_List!BM117=DataPaths_Code,1,0)+BL367</f>
        <v>1</v>
      </c>
      <c r="BN367" s="147">
        <f>IF(M2S_Eligibility_List!BN117=DataPaths_Code,1,0)+BM367</f>
        <v>1</v>
      </c>
      <c r="BO367" s="147">
        <f>IF(M2S_Eligibility_List!BO117=DataPaths_Code,1,0)+BN367</f>
        <v>1</v>
      </c>
      <c r="BP367" s="147">
        <f>IF(M2S_Eligibility_List!BP117=DataPaths_Code,1,0)+BO367</f>
        <v>1</v>
      </c>
      <c r="BQ367" s="147">
        <f>IF(M2S_Eligibility_List!BQ117=DataPaths_Code,1,0)+BP367</f>
        <v>1</v>
      </c>
      <c r="BR367" s="147">
        <f>IF(M2S_Eligibility_List!BR117=DataPaths_Code,1,0)+BQ367</f>
        <v>1</v>
      </c>
      <c r="BS367" s="147">
        <f>IF(M2S_Eligibility_List!BS117=DataPaths_Code,1,0)+BR367</f>
        <v>1</v>
      </c>
      <c r="BT367" s="147">
        <f>IF(M2S_Eligibility_List!BT117=DataPaths_Code,1,0)+BS367</f>
        <v>1</v>
      </c>
      <c r="BU367" s="147">
        <f>IF(M2S_Eligibility_List!BU117=DataPaths_Code,1,0)+BT367</f>
        <v>1</v>
      </c>
      <c r="BV367" s="147">
        <f>IF(M2S_Eligibility_List!BV117=DataPaths_Code,1,0)+BU367</f>
        <v>1</v>
      </c>
      <c r="BW367" s="147">
        <f>IF(M2S_Eligibility_List!BW117=DataPaths_Code,1,0)+BV367</f>
        <v>1</v>
      </c>
    </row>
    <row r="368" spans="1:75" ht="20.100000000000001" customHeight="1">
      <c r="A368" s="145"/>
      <c r="B368" s="170" t="str">
        <f>IF(M2S_Eligibility_List!$B118&lt;&gt;"",RIGHT(M2S_Eligibility_List!$B118,LEN(M2S_Eligibility_List!$B118)-LEN(nmADwSP)),0)</f>
        <v>TruLaser</v>
      </c>
      <c r="C368" s="147">
        <f>IF(M2S_Eligibility_List!C118=DataPaths_Code,1,0)</f>
        <v>0</v>
      </c>
      <c r="D368" s="147">
        <f>IF(M2S_Eligibility_List!D118=DataPaths_Code,1,0)+C368</f>
        <v>0</v>
      </c>
      <c r="E368" s="147">
        <f>IF(M2S_Eligibility_List!E118=DataPaths_Code,1,0)+D368</f>
        <v>0</v>
      </c>
      <c r="F368" s="147">
        <f>IF(M2S_Eligibility_List!F118=DataPaths_Code,1,0)+E368</f>
        <v>0</v>
      </c>
      <c r="G368" s="147">
        <f>IF(M2S_Eligibility_List!G118=DataPaths_Code,1,0)+F368</f>
        <v>0</v>
      </c>
      <c r="H368" s="147">
        <f>IF(M2S_Eligibility_List!H118=DataPaths_Code,1,0)+G368</f>
        <v>0</v>
      </c>
      <c r="I368" s="147">
        <f>IF(M2S_Eligibility_List!I118=DataPaths_Code,1,0)+H368</f>
        <v>0</v>
      </c>
      <c r="J368" s="147">
        <f>IF(M2S_Eligibility_List!J118=DataPaths_Code,1,0)+I368</f>
        <v>0</v>
      </c>
      <c r="K368" s="147">
        <f>IF(M2S_Eligibility_List!K118=DataPaths_Code,1,0)+J368</f>
        <v>0</v>
      </c>
      <c r="L368" s="147">
        <f>IF(M2S_Eligibility_List!L118=DataPaths_Code,1,0)+K368</f>
        <v>0</v>
      </c>
      <c r="M368" s="147">
        <f>IF(M2S_Eligibility_List!M118=DataPaths_Code,1,0)+L368</f>
        <v>0</v>
      </c>
      <c r="N368" s="147">
        <f>IF(M2S_Eligibility_List!N118=DataPaths_Code,1,0)+M368</f>
        <v>0</v>
      </c>
      <c r="O368" s="147">
        <f>IF(M2S_Eligibility_List!O118=DataPaths_Code,1,0)+N368</f>
        <v>0</v>
      </c>
      <c r="P368" s="147">
        <f>IF(M2S_Eligibility_List!P118=DataPaths_Code,1,0)+O368</f>
        <v>0</v>
      </c>
      <c r="Q368" s="147">
        <f>IF(M2S_Eligibility_List!Q118=DataPaths_Code,1,0)+P368</f>
        <v>0</v>
      </c>
      <c r="R368" s="147">
        <f>IF(M2S_Eligibility_List!R118=DataPaths_Code,1,0)+Q368</f>
        <v>0</v>
      </c>
      <c r="S368" s="147">
        <f>IF(M2S_Eligibility_List!S118=DataPaths_Code,1,0)+R368</f>
        <v>0</v>
      </c>
      <c r="T368" s="147">
        <f>IF(M2S_Eligibility_List!T118=DataPaths_Code,1,0)+S368</f>
        <v>0</v>
      </c>
      <c r="U368" s="147">
        <f>IF(M2S_Eligibility_List!U118=DataPaths_Code,1,0)+T368</f>
        <v>0</v>
      </c>
      <c r="V368" s="147">
        <f>IF(M2S_Eligibility_List!V118=DataPaths_Code,1,0)+U368</f>
        <v>0</v>
      </c>
      <c r="W368" s="147">
        <f>IF(M2S_Eligibility_List!W118=DataPaths_Code,1,0)+V368</f>
        <v>0</v>
      </c>
      <c r="X368" s="147">
        <f>IF(M2S_Eligibility_List!X118=DataPaths_Code,1,0)+W368</f>
        <v>0</v>
      </c>
      <c r="Y368" s="147">
        <f>IF(M2S_Eligibility_List!Y118=DataPaths_Code,1,0)+X368</f>
        <v>0</v>
      </c>
      <c r="Z368" s="147">
        <f>IF(M2S_Eligibility_List!Z118=DataPaths_Code,1,0)+Y368</f>
        <v>0</v>
      </c>
      <c r="AA368" s="147">
        <f>IF(M2S_Eligibility_List!AA118=DataPaths_Code,1,0)+Z368</f>
        <v>0</v>
      </c>
      <c r="AB368" s="147">
        <f>IF(M2S_Eligibility_List!AB118=DataPaths_Code,1,0)+AA368</f>
        <v>0</v>
      </c>
      <c r="AC368" s="147">
        <f>IF(M2S_Eligibility_List!AC118=DataPaths_Code,1,0)+AB368</f>
        <v>0</v>
      </c>
      <c r="AD368" s="147">
        <f>IF(M2S_Eligibility_List!AD118=DataPaths_Code,1,0)+AC368</f>
        <v>0</v>
      </c>
      <c r="AE368" s="147">
        <f>IF(M2S_Eligibility_List!AE118=DataPaths_Code,1,0)+AD368</f>
        <v>0</v>
      </c>
      <c r="AF368" s="147">
        <f>IF(M2S_Eligibility_List!AF118=DataPaths_Code,1,0)+AE368</f>
        <v>0</v>
      </c>
      <c r="AG368" s="147">
        <f>IF(M2S_Eligibility_List!AG118=DataPaths_Code,1,0)+AF368</f>
        <v>0</v>
      </c>
      <c r="AH368" s="147">
        <f>IF(M2S_Eligibility_List!AH118=DataPaths_Code,1,0)+AG368</f>
        <v>0</v>
      </c>
      <c r="AI368" s="147">
        <f>IF(M2S_Eligibility_List!AI118=DataPaths_Code,1,0)+AH368</f>
        <v>0</v>
      </c>
      <c r="AJ368" s="147">
        <f>IF(M2S_Eligibility_List!AJ118=DataPaths_Code,1,0)+AI368</f>
        <v>0</v>
      </c>
      <c r="AK368" s="147">
        <f>IF(M2S_Eligibility_List!AK118=DataPaths_Code,1,0)+AJ368</f>
        <v>0</v>
      </c>
      <c r="AL368" s="147">
        <f>IF(M2S_Eligibility_List!AL118=DataPaths_Code,1,0)+AK368</f>
        <v>0</v>
      </c>
      <c r="AM368" s="147">
        <f>IF(M2S_Eligibility_List!AM118=DataPaths_Code,1,0)+AL368</f>
        <v>0</v>
      </c>
      <c r="AN368" s="147">
        <f>IF(M2S_Eligibility_List!AN118=DataPaths_Code,1,0)+AM368</f>
        <v>0</v>
      </c>
      <c r="AO368" s="147">
        <f>IF(M2S_Eligibility_List!AO118=DataPaths_Code,1,0)+AN368</f>
        <v>0</v>
      </c>
      <c r="AP368" s="147">
        <f>IF(M2S_Eligibility_List!AP118=DataPaths_Code,1,0)+AO368</f>
        <v>0</v>
      </c>
      <c r="AQ368" s="147">
        <f>IF(M2S_Eligibility_List!AQ118=DataPaths_Code,1,0)+AP368</f>
        <v>0</v>
      </c>
      <c r="AR368" s="147">
        <f>IF(M2S_Eligibility_List!AR118=DataPaths_Code,1,0)+AQ368</f>
        <v>0</v>
      </c>
      <c r="AS368" s="147">
        <f>IF(M2S_Eligibility_List!AS118=DataPaths_Code,1,0)+AR368</f>
        <v>0</v>
      </c>
      <c r="AT368" s="147">
        <f>IF(M2S_Eligibility_List!AT118=DataPaths_Code,1,0)+AS368</f>
        <v>0</v>
      </c>
      <c r="AU368" s="147">
        <f>IF(M2S_Eligibility_List!AU118=DataPaths_Code,1,0)+AT368</f>
        <v>0</v>
      </c>
      <c r="AV368" s="147">
        <f>IF(M2S_Eligibility_List!AV118=DataPaths_Code,1,0)+AU368</f>
        <v>1</v>
      </c>
      <c r="AW368" s="147">
        <f>IF(M2S_Eligibility_List!AW118=DataPaths_Code,1,0)+AV368</f>
        <v>1</v>
      </c>
      <c r="AX368" s="147">
        <f>IF(M2S_Eligibility_List!AX118=DataPaths_Code,1,0)+AW368</f>
        <v>1</v>
      </c>
      <c r="AY368" s="147">
        <f>IF(M2S_Eligibility_List!AY118=DataPaths_Code,1,0)+AX368</f>
        <v>1</v>
      </c>
      <c r="AZ368" s="147">
        <f>IF(M2S_Eligibility_List!AZ118=DataPaths_Code,1,0)+AY368</f>
        <v>1</v>
      </c>
      <c r="BA368" s="147">
        <f>IF(M2S_Eligibility_List!BA118=DataPaths_Code,1,0)+AZ368</f>
        <v>1</v>
      </c>
      <c r="BB368" s="147">
        <f>IF(M2S_Eligibility_List!BB118=DataPaths_Code,1,0)+BA368</f>
        <v>1</v>
      </c>
      <c r="BC368" s="147">
        <f>IF(M2S_Eligibility_List!BC118=DataPaths_Code,1,0)+BB368</f>
        <v>1</v>
      </c>
      <c r="BD368" s="147">
        <f>IF(M2S_Eligibility_List!BD118=DataPaths_Code,1,0)+BC368</f>
        <v>1</v>
      </c>
      <c r="BE368" s="147">
        <f>IF(M2S_Eligibility_List!BE118=DataPaths_Code,1,0)+BD368</f>
        <v>1</v>
      </c>
      <c r="BF368" s="147">
        <f>IF(M2S_Eligibility_List!BF118=DataPaths_Code,1,0)+BE368</f>
        <v>1</v>
      </c>
      <c r="BG368" s="147">
        <f>IF(M2S_Eligibility_List!BG118=DataPaths_Code,1,0)+BF368</f>
        <v>1</v>
      </c>
      <c r="BH368" s="147">
        <f>IF(M2S_Eligibility_List!BH118=DataPaths_Code,1,0)+BG368</f>
        <v>1</v>
      </c>
      <c r="BI368" s="147">
        <f>IF(M2S_Eligibility_List!BI118=DataPaths_Code,1,0)+BH368</f>
        <v>1</v>
      </c>
      <c r="BJ368" s="147">
        <f>IF(M2S_Eligibility_List!BJ118=DataPaths_Code,1,0)+BI368</f>
        <v>1</v>
      </c>
      <c r="BK368" s="147">
        <f>IF(M2S_Eligibility_List!BK118=DataPaths_Code,1,0)+BJ368</f>
        <v>1</v>
      </c>
      <c r="BL368" s="147">
        <f>IF(M2S_Eligibility_List!BL118=DataPaths_Code,1,0)+BK368</f>
        <v>1</v>
      </c>
      <c r="BM368" s="147">
        <f>IF(M2S_Eligibility_List!BM118=DataPaths_Code,1,0)+BL368</f>
        <v>1</v>
      </c>
      <c r="BN368" s="147">
        <f>IF(M2S_Eligibility_List!BN118=DataPaths_Code,1,0)+BM368</f>
        <v>1</v>
      </c>
      <c r="BO368" s="147">
        <f>IF(M2S_Eligibility_List!BO118=DataPaths_Code,1,0)+BN368</f>
        <v>1</v>
      </c>
      <c r="BP368" s="147">
        <f>IF(M2S_Eligibility_List!BP118=DataPaths_Code,1,0)+BO368</f>
        <v>1</v>
      </c>
      <c r="BQ368" s="147">
        <f>IF(M2S_Eligibility_List!BQ118=DataPaths_Code,1,0)+BP368</f>
        <v>1</v>
      </c>
      <c r="BR368" s="147">
        <f>IF(M2S_Eligibility_List!BR118=DataPaths_Code,1,0)+BQ368</f>
        <v>1</v>
      </c>
      <c r="BS368" s="147">
        <f>IF(M2S_Eligibility_List!BS118=DataPaths_Code,1,0)+BR368</f>
        <v>1</v>
      </c>
      <c r="BT368" s="147">
        <f>IF(M2S_Eligibility_List!BT118=DataPaths_Code,1,0)+BS368</f>
        <v>1</v>
      </c>
      <c r="BU368" s="147">
        <f>IF(M2S_Eligibility_List!BU118=DataPaths_Code,1,0)+BT368</f>
        <v>1</v>
      </c>
      <c r="BV368" s="147">
        <f>IF(M2S_Eligibility_List!BV118=DataPaths_Code,1,0)+BU368</f>
        <v>1</v>
      </c>
      <c r="BW368" s="147">
        <f>IF(M2S_Eligibility_List!BW118=DataPaths_Code,1,0)+BV368</f>
        <v>1</v>
      </c>
    </row>
    <row r="369" spans="1:75" ht="20.100000000000001" customHeight="1">
      <c r="A369" s="145"/>
      <c r="B369" s="170" t="str">
        <f>IF(M2S_Eligibility_List!$B119&lt;&gt;"",RIGHT(M2S_Eligibility_List!$B119,LEN(M2S_Eligibility_List!$B119)-LEN(nmADwSP)),0)</f>
        <v>TruNest Composites</v>
      </c>
      <c r="C369" s="147">
        <f>IF(M2S_Eligibility_List!C119=DataPaths_Code,1,0)</f>
        <v>0</v>
      </c>
      <c r="D369" s="147">
        <f>IF(M2S_Eligibility_List!D119=DataPaths_Code,1,0)+C369</f>
        <v>0</v>
      </c>
      <c r="E369" s="147">
        <f>IF(M2S_Eligibility_List!E119=DataPaths_Code,1,0)+D369</f>
        <v>0</v>
      </c>
      <c r="F369" s="147">
        <f>IF(M2S_Eligibility_List!F119=DataPaths_Code,1,0)+E369</f>
        <v>0</v>
      </c>
      <c r="G369" s="147">
        <f>IF(M2S_Eligibility_List!G119=DataPaths_Code,1,0)+F369</f>
        <v>0</v>
      </c>
      <c r="H369" s="147">
        <f>IF(M2S_Eligibility_List!H119=DataPaths_Code,1,0)+G369</f>
        <v>0</v>
      </c>
      <c r="I369" s="147">
        <f>IF(M2S_Eligibility_List!I119=DataPaths_Code,1,0)+H369</f>
        <v>0</v>
      </c>
      <c r="J369" s="147">
        <f>IF(M2S_Eligibility_List!J119=DataPaths_Code,1,0)+I369</f>
        <v>0</v>
      </c>
      <c r="K369" s="147">
        <f>IF(M2S_Eligibility_List!K119=DataPaths_Code,1,0)+J369</f>
        <v>0</v>
      </c>
      <c r="L369" s="147">
        <f>IF(M2S_Eligibility_List!L119=DataPaths_Code,1,0)+K369</f>
        <v>0</v>
      </c>
      <c r="M369" s="147">
        <f>IF(M2S_Eligibility_List!M119=DataPaths_Code,1,0)+L369</f>
        <v>0</v>
      </c>
      <c r="N369" s="147">
        <f>IF(M2S_Eligibility_List!N119=DataPaths_Code,1,0)+M369</f>
        <v>0</v>
      </c>
      <c r="O369" s="147">
        <f>IF(M2S_Eligibility_List!O119=DataPaths_Code,1,0)+N369</f>
        <v>0</v>
      </c>
      <c r="P369" s="147">
        <f>IF(M2S_Eligibility_List!P119=DataPaths_Code,1,0)+O369</f>
        <v>0</v>
      </c>
      <c r="Q369" s="147">
        <f>IF(M2S_Eligibility_List!Q119=DataPaths_Code,1,0)+P369</f>
        <v>0</v>
      </c>
      <c r="R369" s="147">
        <f>IF(M2S_Eligibility_List!R119=DataPaths_Code,1,0)+Q369</f>
        <v>0</v>
      </c>
      <c r="S369" s="147">
        <f>IF(M2S_Eligibility_List!S119=DataPaths_Code,1,0)+R369</f>
        <v>0</v>
      </c>
      <c r="T369" s="147">
        <f>IF(M2S_Eligibility_List!T119=DataPaths_Code,1,0)+S369</f>
        <v>0</v>
      </c>
      <c r="U369" s="147">
        <f>IF(M2S_Eligibility_List!U119=DataPaths_Code,1,0)+T369</f>
        <v>0</v>
      </c>
      <c r="V369" s="147">
        <f>IF(M2S_Eligibility_List!V119=DataPaths_Code,1,0)+U369</f>
        <v>0</v>
      </c>
      <c r="W369" s="147">
        <f>IF(M2S_Eligibility_List!W119=DataPaths_Code,1,0)+V369</f>
        <v>0</v>
      </c>
      <c r="X369" s="147">
        <f>IF(M2S_Eligibility_List!X119=DataPaths_Code,1,0)+W369</f>
        <v>0</v>
      </c>
      <c r="Y369" s="147">
        <f>IF(M2S_Eligibility_List!Y119=DataPaths_Code,1,0)+X369</f>
        <v>0</v>
      </c>
      <c r="Z369" s="147">
        <f>IF(M2S_Eligibility_List!Z119=DataPaths_Code,1,0)+Y369</f>
        <v>0</v>
      </c>
      <c r="AA369" s="147">
        <f>IF(M2S_Eligibility_List!AA119=DataPaths_Code,1,0)+Z369</f>
        <v>0</v>
      </c>
      <c r="AB369" s="147">
        <f>IF(M2S_Eligibility_List!AB119=DataPaths_Code,1,0)+AA369</f>
        <v>0</v>
      </c>
      <c r="AC369" s="147">
        <f>IF(M2S_Eligibility_List!AC119=DataPaths_Code,1,0)+AB369</f>
        <v>0</v>
      </c>
      <c r="AD369" s="147">
        <f>IF(M2S_Eligibility_List!AD119=DataPaths_Code,1,0)+AC369</f>
        <v>0</v>
      </c>
      <c r="AE369" s="147">
        <f>IF(M2S_Eligibility_List!AE119=DataPaths_Code,1,0)+AD369</f>
        <v>0</v>
      </c>
      <c r="AF369" s="147">
        <f>IF(M2S_Eligibility_List!AF119=DataPaths_Code,1,0)+AE369</f>
        <v>0</v>
      </c>
      <c r="AG369" s="147">
        <f>IF(M2S_Eligibility_List!AG119=DataPaths_Code,1,0)+AF369</f>
        <v>0</v>
      </c>
      <c r="AH369" s="147">
        <f>IF(M2S_Eligibility_List!AH119=DataPaths_Code,1,0)+AG369</f>
        <v>0</v>
      </c>
      <c r="AI369" s="147">
        <f>IF(M2S_Eligibility_List!AI119=DataPaths_Code,1,0)+AH369</f>
        <v>0</v>
      </c>
      <c r="AJ369" s="147">
        <f>IF(M2S_Eligibility_List!AJ119=DataPaths_Code,1,0)+AI369</f>
        <v>0</v>
      </c>
      <c r="AK369" s="147">
        <f>IF(M2S_Eligibility_List!AK119=DataPaths_Code,1,0)+AJ369</f>
        <v>0</v>
      </c>
      <c r="AL369" s="147">
        <f>IF(M2S_Eligibility_List!AL119=DataPaths_Code,1,0)+AK369</f>
        <v>0</v>
      </c>
      <c r="AM369" s="147">
        <f>IF(M2S_Eligibility_List!AM119=DataPaths_Code,1,0)+AL369</f>
        <v>0</v>
      </c>
      <c r="AN369" s="147">
        <f>IF(M2S_Eligibility_List!AN119=DataPaths_Code,1,0)+AM369</f>
        <v>0</v>
      </c>
      <c r="AO369" s="147">
        <f>IF(M2S_Eligibility_List!AO119=DataPaths_Code,1,0)+AN369</f>
        <v>0</v>
      </c>
      <c r="AP369" s="147">
        <f>IF(M2S_Eligibility_List!AP119=DataPaths_Code,1,0)+AO369</f>
        <v>0</v>
      </c>
      <c r="AQ369" s="147">
        <f>IF(M2S_Eligibility_List!AQ119=DataPaths_Code,1,0)+AP369</f>
        <v>0</v>
      </c>
      <c r="AR369" s="147">
        <f>IF(M2S_Eligibility_List!AR119=DataPaths_Code,1,0)+AQ369</f>
        <v>0</v>
      </c>
      <c r="AS369" s="147">
        <f>IF(M2S_Eligibility_List!AS119=DataPaths_Code,1,0)+AR369</f>
        <v>0</v>
      </c>
      <c r="AT369" s="147">
        <f>IF(M2S_Eligibility_List!AT119=DataPaths_Code,1,0)+AS369</f>
        <v>0</v>
      </c>
      <c r="AU369" s="147">
        <f>IF(M2S_Eligibility_List!AU119=DataPaths_Code,1,0)+AT369</f>
        <v>0</v>
      </c>
      <c r="AV369" s="147">
        <f>IF(M2S_Eligibility_List!AV119=DataPaths_Code,1,0)+AU369</f>
        <v>0</v>
      </c>
      <c r="AW369" s="147">
        <f>IF(M2S_Eligibility_List!AW119=DataPaths_Code,1,0)+AV369</f>
        <v>1</v>
      </c>
      <c r="AX369" s="147">
        <f>IF(M2S_Eligibility_List!AX119=DataPaths_Code,1,0)+AW369</f>
        <v>1</v>
      </c>
      <c r="AY369" s="147">
        <f>IF(M2S_Eligibility_List!AY119=DataPaths_Code,1,0)+AX369</f>
        <v>1</v>
      </c>
      <c r="AZ369" s="147">
        <f>IF(M2S_Eligibility_List!AZ119=DataPaths_Code,1,0)+AY369</f>
        <v>1</v>
      </c>
      <c r="BA369" s="147">
        <f>IF(M2S_Eligibility_List!BA119=DataPaths_Code,1,0)+AZ369</f>
        <v>1</v>
      </c>
      <c r="BB369" s="147">
        <f>IF(M2S_Eligibility_List!BB119=DataPaths_Code,1,0)+BA369</f>
        <v>1</v>
      </c>
      <c r="BC369" s="147">
        <f>IF(M2S_Eligibility_List!BC119=DataPaths_Code,1,0)+BB369</f>
        <v>1</v>
      </c>
      <c r="BD369" s="147">
        <f>IF(M2S_Eligibility_List!BD119=DataPaths_Code,1,0)+BC369</f>
        <v>1</v>
      </c>
      <c r="BE369" s="147">
        <f>IF(M2S_Eligibility_List!BE119=DataPaths_Code,1,0)+BD369</f>
        <v>1</v>
      </c>
      <c r="BF369" s="147">
        <f>IF(M2S_Eligibility_List!BF119=DataPaths_Code,1,0)+BE369</f>
        <v>1</v>
      </c>
      <c r="BG369" s="147">
        <f>IF(M2S_Eligibility_List!BG119=DataPaths_Code,1,0)+BF369</f>
        <v>1</v>
      </c>
      <c r="BH369" s="147">
        <f>IF(M2S_Eligibility_List!BH119=DataPaths_Code,1,0)+BG369</f>
        <v>1</v>
      </c>
      <c r="BI369" s="147">
        <f>IF(M2S_Eligibility_List!BI119=DataPaths_Code,1,0)+BH369</f>
        <v>1</v>
      </c>
      <c r="BJ369" s="147">
        <f>IF(M2S_Eligibility_List!BJ119=DataPaths_Code,1,0)+BI369</f>
        <v>1</v>
      </c>
      <c r="BK369" s="147">
        <f>IF(M2S_Eligibility_List!BK119=DataPaths_Code,1,0)+BJ369</f>
        <v>1</v>
      </c>
      <c r="BL369" s="147">
        <f>IF(M2S_Eligibility_List!BL119=DataPaths_Code,1,0)+BK369</f>
        <v>1</v>
      </c>
      <c r="BM369" s="147">
        <f>IF(M2S_Eligibility_List!BM119=DataPaths_Code,1,0)+BL369</f>
        <v>1</v>
      </c>
      <c r="BN369" s="147">
        <f>IF(M2S_Eligibility_List!BN119=DataPaths_Code,1,0)+BM369</f>
        <v>1</v>
      </c>
      <c r="BO369" s="147">
        <f>IF(M2S_Eligibility_List!BO119=DataPaths_Code,1,0)+BN369</f>
        <v>1</v>
      </c>
      <c r="BP369" s="147">
        <f>IF(M2S_Eligibility_List!BP119=DataPaths_Code,1,0)+BO369</f>
        <v>1</v>
      </c>
      <c r="BQ369" s="147">
        <f>IF(M2S_Eligibility_List!BQ119=DataPaths_Code,1,0)+BP369</f>
        <v>1</v>
      </c>
      <c r="BR369" s="147">
        <f>IF(M2S_Eligibility_List!BR119=DataPaths_Code,1,0)+BQ369</f>
        <v>1</v>
      </c>
      <c r="BS369" s="147">
        <f>IF(M2S_Eligibility_List!BS119=DataPaths_Code,1,0)+BR369</f>
        <v>1</v>
      </c>
      <c r="BT369" s="147">
        <f>IF(M2S_Eligibility_List!BT119=DataPaths_Code,1,0)+BS369</f>
        <v>1</v>
      </c>
      <c r="BU369" s="147">
        <f>IF(M2S_Eligibility_List!BU119=DataPaths_Code,1,0)+BT369</f>
        <v>1</v>
      </c>
      <c r="BV369" s="147">
        <f>IF(M2S_Eligibility_List!BV119=DataPaths_Code,1,0)+BU369</f>
        <v>1</v>
      </c>
      <c r="BW369" s="147">
        <f>IF(M2S_Eligibility_List!BW119=DataPaths_Code,1,0)+BV369</f>
        <v>1</v>
      </c>
    </row>
    <row r="370" spans="1:75" ht="20.100000000000001" customHeight="1">
      <c r="A370" s="145"/>
      <c r="B370" s="170" t="str">
        <f>IF(M2S_Eligibility_List!$B120&lt;&gt;"",RIGHT(M2S_Eligibility_List!$B120,LEN(M2S_Eligibility_List!$B120)-LEN(nmADwSP)),0)</f>
        <v>TruNest Contour</v>
      </c>
      <c r="C370" s="147">
        <f>IF(M2S_Eligibility_List!C120=DataPaths_Code,1,0)</f>
        <v>0</v>
      </c>
      <c r="D370" s="147">
        <f>IF(M2S_Eligibility_List!D120=DataPaths_Code,1,0)+C370</f>
        <v>0</v>
      </c>
      <c r="E370" s="147">
        <f>IF(M2S_Eligibility_List!E120=DataPaths_Code,1,0)+D370</f>
        <v>0</v>
      </c>
      <c r="F370" s="147">
        <f>IF(M2S_Eligibility_List!F120=DataPaths_Code,1,0)+E370</f>
        <v>0</v>
      </c>
      <c r="G370" s="147">
        <f>IF(M2S_Eligibility_List!G120=DataPaths_Code,1,0)+F370</f>
        <v>0</v>
      </c>
      <c r="H370" s="147">
        <f>IF(M2S_Eligibility_List!H120=DataPaths_Code,1,0)+G370</f>
        <v>0</v>
      </c>
      <c r="I370" s="147">
        <f>IF(M2S_Eligibility_List!I120=DataPaths_Code,1,0)+H370</f>
        <v>0</v>
      </c>
      <c r="J370" s="147">
        <f>IF(M2S_Eligibility_List!J120=DataPaths_Code,1,0)+I370</f>
        <v>0</v>
      </c>
      <c r="K370" s="147">
        <f>IF(M2S_Eligibility_List!K120=DataPaths_Code,1,0)+J370</f>
        <v>0</v>
      </c>
      <c r="L370" s="147">
        <f>IF(M2S_Eligibility_List!L120=DataPaths_Code,1,0)+K370</f>
        <v>0</v>
      </c>
      <c r="M370" s="147">
        <f>IF(M2S_Eligibility_List!M120=DataPaths_Code,1,0)+L370</f>
        <v>0</v>
      </c>
      <c r="N370" s="147">
        <f>IF(M2S_Eligibility_List!N120=DataPaths_Code,1,0)+M370</f>
        <v>0</v>
      </c>
      <c r="O370" s="147">
        <f>IF(M2S_Eligibility_List!O120=DataPaths_Code,1,0)+N370</f>
        <v>0</v>
      </c>
      <c r="P370" s="147">
        <f>IF(M2S_Eligibility_List!P120=DataPaths_Code,1,0)+O370</f>
        <v>0</v>
      </c>
      <c r="Q370" s="147">
        <f>IF(M2S_Eligibility_List!Q120=DataPaths_Code,1,0)+P370</f>
        <v>0</v>
      </c>
      <c r="R370" s="147">
        <f>IF(M2S_Eligibility_List!R120=DataPaths_Code,1,0)+Q370</f>
        <v>0</v>
      </c>
      <c r="S370" s="147">
        <f>IF(M2S_Eligibility_List!S120=DataPaths_Code,1,0)+R370</f>
        <v>0</v>
      </c>
      <c r="T370" s="147">
        <f>IF(M2S_Eligibility_List!T120=DataPaths_Code,1,0)+S370</f>
        <v>0</v>
      </c>
      <c r="U370" s="147">
        <f>IF(M2S_Eligibility_List!U120=DataPaths_Code,1,0)+T370</f>
        <v>0</v>
      </c>
      <c r="V370" s="147">
        <f>IF(M2S_Eligibility_List!V120=DataPaths_Code,1,0)+U370</f>
        <v>0</v>
      </c>
      <c r="W370" s="147">
        <f>IF(M2S_Eligibility_List!W120=DataPaths_Code,1,0)+V370</f>
        <v>0</v>
      </c>
      <c r="X370" s="147">
        <f>IF(M2S_Eligibility_List!X120=DataPaths_Code,1,0)+W370</f>
        <v>0</v>
      </c>
      <c r="Y370" s="147">
        <f>IF(M2S_Eligibility_List!Y120=DataPaths_Code,1,0)+X370</f>
        <v>0</v>
      </c>
      <c r="Z370" s="147">
        <f>IF(M2S_Eligibility_List!Z120=DataPaths_Code,1,0)+Y370</f>
        <v>0</v>
      </c>
      <c r="AA370" s="147">
        <f>IF(M2S_Eligibility_List!AA120=DataPaths_Code,1,0)+Z370</f>
        <v>0</v>
      </c>
      <c r="AB370" s="147">
        <f>IF(M2S_Eligibility_List!AB120=DataPaths_Code,1,0)+AA370</f>
        <v>0</v>
      </c>
      <c r="AC370" s="147">
        <f>IF(M2S_Eligibility_List!AC120=DataPaths_Code,1,0)+AB370</f>
        <v>0</v>
      </c>
      <c r="AD370" s="147">
        <f>IF(M2S_Eligibility_List!AD120=DataPaths_Code,1,0)+AC370</f>
        <v>0</v>
      </c>
      <c r="AE370" s="147">
        <f>IF(M2S_Eligibility_List!AE120=DataPaths_Code,1,0)+AD370</f>
        <v>0</v>
      </c>
      <c r="AF370" s="147">
        <f>IF(M2S_Eligibility_List!AF120=DataPaths_Code,1,0)+AE370</f>
        <v>0</v>
      </c>
      <c r="AG370" s="147">
        <f>IF(M2S_Eligibility_List!AG120=DataPaths_Code,1,0)+AF370</f>
        <v>0</v>
      </c>
      <c r="AH370" s="147">
        <f>IF(M2S_Eligibility_List!AH120=DataPaths_Code,1,0)+AG370</f>
        <v>0</v>
      </c>
      <c r="AI370" s="147">
        <f>IF(M2S_Eligibility_List!AI120=DataPaths_Code,1,0)+AH370</f>
        <v>0</v>
      </c>
      <c r="AJ370" s="147">
        <f>IF(M2S_Eligibility_List!AJ120=DataPaths_Code,1,0)+AI370</f>
        <v>0</v>
      </c>
      <c r="AK370" s="147">
        <f>IF(M2S_Eligibility_List!AK120=DataPaths_Code,1,0)+AJ370</f>
        <v>0</v>
      </c>
      <c r="AL370" s="147">
        <f>IF(M2S_Eligibility_List!AL120=DataPaths_Code,1,0)+AK370</f>
        <v>0</v>
      </c>
      <c r="AM370" s="147">
        <f>IF(M2S_Eligibility_List!AM120=DataPaths_Code,1,0)+AL370</f>
        <v>0</v>
      </c>
      <c r="AN370" s="147">
        <f>IF(M2S_Eligibility_List!AN120=DataPaths_Code,1,0)+AM370</f>
        <v>0</v>
      </c>
      <c r="AO370" s="147">
        <f>IF(M2S_Eligibility_List!AO120=DataPaths_Code,1,0)+AN370</f>
        <v>0</v>
      </c>
      <c r="AP370" s="147">
        <f>IF(M2S_Eligibility_List!AP120=DataPaths_Code,1,0)+AO370</f>
        <v>0</v>
      </c>
      <c r="AQ370" s="147">
        <f>IF(M2S_Eligibility_List!AQ120=DataPaths_Code,1,0)+AP370</f>
        <v>0</v>
      </c>
      <c r="AR370" s="147">
        <f>IF(M2S_Eligibility_List!AR120=DataPaths_Code,1,0)+AQ370</f>
        <v>0</v>
      </c>
      <c r="AS370" s="147">
        <f>IF(M2S_Eligibility_List!AS120=DataPaths_Code,1,0)+AR370</f>
        <v>0</v>
      </c>
      <c r="AT370" s="147">
        <f>IF(M2S_Eligibility_List!AT120=DataPaths_Code,1,0)+AS370</f>
        <v>0</v>
      </c>
      <c r="AU370" s="147">
        <f>IF(M2S_Eligibility_List!AU120=DataPaths_Code,1,0)+AT370</f>
        <v>0</v>
      </c>
      <c r="AV370" s="147">
        <f>IF(M2S_Eligibility_List!AV120=DataPaths_Code,1,0)+AU370</f>
        <v>0</v>
      </c>
      <c r="AW370" s="147">
        <f>IF(M2S_Eligibility_List!AW120=DataPaths_Code,1,0)+AV370</f>
        <v>0</v>
      </c>
      <c r="AX370" s="147">
        <f>IF(M2S_Eligibility_List!AX120=DataPaths_Code,1,0)+AW370</f>
        <v>1</v>
      </c>
      <c r="AY370" s="147">
        <f>IF(M2S_Eligibility_List!AY120=DataPaths_Code,1,0)+AX370</f>
        <v>1</v>
      </c>
      <c r="AZ370" s="147">
        <f>IF(M2S_Eligibility_List!AZ120=DataPaths_Code,1,0)+AY370</f>
        <v>1</v>
      </c>
      <c r="BA370" s="147">
        <f>IF(M2S_Eligibility_List!BA120=DataPaths_Code,1,0)+AZ370</f>
        <v>1</v>
      </c>
      <c r="BB370" s="147">
        <f>IF(M2S_Eligibility_List!BB120=DataPaths_Code,1,0)+BA370</f>
        <v>1</v>
      </c>
      <c r="BC370" s="147">
        <f>IF(M2S_Eligibility_List!BC120=DataPaths_Code,1,0)+BB370</f>
        <v>1</v>
      </c>
      <c r="BD370" s="147">
        <f>IF(M2S_Eligibility_List!BD120=DataPaths_Code,1,0)+BC370</f>
        <v>1</v>
      </c>
      <c r="BE370" s="147">
        <f>IF(M2S_Eligibility_List!BE120=DataPaths_Code,1,0)+BD370</f>
        <v>1</v>
      </c>
      <c r="BF370" s="147">
        <f>IF(M2S_Eligibility_List!BF120=DataPaths_Code,1,0)+BE370</f>
        <v>1</v>
      </c>
      <c r="BG370" s="147">
        <f>IF(M2S_Eligibility_List!BG120=DataPaths_Code,1,0)+BF370</f>
        <v>1</v>
      </c>
      <c r="BH370" s="147">
        <f>IF(M2S_Eligibility_List!BH120=DataPaths_Code,1,0)+BG370</f>
        <v>1</v>
      </c>
      <c r="BI370" s="147">
        <f>IF(M2S_Eligibility_List!BI120=DataPaths_Code,1,0)+BH370</f>
        <v>1</v>
      </c>
      <c r="BJ370" s="147">
        <f>IF(M2S_Eligibility_List!BJ120=DataPaths_Code,1,0)+BI370</f>
        <v>1</v>
      </c>
      <c r="BK370" s="147">
        <f>IF(M2S_Eligibility_List!BK120=DataPaths_Code,1,0)+BJ370</f>
        <v>1</v>
      </c>
      <c r="BL370" s="147">
        <f>IF(M2S_Eligibility_List!BL120=DataPaths_Code,1,0)+BK370</f>
        <v>1</v>
      </c>
      <c r="BM370" s="147">
        <f>IF(M2S_Eligibility_List!BM120=DataPaths_Code,1,0)+BL370</f>
        <v>1</v>
      </c>
      <c r="BN370" s="147">
        <f>IF(M2S_Eligibility_List!BN120=DataPaths_Code,1,0)+BM370</f>
        <v>1</v>
      </c>
      <c r="BO370" s="147">
        <f>IF(M2S_Eligibility_List!BO120=DataPaths_Code,1,0)+BN370</f>
        <v>1</v>
      </c>
      <c r="BP370" s="147">
        <f>IF(M2S_Eligibility_List!BP120=DataPaths_Code,1,0)+BO370</f>
        <v>1</v>
      </c>
      <c r="BQ370" s="147">
        <f>IF(M2S_Eligibility_List!BQ120=DataPaths_Code,1,0)+BP370</f>
        <v>1</v>
      </c>
      <c r="BR370" s="147">
        <f>IF(M2S_Eligibility_List!BR120=DataPaths_Code,1,0)+BQ370</f>
        <v>1</v>
      </c>
      <c r="BS370" s="147">
        <f>IF(M2S_Eligibility_List!BS120=DataPaths_Code,1,0)+BR370</f>
        <v>1</v>
      </c>
      <c r="BT370" s="147">
        <f>IF(M2S_Eligibility_List!BT120=DataPaths_Code,1,0)+BS370</f>
        <v>1</v>
      </c>
      <c r="BU370" s="147">
        <f>IF(M2S_Eligibility_List!BU120=DataPaths_Code,1,0)+BT370</f>
        <v>1</v>
      </c>
      <c r="BV370" s="147">
        <f>IF(M2S_Eligibility_List!BV120=DataPaths_Code,1,0)+BU370</f>
        <v>1</v>
      </c>
      <c r="BW370" s="147">
        <f>IF(M2S_Eligibility_List!BW120=DataPaths_Code,1,0)+BV370</f>
        <v>1</v>
      </c>
    </row>
    <row r="371" spans="1:75" ht="20.100000000000001" customHeight="1">
      <c r="A371" s="145"/>
      <c r="B371" s="170" t="str">
        <f>IF(M2S_Eligibility_List!$B121&lt;&gt;"",RIGHT(M2S_Eligibility_List!$B121,LEN(M2S_Eligibility_List!$B121)-LEN(nmADwSP)),0)</f>
        <v>TruNest Multi-Tool</v>
      </c>
      <c r="C371" s="147">
        <f>IF(M2S_Eligibility_List!C121=DataPaths_Code,1,0)</f>
        <v>0</v>
      </c>
      <c r="D371" s="147">
        <f>IF(M2S_Eligibility_List!D121=DataPaths_Code,1,0)+C371</f>
        <v>0</v>
      </c>
      <c r="E371" s="147">
        <f>IF(M2S_Eligibility_List!E121=DataPaths_Code,1,0)+D371</f>
        <v>0</v>
      </c>
      <c r="F371" s="147">
        <f>IF(M2S_Eligibility_List!F121=DataPaths_Code,1,0)+E371</f>
        <v>0</v>
      </c>
      <c r="G371" s="147">
        <f>IF(M2S_Eligibility_List!G121=DataPaths_Code,1,0)+F371</f>
        <v>0</v>
      </c>
      <c r="H371" s="147">
        <f>IF(M2S_Eligibility_List!H121=DataPaths_Code,1,0)+G371</f>
        <v>0</v>
      </c>
      <c r="I371" s="147">
        <f>IF(M2S_Eligibility_List!I121=DataPaths_Code,1,0)+H371</f>
        <v>0</v>
      </c>
      <c r="J371" s="147">
        <f>IF(M2S_Eligibility_List!J121=DataPaths_Code,1,0)+I371</f>
        <v>0</v>
      </c>
      <c r="K371" s="147">
        <f>IF(M2S_Eligibility_List!K121=DataPaths_Code,1,0)+J371</f>
        <v>0</v>
      </c>
      <c r="L371" s="147">
        <f>IF(M2S_Eligibility_List!L121=DataPaths_Code,1,0)+K371</f>
        <v>0</v>
      </c>
      <c r="M371" s="147">
        <f>IF(M2S_Eligibility_List!M121=DataPaths_Code,1,0)+L371</f>
        <v>0</v>
      </c>
      <c r="N371" s="147">
        <f>IF(M2S_Eligibility_List!N121=DataPaths_Code,1,0)+M371</f>
        <v>0</v>
      </c>
      <c r="O371" s="147">
        <f>IF(M2S_Eligibility_List!O121=DataPaths_Code,1,0)+N371</f>
        <v>0</v>
      </c>
      <c r="P371" s="147">
        <f>IF(M2S_Eligibility_List!P121=DataPaths_Code,1,0)+O371</f>
        <v>0</v>
      </c>
      <c r="Q371" s="147">
        <f>IF(M2S_Eligibility_List!Q121=DataPaths_Code,1,0)+P371</f>
        <v>0</v>
      </c>
      <c r="R371" s="147">
        <f>IF(M2S_Eligibility_List!R121=DataPaths_Code,1,0)+Q371</f>
        <v>0</v>
      </c>
      <c r="S371" s="147">
        <f>IF(M2S_Eligibility_List!S121=DataPaths_Code,1,0)+R371</f>
        <v>0</v>
      </c>
      <c r="T371" s="147">
        <f>IF(M2S_Eligibility_List!T121=DataPaths_Code,1,0)+S371</f>
        <v>0</v>
      </c>
      <c r="U371" s="147">
        <f>IF(M2S_Eligibility_List!U121=DataPaths_Code,1,0)+T371</f>
        <v>0</v>
      </c>
      <c r="V371" s="147">
        <f>IF(M2S_Eligibility_List!V121=DataPaths_Code,1,0)+U371</f>
        <v>0</v>
      </c>
      <c r="W371" s="147">
        <f>IF(M2S_Eligibility_List!W121=DataPaths_Code,1,0)+V371</f>
        <v>0</v>
      </c>
      <c r="X371" s="147">
        <f>IF(M2S_Eligibility_List!X121=DataPaths_Code,1,0)+W371</f>
        <v>0</v>
      </c>
      <c r="Y371" s="147">
        <f>IF(M2S_Eligibility_List!Y121=DataPaths_Code,1,0)+X371</f>
        <v>0</v>
      </c>
      <c r="Z371" s="147">
        <f>IF(M2S_Eligibility_List!Z121=DataPaths_Code,1,0)+Y371</f>
        <v>0</v>
      </c>
      <c r="AA371" s="147">
        <f>IF(M2S_Eligibility_List!AA121=DataPaths_Code,1,0)+Z371</f>
        <v>0</v>
      </c>
      <c r="AB371" s="147">
        <f>IF(M2S_Eligibility_List!AB121=DataPaths_Code,1,0)+AA371</f>
        <v>0</v>
      </c>
      <c r="AC371" s="147">
        <f>IF(M2S_Eligibility_List!AC121=DataPaths_Code,1,0)+AB371</f>
        <v>0</v>
      </c>
      <c r="AD371" s="147">
        <f>IF(M2S_Eligibility_List!AD121=DataPaths_Code,1,0)+AC371</f>
        <v>0</v>
      </c>
      <c r="AE371" s="147">
        <f>IF(M2S_Eligibility_List!AE121=DataPaths_Code,1,0)+AD371</f>
        <v>0</v>
      </c>
      <c r="AF371" s="147">
        <f>IF(M2S_Eligibility_List!AF121=DataPaths_Code,1,0)+AE371</f>
        <v>0</v>
      </c>
      <c r="AG371" s="147">
        <f>IF(M2S_Eligibility_List!AG121=DataPaths_Code,1,0)+AF371</f>
        <v>0</v>
      </c>
      <c r="AH371" s="147">
        <f>IF(M2S_Eligibility_List!AH121=DataPaths_Code,1,0)+AG371</f>
        <v>0</v>
      </c>
      <c r="AI371" s="147">
        <f>IF(M2S_Eligibility_List!AI121=DataPaths_Code,1,0)+AH371</f>
        <v>0</v>
      </c>
      <c r="AJ371" s="147">
        <f>IF(M2S_Eligibility_List!AJ121=DataPaths_Code,1,0)+AI371</f>
        <v>0</v>
      </c>
      <c r="AK371" s="147">
        <f>IF(M2S_Eligibility_List!AK121=DataPaths_Code,1,0)+AJ371</f>
        <v>0</v>
      </c>
      <c r="AL371" s="147">
        <f>IF(M2S_Eligibility_List!AL121=DataPaths_Code,1,0)+AK371</f>
        <v>0</v>
      </c>
      <c r="AM371" s="147">
        <f>IF(M2S_Eligibility_List!AM121=DataPaths_Code,1,0)+AL371</f>
        <v>0</v>
      </c>
      <c r="AN371" s="147">
        <f>IF(M2S_Eligibility_List!AN121=DataPaths_Code,1,0)+AM371</f>
        <v>0</v>
      </c>
      <c r="AO371" s="147">
        <f>IF(M2S_Eligibility_List!AO121=DataPaths_Code,1,0)+AN371</f>
        <v>0</v>
      </c>
      <c r="AP371" s="147">
        <f>IF(M2S_Eligibility_List!AP121=DataPaths_Code,1,0)+AO371</f>
        <v>0</v>
      </c>
      <c r="AQ371" s="147">
        <f>IF(M2S_Eligibility_List!AQ121=DataPaths_Code,1,0)+AP371</f>
        <v>0</v>
      </c>
      <c r="AR371" s="147">
        <f>IF(M2S_Eligibility_List!AR121=DataPaths_Code,1,0)+AQ371</f>
        <v>0</v>
      </c>
      <c r="AS371" s="147">
        <f>IF(M2S_Eligibility_List!AS121=DataPaths_Code,1,0)+AR371</f>
        <v>0</v>
      </c>
      <c r="AT371" s="147">
        <f>IF(M2S_Eligibility_List!AT121=DataPaths_Code,1,0)+AS371</f>
        <v>0</v>
      </c>
      <c r="AU371" s="147">
        <f>IF(M2S_Eligibility_List!AU121=DataPaths_Code,1,0)+AT371</f>
        <v>0</v>
      </c>
      <c r="AV371" s="147">
        <f>IF(M2S_Eligibility_List!AV121=DataPaths_Code,1,0)+AU371</f>
        <v>0</v>
      </c>
      <c r="AW371" s="147">
        <f>IF(M2S_Eligibility_List!AW121=DataPaths_Code,1,0)+AV371</f>
        <v>0</v>
      </c>
      <c r="AX371" s="147">
        <f>IF(M2S_Eligibility_List!AX121=DataPaths_Code,1,0)+AW371</f>
        <v>0</v>
      </c>
      <c r="AY371" s="147">
        <f>IF(M2S_Eligibility_List!AY121=DataPaths_Code,1,0)+AX371</f>
        <v>1</v>
      </c>
      <c r="AZ371" s="147">
        <f>IF(M2S_Eligibility_List!AZ121=DataPaths_Code,1,0)+AY371</f>
        <v>1</v>
      </c>
      <c r="BA371" s="147">
        <f>IF(M2S_Eligibility_List!BA121=DataPaths_Code,1,0)+AZ371</f>
        <v>1</v>
      </c>
      <c r="BB371" s="147">
        <f>IF(M2S_Eligibility_List!BB121=DataPaths_Code,1,0)+BA371</f>
        <v>1</v>
      </c>
      <c r="BC371" s="147">
        <f>IF(M2S_Eligibility_List!BC121=DataPaths_Code,1,0)+BB371</f>
        <v>1</v>
      </c>
      <c r="BD371" s="147">
        <f>IF(M2S_Eligibility_List!BD121=DataPaths_Code,1,0)+BC371</f>
        <v>1</v>
      </c>
      <c r="BE371" s="147">
        <f>IF(M2S_Eligibility_List!BE121=DataPaths_Code,1,0)+BD371</f>
        <v>1</v>
      </c>
      <c r="BF371" s="147">
        <f>IF(M2S_Eligibility_List!BF121=DataPaths_Code,1,0)+BE371</f>
        <v>1</v>
      </c>
      <c r="BG371" s="147">
        <f>IF(M2S_Eligibility_List!BG121=DataPaths_Code,1,0)+BF371</f>
        <v>1</v>
      </c>
      <c r="BH371" s="147">
        <f>IF(M2S_Eligibility_List!BH121=DataPaths_Code,1,0)+BG371</f>
        <v>1</v>
      </c>
      <c r="BI371" s="147">
        <f>IF(M2S_Eligibility_List!BI121=DataPaths_Code,1,0)+BH371</f>
        <v>1</v>
      </c>
      <c r="BJ371" s="147">
        <f>IF(M2S_Eligibility_List!BJ121=DataPaths_Code,1,0)+BI371</f>
        <v>1</v>
      </c>
      <c r="BK371" s="147">
        <f>IF(M2S_Eligibility_List!BK121=DataPaths_Code,1,0)+BJ371</f>
        <v>1</v>
      </c>
      <c r="BL371" s="147">
        <f>IF(M2S_Eligibility_List!BL121=DataPaths_Code,1,0)+BK371</f>
        <v>1</v>
      </c>
      <c r="BM371" s="147">
        <f>IF(M2S_Eligibility_List!BM121=DataPaths_Code,1,0)+BL371</f>
        <v>1</v>
      </c>
      <c r="BN371" s="147">
        <f>IF(M2S_Eligibility_List!BN121=DataPaths_Code,1,0)+BM371</f>
        <v>1</v>
      </c>
      <c r="BO371" s="147">
        <f>IF(M2S_Eligibility_List!BO121=DataPaths_Code,1,0)+BN371</f>
        <v>1</v>
      </c>
      <c r="BP371" s="147">
        <f>IF(M2S_Eligibility_List!BP121=DataPaths_Code,1,0)+BO371</f>
        <v>1</v>
      </c>
      <c r="BQ371" s="147">
        <f>IF(M2S_Eligibility_List!BQ121=DataPaths_Code,1,0)+BP371</f>
        <v>1</v>
      </c>
      <c r="BR371" s="147">
        <f>IF(M2S_Eligibility_List!BR121=DataPaths_Code,1,0)+BQ371</f>
        <v>1</v>
      </c>
      <c r="BS371" s="147">
        <f>IF(M2S_Eligibility_List!BS121=DataPaths_Code,1,0)+BR371</f>
        <v>1</v>
      </c>
      <c r="BT371" s="147">
        <f>IF(M2S_Eligibility_List!BT121=DataPaths_Code,1,0)+BS371</f>
        <v>1</v>
      </c>
      <c r="BU371" s="147">
        <f>IF(M2S_Eligibility_List!BU121=DataPaths_Code,1,0)+BT371</f>
        <v>1</v>
      </c>
      <c r="BV371" s="147">
        <f>IF(M2S_Eligibility_List!BV121=DataPaths_Code,1,0)+BU371</f>
        <v>1</v>
      </c>
      <c r="BW371" s="147">
        <f>IF(M2S_Eligibility_List!BW121=DataPaths_Code,1,0)+BV371</f>
        <v>1</v>
      </c>
    </row>
    <row r="372" spans="1:75" ht="20.100000000000001" customHeight="1">
      <c r="A372" s="145"/>
      <c r="B372" s="170" t="str">
        <f>IF(M2S_Eligibility_List!$B122&lt;&gt;"",RIGHT(M2S_Eligibility_List!$B122,LEN(M2S_Eligibility_List!$B122)-LEN(nmADwSP)),0)</f>
        <v>Vault Office</v>
      </c>
      <c r="C372" s="147">
        <f>IF(M2S_Eligibility_List!C122=DataPaths_Code,1,0)</f>
        <v>0</v>
      </c>
      <c r="D372" s="147">
        <f>IF(M2S_Eligibility_List!D122=DataPaths_Code,1,0)+C372</f>
        <v>0</v>
      </c>
      <c r="E372" s="147">
        <f>IF(M2S_Eligibility_List!E122=DataPaths_Code,1,0)+D372</f>
        <v>0</v>
      </c>
      <c r="F372" s="147">
        <f>IF(M2S_Eligibility_List!F122=DataPaths_Code,1,0)+E372</f>
        <v>0</v>
      </c>
      <c r="G372" s="147">
        <f>IF(M2S_Eligibility_List!G122=DataPaths_Code,1,0)+F372</f>
        <v>0</v>
      </c>
      <c r="H372" s="147">
        <f>IF(M2S_Eligibility_List!H122=DataPaths_Code,1,0)+G372</f>
        <v>0</v>
      </c>
      <c r="I372" s="147">
        <f>IF(M2S_Eligibility_List!I122=DataPaths_Code,1,0)+H372</f>
        <v>0</v>
      </c>
      <c r="J372" s="147">
        <f>IF(M2S_Eligibility_List!J122=DataPaths_Code,1,0)+I372</f>
        <v>0</v>
      </c>
      <c r="K372" s="147">
        <f>IF(M2S_Eligibility_List!K122=DataPaths_Code,1,0)+J372</f>
        <v>0</v>
      </c>
      <c r="L372" s="147">
        <f>IF(M2S_Eligibility_List!L122=DataPaths_Code,1,0)+K372</f>
        <v>0</v>
      </c>
      <c r="M372" s="147">
        <f>IF(M2S_Eligibility_List!M122=DataPaths_Code,1,0)+L372</f>
        <v>0</v>
      </c>
      <c r="N372" s="147">
        <f>IF(M2S_Eligibility_List!N122=DataPaths_Code,1,0)+M372</f>
        <v>0</v>
      </c>
      <c r="O372" s="147">
        <f>IF(M2S_Eligibility_List!O122=DataPaths_Code,1,0)+N372</f>
        <v>0</v>
      </c>
      <c r="P372" s="147">
        <f>IF(M2S_Eligibility_List!P122=DataPaths_Code,1,0)+O372</f>
        <v>0</v>
      </c>
      <c r="Q372" s="147">
        <f>IF(M2S_Eligibility_List!Q122=DataPaths_Code,1,0)+P372</f>
        <v>0</v>
      </c>
      <c r="R372" s="147">
        <f>IF(M2S_Eligibility_List!R122=DataPaths_Code,1,0)+Q372</f>
        <v>0</v>
      </c>
      <c r="S372" s="147">
        <f>IF(M2S_Eligibility_List!S122=DataPaths_Code,1,0)+R372</f>
        <v>0</v>
      </c>
      <c r="T372" s="147">
        <f>IF(M2S_Eligibility_List!T122=DataPaths_Code,1,0)+S372</f>
        <v>0</v>
      </c>
      <c r="U372" s="147">
        <f>IF(M2S_Eligibility_List!U122=DataPaths_Code,1,0)+T372</f>
        <v>0</v>
      </c>
      <c r="V372" s="147">
        <f>IF(M2S_Eligibility_List!V122=DataPaths_Code,1,0)+U372</f>
        <v>0</v>
      </c>
      <c r="W372" s="147">
        <f>IF(M2S_Eligibility_List!W122=DataPaths_Code,1,0)+V372</f>
        <v>0</v>
      </c>
      <c r="X372" s="147">
        <f>IF(M2S_Eligibility_List!X122=DataPaths_Code,1,0)+W372</f>
        <v>0</v>
      </c>
      <c r="Y372" s="147">
        <f>IF(M2S_Eligibility_List!Y122=DataPaths_Code,1,0)+X372</f>
        <v>0</v>
      </c>
      <c r="Z372" s="147">
        <f>IF(M2S_Eligibility_List!Z122=DataPaths_Code,1,0)+Y372</f>
        <v>0</v>
      </c>
      <c r="AA372" s="147">
        <f>IF(M2S_Eligibility_List!AA122=DataPaths_Code,1,0)+Z372</f>
        <v>0</v>
      </c>
      <c r="AB372" s="147">
        <f>IF(M2S_Eligibility_List!AB122=DataPaths_Code,1,0)+AA372</f>
        <v>0</v>
      </c>
      <c r="AC372" s="147">
        <f>IF(M2S_Eligibility_List!AC122=DataPaths_Code,1,0)+AB372</f>
        <v>0</v>
      </c>
      <c r="AD372" s="147">
        <f>IF(M2S_Eligibility_List!AD122=DataPaths_Code,1,0)+AC372</f>
        <v>0</v>
      </c>
      <c r="AE372" s="147">
        <f>IF(M2S_Eligibility_List!AE122=DataPaths_Code,1,0)+AD372</f>
        <v>0</v>
      </c>
      <c r="AF372" s="147">
        <f>IF(M2S_Eligibility_List!AF122=DataPaths_Code,1,0)+AE372</f>
        <v>0</v>
      </c>
      <c r="AG372" s="147">
        <f>IF(M2S_Eligibility_List!AG122=DataPaths_Code,1,0)+AF372</f>
        <v>0</v>
      </c>
      <c r="AH372" s="147">
        <f>IF(M2S_Eligibility_List!AH122=DataPaths_Code,1,0)+AG372</f>
        <v>0</v>
      </c>
      <c r="AI372" s="147">
        <f>IF(M2S_Eligibility_List!AI122=DataPaths_Code,1,0)+AH372</f>
        <v>0</v>
      </c>
      <c r="AJ372" s="147">
        <f>IF(M2S_Eligibility_List!AJ122=DataPaths_Code,1,0)+AI372</f>
        <v>0</v>
      </c>
      <c r="AK372" s="147">
        <f>IF(M2S_Eligibility_List!AK122=DataPaths_Code,1,0)+AJ372</f>
        <v>0</v>
      </c>
      <c r="AL372" s="147">
        <f>IF(M2S_Eligibility_List!AL122=DataPaths_Code,1,0)+AK372</f>
        <v>0</v>
      </c>
      <c r="AM372" s="147">
        <f>IF(M2S_Eligibility_List!AM122=DataPaths_Code,1,0)+AL372</f>
        <v>0</v>
      </c>
      <c r="AN372" s="147">
        <f>IF(M2S_Eligibility_List!AN122=DataPaths_Code,1,0)+AM372</f>
        <v>0</v>
      </c>
      <c r="AO372" s="147">
        <f>IF(M2S_Eligibility_List!AO122=DataPaths_Code,1,0)+AN372</f>
        <v>0</v>
      </c>
      <c r="AP372" s="147">
        <f>IF(M2S_Eligibility_List!AP122=DataPaths_Code,1,0)+AO372</f>
        <v>0</v>
      </c>
      <c r="AQ372" s="147">
        <f>IF(M2S_Eligibility_List!AQ122=DataPaths_Code,1,0)+AP372</f>
        <v>0</v>
      </c>
      <c r="AR372" s="147">
        <f>IF(M2S_Eligibility_List!AR122=DataPaths_Code,1,0)+AQ372</f>
        <v>0</v>
      </c>
      <c r="AS372" s="147">
        <f>IF(M2S_Eligibility_List!AS122=DataPaths_Code,1,0)+AR372</f>
        <v>0</v>
      </c>
      <c r="AT372" s="147">
        <f>IF(M2S_Eligibility_List!AT122=DataPaths_Code,1,0)+AS372</f>
        <v>0</v>
      </c>
      <c r="AU372" s="147">
        <f>IF(M2S_Eligibility_List!AU122=DataPaths_Code,1,0)+AT372</f>
        <v>0</v>
      </c>
      <c r="AV372" s="147">
        <f>IF(M2S_Eligibility_List!AV122=DataPaths_Code,1,0)+AU372</f>
        <v>0</v>
      </c>
      <c r="AW372" s="147">
        <f>IF(M2S_Eligibility_List!AW122=DataPaths_Code,1,0)+AV372</f>
        <v>0</v>
      </c>
      <c r="AX372" s="147">
        <f>IF(M2S_Eligibility_List!AX122=DataPaths_Code,1,0)+AW372</f>
        <v>0</v>
      </c>
      <c r="AY372" s="147">
        <f>IF(M2S_Eligibility_List!AY122=DataPaths_Code,1,0)+AX372</f>
        <v>0</v>
      </c>
      <c r="AZ372" s="147">
        <f>IF(M2S_Eligibility_List!AZ122=DataPaths_Code,1,0)+AY372</f>
        <v>1</v>
      </c>
      <c r="BA372" s="147">
        <f>IF(M2S_Eligibility_List!BA122=DataPaths_Code,1,0)+AZ372</f>
        <v>2</v>
      </c>
      <c r="BB372" s="147">
        <f>IF(M2S_Eligibility_List!BB122=DataPaths_Code,1,0)+BA372</f>
        <v>2</v>
      </c>
      <c r="BC372" s="147">
        <f>IF(M2S_Eligibility_List!BC122=DataPaths_Code,1,0)+BB372</f>
        <v>2</v>
      </c>
      <c r="BD372" s="147">
        <f>IF(M2S_Eligibility_List!BD122=DataPaths_Code,1,0)+BC372</f>
        <v>2</v>
      </c>
      <c r="BE372" s="147">
        <f>IF(M2S_Eligibility_List!BE122=DataPaths_Code,1,0)+BD372</f>
        <v>2</v>
      </c>
      <c r="BF372" s="147">
        <f>IF(M2S_Eligibility_List!BF122=DataPaths_Code,1,0)+BE372</f>
        <v>2</v>
      </c>
      <c r="BG372" s="147">
        <f>IF(M2S_Eligibility_List!BG122=DataPaths_Code,1,0)+BF372</f>
        <v>2</v>
      </c>
      <c r="BH372" s="147">
        <f>IF(M2S_Eligibility_List!BH122=DataPaths_Code,1,0)+BG372</f>
        <v>2</v>
      </c>
      <c r="BI372" s="147">
        <f>IF(M2S_Eligibility_List!BI122=DataPaths_Code,1,0)+BH372</f>
        <v>2</v>
      </c>
      <c r="BJ372" s="147">
        <f>IF(M2S_Eligibility_List!BJ122=DataPaths_Code,1,0)+BI372</f>
        <v>2</v>
      </c>
      <c r="BK372" s="147">
        <f>IF(M2S_Eligibility_List!BK122=DataPaths_Code,1,0)+BJ372</f>
        <v>2</v>
      </c>
      <c r="BL372" s="147">
        <f>IF(M2S_Eligibility_List!BL122=DataPaths_Code,1,0)+BK372</f>
        <v>2</v>
      </c>
      <c r="BM372" s="147">
        <f>IF(M2S_Eligibility_List!BM122=DataPaths_Code,1,0)+BL372</f>
        <v>2</v>
      </c>
      <c r="BN372" s="147">
        <f>IF(M2S_Eligibility_List!BN122=DataPaths_Code,1,0)+BM372</f>
        <v>2</v>
      </c>
      <c r="BO372" s="147">
        <f>IF(M2S_Eligibility_List!BO122=DataPaths_Code,1,0)+BN372</f>
        <v>2</v>
      </c>
      <c r="BP372" s="147">
        <f>IF(M2S_Eligibility_List!BP122=DataPaths_Code,1,0)+BO372</f>
        <v>2</v>
      </c>
      <c r="BQ372" s="147">
        <f>IF(M2S_Eligibility_List!BQ122=DataPaths_Code,1,0)+BP372</f>
        <v>2</v>
      </c>
      <c r="BR372" s="147">
        <f>IF(M2S_Eligibility_List!BR122=DataPaths_Code,1,0)+BQ372</f>
        <v>2</v>
      </c>
      <c r="BS372" s="147">
        <f>IF(M2S_Eligibility_List!BS122=DataPaths_Code,1,0)+BR372</f>
        <v>2</v>
      </c>
      <c r="BT372" s="147">
        <f>IF(M2S_Eligibility_List!BT122=DataPaths_Code,1,0)+BS372</f>
        <v>2</v>
      </c>
      <c r="BU372" s="147">
        <f>IF(M2S_Eligibility_List!BU122=DataPaths_Code,1,0)+BT372</f>
        <v>2</v>
      </c>
      <c r="BV372" s="147">
        <f>IF(M2S_Eligibility_List!BV122=DataPaths_Code,1,0)+BU372</f>
        <v>2</v>
      </c>
      <c r="BW372" s="147">
        <f>IF(M2S_Eligibility_List!BW122=DataPaths_Code,1,0)+BV372</f>
        <v>2</v>
      </c>
    </row>
    <row r="373" spans="1:75" ht="20.100000000000001" customHeight="1">
      <c r="A373" s="145"/>
      <c r="B373" s="170" t="str">
        <f>IF(M2S_Eligibility_List!$B123&lt;&gt;"",RIGHT(M2S_Eligibility_List!$B123,LEN(M2S_Eligibility_List!$B123)-LEN(nmADwSP)),0)</f>
        <v>Vault Professional</v>
      </c>
      <c r="C373" s="147">
        <f>IF(M2S_Eligibility_List!C123=DataPaths_Code,1,0)</f>
        <v>0</v>
      </c>
      <c r="D373" s="147">
        <f>IF(M2S_Eligibility_List!D123=DataPaths_Code,1,0)+C373</f>
        <v>0</v>
      </c>
      <c r="E373" s="147">
        <f>IF(M2S_Eligibility_List!E123=DataPaths_Code,1,0)+D373</f>
        <v>0</v>
      </c>
      <c r="F373" s="147">
        <f>IF(M2S_Eligibility_List!F123=DataPaths_Code,1,0)+E373</f>
        <v>0</v>
      </c>
      <c r="G373" s="147">
        <f>IF(M2S_Eligibility_List!G123=DataPaths_Code,1,0)+F373</f>
        <v>0</v>
      </c>
      <c r="H373" s="147">
        <f>IF(M2S_Eligibility_List!H123=DataPaths_Code,1,0)+G373</f>
        <v>0</v>
      </c>
      <c r="I373" s="147">
        <f>IF(M2S_Eligibility_List!I123=DataPaths_Code,1,0)+H373</f>
        <v>0</v>
      </c>
      <c r="J373" s="147">
        <f>IF(M2S_Eligibility_List!J123=DataPaths_Code,1,0)+I373</f>
        <v>0</v>
      </c>
      <c r="K373" s="147">
        <f>IF(M2S_Eligibility_List!K123=DataPaths_Code,1,0)+J373</f>
        <v>0</v>
      </c>
      <c r="L373" s="147">
        <f>IF(M2S_Eligibility_List!L123=DataPaths_Code,1,0)+K373</f>
        <v>0</v>
      </c>
      <c r="M373" s="147">
        <f>IF(M2S_Eligibility_List!M123=DataPaths_Code,1,0)+L373</f>
        <v>0</v>
      </c>
      <c r="N373" s="147">
        <f>IF(M2S_Eligibility_List!N123=DataPaths_Code,1,0)+M373</f>
        <v>0</v>
      </c>
      <c r="O373" s="147">
        <f>IF(M2S_Eligibility_List!O123=DataPaths_Code,1,0)+N373</f>
        <v>0</v>
      </c>
      <c r="P373" s="147">
        <f>IF(M2S_Eligibility_List!P123=DataPaths_Code,1,0)+O373</f>
        <v>0</v>
      </c>
      <c r="Q373" s="147">
        <f>IF(M2S_Eligibility_List!Q123=DataPaths_Code,1,0)+P373</f>
        <v>0</v>
      </c>
      <c r="R373" s="147">
        <f>IF(M2S_Eligibility_List!R123=DataPaths_Code,1,0)+Q373</f>
        <v>0</v>
      </c>
      <c r="S373" s="147">
        <f>IF(M2S_Eligibility_List!S123=DataPaths_Code,1,0)+R373</f>
        <v>0</v>
      </c>
      <c r="T373" s="147">
        <f>IF(M2S_Eligibility_List!T123=DataPaths_Code,1,0)+S373</f>
        <v>0</v>
      </c>
      <c r="U373" s="147">
        <f>IF(M2S_Eligibility_List!U123=DataPaths_Code,1,0)+T373</f>
        <v>0</v>
      </c>
      <c r="V373" s="147">
        <f>IF(M2S_Eligibility_List!V123=DataPaths_Code,1,0)+U373</f>
        <v>0</v>
      </c>
      <c r="W373" s="147">
        <f>IF(M2S_Eligibility_List!W123=DataPaths_Code,1,0)+V373</f>
        <v>0</v>
      </c>
      <c r="X373" s="147">
        <f>IF(M2S_Eligibility_List!X123=DataPaths_Code,1,0)+W373</f>
        <v>0</v>
      </c>
      <c r="Y373" s="147">
        <f>IF(M2S_Eligibility_List!Y123=DataPaths_Code,1,0)+X373</f>
        <v>0</v>
      </c>
      <c r="Z373" s="147">
        <f>IF(M2S_Eligibility_List!Z123=DataPaths_Code,1,0)+Y373</f>
        <v>0</v>
      </c>
      <c r="AA373" s="147">
        <f>IF(M2S_Eligibility_List!AA123=DataPaths_Code,1,0)+Z373</f>
        <v>0</v>
      </c>
      <c r="AB373" s="147">
        <f>IF(M2S_Eligibility_List!AB123=DataPaths_Code,1,0)+AA373</f>
        <v>0</v>
      </c>
      <c r="AC373" s="147">
        <f>IF(M2S_Eligibility_List!AC123=DataPaths_Code,1,0)+AB373</f>
        <v>0</v>
      </c>
      <c r="AD373" s="147">
        <f>IF(M2S_Eligibility_List!AD123=DataPaths_Code,1,0)+AC373</f>
        <v>0</v>
      </c>
      <c r="AE373" s="147">
        <f>IF(M2S_Eligibility_List!AE123=DataPaths_Code,1,0)+AD373</f>
        <v>0</v>
      </c>
      <c r="AF373" s="147">
        <f>IF(M2S_Eligibility_List!AF123=DataPaths_Code,1,0)+AE373</f>
        <v>0</v>
      </c>
      <c r="AG373" s="147">
        <f>IF(M2S_Eligibility_List!AG123=DataPaths_Code,1,0)+AF373</f>
        <v>0</v>
      </c>
      <c r="AH373" s="147">
        <f>IF(M2S_Eligibility_List!AH123=DataPaths_Code,1,0)+AG373</f>
        <v>0</v>
      </c>
      <c r="AI373" s="147">
        <f>IF(M2S_Eligibility_List!AI123=DataPaths_Code,1,0)+AH373</f>
        <v>0</v>
      </c>
      <c r="AJ373" s="147">
        <f>IF(M2S_Eligibility_List!AJ123=DataPaths_Code,1,0)+AI373</f>
        <v>0</v>
      </c>
      <c r="AK373" s="147">
        <f>IF(M2S_Eligibility_List!AK123=DataPaths_Code,1,0)+AJ373</f>
        <v>0</v>
      </c>
      <c r="AL373" s="147">
        <f>IF(M2S_Eligibility_List!AL123=DataPaths_Code,1,0)+AK373</f>
        <v>0</v>
      </c>
      <c r="AM373" s="147">
        <f>IF(M2S_Eligibility_List!AM123=DataPaths_Code,1,0)+AL373</f>
        <v>0</v>
      </c>
      <c r="AN373" s="147">
        <f>IF(M2S_Eligibility_List!AN123=DataPaths_Code,1,0)+AM373</f>
        <v>0</v>
      </c>
      <c r="AO373" s="147">
        <f>IF(M2S_Eligibility_List!AO123=DataPaths_Code,1,0)+AN373</f>
        <v>0</v>
      </c>
      <c r="AP373" s="147">
        <f>IF(M2S_Eligibility_List!AP123=DataPaths_Code,1,0)+AO373</f>
        <v>0</v>
      </c>
      <c r="AQ373" s="147">
        <f>IF(M2S_Eligibility_List!AQ123=DataPaths_Code,1,0)+AP373</f>
        <v>0</v>
      </c>
      <c r="AR373" s="147">
        <f>IF(M2S_Eligibility_List!AR123=DataPaths_Code,1,0)+AQ373</f>
        <v>0</v>
      </c>
      <c r="AS373" s="147">
        <f>IF(M2S_Eligibility_List!AS123=DataPaths_Code,1,0)+AR373</f>
        <v>0</v>
      </c>
      <c r="AT373" s="147">
        <f>IF(M2S_Eligibility_List!AT123=DataPaths_Code,1,0)+AS373</f>
        <v>0</v>
      </c>
      <c r="AU373" s="147">
        <f>IF(M2S_Eligibility_List!AU123=DataPaths_Code,1,0)+AT373</f>
        <v>0</v>
      </c>
      <c r="AV373" s="147">
        <f>IF(M2S_Eligibility_List!AV123=DataPaths_Code,1,0)+AU373</f>
        <v>0</v>
      </c>
      <c r="AW373" s="147">
        <f>IF(M2S_Eligibility_List!AW123=DataPaths_Code,1,0)+AV373</f>
        <v>0</v>
      </c>
      <c r="AX373" s="147">
        <f>IF(M2S_Eligibility_List!AX123=DataPaths_Code,1,0)+AW373</f>
        <v>0</v>
      </c>
      <c r="AY373" s="147">
        <f>IF(M2S_Eligibility_List!AY123=DataPaths_Code,1,0)+AX373</f>
        <v>0</v>
      </c>
      <c r="AZ373" s="147">
        <f>IF(M2S_Eligibility_List!AZ123=DataPaths_Code,1,0)+AY373</f>
        <v>0</v>
      </c>
      <c r="BA373" s="147">
        <f>IF(M2S_Eligibility_List!BA123=DataPaths_Code,1,0)+AZ373</f>
        <v>1</v>
      </c>
      <c r="BB373" s="147">
        <f>IF(M2S_Eligibility_List!BB123=DataPaths_Code,1,0)+BA373</f>
        <v>1</v>
      </c>
      <c r="BC373" s="147">
        <f>IF(M2S_Eligibility_List!BC123=DataPaths_Code,1,0)+BB373</f>
        <v>1</v>
      </c>
      <c r="BD373" s="147">
        <f>IF(M2S_Eligibility_List!BD123=DataPaths_Code,1,0)+BC373</f>
        <v>1</v>
      </c>
      <c r="BE373" s="147">
        <f>IF(M2S_Eligibility_List!BE123=DataPaths_Code,1,0)+BD373</f>
        <v>1</v>
      </c>
      <c r="BF373" s="147">
        <f>IF(M2S_Eligibility_List!BF123=DataPaths_Code,1,0)+BE373</f>
        <v>1</v>
      </c>
      <c r="BG373" s="147">
        <f>IF(M2S_Eligibility_List!BG123=DataPaths_Code,1,0)+BF373</f>
        <v>1</v>
      </c>
      <c r="BH373" s="147">
        <f>IF(M2S_Eligibility_List!BH123=DataPaths_Code,1,0)+BG373</f>
        <v>1</v>
      </c>
      <c r="BI373" s="147">
        <f>IF(M2S_Eligibility_List!BI123=DataPaths_Code,1,0)+BH373</f>
        <v>1</v>
      </c>
      <c r="BJ373" s="147">
        <f>IF(M2S_Eligibility_List!BJ123=DataPaths_Code,1,0)+BI373</f>
        <v>1</v>
      </c>
      <c r="BK373" s="147">
        <f>IF(M2S_Eligibility_List!BK123=DataPaths_Code,1,0)+BJ373</f>
        <v>1</v>
      </c>
      <c r="BL373" s="147">
        <f>IF(M2S_Eligibility_List!BL123=DataPaths_Code,1,0)+BK373</f>
        <v>1</v>
      </c>
      <c r="BM373" s="147">
        <f>IF(M2S_Eligibility_List!BM123=DataPaths_Code,1,0)+BL373</f>
        <v>1</v>
      </c>
      <c r="BN373" s="147">
        <f>IF(M2S_Eligibility_List!BN123=DataPaths_Code,1,0)+BM373</f>
        <v>1</v>
      </c>
      <c r="BO373" s="147">
        <f>IF(M2S_Eligibility_List!BO123=DataPaths_Code,1,0)+BN373</f>
        <v>1</v>
      </c>
      <c r="BP373" s="147">
        <f>IF(M2S_Eligibility_List!BP123=DataPaths_Code,1,0)+BO373</f>
        <v>1</v>
      </c>
      <c r="BQ373" s="147">
        <f>IF(M2S_Eligibility_List!BQ123=DataPaths_Code,1,0)+BP373</f>
        <v>1</v>
      </c>
      <c r="BR373" s="147">
        <f>IF(M2S_Eligibility_List!BR123=DataPaths_Code,1,0)+BQ373</f>
        <v>1</v>
      </c>
      <c r="BS373" s="147">
        <f>IF(M2S_Eligibility_List!BS123=DataPaths_Code,1,0)+BR373</f>
        <v>1</v>
      </c>
      <c r="BT373" s="147">
        <f>IF(M2S_Eligibility_List!BT123=DataPaths_Code,1,0)+BS373</f>
        <v>1</v>
      </c>
      <c r="BU373" s="147">
        <f>IF(M2S_Eligibility_List!BU123=DataPaths_Code,1,0)+BT373</f>
        <v>1</v>
      </c>
      <c r="BV373" s="147">
        <f>IF(M2S_Eligibility_List!BV123=DataPaths_Code,1,0)+BU373</f>
        <v>1</v>
      </c>
      <c r="BW373" s="147">
        <f>IF(M2S_Eligibility_List!BW123=DataPaths_Code,1,0)+BV373</f>
        <v>1</v>
      </c>
    </row>
    <row r="374" spans="1:75" ht="20.100000000000001" customHeight="1">
      <c r="A374" s="145"/>
      <c r="B374" s="170" t="str">
        <f>IF(M2S_Eligibility_List!$B124&lt;&gt;"",RIGHT(M2S_Eligibility_List!$B124,LEN(M2S_Eligibility_List!$B124)-LEN(nmADwSP)),0)</f>
        <v>Vault Workgroup</v>
      </c>
      <c r="C374" s="147">
        <f>IF(M2S_Eligibility_List!C124=DataPaths_Code,1,0)</f>
        <v>0</v>
      </c>
      <c r="D374" s="147">
        <f>IF(M2S_Eligibility_List!D124=DataPaths_Code,1,0)+C374</f>
        <v>0</v>
      </c>
      <c r="E374" s="147">
        <f>IF(M2S_Eligibility_List!E124=DataPaths_Code,1,0)+D374</f>
        <v>0</v>
      </c>
      <c r="F374" s="147">
        <f>IF(M2S_Eligibility_List!F124=DataPaths_Code,1,0)+E374</f>
        <v>0</v>
      </c>
      <c r="G374" s="147">
        <f>IF(M2S_Eligibility_List!G124=DataPaths_Code,1,0)+F374</f>
        <v>0</v>
      </c>
      <c r="H374" s="147">
        <f>IF(M2S_Eligibility_List!H124=DataPaths_Code,1,0)+G374</f>
        <v>0</v>
      </c>
      <c r="I374" s="147">
        <f>IF(M2S_Eligibility_List!I124=DataPaths_Code,1,0)+H374</f>
        <v>0</v>
      </c>
      <c r="J374" s="147">
        <f>IF(M2S_Eligibility_List!J124=DataPaths_Code,1,0)+I374</f>
        <v>0</v>
      </c>
      <c r="K374" s="147">
        <f>IF(M2S_Eligibility_List!K124=DataPaths_Code,1,0)+J374</f>
        <v>0</v>
      </c>
      <c r="L374" s="147">
        <f>IF(M2S_Eligibility_List!L124=DataPaths_Code,1,0)+K374</f>
        <v>0</v>
      </c>
      <c r="M374" s="147">
        <f>IF(M2S_Eligibility_List!M124=DataPaths_Code,1,0)+L374</f>
        <v>0</v>
      </c>
      <c r="N374" s="147">
        <f>IF(M2S_Eligibility_List!N124=DataPaths_Code,1,0)+M374</f>
        <v>0</v>
      </c>
      <c r="O374" s="147">
        <f>IF(M2S_Eligibility_List!O124=DataPaths_Code,1,0)+N374</f>
        <v>0</v>
      </c>
      <c r="P374" s="147">
        <f>IF(M2S_Eligibility_List!P124=DataPaths_Code,1,0)+O374</f>
        <v>0</v>
      </c>
      <c r="Q374" s="147">
        <f>IF(M2S_Eligibility_List!Q124=DataPaths_Code,1,0)+P374</f>
        <v>0</v>
      </c>
      <c r="R374" s="147">
        <f>IF(M2S_Eligibility_List!R124=DataPaths_Code,1,0)+Q374</f>
        <v>0</v>
      </c>
      <c r="S374" s="147">
        <f>IF(M2S_Eligibility_List!S124=DataPaths_Code,1,0)+R374</f>
        <v>0</v>
      </c>
      <c r="T374" s="147">
        <f>IF(M2S_Eligibility_List!T124=DataPaths_Code,1,0)+S374</f>
        <v>0</v>
      </c>
      <c r="U374" s="147">
        <f>IF(M2S_Eligibility_List!U124=DataPaths_Code,1,0)+T374</f>
        <v>0</v>
      </c>
      <c r="V374" s="147">
        <f>IF(M2S_Eligibility_List!V124=DataPaths_Code,1,0)+U374</f>
        <v>0</v>
      </c>
      <c r="W374" s="147">
        <f>IF(M2S_Eligibility_List!W124=DataPaths_Code,1,0)+V374</f>
        <v>0</v>
      </c>
      <c r="X374" s="147">
        <f>IF(M2S_Eligibility_List!X124=DataPaths_Code,1,0)+W374</f>
        <v>0</v>
      </c>
      <c r="Y374" s="147">
        <f>IF(M2S_Eligibility_List!Y124=DataPaths_Code,1,0)+X374</f>
        <v>0</v>
      </c>
      <c r="Z374" s="147">
        <f>IF(M2S_Eligibility_List!Z124=DataPaths_Code,1,0)+Y374</f>
        <v>0</v>
      </c>
      <c r="AA374" s="147">
        <f>IF(M2S_Eligibility_List!AA124=DataPaths_Code,1,0)+Z374</f>
        <v>0</v>
      </c>
      <c r="AB374" s="147">
        <f>IF(M2S_Eligibility_List!AB124=DataPaths_Code,1,0)+AA374</f>
        <v>0</v>
      </c>
      <c r="AC374" s="147">
        <f>IF(M2S_Eligibility_List!AC124=DataPaths_Code,1,0)+AB374</f>
        <v>0</v>
      </c>
      <c r="AD374" s="147">
        <f>IF(M2S_Eligibility_List!AD124=DataPaths_Code,1,0)+AC374</f>
        <v>0</v>
      </c>
      <c r="AE374" s="147">
        <f>IF(M2S_Eligibility_List!AE124=DataPaths_Code,1,0)+AD374</f>
        <v>0</v>
      </c>
      <c r="AF374" s="147">
        <f>IF(M2S_Eligibility_List!AF124=DataPaths_Code,1,0)+AE374</f>
        <v>0</v>
      </c>
      <c r="AG374" s="147">
        <f>IF(M2S_Eligibility_List!AG124=DataPaths_Code,1,0)+AF374</f>
        <v>0</v>
      </c>
      <c r="AH374" s="147">
        <f>IF(M2S_Eligibility_List!AH124=DataPaths_Code,1,0)+AG374</f>
        <v>0</v>
      </c>
      <c r="AI374" s="147">
        <f>IF(M2S_Eligibility_List!AI124=DataPaths_Code,1,0)+AH374</f>
        <v>0</v>
      </c>
      <c r="AJ374" s="147">
        <f>IF(M2S_Eligibility_List!AJ124=DataPaths_Code,1,0)+AI374</f>
        <v>0</v>
      </c>
      <c r="AK374" s="147">
        <f>IF(M2S_Eligibility_List!AK124=DataPaths_Code,1,0)+AJ374</f>
        <v>0</v>
      </c>
      <c r="AL374" s="147">
        <f>IF(M2S_Eligibility_List!AL124=DataPaths_Code,1,0)+AK374</f>
        <v>0</v>
      </c>
      <c r="AM374" s="147">
        <f>IF(M2S_Eligibility_List!AM124=DataPaths_Code,1,0)+AL374</f>
        <v>0</v>
      </c>
      <c r="AN374" s="147">
        <f>IF(M2S_Eligibility_List!AN124=DataPaths_Code,1,0)+AM374</f>
        <v>0</v>
      </c>
      <c r="AO374" s="147">
        <f>IF(M2S_Eligibility_List!AO124=DataPaths_Code,1,0)+AN374</f>
        <v>0</v>
      </c>
      <c r="AP374" s="147">
        <f>IF(M2S_Eligibility_List!AP124=DataPaths_Code,1,0)+AO374</f>
        <v>0</v>
      </c>
      <c r="AQ374" s="147">
        <f>IF(M2S_Eligibility_List!AQ124=DataPaths_Code,1,0)+AP374</f>
        <v>0</v>
      </c>
      <c r="AR374" s="147">
        <f>IF(M2S_Eligibility_List!AR124=DataPaths_Code,1,0)+AQ374</f>
        <v>0</v>
      </c>
      <c r="AS374" s="147">
        <f>IF(M2S_Eligibility_List!AS124=DataPaths_Code,1,0)+AR374</f>
        <v>0</v>
      </c>
      <c r="AT374" s="147">
        <f>IF(M2S_Eligibility_List!AT124=DataPaths_Code,1,0)+AS374</f>
        <v>0</v>
      </c>
      <c r="AU374" s="147">
        <f>IF(M2S_Eligibility_List!AU124=DataPaths_Code,1,0)+AT374</f>
        <v>0</v>
      </c>
      <c r="AV374" s="147">
        <f>IF(M2S_Eligibility_List!AV124=DataPaths_Code,1,0)+AU374</f>
        <v>0</v>
      </c>
      <c r="AW374" s="147">
        <f>IF(M2S_Eligibility_List!AW124=DataPaths_Code,1,0)+AV374</f>
        <v>0</v>
      </c>
      <c r="AX374" s="147">
        <f>IF(M2S_Eligibility_List!AX124=DataPaths_Code,1,0)+AW374</f>
        <v>0</v>
      </c>
      <c r="AY374" s="147">
        <f>IF(M2S_Eligibility_List!AY124=DataPaths_Code,1,0)+AX374</f>
        <v>0</v>
      </c>
      <c r="AZ374" s="147">
        <f>IF(M2S_Eligibility_List!AZ124=DataPaths_Code,1,0)+AY374</f>
        <v>0</v>
      </c>
      <c r="BA374" s="147">
        <f>IF(M2S_Eligibility_List!BA124=DataPaths_Code,1,0)+AZ374</f>
        <v>1</v>
      </c>
      <c r="BB374" s="147">
        <f>IF(M2S_Eligibility_List!BB124=DataPaths_Code,1,0)+BA374</f>
        <v>2</v>
      </c>
      <c r="BC374" s="147">
        <f>IF(M2S_Eligibility_List!BC124=DataPaths_Code,1,0)+BB374</f>
        <v>2</v>
      </c>
      <c r="BD374" s="147">
        <f>IF(M2S_Eligibility_List!BD124=DataPaths_Code,1,0)+BC374</f>
        <v>2</v>
      </c>
      <c r="BE374" s="147">
        <f>IF(M2S_Eligibility_List!BE124=DataPaths_Code,1,0)+BD374</f>
        <v>2</v>
      </c>
      <c r="BF374" s="147">
        <f>IF(M2S_Eligibility_List!BF124=DataPaths_Code,1,0)+BE374</f>
        <v>2</v>
      </c>
      <c r="BG374" s="147">
        <f>IF(M2S_Eligibility_List!BG124=DataPaths_Code,1,0)+BF374</f>
        <v>2</v>
      </c>
      <c r="BH374" s="147">
        <f>IF(M2S_Eligibility_List!BH124=DataPaths_Code,1,0)+BG374</f>
        <v>2</v>
      </c>
      <c r="BI374" s="147">
        <f>IF(M2S_Eligibility_List!BI124=DataPaths_Code,1,0)+BH374</f>
        <v>2</v>
      </c>
      <c r="BJ374" s="147">
        <f>IF(M2S_Eligibility_List!BJ124=DataPaths_Code,1,0)+BI374</f>
        <v>2</v>
      </c>
      <c r="BK374" s="147">
        <f>IF(M2S_Eligibility_List!BK124=DataPaths_Code,1,0)+BJ374</f>
        <v>2</v>
      </c>
      <c r="BL374" s="147">
        <f>IF(M2S_Eligibility_List!BL124=DataPaths_Code,1,0)+BK374</f>
        <v>2</v>
      </c>
      <c r="BM374" s="147">
        <f>IF(M2S_Eligibility_List!BM124=DataPaths_Code,1,0)+BL374</f>
        <v>2</v>
      </c>
      <c r="BN374" s="147">
        <f>IF(M2S_Eligibility_List!BN124=DataPaths_Code,1,0)+BM374</f>
        <v>2</v>
      </c>
      <c r="BO374" s="147">
        <f>IF(M2S_Eligibility_List!BO124=DataPaths_Code,1,0)+BN374</f>
        <v>2</v>
      </c>
      <c r="BP374" s="147">
        <f>IF(M2S_Eligibility_List!BP124=DataPaths_Code,1,0)+BO374</f>
        <v>2</v>
      </c>
      <c r="BQ374" s="147">
        <f>IF(M2S_Eligibility_List!BQ124=DataPaths_Code,1,0)+BP374</f>
        <v>2</v>
      </c>
      <c r="BR374" s="147">
        <f>IF(M2S_Eligibility_List!BR124=DataPaths_Code,1,0)+BQ374</f>
        <v>2</v>
      </c>
      <c r="BS374" s="147">
        <f>IF(M2S_Eligibility_List!BS124=DataPaths_Code,1,0)+BR374</f>
        <v>2</v>
      </c>
      <c r="BT374" s="147">
        <f>IF(M2S_Eligibility_List!BT124=DataPaths_Code,1,0)+BS374</f>
        <v>2</v>
      </c>
      <c r="BU374" s="147">
        <f>IF(M2S_Eligibility_List!BU124=DataPaths_Code,1,0)+BT374</f>
        <v>2</v>
      </c>
      <c r="BV374" s="147">
        <f>IF(M2S_Eligibility_List!BV124=DataPaths_Code,1,0)+BU374</f>
        <v>2</v>
      </c>
      <c r="BW374" s="147">
        <f>IF(M2S_Eligibility_List!BW124=DataPaths_Code,1,0)+BV374</f>
        <v>2</v>
      </c>
    </row>
    <row r="375" spans="1:75" ht="20.100000000000001" customHeight="1">
      <c r="A375" s="145"/>
      <c r="B375" s="170" t="str">
        <f>IF(M2S_Eligibility_List!$B125&lt;&gt;"",RIGHT(M2S_Eligibility_List!$B125,LEN(M2S_Eligibility_List!$B125)-LEN(nmADwSP)),0)</f>
        <v>Vehicle Tracking</v>
      </c>
      <c r="C375" s="147">
        <f>IF(M2S_Eligibility_List!C125=DataPaths_Code,1,0)</f>
        <v>1</v>
      </c>
      <c r="D375" s="147">
        <f>IF(M2S_Eligibility_List!D125=DataPaths_Code,1,0)+C375</f>
        <v>1</v>
      </c>
      <c r="E375" s="147">
        <f>IF(M2S_Eligibility_List!E125=DataPaths_Code,1,0)+D375</f>
        <v>1</v>
      </c>
      <c r="F375" s="147">
        <f>IF(M2S_Eligibility_List!F125=DataPaths_Code,1,0)+E375</f>
        <v>1</v>
      </c>
      <c r="G375" s="147">
        <f>IF(M2S_Eligibility_List!G125=DataPaths_Code,1,0)+F375</f>
        <v>1</v>
      </c>
      <c r="H375" s="147">
        <f>IF(M2S_Eligibility_List!H125=DataPaths_Code,1,0)+G375</f>
        <v>1</v>
      </c>
      <c r="I375" s="147">
        <f>IF(M2S_Eligibility_List!I125=DataPaths_Code,1,0)+H375</f>
        <v>1</v>
      </c>
      <c r="J375" s="147">
        <f>IF(M2S_Eligibility_List!J125=DataPaths_Code,1,0)+I375</f>
        <v>1</v>
      </c>
      <c r="K375" s="147">
        <f>IF(M2S_Eligibility_List!K125=DataPaths_Code,1,0)+J375</f>
        <v>1</v>
      </c>
      <c r="L375" s="147">
        <f>IF(M2S_Eligibility_List!L125=DataPaths_Code,1,0)+K375</f>
        <v>1</v>
      </c>
      <c r="M375" s="147">
        <f>IF(M2S_Eligibility_List!M125=DataPaths_Code,1,0)+L375</f>
        <v>1</v>
      </c>
      <c r="N375" s="147">
        <f>IF(M2S_Eligibility_List!N125=DataPaths_Code,1,0)+M375</f>
        <v>1</v>
      </c>
      <c r="O375" s="147">
        <f>IF(M2S_Eligibility_List!O125=DataPaths_Code,1,0)+N375</f>
        <v>1</v>
      </c>
      <c r="P375" s="147">
        <f>IF(M2S_Eligibility_List!P125=DataPaths_Code,1,0)+O375</f>
        <v>1</v>
      </c>
      <c r="Q375" s="147">
        <f>IF(M2S_Eligibility_List!Q125=DataPaths_Code,1,0)+P375</f>
        <v>1</v>
      </c>
      <c r="R375" s="147">
        <f>IF(M2S_Eligibility_List!R125=DataPaths_Code,1,0)+Q375</f>
        <v>1</v>
      </c>
      <c r="S375" s="147">
        <f>IF(M2S_Eligibility_List!S125=DataPaths_Code,1,0)+R375</f>
        <v>1</v>
      </c>
      <c r="T375" s="147">
        <f>IF(M2S_Eligibility_List!T125=DataPaths_Code,1,0)+S375</f>
        <v>1</v>
      </c>
      <c r="U375" s="147">
        <f>IF(M2S_Eligibility_List!U125=DataPaths_Code,1,0)+T375</f>
        <v>1</v>
      </c>
      <c r="V375" s="147">
        <f>IF(M2S_Eligibility_List!V125=DataPaths_Code,1,0)+U375</f>
        <v>1</v>
      </c>
      <c r="W375" s="147">
        <f>IF(M2S_Eligibility_List!W125=DataPaths_Code,1,0)+V375</f>
        <v>1</v>
      </c>
      <c r="X375" s="147">
        <f>IF(M2S_Eligibility_List!X125=DataPaths_Code,1,0)+W375</f>
        <v>1</v>
      </c>
      <c r="Y375" s="147">
        <f>IF(M2S_Eligibility_List!Y125=DataPaths_Code,1,0)+X375</f>
        <v>1</v>
      </c>
      <c r="Z375" s="147">
        <f>IF(M2S_Eligibility_List!Z125=DataPaths_Code,1,0)+Y375</f>
        <v>1</v>
      </c>
      <c r="AA375" s="147">
        <f>IF(M2S_Eligibility_List!AA125=DataPaths_Code,1,0)+Z375</f>
        <v>1</v>
      </c>
      <c r="AB375" s="147">
        <f>IF(M2S_Eligibility_List!AB125=DataPaths_Code,1,0)+AA375</f>
        <v>1</v>
      </c>
      <c r="AC375" s="147">
        <f>IF(M2S_Eligibility_List!AC125=DataPaths_Code,1,0)+AB375</f>
        <v>1</v>
      </c>
      <c r="AD375" s="147">
        <f>IF(M2S_Eligibility_List!AD125=DataPaths_Code,1,0)+AC375</f>
        <v>1</v>
      </c>
      <c r="AE375" s="147">
        <f>IF(M2S_Eligibility_List!AE125=DataPaths_Code,1,0)+AD375</f>
        <v>1</v>
      </c>
      <c r="AF375" s="147">
        <f>IF(M2S_Eligibility_List!AF125=DataPaths_Code,1,0)+AE375</f>
        <v>1</v>
      </c>
      <c r="AG375" s="147">
        <f>IF(M2S_Eligibility_List!AG125=DataPaths_Code,1,0)+AF375</f>
        <v>1</v>
      </c>
      <c r="AH375" s="147">
        <f>IF(M2S_Eligibility_List!AH125=DataPaths_Code,1,0)+AG375</f>
        <v>1</v>
      </c>
      <c r="AI375" s="147">
        <f>IF(M2S_Eligibility_List!AI125=DataPaths_Code,1,0)+AH375</f>
        <v>1</v>
      </c>
      <c r="AJ375" s="147">
        <f>IF(M2S_Eligibility_List!AJ125=DataPaths_Code,1,0)+AI375</f>
        <v>1</v>
      </c>
      <c r="AK375" s="147">
        <f>IF(M2S_Eligibility_List!AK125=DataPaths_Code,1,0)+AJ375</f>
        <v>1</v>
      </c>
      <c r="AL375" s="147">
        <f>IF(M2S_Eligibility_List!AL125=DataPaths_Code,1,0)+AK375</f>
        <v>1</v>
      </c>
      <c r="AM375" s="147">
        <f>IF(M2S_Eligibility_List!AM125=DataPaths_Code,1,0)+AL375</f>
        <v>1</v>
      </c>
      <c r="AN375" s="147">
        <f>IF(M2S_Eligibility_List!AN125=DataPaths_Code,1,0)+AM375</f>
        <v>1</v>
      </c>
      <c r="AO375" s="147">
        <f>IF(M2S_Eligibility_List!AO125=DataPaths_Code,1,0)+AN375</f>
        <v>1</v>
      </c>
      <c r="AP375" s="147">
        <f>IF(M2S_Eligibility_List!AP125=DataPaths_Code,1,0)+AO375</f>
        <v>1</v>
      </c>
      <c r="AQ375" s="147">
        <f>IF(M2S_Eligibility_List!AQ125=DataPaths_Code,1,0)+AP375</f>
        <v>1</v>
      </c>
      <c r="AR375" s="147">
        <f>IF(M2S_Eligibility_List!AR125=DataPaths_Code,1,0)+AQ375</f>
        <v>1</v>
      </c>
      <c r="AS375" s="147">
        <f>IF(M2S_Eligibility_List!AS125=DataPaths_Code,1,0)+AR375</f>
        <v>1</v>
      </c>
      <c r="AT375" s="147">
        <f>IF(M2S_Eligibility_List!AT125=DataPaths_Code,1,0)+AS375</f>
        <v>1</v>
      </c>
      <c r="AU375" s="147">
        <f>IF(M2S_Eligibility_List!AU125=DataPaths_Code,1,0)+AT375</f>
        <v>1</v>
      </c>
      <c r="AV375" s="147">
        <f>IF(M2S_Eligibility_List!AV125=DataPaths_Code,1,0)+AU375</f>
        <v>1</v>
      </c>
      <c r="AW375" s="147">
        <f>IF(M2S_Eligibility_List!AW125=DataPaths_Code,1,0)+AV375</f>
        <v>1</v>
      </c>
      <c r="AX375" s="147">
        <f>IF(M2S_Eligibility_List!AX125=DataPaths_Code,1,0)+AW375</f>
        <v>1</v>
      </c>
      <c r="AY375" s="147">
        <f>IF(M2S_Eligibility_List!AY125=DataPaths_Code,1,0)+AX375</f>
        <v>1</v>
      </c>
      <c r="AZ375" s="147">
        <f>IF(M2S_Eligibility_List!AZ125=DataPaths_Code,1,0)+AY375</f>
        <v>1</v>
      </c>
      <c r="BA375" s="147">
        <f>IF(M2S_Eligibility_List!BA125=DataPaths_Code,1,0)+AZ375</f>
        <v>1</v>
      </c>
      <c r="BB375" s="147">
        <f>IF(M2S_Eligibility_List!BB125=DataPaths_Code,1,0)+BA375</f>
        <v>1</v>
      </c>
      <c r="BC375" s="147">
        <f>IF(M2S_Eligibility_List!BC125=DataPaths_Code,1,0)+BB375</f>
        <v>1</v>
      </c>
      <c r="BD375" s="147">
        <f>IF(M2S_Eligibility_List!BD125=DataPaths_Code,1,0)+BC375</f>
        <v>1</v>
      </c>
      <c r="BE375" s="147">
        <f>IF(M2S_Eligibility_List!BE125=DataPaths_Code,1,0)+BD375</f>
        <v>1</v>
      </c>
      <c r="BF375" s="147">
        <f>IF(M2S_Eligibility_List!BF125=DataPaths_Code,1,0)+BE375</f>
        <v>1</v>
      </c>
      <c r="BG375" s="147">
        <f>IF(M2S_Eligibility_List!BG125=DataPaths_Code,1,0)+BF375</f>
        <v>1</v>
      </c>
      <c r="BH375" s="147">
        <f>IF(M2S_Eligibility_List!BH125=DataPaths_Code,1,0)+BG375</f>
        <v>1</v>
      </c>
      <c r="BI375" s="147">
        <f>IF(M2S_Eligibility_List!BI125=DataPaths_Code,1,0)+BH375</f>
        <v>1</v>
      </c>
      <c r="BJ375" s="147">
        <f>IF(M2S_Eligibility_List!BJ125=DataPaths_Code,1,0)+BI375</f>
        <v>1</v>
      </c>
      <c r="BK375" s="147">
        <f>IF(M2S_Eligibility_List!BK125=DataPaths_Code,1,0)+BJ375</f>
        <v>1</v>
      </c>
      <c r="BL375" s="147">
        <f>IF(M2S_Eligibility_List!BL125=DataPaths_Code,1,0)+BK375</f>
        <v>1</v>
      </c>
      <c r="BM375" s="147">
        <f>IF(M2S_Eligibility_List!BM125=DataPaths_Code,1,0)+BL375</f>
        <v>1</v>
      </c>
      <c r="BN375" s="147">
        <f>IF(M2S_Eligibility_List!BN125=DataPaths_Code,1,0)+BM375</f>
        <v>1</v>
      </c>
      <c r="BO375" s="147">
        <f>IF(M2S_Eligibility_List!BO125=DataPaths_Code,1,0)+BN375</f>
        <v>1</v>
      </c>
      <c r="BP375" s="147">
        <f>IF(M2S_Eligibility_List!BP125=DataPaths_Code,1,0)+BO375</f>
        <v>1</v>
      </c>
      <c r="BQ375" s="147">
        <f>IF(M2S_Eligibility_List!BQ125=DataPaths_Code,1,0)+BP375</f>
        <v>1</v>
      </c>
      <c r="BR375" s="147">
        <f>IF(M2S_Eligibility_List!BR125=DataPaths_Code,1,0)+BQ375</f>
        <v>1</v>
      </c>
      <c r="BS375" s="147">
        <f>IF(M2S_Eligibility_List!BS125=DataPaths_Code,1,0)+BR375</f>
        <v>1</v>
      </c>
      <c r="BT375" s="147">
        <f>IF(M2S_Eligibility_List!BT125=DataPaths_Code,1,0)+BS375</f>
        <v>1</v>
      </c>
      <c r="BU375" s="147">
        <f>IF(M2S_Eligibility_List!BU125=DataPaths_Code,1,0)+BT375</f>
        <v>1</v>
      </c>
      <c r="BV375" s="147">
        <f>IF(M2S_Eligibility_List!BV125=DataPaths_Code,1,0)+BU375</f>
        <v>1</v>
      </c>
      <c r="BW375" s="147">
        <f>IF(M2S_Eligibility_List!BW125=DataPaths_Code,1,0)+BV375</f>
        <v>1</v>
      </c>
    </row>
    <row r="376" spans="1:75" ht="20.100000000000001" customHeight="1">
      <c r="A376" s="145"/>
      <c r="B376" s="170" t="str">
        <f>IF(M2S_Eligibility_List!$B126&lt;&gt;"",RIGHT(M2S_Eligibility_List!$B126,LEN(M2S_Eligibility_List!$B126)-LEN(nmADwSP)),0)</f>
        <v>VRED</v>
      </c>
      <c r="C376" s="147">
        <f>IF(M2S_Eligibility_List!C126=DataPaths_Code,1,0)</f>
        <v>0</v>
      </c>
      <c r="D376" s="147">
        <f>IF(M2S_Eligibility_List!D126=DataPaths_Code,1,0)+C376</f>
        <v>0</v>
      </c>
      <c r="E376" s="147">
        <f>IF(M2S_Eligibility_List!E126=DataPaths_Code,1,0)+D376</f>
        <v>0</v>
      </c>
      <c r="F376" s="147">
        <f>IF(M2S_Eligibility_List!F126=DataPaths_Code,1,0)+E376</f>
        <v>0</v>
      </c>
      <c r="G376" s="147">
        <f>IF(M2S_Eligibility_List!G126=DataPaths_Code,1,0)+F376</f>
        <v>0</v>
      </c>
      <c r="H376" s="147">
        <f>IF(M2S_Eligibility_List!H126=DataPaths_Code,1,0)+G376</f>
        <v>0</v>
      </c>
      <c r="I376" s="147">
        <f>IF(M2S_Eligibility_List!I126=DataPaths_Code,1,0)+H376</f>
        <v>0</v>
      </c>
      <c r="J376" s="147">
        <f>IF(M2S_Eligibility_List!J126=DataPaths_Code,1,0)+I376</f>
        <v>0</v>
      </c>
      <c r="K376" s="147">
        <f>IF(M2S_Eligibility_List!K126=DataPaths_Code,1,0)+J376</f>
        <v>0</v>
      </c>
      <c r="L376" s="147">
        <f>IF(M2S_Eligibility_List!L126=DataPaths_Code,1,0)+K376</f>
        <v>0</v>
      </c>
      <c r="M376" s="147">
        <f>IF(M2S_Eligibility_List!M126=DataPaths_Code,1,0)+L376</f>
        <v>0</v>
      </c>
      <c r="N376" s="147">
        <f>IF(M2S_Eligibility_List!N126=DataPaths_Code,1,0)+M376</f>
        <v>0</v>
      </c>
      <c r="O376" s="147">
        <f>IF(M2S_Eligibility_List!O126=DataPaths_Code,1,0)+N376</f>
        <v>0</v>
      </c>
      <c r="P376" s="147">
        <f>IF(M2S_Eligibility_List!P126=DataPaths_Code,1,0)+O376</f>
        <v>0</v>
      </c>
      <c r="Q376" s="147">
        <f>IF(M2S_Eligibility_List!Q126=DataPaths_Code,1,0)+P376</f>
        <v>0</v>
      </c>
      <c r="R376" s="147">
        <f>IF(M2S_Eligibility_List!R126=DataPaths_Code,1,0)+Q376</f>
        <v>0</v>
      </c>
      <c r="S376" s="147">
        <f>IF(M2S_Eligibility_List!S126=DataPaths_Code,1,0)+R376</f>
        <v>0</v>
      </c>
      <c r="T376" s="147">
        <f>IF(M2S_Eligibility_List!T126=DataPaths_Code,1,0)+S376</f>
        <v>0</v>
      </c>
      <c r="U376" s="147">
        <f>IF(M2S_Eligibility_List!U126=DataPaths_Code,1,0)+T376</f>
        <v>0</v>
      </c>
      <c r="V376" s="147">
        <f>IF(M2S_Eligibility_List!V126=DataPaths_Code,1,0)+U376</f>
        <v>0</v>
      </c>
      <c r="W376" s="147">
        <f>IF(M2S_Eligibility_List!W126=DataPaths_Code,1,0)+V376</f>
        <v>0</v>
      </c>
      <c r="X376" s="147">
        <f>IF(M2S_Eligibility_List!X126=DataPaths_Code,1,0)+W376</f>
        <v>0</v>
      </c>
      <c r="Y376" s="147">
        <f>IF(M2S_Eligibility_List!Y126=DataPaths_Code,1,0)+X376</f>
        <v>0</v>
      </c>
      <c r="Z376" s="147">
        <f>IF(M2S_Eligibility_List!Z126=DataPaths_Code,1,0)+Y376</f>
        <v>0</v>
      </c>
      <c r="AA376" s="147">
        <f>IF(M2S_Eligibility_List!AA126=DataPaths_Code,1,0)+Z376</f>
        <v>0</v>
      </c>
      <c r="AB376" s="147">
        <f>IF(M2S_Eligibility_List!AB126=DataPaths_Code,1,0)+AA376</f>
        <v>0</v>
      </c>
      <c r="AC376" s="147">
        <f>IF(M2S_Eligibility_List!AC126=DataPaths_Code,1,0)+AB376</f>
        <v>0</v>
      </c>
      <c r="AD376" s="147">
        <f>IF(M2S_Eligibility_List!AD126=DataPaths_Code,1,0)+AC376</f>
        <v>0</v>
      </c>
      <c r="AE376" s="147">
        <f>IF(M2S_Eligibility_List!AE126=DataPaths_Code,1,0)+AD376</f>
        <v>0</v>
      </c>
      <c r="AF376" s="147">
        <f>IF(M2S_Eligibility_List!AF126=DataPaths_Code,1,0)+AE376</f>
        <v>0</v>
      </c>
      <c r="AG376" s="147">
        <f>IF(M2S_Eligibility_List!AG126=DataPaths_Code,1,0)+AF376</f>
        <v>0</v>
      </c>
      <c r="AH376" s="147">
        <f>IF(M2S_Eligibility_List!AH126=DataPaths_Code,1,0)+AG376</f>
        <v>0</v>
      </c>
      <c r="AI376" s="147">
        <f>IF(M2S_Eligibility_List!AI126=DataPaths_Code,1,0)+AH376</f>
        <v>0</v>
      </c>
      <c r="AJ376" s="147">
        <f>IF(M2S_Eligibility_List!AJ126=DataPaths_Code,1,0)+AI376</f>
        <v>0</v>
      </c>
      <c r="AK376" s="147">
        <f>IF(M2S_Eligibility_List!AK126=DataPaths_Code,1,0)+AJ376</f>
        <v>0</v>
      </c>
      <c r="AL376" s="147">
        <f>IF(M2S_Eligibility_List!AL126=DataPaths_Code,1,0)+AK376</f>
        <v>0</v>
      </c>
      <c r="AM376" s="147">
        <f>IF(M2S_Eligibility_List!AM126=DataPaths_Code,1,0)+AL376</f>
        <v>0</v>
      </c>
      <c r="AN376" s="147">
        <f>IF(M2S_Eligibility_List!AN126=DataPaths_Code,1,0)+AM376</f>
        <v>0</v>
      </c>
      <c r="AO376" s="147">
        <f>IF(M2S_Eligibility_List!AO126=DataPaths_Code,1,0)+AN376</f>
        <v>0</v>
      </c>
      <c r="AP376" s="147">
        <f>IF(M2S_Eligibility_List!AP126=DataPaths_Code,1,0)+AO376</f>
        <v>0</v>
      </c>
      <c r="AQ376" s="147">
        <f>IF(M2S_Eligibility_List!AQ126=DataPaths_Code,1,0)+AP376</f>
        <v>0</v>
      </c>
      <c r="AR376" s="147">
        <f>IF(M2S_Eligibility_List!AR126=DataPaths_Code,1,0)+AQ376</f>
        <v>0</v>
      </c>
      <c r="AS376" s="147">
        <f>IF(M2S_Eligibility_List!AS126=DataPaths_Code,1,0)+AR376</f>
        <v>0</v>
      </c>
      <c r="AT376" s="147">
        <f>IF(M2S_Eligibility_List!AT126=DataPaths_Code,1,0)+AS376</f>
        <v>0</v>
      </c>
      <c r="AU376" s="147">
        <f>IF(M2S_Eligibility_List!AU126=DataPaths_Code,1,0)+AT376</f>
        <v>0</v>
      </c>
      <c r="AV376" s="147">
        <f>IF(M2S_Eligibility_List!AV126=DataPaths_Code,1,0)+AU376</f>
        <v>0</v>
      </c>
      <c r="AW376" s="147">
        <f>IF(M2S_Eligibility_List!AW126=DataPaths_Code,1,0)+AV376</f>
        <v>0</v>
      </c>
      <c r="AX376" s="147">
        <f>IF(M2S_Eligibility_List!AX126=DataPaths_Code,1,0)+AW376</f>
        <v>0</v>
      </c>
      <c r="AY376" s="147">
        <f>IF(M2S_Eligibility_List!AY126=DataPaths_Code,1,0)+AX376</f>
        <v>0</v>
      </c>
      <c r="AZ376" s="147">
        <f>IF(M2S_Eligibility_List!AZ126=DataPaths_Code,1,0)+AY376</f>
        <v>0</v>
      </c>
      <c r="BA376" s="147">
        <f>IF(M2S_Eligibility_List!BA126=DataPaths_Code,1,0)+AZ376</f>
        <v>0</v>
      </c>
      <c r="BB376" s="147">
        <f>IF(M2S_Eligibility_List!BB126=DataPaths_Code,1,0)+BA376</f>
        <v>0</v>
      </c>
      <c r="BC376" s="147">
        <f>IF(M2S_Eligibility_List!BC126=DataPaths_Code,1,0)+BB376</f>
        <v>0</v>
      </c>
      <c r="BD376" s="147">
        <f>IF(M2S_Eligibility_List!BD126=DataPaths_Code,1,0)+BC376</f>
        <v>1</v>
      </c>
      <c r="BE376" s="147">
        <f>IF(M2S_Eligibility_List!BE126=DataPaths_Code,1,0)+BD376</f>
        <v>1</v>
      </c>
      <c r="BF376" s="147">
        <f>IF(M2S_Eligibility_List!BF126=DataPaths_Code,1,0)+BE376</f>
        <v>1</v>
      </c>
      <c r="BG376" s="147">
        <f>IF(M2S_Eligibility_List!BG126=DataPaths_Code,1,0)+BF376</f>
        <v>1</v>
      </c>
      <c r="BH376" s="147">
        <f>IF(M2S_Eligibility_List!BH126=DataPaths_Code,1,0)+BG376</f>
        <v>1</v>
      </c>
      <c r="BI376" s="147">
        <f>IF(M2S_Eligibility_List!BI126=DataPaths_Code,1,0)+BH376</f>
        <v>1</v>
      </c>
      <c r="BJ376" s="147">
        <f>IF(M2S_Eligibility_List!BJ126=DataPaths_Code,1,0)+BI376</f>
        <v>1</v>
      </c>
      <c r="BK376" s="147">
        <f>IF(M2S_Eligibility_List!BK126=DataPaths_Code,1,0)+BJ376</f>
        <v>1</v>
      </c>
      <c r="BL376" s="147">
        <f>IF(M2S_Eligibility_List!BL126=DataPaths_Code,1,0)+BK376</f>
        <v>1</v>
      </c>
      <c r="BM376" s="147">
        <f>IF(M2S_Eligibility_List!BM126=DataPaths_Code,1,0)+BL376</f>
        <v>1</v>
      </c>
      <c r="BN376" s="147">
        <f>IF(M2S_Eligibility_List!BN126=DataPaths_Code,1,0)+BM376</f>
        <v>1</v>
      </c>
      <c r="BO376" s="147">
        <f>IF(M2S_Eligibility_List!BO126=DataPaths_Code,1,0)+BN376</f>
        <v>1</v>
      </c>
      <c r="BP376" s="147">
        <f>IF(M2S_Eligibility_List!BP126=DataPaths_Code,1,0)+BO376</f>
        <v>1</v>
      </c>
      <c r="BQ376" s="147">
        <f>IF(M2S_Eligibility_List!BQ126=DataPaths_Code,1,0)+BP376</f>
        <v>1</v>
      </c>
      <c r="BR376" s="147">
        <f>IF(M2S_Eligibility_List!BR126=DataPaths_Code,1,0)+BQ376</f>
        <v>1</v>
      </c>
      <c r="BS376" s="147">
        <f>IF(M2S_Eligibility_List!BS126=DataPaths_Code,1,0)+BR376</f>
        <v>1</v>
      </c>
      <c r="BT376" s="147">
        <f>IF(M2S_Eligibility_List!BT126=DataPaths_Code,1,0)+BS376</f>
        <v>1</v>
      </c>
      <c r="BU376" s="147">
        <f>IF(M2S_Eligibility_List!BU126=DataPaths_Code,1,0)+BT376</f>
        <v>1</v>
      </c>
      <c r="BV376" s="147">
        <f>IF(M2S_Eligibility_List!BV126=DataPaths_Code,1,0)+BU376</f>
        <v>1</v>
      </c>
      <c r="BW376" s="147">
        <f>IF(M2S_Eligibility_List!BW126=DataPaths_Code,1,0)+BV376</f>
        <v>1</v>
      </c>
    </row>
    <row r="377" spans="1:75" ht="20.100000000000001" customHeight="1">
      <c r="A377" s="145"/>
      <c r="B377" s="170" t="str">
        <f>IF(M2S_Eligibility_List!$B127&lt;&gt;"",RIGHT(M2S_Eligibility_List!$B127,LEN(M2S_Eligibility_List!$B127)-LEN(nmADwSP)),0)</f>
        <v>VRED Design</v>
      </c>
      <c r="C377" s="147">
        <f>IF(M2S_Eligibility_List!C127=DataPaths_Code,1,0)</f>
        <v>0</v>
      </c>
      <c r="D377" s="147">
        <f>IF(M2S_Eligibility_List!D127=DataPaths_Code,1,0)+C377</f>
        <v>0</v>
      </c>
      <c r="E377" s="147">
        <f>IF(M2S_Eligibility_List!E127=DataPaths_Code,1,0)+D377</f>
        <v>0</v>
      </c>
      <c r="F377" s="147">
        <f>IF(M2S_Eligibility_List!F127=DataPaths_Code,1,0)+E377</f>
        <v>0</v>
      </c>
      <c r="G377" s="147">
        <f>IF(M2S_Eligibility_List!G127=DataPaths_Code,1,0)+F377</f>
        <v>0</v>
      </c>
      <c r="H377" s="147">
        <f>IF(M2S_Eligibility_List!H127=DataPaths_Code,1,0)+G377</f>
        <v>0</v>
      </c>
      <c r="I377" s="147">
        <f>IF(M2S_Eligibility_List!I127=DataPaths_Code,1,0)+H377</f>
        <v>0</v>
      </c>
      <c r="J377" s="147">
        <f>IF(M2S_Eligibility_List!J127=DataPaths_Code,1,0)+I377</f>
        <v>0</v>
      </c>
      <c r="K377" s="147">
        <f>IF(M2S_Eligibility_List!K127=DataPaths_Code,1,0)+J377</f>
        <v>0</v>
      </c>
      <c r="L377" s="147">
        <f>IF(M2S_Eligibility_List!L127=DataPaths_Code,1,0)+K377</f>
        <v>0</v>
      </c>
      <c r="M377" s="147">
        <f>IF(M2S_Eligibility_List!M127=DataPaths_Code,1,0)+L377</f>
        <v>0</v>
      </c>
      <c r="N377" s="147">
        <f>IF(M2S_Eligibility_List!N127=DataPaths_Code,1,0)+M377</f>
        <v>0</v>
      </c>
      <c r="O377" s="147">
        <f>IF(M2S_Eligibility_List!O127=DataPaths_Code,1,0)+N377</f>
        <v>0</v>
      </c>
      <c r="P377" s="147">
        <f>IF(M2S_Eligibility_List!P127=DataPaths_Code,1,0)+O377</f>
        <v>0</v>
      </c>
      <c r="Q377" s="147">
        <f>IF(M2S_Eligibility_List!Q127=DataPaths_Code,1,0)+P377</f>
        <v>0</v>
      </c>
      <c r="R377" s="147">
        <f>IF(M2S_Eligibility_List!R127=DataPaths_Code,1,0)+Q377</f>
        <v>0</v>
      </c>
      <c r="S377" s="147">
        <f>IF(M2S_Eligibility_List!S127=DataPaths_Code,1,0)+R377</f>
        <v>0</v>
      </c>
      <c r="T377" s="147">
        <f>IF(M2S_Eligibility_List!T127=DataPaths_Code,1,0)+S377</f>
        <v>0</v>
      </c>
      <c r="U377" s="147">
        <f>IF(M2S_Eligibility_List!U127=DataPaths_Code,1,0)+T377</f>
        <v>0</v>
      </c>
      <c r="V377" s="147">
        <f>IF(M2S_Eligibility_List!V127=DataPaths_Code,1,0)+U377</f>
        <v>0</v>
      </c>
      <c r="W377" s="147">
        <f>IF(M2S_Eligibility_List!W127=DataPaths_Code,1,0)+V377</f>
        <v>0</v>
      </c>
      <c r="X377" s="147">
        <f>IF(M2S_Eligibility_List!X127=DataPaths_Code,1,0)+W377</f>
        <v>0</v>
      </c>
      <c r="Y377" s="147">
        <f>IF(M2S_Eligibility_List!Y127=DataPaths_Code,1,0)+X377</f>
        <v>0</v>
      </c>
      <c r="Z377" s="147">
        <f>IF(M2S_Eligibility_List!Z127=DataPaths_Code,1,0)+Y377</f>
        <v>0</v>
      </c>
      <c r="AA377" s="147">
        <f>IF(M2S_Eligibility_List!AA127=DataPaths_Code,1,0)+Z377</f>
        <v>0</v>
      </c>
      <c r="AB377" s="147">
        <f>IF(M2S_Eligibility_List!AB127=DataPaths_Code,1,0)+AA377</f>
        <v>0</v>
      </c>
      <c r="AC377" s="147">
        <f>IF(M2S_Eligibility_List!AC127=DataPaths_Code,1,0)+AB377</f>
        <v>0</v>
      </c>
      <c r="AD377" s="147">
        <f>IF(M2S_Eligibility_List!AD127=DataPaths_Code,1,0)+AC377</f>
        <v>0</v>
      </c>
      <c r="AE377" s="147">
        <f>IF(M2S_Eligibility_List!AE127=DataPaths_Code,1,0)+AD377</f>
        <v>0</v>
      </c>
      <c r="AF377" s="147">
        <f>IF(M2S_Eligibility_List!AF127=DataPaths_Code,1,0)+AE377</f>
        <v>0</v>
      </c>
      <c r="AG377" s="147">
        <f>IF(M2S_Eligibility_List!AG127=DataPaths_Code,1,0)+AF377</f>
        <v>0</v>
      </c>
      <c r="AH377" s="147">
        <f>IF(M2S_Eligibility_List!AH127=DataPaths_Code,1,0)+AG377</f>
        <v>0</v>
      </c>
      <c r="AI377" s="147">
        <f>IF(M2S_Eligibility_List!AI127=DataPaths_Code,1,0)+AH377</f>
        <v>0</v>
      </c>
      <c r="AJ377" s="147">
        <f>IF(M2S_Eligibility_List!AJ127=DataPaths_Code,1,0)+AI377</f>
        <v>0</v>
      </c>
      <c r="AK377" s="147">
        <f>IF(M2S_Eligibility_List!AK127=DataPaths_Code,1,0)+AJ377</f>
        <v>0</v>
      </c>
      <c r="AL377" s="147">
        <f>IF(M2S_Eligibility_List!AL127=DataPaths_Code,1,0)+AK377</f>
        <v>0</v>
      </c>
      <c r="AM377" s="147">
        <f>IF(M2S_Eligibility_List!AM127=DataPaths_Code,1,0)+AL377</f>
        <v>0</v>
      </c>
      <c r="AN377" s="147">
        <f>IF(M2S_Eligibility_List!AN127=DataPaths_Code,1,0)+AM377</f>
        <v>0</v>
      </c>
      <c r="AO377" s="147">
        <f>IF(M2S_Eligibility_List!AO127=DataPaths_Code,1,0)+AN377</f>
        <v>0</v>
      </c>
      <c r="AP377" s="147">
        <f>IF(M2S_Eligibility_List!AP127=DataPaths_Code,1,0)+AO377</f>
        <v>0</v>
      </c>
      <c r="AQ377" s="147">
        <f>IF(M2S_Eligibility_List!AQ127=DataPaths_Code,1,0)+AP377</f>
        <v>0</v>
      </c>
      <c r="AR377" s="147">
        <f>IF(M2S_Eligibility_List!AR127=DataPaths_Code,1,0)+AQ377</f>
        <v>0</v>
      </c>
      <c r="AS377" s="147">
        <f>IF(M2S_Eligibility_List!AS127=DataPaths_Code,1,0)+AR377</f>
        <v>0</v>
      </c>
      <c r="AT377" s="147">
        <f>IF(M2S_Eligibility_List!AT127=DataPaths_Code,1,0)+AS377</f>
        <v>0</v>
      </c>
      <c r="AU377" s="147">
        <f>IF(M2S_Eligibility_List!AU127=DataPaths_Code,1,0)+AT377</f>
        <v>0</v>
      </c>
      <c r="AV377" s="147">
        <f>IF(M2S_Eligibility_List!AV127=DataPaths_Code,1,0)+AU377</f>
        <v>0</v>
      </c>
      <c r="AW377" s="147">
        <f>IF(M2S_Eligibility_List!AW127=DataPaths_Code,1,0)+AV377</f>
        <v>0</v>
      </c>
      <c r="AX377" s="147">
        <f>IF(M2S_Eligibility_List!AX127=DataPaths_Code,1,0)+AW377</f>
        <v>0</v>
      </c>
      <c r="AY377" s="147">
        <f>IF(M2S_Eligibility_List!AY127=DataPaths_Code,1,0)+AX377</f>
        <v>0</v>
      </c>
      <c r="AZ377" s="147">
        <f>IF(M2S_Eligibility_List!AZ127=DataPaths_Code,1,0)+AY377</f>
        <v>0</v>
      </c>
      <c r="BA377" s="147">
        <f>IF(M2S_Eligibility_List!BA127=DataPaths_Code,1,0)+AZ377</f>
        <v>0</v>
      </c>
      <c r="BB377" s="147">
        <f>IF(M2S_Eligibility_List!BB127=DataPaths_Code,1,0)+BA377</f>
        <v>0</v>
      </c>
      <c r="BC377" s="147">
        <f>IF(M2S_Eligibility_List!BC127=DataPaths_Code,1,0)+BB377</f>
        <v>0</v>
      </c>
      <c r="BD377" s="147">
        <f>IF(M2S_Eligibility_List!BD127=DataPaths_Code,1,0)+BC377</f>
        <v>0</v>
      </c>
      <c r="BE377" s="147">
        <f>IF(M2S_Eligibility_List!BE127=DataPaths_Code,1,0)+BD377</f>
        <v>1</v>
      </c>
      <c r="BF377" s="147">
        <f>IF(M2S_Eligibility_List!BF127=DataPaths_Code,1,0)+BE377</f>
        <v>1</v>
      </c>
      <c r="BG377" s="147">
        <f>IF(M2S_Eligibility_List!BG127=DataPaths_Code,1,0)+BF377</f>
        <v>1</v>
      </c>
      <c r="BH377" s="147">
        <f>IF(M2S_Eligibility_List!BH127=DataPaths_Code,1,0)+BG377</f>
        <v>1</v>
      </c>
      <c r="BI377" s="147">
        <f>IF(M2S_Eligibility_List!BI127=DataPaths_Code,1,0)+BH377</f>
        <v>1</v>
      </c>
      <c r="BJ377" s="147">
        <f>IF(M2S_Eligibility_List!BJ127=DataPaths_Code,1,0)+BI377</f>
        <v>1</v>
      </c>
      <c r="BK377" s="147">
        <f>IF(M2S_Eligibility_List!BK127=DataPaths_Code,1,0)+BJ377</f>
        <v>1</v>
      </c>
      <c r="BL377" s="147">
        <f>IF(M2S_Eligibility_List!BL127=DataPaths_Code,1,0)+BK377</f>
        <v>1</v>
      </c>
      <c r="BM377" s="147">
        <f>IF(M2S_Eligibility_List!BM127=DataPaths_Code,1,0)+BL377</f>
        <v>1</v>
      </c>
      <c r="BN377" s="147">
        <f>IF(M2S_Eligibility_List!BN127=DataPaths_Code,1,0)+BM377</f>
        <v>1</v>
      </c>
      <c r="BO377" s="147">
        <f>IF(M2S_Eligibility_List!BO127=DataPaths_Code,1,0)+BN377</f>
        <v>1</v>
      </c>
      <c r="BP377" s="147">
        <f>IF(M2S_Eligibility_List!BP127=DataPaths_Code,1,0)+BO377</f>
        <v>1</v>
      </c>
      <c r="BQ377" s="147">
        <f>IF(M2S_Eligibility_List!BQ127=DataPaths_Code,1,0)+BP377</f>
        <v>1</v>
      </c>
      <c r="BR377" s="147">
        <f>IF(M2S_Eligibility_List!BR127=DataPaths_Code,1,0)+BQ377</f>
        <v>1</v>
      </c>
      <c r="BS377" s="147">
        <f>IF(M2S_Eligibility_List!BS127=DataPaths_Code,1,0)+BR377</f>
        <v>1</v>
      </c>
      <c r="BT377" s="147">
        <f>IF(M2S_Eligibility_List!BT127=DataPaths_Code,1,0)+BS377</f>
        <v>1</v>
      </c>
      <c r="BU377" s="147">
        <f>IF(M2S_Eligibility_List!BU127=DataPaths_Code,1,0)+BT377</f>
        <v>1</v>
      </c>
      <c r="BV377" s="147">
        <f>IF(M2S_Eligibility_List!BV127=DataPaths_Code,1,0)+BU377</f>
        <v>1</v>
      </c>
      <c r="BW377" s="147">
        <f>IF(M2S_Eligibility_List!BW127=DataPaths_Code,1,0)+BV377</f>
        <v>1</v>
      </c>
    </row>
    <row r="378" spans="1:75" ht="20.100000000000001" customHeight="1">
      <c r="A378" s="145"/>
      <c r="B378" s="170" t="str">
        <f>IF(M2S_Eligibility_List!$B128&lt;&gt;"",RIGHT(M2S_Eligibility_List!$B128,LEN(M2S_Eligibility_List!$B128)-LEN(nmADwSP)),0)</f>
        <v>VRED Presenter</v>
      </c>
      <c r="C378" s="147">
        <f>IF(M2S_Eligibility_List!C128=DataPaths_Code,1,0)</f>
        <v>0</v>
      </c>
      <c r="D378" s="147">
        <f>IF(M2S_Eligibility_List!D128=DataPaths_Code,1,0)+C378</f>
        <v>0</v>
      </c>
      <c r="E378" s="147">
        <f>IF(M2S_Eligibility_List!E128=DataPaths_Code,1,0)+D378</f>
        <v>0</v>
      </c>
      <c r="F378" s="147">
        <f>IF(M2S_Eligibility_List!F128=DataPaths_Code,1,0)+E378</f>
        <v>0</v>
      </c>
      <c r="G378" s="147">
        <f>IF(M2S_Eligibility_List!G128=DataPaths_Code,1,0)+F378</f>
        <v>0</v>
      </c>
      <c r="H378" s="147">
        <f>IF(M2S_Eligibility_List!H128=DataPaths_Code,1,0)+G378</f>
        <v>0</v>
      </c>
      <c r="I378" s="147">
        <f>IF(M2S_Eligibility_List!I128=DataPaths_Code,1,0)+H378</f>
        <v>0</v>
      </c>
      <c r="J378" s="147">
        <f>IF(M2S_Eligibility_List!J128=DataPaths_Code,1,0)+I378</f>
        <v>0</v>
      </c>
      <c r="K378" s="147">
        <f>IF(M2S_Eligibility_List!K128=DataPaths_Code,1,0)+J378</f>
        <v>0</v>
      </c>
      <c r="L378" s="147">
        <f>IF(M2S_Eligibility_List!L128=DataPaths_Code,1,0)+K378</f>
        <v>0</v>
      </c>
      <c r="M378" s="147">
        <f>IF(M2S_Eligibility_List!M128=DataPaths_Code,1,0)+L378</f>
        <v>0</v>
      </c>
      <c r="N378" s="147">
        <f>IF(M2S_Eligibility_List!N128=DataPaths_Code,1,0)+M378</f>
        <v>0</v>
      </c>
      <c r="O378" s="147">
        <f>IF(M2S_Eligibility_List!O128=DataPaths_Code,1,0)+N378</f>
        <v>0</v>
      </c>
      <c r="P378" s="147">
        <f>IF(M2S_Eligibility_List!P128=DataPaths_Code,1,0)+O378</f>
        <v>0</v>
      </c>
      <c r="Q378" s="147">
        <f>IF(M2S_Eligibility_List!Q128=DataPaths_Code,1,0)+P378</f>
        <v>0</v>
      </c>
      <c r="R378" s="147">
        <f>IF(M2S_Eligibility_List!R128=DataPaths_Code,1,0)+Q378</f>
        <v>0</v>
      </c>
      <c r="S378" s="147">
        <f>IF(M2S_Eligibility_List!S128=DataPaths_Code,1,0)+R378</f>
        <v>0</v>
      </c>
      <c r="T378" s="147">
        <f>IF(M2S_Eligibility_List!T128=DataPaths_Code,1,0)+S378</f>
        <v>0</v>
      </c>
      <c r="U378" s="147">
        <f>IF(M2S_Eligibility_List!U128=DataPaths_Code,1,0)+T378</f>
        <v>0</v>
      </c>
      <c r="V378" s="147">
        <f>IF(M2S_Eligibility_List!V128=DataPaths_Code,1,0)+U378</f>
        <v>0</v>
      </c>
      <c r="W378" s="147">
        <f>IF(M2S_Eligibility_List!W128=DataPaths_Code,1,0)+V378</f>
        <v>0</v>
      </c>
      <c r="X378" s="147">
        <f>IF(M2S_Eligibility_List!X128=DataPaths_Code,1,0)+W378</f>
        <v>0</v>
      </c>
      <c r="Y378" s="147">
        <f>IF(M2S_Eligibility_List!Y128=DataPaths_Code,1,0)+X378</f>
        <v>0</v>
      </c>
      <c r="Z378" s="147">
        <f>IF(M2S_Eligibility_List!Z128=DataPaths_Code,1,0)+Y378</f>
        <v>0</v>
      </c>
      <c r="AA378" s="147">
        <f>IF(M2S_Eligibility_List!AA128=DataPaths_Code,1,0)+Z378</f>
        <v>0</v>
      </c>
      <c r="AB378" s="147">
        <f>IF(M2S_Eligibility_List!AB128=DataPaths_Code,1,0)+AA378</f>
        <v>0</v>
      </c>
      <c r="AC378" s="147">
        <f>IF(M2S_Eligibility_List!AC128=DataPaths_Code,1,0)+AB378</f>
        <v>0</v>
      </c>
      <c r="AD378" s="147">
        <f>IF(M2S_Eligibility_List!AD128=DataPaths_Code,1,0)+AC378</f>
        <v>0</v>
      </c>
      <c r="AE378" s="147">
        <f>IF(M2S_Eligibility_List!AE128=DataPaths_Code,1,0)+AD378</f>
        <v>0</v>
      </c>
      <c r="AF378" s="147">
        <f>IF(M2S_Eligibility_List!AF128=DataPaths_Code,1,0)+AE378</f>
        <v>0</v>
      </c>
      <c r="AG378" s="147">
        <f>IF(M2S_Eligibility_List!AG128=DataPaths_Code,1,0)+AF378</f>
        <v>0</v>
      </c>
      <c r="AH378" s="147">
        <f>IF(M2S_Eligibility_List!AH128=DataPaths_Code,1,0)+AG378</f>
        <v>0</v>
      </c>
      <c r="AI378" s="147">
        <f>IF(M2S_Eligibility_List!AI128=DataPaths_Code,1,0)+AH378</f>
        <v>0</v>
      </c>
      <c r="AJ378" s="147">
        <f>IF(M2S_Eligibility_List!AJ128=DataPaths_Code,1,0)+AI378</f>
        <v>0</v>
      </c>
      <c r="AK378" s="147">
        <f>IF(M2S_Eligibility_List!AK128=DataPaths_Code,1,0)+AJ378</f>
        <v>0</v>
      </c>
      <c r="AL378" s="147">
        <f>IF(M2S_Eligibility_List!AL128=DataPaths_Code,1,0)+AK378</f>
        <v>0</v>
      </c>
      <c r="AM378" s="147">
        <f>IF(M2S_Eligibility_List!AM128=DataPaths_Code,1,0)+AL378</f>
        <v>0</v>
      </c>
      <c r="AN378" s="147">
        <f>IF(M2S_Eligibility_List!AN128=DataPaths_Code,1,0)+AM378</f>
        <v>0</v>
      </c>
      <c r="AO378" s="147">
        <f>IF(M2S_Eligibility_List!AO128=DataPaths_Code,1,0)+AN378</f>
        <v>0</v>
      </c>
      <c r="AP378" s="147">
        <f>IF(M2S_Eligibility_List!AP128=DataPaths_Code,1,0)+AO378</f>
        <v>0</v>
      </c>
      <c r="AQ378" s="147">
        <f>IF(M2S_Eligibility_List!AQ128=DataPaths_Code,1,0)+AP378</f>
        <v>0</v>
      </c>
      <c r="AR378" s="147">
        <f>IF(M2S_Eligibility_List!AR128=DataPaths_Code,1,0)+AQ378</f>
        <v>0</v>
      </c>
      <c r="AS378" s="147">
        <f>IF(M2S_Eligibility_List!AS128=DataPaths_Code,1,0)+AR378</f>
        <v>0</v>
      </c>
      <c r="AT378" s="147">
        <f>IF(M2S_Eligibility_List!AT128=DataPaths_Code,1,0)+AS378</f>
        <v>0</v>
      </c>
      <c r="AU378" s="147">
        <f>IF(M2S_Eligibility_List!AU128=DataPaths_Code,1,0)+AT378</f>
        <v>0</v>
      </c>
      <c r="AV378" s="147">
        <f>IF(M2S_Eligibility_List!AV128=DataPaths_Code,1,0)+AU378</f>
        <v>0</v>
      </c>
      <c r="AW378" s="147">
        <f>IF(M2S_Eligibility_List!AW128=DataPaths_Code,1,0)+AV378</f>
        <v>0</v>
      </c>
      <c r="AX378" s="147">
        <f>IF(M2S_Eligibility_List!AX128=DataPaths_Code,1,0)+AW378</f>
        <v>0</v>
      </c>
      <c r="AY378" s="147">
        <f>IF(M2S_Eligibility_List!AY128=DataPaths_Code,1,0)+AX378</f>
        <v>0</v>
      </c>
      <c r="AZ378" s="147">
        <f>IF(M2S_Eligibility_List!AZ128=DataPaths_Code,1,0)+AY378</f>
        <v>0</v>
      </c>
      <c r="BA378" s="147">
        <f>IF(M2S_Eligibility_List!BA128=DataPaths_Code,1,0)+AZ378</f>
        <v>0</v>
      </c>
      <c r="BB378" s="147">
        <f>IF(M2S_Eligibility_List!BB128=DataPaths_Code,1,0)+BA378</f>
        <v>0</v>
      </c>
      <c r="BC378" s="147">
        <f>IF(M2S_Eligibility_List!BC128=DataPaths_Code,1,0)+BB378</f>
        <v>0</v>
      </c>
      <c r="BD378" s="147">
        <f>IF(M2S_Eligibility_List!BD128=DataPaths_Code,1,0)+BC378</f>
        <v>0</v>
      </c>
      <c r="BE378" s="147">
        <f>IF(M2S_Eligibility_List!BE128=DataPaths_Code,1,0)+BD378</f>
        <v>0</v>
      </c>
      <c r="BF378" s="147">
        <f>IF(M2S_Eligibility_List!BF128=DataPaths_Code,1,0)+BE378</f>
        <v>1</v>
      </c>
      <c r="BG378" s="147">
        <f>IF(M2S_Eligibility_List!BG128=DataPaths_Code,1,0)+BF378</f>
        <v>1</v>
      </c>
      <c r="BH378" s="147">
        <f>IF(M2S_Eligibility_List!BH128=DataPaths_Code,1,0)+BG378</f>
        <v>1</v>
      </c>
      <c r="BI378" s="147">
        <f>IF(M2S_Eligibility_List!BI128=DataPaths_Code,1,0)+BH378</f>
        <v>1</v>
      </c>
      <c r="BJ378" s="147">
        <f>IF(M2S_Eligibility_List!BJ128=DataPaths_Code,1,0)+BI378</f>
        <v>1</v>
      </c>
      <c r="BK378" s="147">
        <f>IF(M2S_Eligibility_List!BK128=DataPaths_Code,1,0)+BJ378</f>
        <v>1</v>
      </c>
      <c r="BL378" s="147">
        <f>IF(M2S_Eligibility_List!BL128=DataPaths_Code,1,0)+BK378</f>
        <v>1</v>
      </c>
      <c r="BM378" s="147">
        <f>IF(M2S_Eligibility_List!BM128=DataPaths_Code,1,0)+BL378</f>
        <v>1</v>
      </c>
      <c r="BN378" s="147">
        <f>IF(M2S_Eligibility_List!BN128=DataPaths_Code,1,0)+BM378</f>
        <v>1</v>
      </c>
      <c r="BO378" s="147">
        <f>IF(M2S_Eligibility_List!BO128=DataPaths_Code,1,0)+BN378</f>
        <v>1</v>
      </c>
      <c r="BP378" s="147">
        <f>IF(M2S_Eligibility_List!BP128=DataPaths_Code,1,0)+BO378</f>
        <v>1</v>
      </c>
      <c r="BQ378" s="147">
        <f>IF(M2S_Eligibility_List!BQ128=DataPaths_Code,1,0)+BP378</f>
        <v>1</v>
      </c>
      <c r="BR378" s="147">
        <f>IF(M2S_Eligibility_List!BR128=DataPaths_Code,1,0)+BQ378</f>
        <v>1</v>
      </c>
      <c r="BS378" s="147">
        <f>IF(M2S_Eligibility_List!BS128=DataPaths_Code,1,0)+BR378</f>
        <v>1</v>
      </c>
      <c r="BT378" s="147">
        <f>IF(M2S_Eligibility_List!BT128=DataPaths_Code,1,0)+BS378</f>
        <v>1</v>
      </c>
      <c r="BU378" s="147">
        <f>IF(M2S_Eligibility_List!BU128=DataPaths_Code,1,0)+BT378</f>
        <v>1</v>
      </c>
      <c r="BV378" s="147">
        <f>IF(M2S_Eligibility_List!BV128=DataPaths_Code,1,0)+BU378</f>
        <v>1</v>
      </c>
      <c r="BW378" s="147">
        <f>IF(M2S_Eligibility_List!BW128=DataPaths_Code,1,0)+BV378</f>
        <v>1</v>
      </c>
    </row>
    <row r="379" spans="1:75" ht="20.100000000000001" customHeight="1">
      <c r="A379" s="145"/>
      <c r="B379" s="170" t="str">
        <f>IF(M2S_Eligibility_List!$B129&lt;&gt;"",RIGHT(M2S_Eligibility_List!$B129,LEN(M2S_Eligibility_List!$B129)-LEN(nmADwSP)),0)</f>
        <v>VRED Professional</v>
      </c>
      <c r="C379" s="147">
        <f>IF(M2S_Eligibility_List!C129=DataPaths_Code,1,0)</f>
        <v>0</v>
      </c>
      <c r="D379" s="147">
        <f>IF(M2S_Eligibility_List!D129=DataPaths_Code,1,0)+C379</f>
        <v>0</v>
      </c>
      <c r="E379" s="147">
        <f>IF(M2S_Eligibility_List!E129=DataPaths_Code,1,0)+D379</f>
        <v>0</v>
      </c>
      <c r="F379" s="147">
        <f>IF(M2S_Eligibility_List!F129=DataPaths_Code,1,0)+E379</f>
        <v>0</v>
      </c>
      <c r="G379" s="147">
        <f>IF(M2S_Eligibility_List!G129=DataPaths_Code,1,0)+F379</f>
        <v>0</v>
      </c>
      <c r="H379" s="147">
        <f>IF(M2S_Eligibility_List!H129=DataPaths_Code,1,0)+G379</f>
        <v>0</v>
      </c>
      <c r="I379" s="147">
        <f>IF(M2S_Eligibility_List!I129=DataPaths_Code,1,0)+H379</f>
        <v>0</v>
      </c>
      <c r="J379" s="147">
        <f>IF(M2S_Eligibility_List!J129=DataPaths_Code,1,0)+I379</f>
        <v>0</v>
      </c>
      <c r="K379" s="147">
        <f>IF(M2S_Eligibility_List!K129=DataPaths_Code,1,0)+J379</f>
        <v>0</v>
      </c>
      <c r="L379" s="147">
        <f>IF(M2S_Eligibility_List!L129=DataPaths_Code,1,0)+K379</f>
        <v>0</v>
      </c>
      <c r="M379" s="147">
        <f>IF(M2S_Eligibility_List!M129=DataPaths_Code,1,0)+L379</f>
        <v>0</v>
      </c>
      <c r="N379" s="147">
        <f>IF(M2S_Eligibility_List!N129=DataPaths_Code,1,0)+M379</f>
        <v>0</v>
      </c>
      <c r="O379" s="147">
        <f>IF(M2S_Eligibility_List!O129=DataPaths_Code,1,0)+N379</f>
        <v>0</v>
      </c>
      <c r="P379" s="147">
        <f>IF(M2S_Eligibility_List!P129=DataPaths_Code,1,0)+O379</f>
        <v>0</v>
      </c>
      <c r="Q379" s="147">
        <f>IF(M2S_Eligibility_List!Q129=DataPaths_Code,1,0)+P379</f>
        <v>0</v>
      </c>
      <c r="R379" s="147">
        <f>IF(M2S_Eligibility_List!R129=DataPaths_Code,1,0)+Q379</f>
        <v>0</v>
      </c>
      <c r="S379" s="147">
        <f>IF(M2S_Eligibility_List!S129=DataPaths_Code,1,0)+R379</f>
        <v>0</v>
      </c>
      <c r="T379" s="147">
        <f>IF(M2S_Eligibility_List!T129=DataPaths_Code,1,0)+S379</f>
        <v>0</v>
      </c>
      <c r="U379" s="147">
        <f>IF(M2S_Eligibility_List!U129=DataPaths_Code,1,0)+T379</f>
        <v>0</v>
      </c>
      <c r="V379" s="147">
        <f>IF(M2S_Eligibility_List!V129=DataPaths_Code,1,0)+U379</f>
        <v>0</v>
      </c>
      <c r="W379" s="147">
        <f>IF(M2S_Eligibility_List!W129=DataPaths_Code,1,0)+V379</f>
        <v>0</v>
      </c>
      <c r="X379" s="147">
        <f>IF(M2S_Eligibility_List!X129=DataPaths_Code,1,0)+W379</f>
        <v>0</v>
      </c>
      <c r="Y379" s="147">
        <f>IF(M2S_Eligibility_List!Y129=DataPaths_Code,1,0)+X379</f>
        <v>0</v>
      </c>
      <c r="Z379" s="147">
        <f>IF(M2S_Eligibility_List!Z129=DataPaths_Code,1,0)+Y379</f>
        <v>0</v>
      </c>
      <c r="AA379" s="147">
        <f>IF(M2S_Eligibility_List!AA129=DataPaths_Code,1,0)+Z379</f>
        <v>0</v>
      </c>
      <c r="AB379" s="147">
        <f>IF(M2S_Eligibility_List!AB129=DataPaths_Code,1,0)+AA379</f>
        <v>0</v>
      </c>
      <c r="AC379" s="147">
        <f>IF(M2S_Eligibility_List!AC129=DataPaths_Code,1,0)+AB379</f>
        <v>0</v>
      </c>
      <c r="AD379" s="147">
        <f>IF(M2S_Eligibility_List!AD129=DataPaths_Code,1,0)+AC379</f>
        <v>0</v>
      </c>
      <c r="AE379" s="147">
        <f>IF(M2S_Eligibility_List!AE129=DataPaths_Code,1,0)+AD379</f>
        <v>0</v>
      </c>
      <c r="AF379" s="147">
        <f>IF(M2S_Eligibility_List!AF129=DataPaths_Code,1,0)+AE379</f>
        <v>0</v>
      </c>
      <c r="AG379" s="147">
        <f>IF(M2S_Eligibility_List!AG129=DataPaths_Code,1,0)+AF379</f>
        <v>0</v>
      </c>
      <c r="AH379" s="147">
        <f>IF(M2S_Eligibility_List!AH129=DataPaths_Code,1,0)+AG379</f>
        <v>0</v>
      </c>
      <c r="AI379" s="147">
        <f>IF(M2S_Eligibility_List!AI129=DataPaths_Code,1,0)+AH379</f>
        <v>0</v>
      </c>
      <c r="AJ379" s="147">
        <f>IF(M2S_Eligibility_List!AJ129=DataPaths_Code,1,0)+AI379</f>
        <v>0</v>
      </c>
      <c r="AK379" s="147">
        <f>IF(M2S_Eligibility_List!AK129=DataPaths_Code,1,0)+AJ379</f>
        <v>0</v>
      </c>
      <c r="AL379" s="147">
        <f>IF(M2S_Eligibility_List!AL129=DataPaths_Code,1,0)+AK379</f>
        <v>0</v>
      </c>
      <c r="AM379" s="147">
        <f>IF(M2S_Eligibility_List!AM129=DataPaths_Code,1,0)+AL379</f>
        <v>0</v>
      </c>
      <c r="AN379" s="147">
        <f>IF(M2S_Eligibility_List!AN129=DataPaths_Code,1,0)+AM379</f>
        <v>0</v>
      </c>
      <c r="AO379" s="147">
        <f>IF(M2S_Eligibility_List!AO129=DataPaths_Code,1,0)+AN379</f>
        <v>0</v>
      </c>
      <c r="AP379" s="147">
        <f>IF(M2S_Eligibility_List!AP129=DataPaths_Code,1,0)+AO379</f>
        <v>0</v>
      </c>
      <c r="AQ379" s="147">
        <f>IF(M2S_Eligibility_List!AQ129=DataPaths_Code,1,0)+AP379</f>
        <v>0</v>
      </c>
      <c r="AR379" s="147">
        <f>IF(M2S_Eligibility_List!AR129=DataPaths_Code,1,0)+AQ379</f>
        <v>0</v>
      </c>
      <c r="AS379" s="147">
        <f>IF(M2S_Eligibility_List!AS129=DataPaths_Code,1,0)+AR379</f>
        <v>0</v>
      </c>
      <c r="AT379" s="147">
        <f>IF(M2S_Eligibility_List!AT129=DataPaths_Code,1,0)+AS379</f>
        <v>0</v>
      </c>
      <c r="AU379" s="147">
        <f>IF(M2S_Eligibility_List!AU129=DataPaths_Code,1,0)+AT379</f>
        <v>0</v>
      </c>
      <c r="AV379" s="147">
        <f>IF(M2S_Eligibility_List!AV129=DataPaths_Code,1,0)+AU379</f>
        <v>0</v>
      </c>
      <c r="AW379" s="147">
        <f>IF(M2S_Eligibility_List!AW129=DataPaths_Code,1,0)+AV379</f>
        <v>0</v>
      </c>
      <c r="AX379" s="147">
        <f>IF(M2S_Eligibility_List!AX129=DataPaths_Code,1,0)+AW379</f>
        <v>0</v>
      </c>
      <c r="AY379" s="147">
        <f>IF(M2S_Eligibility_List!AY129=DataPaths_Code,1,0)+AX379</f>
        <v>0</v>
      </c>
      <c r="AZ379" s="147">
        <f>IF(M2S_Eligibility_List!AZ129=DataPaths_Code,1,0)+AY379</f>
        <v>0</v>
      </c>
      <c r="BA379" s="147">
        <f>IF(M2S_Eligibility_List!BA129=DataPaths_Code,1,0)+AZ379</f>
        <v>0</v>
      </c>
      <c r="BB379" s="147">
        <f>IF(M2S_Eligibility_List!BB129=DataPaths_Code,1,0)+BA379</f>
        <v>0</v>
      </c>
      <c r="BC379" s="147">
        <f>IF(M2S_Eligibility_List!BC129=DataPaths_Code,1,0)+BB379</f>
        <v>0</v>
      </c>
      <c r="BD379" s="147">
        <f>IF(M2S_Eligibility_List!BD129=DataPaths_Code,1,0)+BC379</f>
        <v>0</v>
      </c>
      <c r="BE379" s="147">
        <f>IF(M2S_Eligibility_List!BE129=DataPaths_Code,1,0)+BD379</f>
        <v>0</v>
      </c>
      <c r="BF379" s="147">
        <f>IF(M2S_Eligibility_List!BF129=DataPaths_Code,1,0)+BE379</f>
        <v>0</v>
      </c>
      <c r="BG379" s="147">
        <f>IF(M2S_Eligibility_List!BG129=DataPaths_Code,1,0)+BF379</f>
        <v>1</v>
      </c>
      <c r="BH379" s="147">
        <f>IF(M2S_Eligibility_List!BH129=DataPaths_Code,1,0)+BG379</f>
        <v>1</v>
      </c>
      <c r="BI379" s="147">
        <f>IF(M2S_Eligibility_List!BI129=DataPaths_Code,1,0)+BH379</f>
        <v>1</v>
      </c>
      <c r="BJ379" s="147">
        <f>IF(M2S_Eligibility_List!BJ129=DataPaths_Code,1,0)+BI379</f>
        <v>1</v>
      </c>
      <c r="BK379" s="147">
        <f>IF(M2S_Eligibility_List!BK129=DataPaths_Code,1,0)+BJ379</f>
        <v>1</v>
      </c>
      <c r="BL379" s="147">
        <f>IF(M2S_Eligibility_List!BL129=DataPaths_Code,1,0)+BK379</f>
        <v>1</v>
      </c>
      <c r="BM379" s="147">
        <f>IF(M2S_Eligibility_List!BM129=DataPaths_Code,1,0)+BL379</f>
        <v>1</v>
      </c>
      <c r="BN379" s="147">
        <f>IF(M2S_Eligibility_List!BN129=DataPaths_Code,1,0)+BM379</f>
        <v>1</v>
      </c>
      <c r="BO379" s="147">
        <f>IF(M2S_Eligibility_List!BO129=DataPaths_Code,1,0)+BN379</f>
        <v>1</v>
      </c>
      <c r="BP379" s="147">
        <f>IF(M2S_Eligibility_List!BP129=DataPaths_Code,1,0)+BO379</f>
        <v>1</v>
      </c>
      <c r="BQ379" s="147">
        <f>IF(M2S_Eligibility_List!BQ129=DataPaths_Code,1,0)+BP379</f>
        <v>1</v>
      </c>
      <c r="BR379" s="147">
        <f>IF(M2S_Eligibility_List!BR129=DataPaths_Code,1,0)+BQ379</f>
        <v>1</v>
      </c>
      <c r="BS379" s="147">
        <f>IF(M2S_Eligibility_List!BS129=DataPaths_Code,1,0)+BR379</f>
        <v>1</v>
      </c>
      <c r="BT379" s="147">
        <f>IF(M2S_Eligibility_List!BT129=DataPaths_Code,1,0)+BS379</f>
        <v>1</v>
      </c>
      <c r="BU379" s="147">
        <f>IF(M2S_Eligibility_List!BU129=DataPaths_Code,1,0)+BT379</f>
        <v>1</v>
      </c>
      <c r="BV379" s="147">
        <f>IF(M2S_Eligibility_List!BV129=DataPaths_Code,1,0)+BU379</f>
        <v>1</v>
      </c>
      <c r="BW379" s="147">
        <f>IF(M2S_Eligibility_List!BW129=DataPaths_Code,1,0)+BV379</f>
        <v>1</v>
      </c>
    </row>
    <row r="380" spans="1:75" ht="20.100000000000001" customHeight="1">
      <c r="A380" s="145"/>
      <c r="B380" s="170" t="str">
        <f>IF(M2S_Eligibility_List!$B130&lt;&gt;"",RIGHT(M2S_Eligibility_List!$B130,LEN(M2S_Eligibility_List!$B130)-LEN(nmADwSP)),0)</f>
        <v>VRED Render Node</v>
      </c>
      <c r="C380" s="147">
        <f>IF(M2S_Eligibility_List!C130=DataPaths_Code,1,0)</f>
        <v>0</v>
      </c>
      <c r="D380" s="147">
        <f>IF(M2S_Eligibility_List!D130=DataPaths_Code,1,0)+C380</f>
        <v>0</v>
      </c>
      <c r="E380" s="147">
        <f>IF(M2S_Eligibility_List!E130=DataPaths_Code,1,0)+D380</f>
        <v>0</v>
      </c>
      <c r="F380" s="147">
        <f>IF(M2S_Eligibility_List!F130=DataPaths_Code,1,0)+E380</f>
        <v>0</v>
      </c>
      <c r="G380" s="147">
        <f>IF(M2S_Eligibility_List!G130=DataPaths_Code,1,0)+F380</f>
        <v>0</v>
      </c>
      <c r="H380" s="147">
        <f>IF(M2S_Eligibility_List!H130=DataPaths_Code,1,0)+G380</f>
        <v>0</v>
      </c>
      <c r="I380" s="147">
        <f>IF(M2S_Eligibility_List!I130=DataPaths_Code,1,0)+H380</f>
        <v>0</v>
      </c>
      <c r="J380" s="147">
        <f>IF(M2S_Eligibility_List!J130=DataPaths_Code,1,0)+I380</f>
        <v>0</v>
      </c>
      <c r="K380" s="147">
        <f>IF(M2S_Eligibility_List!K130=DataPaths_Code,1,0)+J380</f>
        <v>0</v>
      </c>
      <c r="L380" s="147">
        <f>IF(M2S_Eligibility_List!L130=DataPaths_Code,1,0)+K380</f>
        <v>0</v>
      </c>
      <c r="M380" s="147">
        <f>IF(M2S_Eligibility_List!M130=DataPaths_Code,1,0)+L380</f>
        <v>0</v>
      </c>
      <c r="N380" s="147">
        <f>IF(M2S_Eligibility_List!N130=DataPaths_Code,1,0)+M380</f>
        <v>0</v>
      </c>
      <c r="O380" s="147">
        <f>IF(M2S_Eligibility_List!O130=DataPaths_Code,1,0)+N380</f>
        <v>0</v>
      </c>
      <c r="P380" s="147">
        <f>IF(M2S_Eligibility_List!P130=DataPaths_Code,1,0)+O380</f>
        <v>0</v>
      </c>
      <c r="Q380" s="147">
        <f>IF(M2S_Eligibility_List!Q130=DataPaths_Code,1,0)+P380</f>
        <v>0</v>
      </c>
      <c r="R380" s="147">
        <f>IF(M2S_Eligibility_List!R130=DataPaths_Code,1,0)+Q380</f>
        <v>0</v>
      </c>
      <c r="S380" s="147">
        <f>IF(M2S_Eligibility_List!S130=DataPaths_Code,1,0)+R380</f>
        <v>0</v>
      </c>
      <c r="T380" s="147">
        <f>IF(M2S_Eligibility_List!T130=DataPaths_Code,1,0)+S380</f>
        <v>0</v>
      </c>
      <c r="U380" s="147">
        <f>IF(M2S_Eligibility_List!U130=DataPaths_Code,1,0)+T380</f>
        <v>0</v>
      </c>
      <c r="V380" s="147">
        <f>IF(M2S_Eligibility_List!V130=DataPaths_Code,1,0)+U380</f>
        <v>0</v>
      </c>
      <c r="W380" s="147">
        <f>IF(M2S_Eligibility_List!W130=DataPaths_Code,1,0)+V380</f>
        <v>0</v>
      </c>
      <c r="X380" s="147">
        <f>IF(M2S_Eligibility_List!X130=DataPaths_Code,1,0)+W380</f>
        <v>0</v>
      </c>
      <c r="Y380" s="147">
        <f>IF(M2S_Eligibility_List!Y130=DataPaths_Code,1,0)+X380</f>
        <v>0</v>
      </c>
      <c r="Z380" s="147">
        <f>IF(M2S_Eligibility_List!Z130=DataPaths_Code,1,0)+Y380</f>
        <v>0</v>
      </c>
      <c r="AA380" s="147">
        <f>IF(M2S_Eligibility_List!AA130=DataPaths_Code,1,0)+Z380</f>
        <v>0</v>
      </c>
      <c r="AB380" s="147">
        <f>IF(M2S_Eligibility_List!AB130=DataPaths_Code,1,0)+AA380</f>
        <v>0</v>
      </c>
      <c r="AC380" s="147">
        <f>IF(M2S_Eligibility_List!AC130=DataPaths_Code,1,0)+AB380</f>
        <v>0</v>
      </c>
      <c r="AD380" s="147">
        <f>IF(M2S_Eligibility_List!AD130=DataPaths_Code,1,0)+AC380</f>
        <v>0</v>
      </c>
      <c r="AE380" s="147">
        <f>IF(M2S_Eligibility_List!AE130=DataPaths_Code,1,0)+AD380</f>
        <v>0</v>
      </c>
      <c r="AF380" s="147">
        <f>IF(M2S_Eligibility_List!AF130=DataPaths_Code,1,0)+AE380</f>
        <v>0</v>
      </c>
      <c r="AG380" s="147">
        <f>IF(M2S_Eligibility_List!AG130=DataPaths_Code,1,0)+AF380</f>
        <v>0</v>
      </c>
      <c r="AH380" s="147">
        <f>IF(M2S_Eligibility_List!AH130=DataPaths_Code,1,0)+AG380</f>
        <v>0</v>
      </c>
      <c r="AI380" s="147">
        <f>IF(M2S_Eligibility_List!AI130=DataPaths_Code,1,0)+AH380</f>
        <v>0</v>
      </c>
      <c r="AJ380" s="147">
        <f>IF(M2S_Eligibility_List!AJ130=DataPaths_Code,1,0)+AI380</f>
        <v>0</v>
      </c>
      <c r="AK380" s="147">
        <f>IF(M2S_Eligibility_List!AK130=DataPaths_Code,1,0)+AJ380</f>
        <v>0</v>
      </c>
      <c r="AL380" s="147">
        <f>IF(M2S_Eligibility_List!AL130=DataPaths_Code,1,0)+AK380</f>
        <v>0</v>
      </c>
      <c r="AM380" s="147">
        <f>IF(M2S_Eligibility_List!AM130=DataPaths_Code,1,0)+AL380</f>
        <v>0</v>
      </c>
      <c r="AN380" s="147">
        <f>IF(M2S_Eligibility_List!AN130=DataPaths_Code,1,0)+AM380</f>
        <v>0</v>
      </c>
      <c r="AO380" s="147">
        <f>IF(M2S_Eligibility_List!AO130=DataPaths_Code,1,0)+AN380</f>
        <v>0</v>
      </c>
      <c r="AP380" s="147">
        <f>IF(M2S_Eligibility_List!AP130=DataPaths_Code,1,0)+AO380</f>
        <v>0</v>
      </c>
      <c r="AQ380" s="147">
        <f>IF(M2S_Eligibility_List!AQ130=DataPaths_Code,1,0)+AP380</f>
        <v>0</v>
      </c>
      <c r="AR380" s="147">
        <f>IF(M2S_Eligibility_List!AR130=DataPaths_Code,1,0)+AQ380</f>
        <v>0</v>
      </c>
      <c r="AS380" s="147">
        <f>IF(M2S_Eligibility_List!AS130=DataPaths_Code,1,0)+AR380</f>
        <v>0</v>
      </c>
      <c r="AT380" s="147">
        <f>IF(M2S_Eligibility_List!AT130=DataPaths_Code,1,0)+AS380</f>
        <v>0</v>
      </c>
      <c r="AU380" s="147">
        <f>IF(M2S_Eligibility_List!AU130=DataPaths_Code,1,0)+AT380</f>
        <v>0</v>
      </c>
      <c r="AV380" s="147">
        <f>IF(M2S_Eligibility_List!AV130=DataPaths_Code,1,0)+AU380</f>
        <v>0</v>
      </c>
      <c r="AW380" s="147">
        <f>IF(M2S_Eligibility_List!AW130=DataPaths_Code,1,0)+AV380</f>
        <v>0</v>
      </c>
      <c r="AX380" s="147">
        <f>IF(M2S_Eligibility_List!AX130=DataPaths_Code,1,0)+AW380</f>
        <v>0</v>
      </c>
      <c r="AY380" s="147">
        <f>IF(M2S_Eligibility_List!AY130=DataPaths_Code,1,0)+AX380</f>
        <v>0</v>
      </c>
      <c r="AZ380" s="147">
        <f>IF(M2S_Eligibility_List!AZ130=DataPaths_Code,1,0)+AY380</f>
        <v>0</v>
      </c>
      <c r="BA380" s="147">
        <f>IF(M2S_Eligibility_List!BA130=DataPaths_Code,1,0)+AZ380</f>
        <v>0</v>
      </c>
      <c r="BB380" s="147">
        <f>IF(M2S_Eligibility_List!BB130=DataPaths_Code,1,0)+BA380</f>
        <v>0</v>
      </c>
      <c r="BC380" s="147">
        <f>IF(M2S_Eligibility_List!BC130=DataPaths_Code,1,0)+BB380</f>
        <v>0</v>
      </c>
      <c r="BD380" s="147">
        <f>IF(M2S_Eligibility_List!BD130=DataPaths_Code,1,0)+BC380</f>
        <v>0</v>
      </c>
      <c r="BE380" s="147">
        <f>IF(M2S_Eligibility_List!BE130=DataPaths_Code,1,0)+BD380</f>
        <v>0</v>
      </c>
      <c r="BF380" s="147">
        <f>IF(M2S_Eligibility_List!BF130=DataPaths_Code,1,0)+BE380</f>
        <v>0</v>
      </c>
      <c r="BG380" s="147">
        <f>IF(M2S_Eligibility_List!BG130=DataPaths_Code,1,0)+BF380</f>
        <v>0</v>
      </c>
      <c r="BH380" s="147">
        <f>IF(M2S_Eligibility_List!BH130=DataPaths_Code,1,0)+BG380</f>
        <v>1</v>
      </c>
      <c r="BI380" s="147">
        <f>IF(M2S_Eligibility_List!BI130=DataPaths_Code,1,0)+BH380</f>
        <v>1</v>
      </c>
      <c r="BJ380" s="147">
        <f>IF(M2S_Eligibility_List!BJ130=DataPaths_Code,1,0)+BI380</f>
        <v>1</v>
      </c>
      <c r="BK380" s="147">
        <f>IF(M2S_Eligibility_List!BK130=DataPaths_Code,1,0)+BJ380</f>
        <v>1</v>
      </c>
      <c r="BL380" s="147">
        <f>IF(M2S_Eligibility_List!BL130=DataPaths_Code,1,0)+BK380</f>
        <v>1</v>
      </c>
      <c r="BM380" s="147">
        <f>IF(M2S_Eligibility_List!BM130=DataPaths_Code,1,0)+BL380</f>
        <v>1</v>
      </c>
      <c r="BN380" s="147">
        <f>IF(M2S_Eligibility_List!BN130=DataPaths_Code,1,0)+BM380</f>
        <v>1</v>
      </c>
      <c r="BO380" s="147">
        <f>IF(M2S_Eligibility_List!BO130=DataPaths_Code,1,0)+BN380</f>
        <v>1</v>
      </c>
      <c r="BP380" s="147">
        <f>IF(M2S_Eligibility_List!BP130=DataPaths_Code,1,0)+BO380</f>
        <v>1</v>
      </c>
      <c r="BQ380" s="147">
        <f>IF(M2S_Eligibility_List!BQ130=DataPaths_Code,1,0)+BP380</f>
        <v>1</v>
      </c>
      <c r="BR380" s="147">
        <f>IF(M2S_Eligibility_List!BR130=DataPaths_Code,1,0)+BQ380</f>
        <v>1</v>
      </c>
      <c r="BS380" s="147">
        <f>IF(M2S_Eligibility_List!BS130=DataPaths_Code,1,0)+BR380</f>
        <v>1</v>
      </c>
      <c r="BT380" s="147">
        <f>IF(M2S_Eligibility_List!BT130=DataPaths_Code,1,0)+BS380</f>
        <v>1</v>
      </c>
      <c r="BU380" s="147">
        <f>IF(M2S_Eligibility_List!BU130=DataPaths_Code,1,0)+BT380</f>
        <v>1</v>
      </c>
      <c r="BV380" s="147">
        <f>IF(M2S_Eligibility_List!BV130=DataPaths_Code,1,0)+BU380</f>
        <v>1</v>
      </c>
      <c r="BW380" s="147">
        <f>IF(M2S_Eligibility_List!BW130=DataPaths_Code,1,0)+BV380</f>
        <v>1</v>
      </c>
    </row>
    <row r="381" spans="1:75" ht="20.100000000000001" customHeight="1">
      <c r="A381" s="145"/>
      <c r="B381" s="170" t="str">
        <f>IF(M2S_Eligibility_List!$B131&lt;&gt;"",RIGHT(M2S_Eligibility_List!$B131,LEN(M2S_Eligibility_List!$B131)-LEN(nmADwSP)),0)</f>
        <v>VRED Server</v>
      </c>
      <c r="C381" s="147">
        <f>IF(M2S_Eligibility_List!C131=DataPaths_Code,1,0)</f>
        <v>0</v>
      </c>
      <c r="D381" s="147">
        <f>IF(M2S_Eligibility_List!D131=DataPaths_Code,1,0)+C381</f>
        <v>0</v>
      </c>
      <c r="E381" s="147">
        <f>IF(M2S_Eligibility_List!E131=DataPaths_Code,1,0)+D381</f>
        <v>0</v>
      </c>
      <c r="F381" s="147">
        <f>IF(M2S_Eligibility_List!F131=DataPaths_Code,1,0)+E381</f>
        <v>0</v>
      </c>
      <c r="G381" s="147">
        <f>IF(M2S_Eligibility_List!G131=DataPaths_Code,1,0)+F381</f>
        <v>0</v>
      </c>
      <c r="H381" s="147">
        <f>IF(M2S_Eligibility_List!H131=DataPaths_Code,1,0)+G381</f>
        <v>0</v>
      </c>
      <c r="I381" s="147">
        <f>IF(M2S_Eligibility_List!I131=DataPaths_Code,1,0)+H381</f>
        <v>0</v>
      </c>
      <c r="J381" s="147">
        <f>IF(M2S_Eligibility_List!J131=DataPaths_Code,1,0)+I381</f>
        <v>0</v>
      </c>
      <c r="K381" s="147">
        <f>IF(M2S_Eligibility_List!K131=DataPaths_Code,1,0)+J381</f>
        <v>0</v>
      </c>
      <c r="L381" s="147">
        <f>IF(M2S_Eligibility_List!L131=DataPaths_Code,1,0)+K381</f>
        <v>0</v>
      </c>
      <c r="M381" s="147">
        <f>IF(M2S_Eligibility_List!M131=DataPaths_Code,1,0)+L381</f>
        <v>0</v>
      </c>
      <c r="N381" s="147">
        <f>IF(M2S_Eligibility_List!N131=DataPaths_Code,1,0)+M381</f>
        <v>0</v>
      </c>
      <c r="O381" s="147">
        <f>IF(M2S_Eligibility_List!O131=DataPaths_Code,1,0)+N381</f>
        <v>0</v>
      </c>
      <c r="P381" s="147">
        <f>IF(M2S_Eligibility_List!P131=DataPaths_Code,1,0)+O381</f>
        <v>0</v>
      </c>
      <c r="Q381" s="147">
        <f>IF(M2S_Eligibility_List!Q131=DataPaths_Code,1,0)+P381</f>
        <v>0</v>
      </c>
      <c r="R381" s="147">
        <f>IF(M2S_Eligibility_List!R131=DataPaths_Code,1,0)+Q381</f>
        <v>0</v>
      </c>
      <c r="S381" s="147">
        <f>IF(M2S_Eligibility_List!S131=DataPaths_Code,1,0)+R381</f>
        <v>0</v>
      </c>
      <c r="T381" s="147">
        <f>IF(M2S_Eligibility_List!T131=DataPaths_Code,1,0)+S381</f>
        <v>0</v>
      </c>
      <c r="U381" s="147">
        <f>IF(M2S_Eligibility_List!U131=DataPaths_Code,1,0)+T381</f>
        <v>0</v>
      </c>
      <c r="V381" s="147">
        <f>IF(M2S_Eligibility_List!V131=DataPaths_Code,1,0)+U381</f>
        <v>0</v>
      </c>
      <c r="W381" s="147">
        <f>IF(M2S_Eligibility_List!W131=DataPaths_Code,1,0)+V381</f>
        <v>0</v>
      </c>
      <c r="X381" s="147">
        <f>IF(M2S_Eligibility_List!X131=DataPaths_Code,1,0)+W381</f>
        <v>0</v>
      </c>
      <c r="Y381" s="147">
        <f>IF(M2S_Eligibility_List!Y131=DataPaths_Code,1,0)+X381</f>
        <v>0</v>
      </c>
      <c r="Z381" s="147">
        <f>IF(M2S_Eligibility_List!Z131=DataPaths_Code,1,0)+Y381</f>
        <v>0</v>
      </c>
      <c r="AA381" s="147">
        <f>IF(M2S_Eligibility_List!AA131=DataPaths_Code,1,0)+Z381</f>
        <v>0</v>
      </c>
      <c r="AB381" s="147">
        <f>IF(M2S_Eligibility_List!AB131=DataPaths_Code,1,0)+AA381</f>
        <v>0</v>
      </c>
      <c r="AC381" s="147">
        <f>IF(M2S_Eligibility_List!AC131=DataPaths_Code,1,0)+AB381</f>
        <v>0</v>
      </c>
      <c r="AD381" s="147">
        <f>IF(M2S_Eligibility_List!AD131=DataPaths_Code,1,0)+AC381</f>
        <v>0</v>
      </c>
      <c r="AE381" s="147">
        <f>IF(M2S_Eligibility_List!AE131=DataPaths_Code,1,0)+AD381</f>
        <v>0</v>
      </c>
      <c r="AF381" s="147">
        <f>IF(M2S_Eligibility_List!AF131=DataPaths_Code,1,0)+AE381</f>
        <v>0</v>
      </c>
      <c r="AG381" s="147">
        <f>IF(M2S_Eligibility_List!AG131=DataPaths_Code,1,0)+AF381</f>
        <v>0</v>
      </c>
      <c r="AH381" s="147">
        <f>IF(M2S_Eligibility_List!AH131=DataPaths_Code,1,0)+AG381</f>
        <v>0</v>
      </c>
      <c r="AI381" s="147">
        <f>IF(M2S_Eligibility_List!AI131=DataPaths_Code,1,0)+AH381</f>
        <v>0</v>
      </c>
      <c r="AJ381" s="147">
        <f>IF(M2S_Eligibility_List!AJ131=DataPaths_Code,1,0)+AI381</f>
        <v>0</v>
      </c>
      <c r="AK381" s="147">
        <f>IF(M2S_Eligibility_List!AK131=DataPaths_Code,1,0)+AJ381</f>
        <v>0</v>
      </c>
      <c r="AL381" s="147">
        <f>IF(M2S_Eligibility_List!AL131=DataPaths_Code,1,0)+AK381</f>
        <v>0</v>
      </c>
      <c r="AM381" s="147">
        <f>IF(M2S_Eligibility_List!AM131=DataPaths_Code,1,0)+AL381</f>
        <v>0</v>
      </c>
      <c r="AN381" s="147">
        <f>IF(M2S_Eligibility_List!AN131=DataPaths_Code,1,0)+AM381</f>
        <v>0</v>
      </c>
      <c r="AO381" s="147">
        <f>IF(M2S_Eligibility_List!AO131=DataPaths_Code,1,0)+AN381</f>
        <v>0</v>
      </c>
      <c r="AP381" s="147">
        <f>IF(M2S_Eligibility_List!AP131=DataPaths_Code,1,0)+AO381</f>
        <v>0</v>
      </c>
      <c r="AQ381" s="147">
        <f>IF(M2S_Eligibility_List!AQ131=DataPaths_Code,1,0)+AP381</f>
        <v>0</v>
      </c>
      <c r="AR381" s="147">
        <f>IF(M2S_Eligibility_List!AR131=DataPaths_Code,1,0)+AQ381</f>
        <v>0</v>
      </c>
      <c r="AS381" s="147">
        <f>IF(M2S_Eligibility_List!AS131=DataPaths_Code,1,0)+AR381</f>
        <v>0</v>
      </c>
      <c r="AT381" s="147">
        <f>IF(M2S_Eligibility_List!AT131=DataPaths_Code,1,0)+AS381</f>
        <v>0</v>
      </c>
      <c r="AU381" s="147">
        <f>IF(M2S_Eligibility_List!AU131=DataPaths_Code,1,0)+AT381</f>
        <v>0</v>
      </c>
      <c r="AV381" s="147">
        <f>IF(M2S_Eligibility_List!AV131=DataPaths_Code,1,0)+AU381</f>
        <v>0</v>
      </c>
      <c r="AW381" s="147">
        <f>IF(M2S_Eligibility_List!AW131=DataPaths_Code,1,0)+AV381</f>
        <v>0</v>
      </c>
      <c r="AX381" s="147">
        <f>IF(M2S_Eligibility_List!AX131=DataPaths_Code,1,0)+AW381</f>
        <v>0</v>
      </c>
      <c r="AY381" s="147">
        <f>IF(M2S_Eligibility_List!AY131=DataPaths_Code,1,0)+AX381</f>
        <v>0</v>
      </c>
      <c r="AZ381" s="147">
        <f>IF(M2S_Eligibility_List!AZ131=DataPaths_Code,1,0)+AY381</f>
        <v>0</v>
      </c>
      <c r="BA381" s="147">
        <f>IF(M2S_Eligibility_List!BA131=DataPaths_Code,1,0)+AZ381</f>
        <v>0</v>
      </c>
      <c r="BB381" s="147">
        <f>IF(M2S_Eligibility_List!BB131=DataPaths_Code,1,0)+BA381</f>
        <v>0</v>
      </c>
      <c r="BC381" s="147">
        <f>IF(M2S_Eligibility_List!BC131=DataPaths_Code,1,0)+BB381</f>
        <v>0</v>
      </c>
      <c r="BD381" s="147">
        <f>IF(M2S_Eligibility_List!BD131=DataPaths_Code,1,0)+BC381</f>
        <v>0</v>
      </c>
      <c r="BE381" s="147">
        <f>IF(M2S_Eligibility_List!BE131=DataPaths_Code,1,0)+BD381</f>
        <v>0</v>
      </c>
      <c r="BF381" s="147">
        <f>IF(M2S_Eligibility_List!BF131=DataPaths_Code,1,0)+BE381</f>
        <v>0</v>
      </c>
      <c r="BG381" s="147">
        <f>IF(M2S_Eligibility_List!BG131=DataPaths_Code,1,0)+BF381</f>
        <v>0</v>
      </c>
      <c r="BH381" s="147">
        <f>IF(M2S_Eligibility_List!BH131=DataPaths_Code,1,0)+BG381</f>
        <v>0</v>
      </c>
      <c r="BI381" s="147">
        <f>IF(M2S_Eligibility_List!BI131=DataPaths_Code,1,0)+BH381</f>
        <v>1</v>
      </c>
      <c r="BJ381" s="147">
        <f>IF(M2S_Eligibility_List!BJ131=DataPaths_Code,1,0)+BI381</f>
        <v>1</v>
      </c>
      <c r="BK381" s="147">
        <f>IF(M2S_Eligibility_List!BK131=DataPaths_Code,1,0)+BJ381</f>
        <v>1</v>
      </c>
      <c r="BL381" s="147">
        <f>IF(M2S_Eligibility_List!BL131=DataPaths_Code,1,0)+BK381</f>
        <v>1</v>
      </c>
      <c r="BM381" s="147">
        <f>IF(M2S_Eligibility_List!BM131=DataPaths_Code,1,0)+BL381</f>
        <v>1</v>
      </c>
      <c r="BN381" s="147">
        <f>IF(M2S_Eligibility_List!BN131=DataPaths_Code,1,0)+BM381</f>
        <v>1</v>
      </c>
      <c r="BO381" s="147">
        <f>IF(M2S_Eligibility_List!BO131=DataPaths_Code,1,0)+BN381</f>
        <v>1</v>
      </c>
      <c r="BP381" s="147">
        <f>IF(M2S_Eligibility_List!BP131=DataPaths_Code,1,0)+BO381</f>
        <v>1</v>
      </c>
      <c r="BQ381" s="147">
        <f>IF(M2S_Eligibility_List!BQ131=DataPaths_Code,1,0)+BP381</f>
        <v>1</v>
      </c>
      <c r="BR381" s="147">
        <f>IF(M2S_Eligibility_List!BR131=DataPaths_Code,1,0)+BQ381</f>
        <v>1</v>
      </c>
      <c r="BS381" s="147">
        <f>IF(M2S_Eligibility_List!BS131=DataPaths_Code,1,0)+BR381</f>
        <v>1</v>
      </c>
      <c r="BT381" s="147">
        <f>IF(M2S_Eligibility_List!BT131=DataPaths_Code,1,0)+BS381</f>
        <v>1</v>
      </c>
      <c r="BU381" s="147">
        <f>IF(M2S_Eligibility_List!BU131=DataPaths_Code,1,0)+BT381</f>
        <v>1</v>
      </c>
      <c r="BV381" s="147">
        <f>IF(M2S_Eligibility_List!BV131=DataPaths_Code,1,0)+BU381</f>
        <v>1</v>
      </c>
      <c r="BW381" s="147">
        <f>IF(M2S_Eligibility_List!BW131=DataPaths_Code,1,0)+BV381</f>
        <v>1</v>
      </c>
    </row>
  </sheetData>
  <pageMargins left="0.7" right="0.7" top="0.75" bottom="0.75" header="0.3" footer="0.3"/>
  <pageSetup orientation="portrait" horizontalDpi="4294967292"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K119"/>
  <sheetViews>
    <sheetView zoomScale="70" zoomScaleNormal="70" workbookViewId="0">
      <selection activeCell="N19" sqref="N19"/>
    </sheetView>
  </sheetViews>
  <sheetFormatPr defaultColWidth="8.796875" defaultRowHeight="14.25" customHeight="1"/>
  <cols>
    <col min="1" max="1" width="6.19921875" bestFit="1" customWidth="1"/>
    <col min="2" max="2" width="32.09765625" customWidth="1"/>
    <col min="3" max="11" width="15.69921875" customWidth="1"/>
    <col min="12" max="13" width="8.796875" customWidth="1"/>
  </cols>
  <sheetData>
    <row r="1" spans="1:11">
      <c r="A1" s="173"/>
      <c r="B1" s="181"/>
      <c r="C1" s="173"/>
      <c r="D1" s="463" t="s">
        <v>406</v>
      </c>
      <c r="E1" s="463"/>
      <c r="F1" s="464"/>
      <c r="G1" s="465" t="s">
        <v>405</v>
      </c>
      <c r="H1" s="463"/>
      <c r="I1" s="464"/>
      <c r="J1" s="465" t="s">
        <v>404</v>
      </c>
      <c r="K1" s="464"/>
    </row>
    <row r="2" spans="1:11">
      <c r="A2" s="182"/>
      <c r="B2" s="183" t="s">
        <v>408</v>
      </c>
      <c r="C2" s="177" t="s">
        <v>407</v>
      </c>
      <c r="D2" s="175" t="s">
        <v>402</v>
      </c>
      <c r="E2" s="175" t="s">
        <v>401</v>
      </c>
      <c r="F2" s="176" t="s">
        <v>400</v>
      </c>
      <c r="G2" s="180" t="s">
        <v>399</v>
      </c>
      <c r="H2" s="175" t="s">
        <v>398</v>
      </c>
      <c r="I2" s="176" t="s">
        <v>397</v>
      </c>
      <c r="J2" s="178" t="s">
        <v>396</v>
      </c>
      <c r="K2" s="179" t="s">
        <v>395</v>
      </c>
    </row>
    <row r="3" spans="1:11">
      <c r="A3" s="182"/>
      <c r="B3" s="423" t="str">
        <f>CHOOSE(calcCurrencyIndexNum,Data_USD_Tbl,Data_CAD_Tbl,Data_EUR_Tbl,Data_JPY_Tbl,Data_AUD_Tbl,Data_GBP_Tbl)</f>
        <v>Architecture Engineering Construction Collection</v>
      </c>
      <c r="C3" s="425">
        <f t="shared" ref="B3:K18" si="0">CHOOSE(calcCurrencyIndexNum,Data_USD_Tbl,Data_CAD_Tbl,Data_EUR_Tbl,Data_JPY_Tbl,Data_AUD_Tbl,Data_GBP_Tbl)</f>
        <v>0</v>
      </c>
      <c r="D3" s="426">
        <f t="shared" si="0"/>
        <v>1130</v>
      </c>
      <c r="E3" s="426">
        <f t="shared" si="0"/>
        <v>1185</v>
      </c>
      <c r="F3" s="426">
        <f t="shared" si="0"/>
        <v>1185</v>
      </c>
      <c r="G3" s="425">
        <f t="shared" si="0"/>
        <v>0</v>
      </c>
      <c r="H3" s="425">
        <f t="shared" si="0"/>
        <v>0</v>
      </c>
      <c r="I3" s="425">
        <f t="shared" si="0"/>
        <v>0</v>
      </c>
      <c r="J3" s="425">
        <f t="shared" si="0"/>
        <v>2755</v>
      </c>
      <c r="K3" s="425">
        <f t="shared" si="0"/>
        <v>3855</v>
      </c>
    </row>
    <row r="4" spans="1:11">
      <c r="A4" s="182"/>
      <c r="B4" s="423" t="str">
        <f t="shared" si="0"/>
        <v>3ds Max</v>
      </c>
      <c r="C4" s="425">
        <f t="shared" si="0"/>
        <v>625</v>
      </c>
      <c r="D4" s="427">
        <f t="shared" si="0"/>
        <v>690</v>
      </c>
      <c r="E4" s="427">
        <f t="shared" si="0"/>
        <v>725</v>
      </c>
      <c r="F4" s="427">
        <f t="shared" si="0"/>
        <v>725</v>
      </c>
      <c r="G4" s="425">
        <f t="shared" si="0"/>
        <v>720</v>
      </c>
      <c r="H4" s="425">
        <f t="shared" si="0"/>
        <v>865</v>
      </c>
      <c r="I4" s="425">
        <f t="shared" si="0"/>
        <v>865</v>
      </c>
      <c r="J4" s="425">
        <f t="shared" si="0"/>
        <v>1505</v>
      </c>
      <c r="K4" s="425">
        <f t="shared" si="0"/>
        <v>2635</v>
      </c>
    </row>
    <row r="5" spans="1:11">
      <c r="A5" s="182"/>
      <c r="B5" s="423" t="str">
        <f t="shared" si="0"/>
        <v>3ds Max Entertainment Creation Suite Standard</v>
      </c>
      <c r="C5" s="425">
        <f t="shared" si="0"/>
        <v>865</v>
      </c>
      <c r="D5" s="425" t="str">
        <f t="shared" si="0"/>
        <v>M2S to Collection</v>
      </c>
      <c r="E5" s="425" t="str">
        <f t="shared" si="0"/>
        <v>M2S to Collection</v>
      </c>
      <c r="F5" s="425" t="str">
        <f t="shared" si="0"/>
        <v>M2S to Collection</v>
      </c>
      <c r="G5" s="425">
        <f t="shared" si="0"/>
        <v>1000</v>
      </c>
      <c r="H5" s="425">
        <f t="shared" si="0"/>
        <v>1200</v>
      </c>
      <c r="I5" s="425">
        <f t="shared" si="0"/>
        <v>1200</v>
      </c>
      <c r="J5" s="425">
        <f t="shared" si="0"/>
        <v>0</v>
      </c>
      <c r="K5" s="425">
        <f t="shared" si="0"/>
        <v>0</v>
      </c>
    </row>
    <row r="6" spans="1:11">
      <c r="A6" s="182"/>
      <c r="B6" s="423" t="str">
        <f t="shared" si="0"/>
        <v>3ds Max with Softimage</v>
      </c>
      <c r="C6" s="425">
        <f t="shared" si="0"/>
        <v>655</v>
      </c>
      <c r="D6" s="425">
        <f t="shared" si="0"/>
        <v>0</v>
      </c>
      <c r="E6" s="425">
        <f t="shared" si="0"/>
        <v>0</v>
      </c>
      <c r="F6" s="425">
        <f t="shared" si="0"/>
        <v>0</v>
      </c>
      <c r="G6" s="425">
        <f t="shared" si="0"/>
        <v>720</v>
      </c>
      <c r="H6" s="425">
        <f t="shared" si="0"/>
        <v>865</v>
      </c>
      <c r="I6" s="425">
        <f t="shared" si="0"/>
        <v>865</v>
      </c>
      <c r="J6" s="425">
        <f t="shared" si="0"/>
        <v>1470</v>
      </c>
      <c r="K6" s="425">
        <f t="shared" si="0"/>
        <v>0</v>
      </c>
    </row>
    <row r="7" spans="1:11">
      <c r="A7" s="182"/>
      <c r="B7" s="423" t="str">
        <f t="shared" si="0"/>
        <v>Advance Steel</v>
      </c>
      <c r="C7" s="425">
        <f t="shared" si="0"/>
        <v>1575</v>
      </c>
      <c r="D7" s="425">
        <f t="shared" si="0"/>
        <v>1655</v>
      </c>
      <c r="E7" s="425">
        <f t="shared" si="0"/>
        <v>1740</v>
      </c>
      <c r="F7" s="425">
        <f t="shared" si="0"/>
        <v>1740</v>
      </c>
      <c r="G7" s="425">
        <f t="shared" si="0"/>
        <v>1735</v>
      </c>
      <c r="H7" s="425">
        <f t="shared" si="0"/>
        <v>2080</v>
      </c>
      <c r="I7" s="425">
        <f t="shared" si="0"/>
        <v>2080</v>
      </c>
      <c r="J7" s="425">
        <f t="shared" si="0"/>
        <v>1950</v>
      </c>
      <c r="K7" s="425">
        <f t="shared" si="0"/>
        <v>3415</v>
      </c>
    </row>
    <row r="8" spans="1:11">
      <c r="A8" s="182"/>
      <c r="B8" s="423" t="str">
        <f t="shared" si="0"/>
        <v>Alias AutoStudio</v>
      </c>
      <c r="C8" s="425">
        <f t="shared" si="0"/>
        <v>7110</v>
      </c>
      <c r="D8" s="427">
        <f t="shared" si="0"/>
        <v>7465</v>
      </c>
      <c r="E8" s="427">
        <f t="shared" si="0"/>
        <v>7840</v>
      </c>
      <c r="F8" s="427">
        <f t="shared" si="0"/>
        <v>7840</v>
      </c>
      <c r="G8" s="425">
        <f t="shared" si="0"/>
        <v>7820</v>
      </c>
      <c r="H8" s="425">
        <f t="shared" si="0"/>
        <v>9385</v>
      </c>
      <c r="I8" s="425">
        <f t="shared" si="0"/>
        <v>9385</v>
      </c>
      <c r="J8" s="425">
        <f t="shared" si="0"/>
        <v>14810</v>
      </c>
      <c r="K8" s="425">
        <f t="shared" si="0"/>
        <v>25920</v>
      </c>
    </row>
    <row r="9" spans="1:11">
      <c r="A9" s="182"/>
      <c r="B9" s="423" t="str">
        <f t="shared" si="0"/>
        <v>Alias Concept</v>
      </c>
      <c r="C9" s="425">
        <f t="shared" si="0"/>
        <v>1585</v>
      </c>
      <c r="D9" s="427">
        <f t="shared" si="0"/>
        <v>1665</v>
      </c>
      <c r="E9" s="427">
        <f t="shared" si="0"/>
        <v>1750</v>
      </c>
      <c r="F9" s="427">
        <f t="shared" si="0"/>
        <v>1750</v>
      </c>
      <c r="G9" s="425">
        <f t="shared" si="0"/>
        <v>1745</v>
      </c>
      <c r="H9" s="425">
        <f t="shared" si="0"/>
        <v>2095</v>
      </c>
      <c r="I9" s="425">
        <f t="shared" si="0"/>
        <v>2095</v>
      </c>
      <c r="J9" s="425">
        <f t="shared" si="0"/>
        <v>4130</v>
      </c>
      <c r="K9" s="425">
        <f t="shared" si="0"/>
        <v>7230</v>
      </c>
    </row>
    <row r="10" spans="1:11">
      <c r="A10" s="182"/>
      <c r="B10" s="423" t="str">
        <f t="shared" si="0"/>
        <v>Alias Design</v>
      </c>
      <c r="C10" s="425">
        <f t="shared" si="0"/>
        <v>975</v>
      </c>
      <c r="D10" s="425">
        <f t="shared" si="0"/>
        <v>1025</v>
      </c>
      <c r="E10" s="425">
        <f t="shared" si="0"/>
        <v>1075</v>
      </c>
      <c r="F10" s="425">
        <f t="shared" si="0"/>
        <v>1075</v>
      </c>
      <c r="G10" s="425">
        <f t="shared" si="0"/>
        <v>1075</v>
      </c>
      <c r="H10" s="425">
        <f t="shared" si="0"/>
        <v>1290</v>
      </c>
      <c r="I10" s="425">
        <f t="shared" si="0"/>
        <v>1290</v>
      </c>
      <c r="J10" s="425">
        <f t="shared" si="0"/>
        <v>2540</v>
      </c>
      <c r="K10" s="425">
        <f t="shared" si="0"/>
        <v>4445</v>
      </c>
    </row>
    <row r="11" spans="1:11">
      <c r="A11" s="182"/>
      <c r="B11" s="423" t="str">
        <f t="shared" si="0"/>
        <v>Alias SpeedForm</v>
      </c>
      <c r="C11" s="425">
        <f t="shared" si="0"/>
        <v>925</v>
      </c>
      <c r="D11" s="425">
        <f t="shared" si="0"/>
        <v>970</v>
      </c>
      <c r="E11" s="425">
        <f t="shared" si="0"/>
        <v>1020</v>
      </c>
      <c r="F11" s="425">
        <f t="shared" si="0"/>
        <v>1020</v>
      </c>
      <c r="G11" s="425">
        <f t="shared" si="0"/>
        <v>1020</v>
      </c>
      <c r="H11" s="425">
        <f t="shared" si="0"/>
        <v>1225</v>
      </c>
      <c r="I11" s="425">
        <f t="shared" si="0"/>
        <v>1225</v>
      </c>
      <c r="J11" s="425">
        <f t="shared" si="0"/>
        <v>2410</v>
      </c>
      <c r="K11" s="425">
        <f t="shared" si="0"/>
        <v>4220</v>
      </c>
    </row>
    <row r="12" spans="1:11">
      <c r="A12" s="182"/>
      <c r="B12" s="423" t="str">
        <f t="shared" si="0"/>
        <v>Alias Surface</v>
      </c>
      <c r="C12" s="425">
        <f t="shared" si="0"/>
        <v>3310</v>
      </c>
      <c r="D12" s="425">
        <f t="shared" si="0"/>
        <v>3475</v>
      </c>
      <c r="E12" s="425">
        <f t="shared" si="0"/>
        <v>3650</v>
      </c>
      <c r="F12" s="425">
        <f t="shared" si="0"/>
        <v>3650</v>
      </c>
      <c r="G12" s="425">
        <f t="shared" si="0"/>
        <v>3640</v>
      </c>
      <c r="H12" s="425">
        <f t="shared" si="0"/>
        <v>4370</v>
      </c>
      <c r="I12" s="425">
        <f t="shared" si="0"/>
        <v>4370</v>
      </c>
      <c r="J12" s="425">
        <f t="shared" si="0"/>
        <v>8610</v>
      </c>
      <c r="K12" s="425">
        <f t="shared" si="0"/>
        <v>15070</v>
      </c>
    </row>
    <row r="13" spans="1:11">
      <c r="A13" s="182"/>
      <c r="B13" s="423" t="str">
        <f t="shared" si="0"/>
        <v>AutoCAD</v>
      </c>
      <c r="C13" s="425">
        <f t="shared" si="0"/>
        <v>545</v>
      </c>
      <c r="D13" s="425" t="str">
        <f t="shared" si="0"/>
        <v>New Product Name</v>
      </c>
      <c r="E13" s="425" t="str">
        <f t="shared" si="0"/>
        <v>New Product Name</v>
      </c>
      <c r="F13" s="425" t="str">
        <f t="shared" si="0"/>
        <v>New Product Name</v>
      </c>
      <c r="G13" s="425">
        <f t="shared" si="0"/>
        <v>625</v>
      </c>
      <c r="H13" s="425">
        <f t="shared" si="0"/>
        <v>750</v>
      </c>
      <c r="I13" s="425">
        <f t="shared" si="0"/>
        <v>750</v>
      </c>
      <c r="J13" s="425" t="str">
        <f t="shared" si="0"/>
        <v>New Product Name</v>
      </c>
      <c r="K13" s="425" t="str">
        <f t="shared" si="0"/>
        <v>New Product Name</v>
      </c>
    </row>
    <row r="14" spans="1:11">
      <c r="A14" s="182"/>
      <c r="B14" s="423" t="str">
        <f t="shared" si="0"/>
        <v>AutoCAD - including specialized toolsets</v>
      </c>
      <c r="C14" s="425" t="str">
        <f t="shared" si="0"/>
        <v>Old Product Name</v>
      </c>
      <c r="D14" s="425">
        <f t="shared" si="0"/>
        <v>620</v>
      </c>
      <c r="E14" s="425">
        <f t="shared" si="0"/>
        <v>650</v>
      </c>
      <c r="F14" s="425">
        <f t="shared" si="0"/>
        <v>650</v>
      </c>
      <c r="G14" s="425" t="str">
        <f t="shared" si="0"/>
        <v>Old Product Name</v>
      </c>
      <c r="H14" s="425" t="str">
        <f t="shared" si="0"/>
        <v>Old Product Name</v>
      </c>
      <c r="I14" s="425" t="str">
        <f t="shared" si="0"/>
        <v>Old Product Name</v>
      </c>
      <c r="J14" s="425">
        <f t="shared" si="0"/>
        <v>1575</v>
      </c>
      <c r="K14" s="425">
        <f t="shared" si="0"/>
        <v>2755</v>
      </c>
    </row>
    <row r="15" spans="1:11">
      <c r="A15" s="182"/>
      <c r="B15" s="423" t="str">
        <f t="shared" si="0"/>
        <v>AutoCAD Architecture</v>
      </c>
      <c r="C15" s="425">
        <f t="shared" si="0"/>
        <v>725</v>
      </c>
      <c r="D15" s="425">
        <f t="shared" si="0"/>
        <v>800</v>
      </c>
      <c r="E15" s="425">
        <f t="shared" si="0"/>
        <v>840</v>
      </c>
      <c r="F15" s="425">
        <f t="shared" si="0"/>
        <v>840</v>
      </c>
      <c r="G15" s="425">
        <f t="shared" si="0"/>
        <v>835</v>
      </c>
      <c r="H15" s="425">
        <f t="shared" si="0"/>
        <v>1000</v>
      </c>
      <c r="I15" s="425">
        <f t="shared" si="0"/>
        <v>1000</v>
      </c>
      <c r="J15" s="425">
        <f t="shared" si="0"/>
        <v>1575</v>
      </c>
      <c r="K15" s="425">
        <f t="shared" si="0"/>
        <v>2755</v>
      </c>
    </row>
    <row r="16" spans="1:11">
      <c r="A16" s="182"/>
      <c r="B16" s="423" t="str">
        <f t="shared" si="0"/>
        <v>AutoCAD Civil 3D*</v>
      </c>
      <c r="C16" s="425">
        <f t="shared" si="0"/>
        <v>1025</v>
      </c>
      <c r="D16" s="425" t="str">
        <f t="shared" si="0"/>
        <v>New Product Name</v>
      </c>
      <c r="E16" s="425" t="str">
        <f t="shared" si="0"/>
        <v>New Product Name</v>
      </c>
      <c r="F16" s="425" t="str">
        <f t="shared" si="0"/>
        <v>New Product Name</v>
      </c>
      <c r="G16" s="425">
        <f t="shared" si="0"/>
        <v>1185</v>
      </c>
      <c r="H16" s="425">
        <f t="shared" si="0"/>
        <v>1420</v>
      </c>
      <c r="I16" s="425">
        <f t="shared" si="0"/>
        <v>1420</v>
      </c>
      <c r="J16" s="425" t="str">
        <f t="shared" si="0"/>
        <v>New Product Name</v>
      </c>
      <c r="K16" s="425" t="str">
        <f t="shared" si="0"/>
        <v>New Product Name</v>
      </c>
    </row>
    <row r="17" spans="1:11">
      <c r="A17" s="182"/>
      <c r="B17" s="423" t="str">
        <f t="shared" si="0"/>
        <v>Civil 3D*</v>
      </c>
      <c r="C17" s="425" t="str">
        <f t="shared" si="0"/>
        <v>Old Product Name</v>
      </c>
      <c r="D17" s="425">
        <f t="shared" si="0"/>
        <v>1120</v>
      </c>
      <c r="E17" s="425">
        <f t="shared" si="0"/>
        <v>1175</v>
      </c>
      <c r="F17" s="425">
        <f t="shared" si="0"/>
        <v>1175</v>
      </c>
      <c r="G17" s="425" t="str">
        <f t="shared" si="0"/>
        <v>Old Product Name</v>
      </c>
      <c r="H17" s="425" t="str">
        <f t="shared" si="0"/>
        <v>Old Product Name</v>
      </c>
      <c r="I17" s="425" t="str">
        <f t="shared" si="0"/>
        <v>Old Product Name</v>
      </c>
      <c r="J17" s="425">
        <f t="shared" si="0"/>
        <v>2155</v>
      </c>
      <c r="K17" s="425">
        <f t="shared" si="0"/>
        <v>3230</v>
      </c>
    </row>
    <row r="18" spans="1:11">
      <c r="A18" s="182"/>
      <c r="B18" s="423" t="str">
        <f t="shared" si="0"/>
        <v>AutoCAD Design Suite Premium</v>
      </c>
      <c r="C18" s="425">
        <f t="shared" si="0"/>
        <v>785</v>
      </c>
      <c r="D18" s="427" t="str">
        <f t="shared" si="0"/>
        <v>M2S to Collection</v>
      </c>
      <c r="E18" s="427" t="str">
        <f t="shared" si="0"/>
        <v>M2S to Collection</v>
      </c>
      <c r="F18" s="427" t="str">
        <f t="shared" si="0"/>
        <v>M2S to Collection</v>
      </c>
      <c r="G18" s="425">
        <f t="shared" si="0"/>
        <v>910</v>
      </c>
      <c r="H18" s="425">
        <f t="shared" ref="B18:K44" si="1">CHOOSE(calcCurrencyIndexNum,Data_USD_Tbl,Data_CAD_Tbl,Data_EUR_Tbl,Data_JPY_Tbl,Data_AUD_Tbl,Data_GBP_Tbl)</f>
        <v>1090</v>
      </c>
      <c r="I18" s="425">
        <f t="shared" si="1"/>
        <v>1090</v>
      </c>
      <c r="J18" s="425">
        <f t="shared" si="1"/>
        <v>0</v>
      </c>
      <c r="K18" s="425">
        <f t="shared" si="1"/>
        <v>0</v>
      </c>
    </row>
    <row r="19" spans="1:11">
      <c r="A19" s="182"/>
      <c r="B19" s="423" t="str">
        <f t="shared" si="1"/>
        <v>AutoCAD Design Suite Standard</v>
      </c>
      <c r="C19" s="425">
        <f t="shared" si="1"/>
        <v>605</v>
      </c>
      <c r="D19" s="427" t="str">
        <f t="shared" si="1"/>
        <v>M2S to Collection</v>
      </c>
      <c r="E19" s="427" t="str">
        <f t="shared" si="1"/>
        <v>M2S to Collection</v>
      </c>
      <c r="F19" s="427" t="str">
        <f t="shared" si="1"/>
        <v>M2S to Collection</v>
      </c>
      <c r="G19" s="425">
        <f t="shared" si="1"/>
        <v>700</v>
      </c>
      <c r="H19" s="425">
        <f t="shared" si="1"/>
        <v>840</v>
      </c>
      <c r="I19" s="425">
        <f t="shared" si="1"/>
        <v>840</v>
      </c>
      <c r="J19" s="425">
        <f t="shared" si="1"/>
        <v>0</v>
      </c>
      <c r="K19" s="425">
        <f t="shared" si="1"/>
        <v>0</v>
      </c>
    </row>
    <row r="20" spans="1:11">
      <c r="A20" s="182"/>
      <c r="B20" s="423" t="str">
        <f t="shared" si="1"/>
        <v>AutoCAD Design Suite Ultimate</v>
      </c>
      <c r="C20" s="425">
        <f t="shared" si="1"/>
        <v>1055</v>
      </c>
      <c r="D20" s="427">
        <f t="shared" si="1"/>
        <v>0</v>
      </c>
      <c r="E20" s="427">
        <f t="shared" si="1"/>
        <v>0</v>
      </c>
      <c r="F20" s="427">
        <f t="shared" si="1"/>
        <v>0</v>
      </c>
      <c r="G20" s="425">
        <f t="shared" si="1"/>
        <v>1160</v>
      </c>
      <c r="H20" s="425">
        <f t="shared" si="1"/>
        <v>1390</v>
      </c>
      <c r="I20" s="425">
        <f t="shared" si="1"/>
        <v>1390</v>
      </c>
      <c r="J20" s="425">
        <f t="shared" si="1"/>
        <v>0</v>
      </c>
      <c r="K20" s="425">
        <f t="shared" si="1"/>
        <v>0</v>
      </c>
    </row>
    <row r="21" spans="1:11">
      <c r="A21" s="182"/>
      <c r="B21" s="423" t="str">
        <f t="shared" si="1"/>
        <v>AutoCAD Electrical*</v>
      </c>
      <c r="C21" s="425">
        <f t="shared" si="1"/>
        <v>755</v>
      </c>
      <c r="D21" s="427">
        <f t="shared" si="1"/>
        <v>795</v>
      </c>
      <c r="E21" s="427">
        <f t="shared" si="1"/>
        <v>835</v>
      </c>
      <c r="F21" s="427">
        <f t="shared" si="1"/>
        <v>835</v>
      </c>
      <c r="G21" s="425">
        <f t="shared" si="1"/>
        <v>830</v>
      </c>
      <c r="H21" s="425">
        <f t="shared" si="1"/>
        <v>995</v>
      </c>
      <c r="I21" s="425">
        <f t="shared" si="1"/>
        <v>995</v>
      </c>
      <c r="J21" s="425">
        <f t="shared" si="1"/>
        <v>1575</v>
      </c>
      <c r="K21" s="425">
        <f t="shared" si="1"/>
        <v>2755</v>
      </c>
    </row>
    <row r="22" spans="1:11">
      <c r="A22" s="182"/>
      <c r="B22" s="423" t="str">
        <f t="shared" si="1"/>
        <v>AutoCAD Inventor LT Suite</v>
      </c>
      <c r="C22" s="425">
        <f t="shared" si="1"/>
        <v>225</v>
      </c>
      <c r="D22" s="427">
        <f t="shared" si="1"/>
        <v>245</v>
      </c>
      <c r="E22" s="427">
        <f t="shared" si="1"/>
        <v>255</v>
      </c>
      <c r="F22" s="427">
        <f t="shared" si="1"/>
        <v>255</v>
      </c>
      <c r="G22" s="425">
        <f t="shared" si="1"/>
        <v>260</v>
      </c>
      <c r="H22" s="425">
        <f t="shared" si="1"/>
        <v>310</v>
      </c>
      <c r="I22" s="425">
        <f t="shared" si="1"/>
        <v>310</v>
      </c>
      <c r="J22" s="425">
        <f t="shared" si="1"/>
        <v>460</v>
      </c>
      <c r="K22" s="425">
        <f t="shared" si="1"/>
        <v>0</v>
      </c>
    </row>
    <row r="23" spans="1:11">
      <c r="A23" s="182"/>
      <c r="B23" s="423" t="str">
        <f t="shared" si="1"/>
        <v>AutoCAD LT</v>
      </c>
      <c r="C23" s="425">
        <f t="shared" si="1"/>
        <v>180</v>
      </c>
      <c r="D23" s="427">
        <f t="shared" si="1"/>
        <v>200</v>
      </c>
      <c r="E23" s="427">
        <f t="shared" si="1"/>
        <v>210</v>
      </c>
      <c r="F23" s="427">
        <f t="shared" si="1"/>
        <v>210</v>
      </c>
      <c r="G23" s="425">
        <f t="shared" si="1"/>
        <v>210</v>
      </c>
      <c r="H23" s="425">
        <f t="shared" si="1"/>
        <v>250</v>
      </c>
      <c r="I23" s="425">
        <f t="shared" si="1"/>
        <v>250</v>
      </c>
      <c r="J23" s="425">
        <f t="shared" si="1"/>
        <v>390</v>
      </c>
      <c r="K23" s="425">
        <f t="shared" si="1"/>
        <v>685</v>
      </c>
    </row>
    <row r="24" spans="1:11">
      <c r="A24" s="182"/>
      <c r="B24" s="423" t="str">
        <f t="shared" si="1"/>
        <v>AutoCAD LT with CALS Tools</v>
      </c>
      <c r="C24" s="425">
        <f t="shared" si="1"/>
        <v>0</v>
      </c>
      <c r="D24" s="427">
        <f t="shared" si="1"/>
        <v>0</v>
      </c>
      <c r="E24" s="427">
        <f t="shared" si="1"/>
        <v>0</v>
      </c>
      <c r="F24" s="427">
        <f t="shared" si="1"/>
        <v>0</v>
      </c>
      <c r="G24" s="425">
        <f t="shared" si="1"/>
        <v>0</v>
      </c>
      <c r="H24" s="425">
        <f t="shared" si="1"/>
        <v>0</v>
      </c>
      <c r="I24" s="425">
        <f t="shared" si="1"/>
        <v>0</v>
      </c>
      <c r="J24" s="425">
        <f t="shared" si="1"/>
        <v>0</v>
      </c>
      <c r="K24" s="425">
        <f t="shared" si="1"/>
        <v>0</v>
      </c>
    </row>
    <row r="25" spans="1:11">
      <c r="A25" s="182"/>
      <c r="B25" s="423" t="str">
        <f t="shared" si="1"/>
        <v>AutoCAD Map 3D</v>
      </c>
      <c r="C25" s="425">
        <f t="shared" si="1"/>
        <v>785</v>
      </c>
      <c r="D25" s="427">
        <f t="shared" si="1"/>
        <v>865</v>
      </c>
      <c r="E25" s="427">
        <f t="shared" si="1"/>
        <v>910</v>
      </c>
      <c r="F25" s="427">
        <f t="shared" si="1"/>
        <v>910</v>
      </c>
      <c r="G25" s="425">
        <f t="shared" si="1"/>
        <v>910</v>
      </c>
      <c r="H25" s="425">
        <f t="shared" si="1"/>
        <v>1090</v>
      </c>
      <c r="I25" s="425">
        <f t="shared" si="1"/>
        <v>1090</v>
      </c>
      <c r="J25" s="425">
        <f t="shared" si="1"/>
        <v>1575</v>
      </c>
      <c r="K25" s="425">
        <f t="shared" si="1"/>
        <v>2755</v>
      </c>
    </row>
    <row r="26" spans="1:11">
      <c r="A26" s="182"/>
      <c r="B26" s="423" t="str">
        <f t="shared" si="1"/>
        <v>AutoCAD Mechanical</v>
      </c>
      <c r="C26" s="425">
        <f t="shared" si="1"/>
        <v>600</v>
      </c>
      <c r="D26" s="427">
        <f t="shared" si="1"/>
        <v>660</v>
      </c>
      <c r="E26" s="427">
        <f t="shared" si="1"/>
        <v>695</v>
      </c>
      <c r="F26" s="427">
        <f t="shared" si="1"/>
        <v>695</v>
      </c>
      <c r="G26" s="425">
        <f t="shared" si="1"/>
        <v>695</v>
      </c>
      <c r="H26" s="425">
        <f t="shared" si="1"/>
        <v>835</v>
      </c>
      <c r="I26" s="425">
        <f t="shared" si="1"/>
        <v>835</v>
      </c>
      <c r="J26" s="425">
        <f t="shared" si="1"/>
        <v>1575</v>
      </c>
      <c r="K26" s="425">
        <f t="shared" si="1"/>
        <v>2755</v>
      </c>
    </row>
    <row r="27" spans="1:11">
      <c r="A27" s="182"/>
      <c r="B27" s="423" t="str">
        <f t="shared" si="1"/>
        <v>AutoCAD MEP</v>
      </c>
      <c r="C27" s="425">
        <f t="shared" si="1"/>
        <v>760</v>
      </c>
      <c r="D27" s="427">
        <f t="shared" si="1"/>
        <v>840</v>
      </c>
      <c r="E27" s="427">
        <f t="shared" si="1"/>
        <v>880</v>
      </c>
      <c r="F27" s="427">
        <f t="shared" si="1"/>
        <v>880</v>
      </c>
      <c r="G27" s="425">
        <f t="shared" si="1"/>
        <v>880</v>
      </c>
      <c r="H27" s="425">
        <f t="shared" si="1"/>
        <v>1055</v>
      </c>
      <c r="I27" s="425">
        <f t="shared" si="1"/>
        <v>1055</v>
      </c>
      <c r="J27" s="425">
        <f t="shared" si="1"/>
        <v>1575</v>
      </c>
      <c r="K27" s="425">
        <f t="shared" si="1"/>
        <v>2755</v>
      </c>
    </row>
    <row r="28" spans="1:11">
      <c r="A28" s="182"/>
      <c r="B28" s="423" t="str">
        <f t="shared" si="1"/>
        <v>AutoCAD P&amp;ID</v>
      </c>
      <c r="C28" s="425">
        <f t="shared" si="1"/>
        <v>800</v>
      </c>
      <c r="D28" s="425">
        <f t="shared" si="1"/>
        <v>1120</v>
      </c>
      <c r="E28" s="425">
        <f t="shared" si="1"/>
        <v>1175</v>
      </c>
      <c r="F28" s="425">
        <f t="shared" si="1"/>
        <v>1175</v>
      </c>
      <c r="G28" s="425">
        <f t="shared" si="1"/>
        <v>925</v>
      </c>
      <c r="H28" s="425">
        <f t="shared" si="1"/>
        <v>1110</v>
      </c>
      <c r="I28" s="425">
        <f t="shared" si="1"/>
        <v>1110</v>
      </c>
      <c r="J28" s="425">
        <f t="shared" si="1"/>
        <v>0</v>
      </c>
      <c r="K28" s="425">
        <f t="shared" si="1"/>
        <v>0</v>
      </c>
    </row>
    <row r="29" spans="1:11">
      <c r="A29" s="182"/>
      <c r="B29" s="423" t="str">
        <f t="shared" si="1"/>
        <v>AutoCAD Plant 3D*</v>
      </c>
      <c r="C29" s="425">
        <f t="shared" si="1"/>
        <v>1415</v>
      </c>
      <c r="D29" s="425">
        <f t="shared" si="1"/>
        <v>1120</v>
      </c>
      <c r="E29" s="425">
        <f t="shared" si="1"/>
        <v>1175</v>
      </c>
      <c r="F29" s="425">
        <f t="shared" si="1"/>
        <v>1175</v>
      </c>
      <c r="G29" s="425">
        <f t="shared" si="1"/>
        <v>1635</v>
      </c>
      <c r="H29" s="425">
        <f t="shared" si="1"/>
        <v>1960</v>
      </c>
      <c r="I29" s="425">
        <f t="shared" si="1"/>
        <v>1960</v>
      </c>
      <c r="J29" s="425">
        <f t="shared" si="1"/>
        <v>1575</v>
      </c>
      <c r="K29" s="425">
        <f t="shared" si="1"/>
        <v>2755</v>
      </c>
    </row>
    <row r="30" spans="1:11">
      <c r="A30" s="182"/>
      <c r="B30" s="423" t="str">
        <f t="shared" si="1"/>
        <v>AutoCAD Raster Design</v>
      </c>
      <c r="C30" s="425">
        <f t="shared" si="1"/>
        <v>315</v>
      </c>
      <c r="D30" s="425">
        <f t="shared" si="1"/>
        <v>345</v>
      </c>
      <c r="E30" s="425">
        <f t="shared" si="1"/>
        <v>360</v>
      </c>
      <c r="F30" s="425">
        <f t="shared" si="1"/>
        <v>360</v>
      </c>
      <c r="G30" s="425">
        <f t="shared" si="1"/>
        <v>365</v>
      </c>
      <c r="H30" s="425">
        <f t="shared" si="1"/>
        <v>440</v>
      </c>
      <c r="I30" s="425">
        <f t="shared" si="1"/>
        <v>440</v>
      </c>
      <c r="J30" s="425">
        <f t="shared" si="1"/>
        <v>840</v>
      </c>
      <c r="K30" s="425">
        <f t="shared" si="1"/>
        <v>1470</v>
      </c>
    </row>
    <row r="31" spans="1:11">
      <c r="A31" s="182"/>
      <c r="B31" s="423" t="str">
        <f t="shared" si="1"/>
        <v>AutoCAD Revit LT Suite</v>
      </c>
      <c r="C31" s="425">
        <f t="shared" si="1"/>
        <v>235</v>
      </c>
      <c r="D31" s="425">
        <f t="shared" si="1"/>
        <v>255</v>
      </c>
      <c r="E31" s="425">
        <f t="shared" si="1"/>
        <v>270</v>
      </c>
      <c r="F31" s="425">
        <f t="shared" si="1"/>
        <v>270</v>
      </c>
      <c r="G31" s="425">
        <f t="shared" si="1"/>
        <v>270</v>
      </c>
      <c r="H31" s="425">
        <f t="shared" si="1"/>
        <v>325</v>
      </c>
      <c r="I31" s="425">
        <f t="shared" si="1"/>
        <v>325</v>
      </c>
      <c r="J31" s="425">
        <f t="shared" si="1"/>
        <v>515</v>
      </c>
      <c r="K31" s="425">
        <f t="shared" si="1"/>
        <v>0</v>
      </c>
    </row>
    <row r="32" spans="1:11">
      <c r="A32" s="182"/>
      <c r="B32" s="423" t="str">
        <f t="shared" si="1"/>
        <v>AutoCAD with Advance Steel</v>
      </c>
      <c r="C32" s="425">
        <f t="shared" si="1"/>
        <v>1890</v>
      </c>
      <c r="D32" s="425">
        <f t="shared" si="1"/>
        <v>1655</v>
      </c>
      <c r="E32" s="425">
        <f t="shared" si="1"/>
        <v>1740</v>
      </c>
      <c r="F32" s="425">
        <f t="shared" si="1"/>
        <v>1740</v>
      </c>
      <c r="G32" s="425">
        <f t="shared" si="1"/>
        <v>2080</v>
      </c>
      <c r="H32" s="425">
        <f t="shared" si="1"/>
        <v>2495</v>
      </c>
      <c r="I32" s="425">
        <f t="shared" si="1"/>
        <v>2495</v>
      </c>
      <c r="J32" s="425">
        <f t="shared" si="1"/>
        <v>1900</v>
      </c>
      <c r="K32" s="425">
        <f t="shared" si="1"/>
        <v>2850</v>
      </c>
    </row>
    <row r="33" spans="1:11">
      <c r="A33" s="182"/>
      <c r="B33" s="423" t="str">
        <f t="shared" si="1"/>
        <v>Building Design Suite Premium</v>
      </c>
      <c r="C33" s="425">
        <f t="shared" si="1"/>
        <v>1025</v>
      </c>
      <c r="D33" s="427" t="str">
        <f t="shared" si="1"/>
        <v>M2S to Collection</v>
      </c>
      <c r="E33" s="427" t="str">
        <f t="shared" si="1"/>
        <v>M2S to Collection</v>
      </c>
      <c r="F33" s="427" t="str">
        <f t="shared" si="1"/>
        <v>M2S to Collection</v>
      </c>
      <c r="G33" s="425">
        <f t="shared" si="1"/>
        <v>1185</v>
      </c>
      <c r="H33" s="425">
        <f t="shared" si="1"/>
        <v>1420</v>
      </c>
      <c r="I33" s="425">
        <f t="shared" si="1"/>
        <v>1420</v>
      </c>
      <c r="J33" s="425">
        <f t="shared" si="1"/>
        <v>0</v>
      </c>
      <c r="K33" s="425">
        <f t="shared" si="1"/>
        <v>0</v>
      </c>
    </row>
    <row r="34" spans="1:11">
      <c r="A34" s="182"/>
      <c r="B34" s="423" t="str">
        <f t="shared" si="1"/>
        <v>Building Design Suite Standard</v>
      </c>
      <c r="C34" s="425">
        <f t="shared" si="1"/>
        <v>760</v>
      </c>
      <c r="D34" s="425" t="str">
        <f t="shared" si="1"/>
        <v>M2S to Collection</v>
      </c>
      <c r="E34" s="425" t="str">
        <f t="shared" si="1"/>
        <v>M2S to Collection</v>
      </c>
      <c r="F34" s="425" t="str">
        <f t="shared" si="1"/>
        <v>M2S to Collection</v>
      </c>
      <c r="G34" s="425">
        <f t="shared" si="1"/>
        <v>880</v>
      </c>
      <c r="H34" s="425">
        <f t="shared" si="1"/>
        <v>1055</v>
      </c>
      <c r="I34" s="425">
        <f t="shared" si="1"/>
        <v>1055</v>
      </c>
      <c r="J34" s="425">
        <f t="shared" si="1"/>
        <v>0</v>
      </c>
      <c r="K34" s="425">
        <f t="shared" si="1"/>
        <v>0</v>
      </c>
    </row>
    <row r="35" spans="1:11">
      <c r="A35" s="182"/>
      <c r="B35" s="423" t="str">
        <f t="shared" si="1"/>
        <v>Building Design Suite Ultimate</v>
      </c>
      <c r="C35" s="425">
        <f t="shared" si="1"/>
        <v>1930</v>
      </c>
      <c r="D35" s="425" t="str">
        <f t="shared" si="1"/>
        <v>M2S to Collection</v>
      </c>
      <c r="E35" s="425" t="str">
        <f t="shared" si="1"/>
        <v>M2S to Collection</v>
      </c>
      <c r="F35" s="425" t="str">
        <f t="shared" si="1"/>
        <v>M2S to Collection</v>
      </c>
      <c r="G35" s="425">
        <f t="shared" si="1"/>
        <v>2230</v>
      </c>
      <c r="H35" s="425">
        <f t="shared" si="1"/>
        <v>2675</v>
      </c>
      <c r="I35" s="425">
        <f t="shared" si="1"/>
        <v>2675</v>
      </c>
      <c r="J35" s="425">
        <f t="shared" si="1"/>
        <v>0</v>
      </c>
      <c r="K35" s="425">
        <f t="shared" si="1"/>
        <v>0</v>
      </c>
    </row>
    <row r="36" spans="1:11">
      <c r="A36" s="182"/>
      <c r="B36" s="423" t="str">
        <f t="shared" si="1"/>
        <v>CFD</v>
      </c>
      <c r="C36" s="425">
        <f t="shared" si="1"/>
        <v>2480</v>
      </c>
      <c r="D36" s="427">
        <f t="shared" si="1"/>
        <v>2605</v>
      </c>
      <c r="E36" s="427">
        <f t="shared" si="1"/>
        <v>2735</v>
      </c>
      <c r="F36" s="427">
        <f t="shared" si="1"/>
        <v>2735</v>
      </c>
      <c r="G36" s="425">
        <f t="shared" si="1"/>
        <v>2730</v>
      </c>
      <c r="H36" s="425">
        <f t="shared" si="1"/>
        <v>3275</v>
      </c>
      <c r="I36" s="425">
        <f t="shared" si="1"/>
        <v>3275</v>
      </c>
      <c r="J36" s="425">
        <f t="shared" si="1"/>
        <v>0</v>
      </c>
      <c r="K36" s="425">
        <f t="shared" si="1"/>
        <v>3780</v>
      </c>
    </row>
    <row r="37" spans="1:11">
      <c r="A37" s="182"/>
      <c r="B37" s="423" t="str">
        <f t="shared" si="1"/>
        <v>CFD Premium (formerly CFD Advanced)</v>
      </c>
      <c r="C37" s="425">
        <f t="shared" si="1"/>
        <v>3580</v>
      </c>
      <c r="D37" s="427">
        <f t="shared" si="1"/>
        <v>3760</v>
      </c>
      <c r="E37" s="427">
        <f t="shared" si="1"/>
        <v>3950</v>
      </c>
      <c r="F37" s="427">
        <f t="shared" si="1"/>
        <v>3950</v>
      </c>
      <c r="G37" s="425">
        <f t="shared" si="1"/>
        <v>3940</v>
      </c>
      <c r="H37" s="425">
        <f t="shared" si="1"/>
        <v>4730</v>
      </c>
      <c r="I37" s="425">
        <f t="shared" si="1"/>
        <v>4730</v>
      </c>
      <c r="J37" s="425">
        <f t="shared" si="1"/>
        <v>0</v>
      </c>
      <c r="K37" s="425">
        <f t="shared" si="1"/>
        <v>9470</v>
      </c>
    </row>
    <row r="38" spans="1:11">
      <c r="A38" s="182"/>
      <c r="B38" s="423" t="str">
        <f t="shared" si="1"/>
        <v>CFD Ultimate (formerly CFD Motion)</v>
      </c>
      <c r="C38" s="425">
        <f t="shared" si="1"/>
        <v>4960</v>
      </c>
      <c r="D38" s="427">
        <f t="shared" si="1"/>
        <v>5210</v>
      </c>
      <c r="E38" s="427">
        <f t="shared" si="1"/>
        <v>5470</v>
      </c>
      <c r="F38" s="427">
        <f t="shared" si="1"/>
        <v>5470</v>
      </c>
      <c r="G38" s="425">
        <f t="shared" si="1"/>
        <v>5455</v>
      </c>
      <c r="H38" s="425">
        <f t="shared" si="1"/>
        <v>6545</v>
      </c>
      <c r="I38" s="425">
        <f t="shared" si="1"/>
        <v>6545</v>
      </c>
      <c r="J38" s="425">
        <f t="shared" si="1"/>
        <v>0</v>
      </c>
      <c r="K38" s="425">
        <f t="shared" si="1"/>
        <v>11625</v>
      </c>
    </row>
    <row r="39" spans="1:11">
      <c r="A39" s="182"/>
      <c r="B39" s="423" t="str">
        <f t="shared" si="1"/>
        <v>Entertainment Creation Suite Ultimate</v>
      </c>
      <c r="C39" s="425">
        <f t="shared" si="1"/>
        <v>1090</v>
      </c>
      <c r="D39" s="427" t="str">
        <f t="shared" si="1"/>
        <v>M2S to Collection</v>
      </c>
      <c r="E39" s="427" t="str">
        <f t="shared" si="1"/>
        <v>M2S to Collection</v>
      </c>
      <c r="F39" s="427" t="str">
        <f t="shared" si="1"/>
        <v>M2S to Collection</v>
      </c>
      <c r="G39" s="425">
        <f t="shared" si="1"/>
        <v>1260</v>
      </c>
      <c r="H39" s="425">
        <f t="shared" si="1"/>
        <v>1510</v>
      </c>
      <c r="I39" s="425">
        <f t="shared" si="1"/>
        <v>1510</v>
      </c>
      <c r="J39" s="425">
        <f t="shared" si="1"/>
        <v>0</v>
      </c>
      <c r="K39" s="425">
        <f t="shared" si="1"/>
        <v>0</v>
      </c>
    </row>
    <row r="40" spans="1:11">
      <c r="A40" s="182"/>
      <c r="B40" s="423" t="str">
        <f t="shared" si="1"/>
        <v>Fabrication CADmep</v>
      </c>
      <c r="C40" s="425">
        <f t="shared" si="1"/>
        <v>610</v>
      </c>
      <c r="D40" s="427">
        <f t="shared" si="1"/>
        <v>640</v>
      </c>
      <c r="E40" s="427">
        <f t="shared" si="1"/>
        <v>670</v>
      </c>
      <c r="F40" s="427">
        <f t="shared" si="1"/>
        <v>670</v>
      </c>
      <c r="G40" s="425">
        <f t="shared" si="1"/>
        <v>670</v>
      </c>
      <c r="H40" s="425">
        <f t="shared" si="1"/>
        <v>805</v>
      </c>
      <c r="I40" s="425">
        <f t="shared" si="1"/>
        <v>805</v>
      </c>
      <c r="J40" s="425">
        <f t="shared" si="1"/>
        <v>920</v>
      </c>
      <c r="K40" s="425">
        <f t="shared" si="1"/>
        <v>1610</v>
      </c>
    </row>
    <row r="41" spans="1:11">
      <c r="A41" s="182"/>
      <c r="B41" s="423" t="str">
        <f t="shared" si="1"/>
        <v>Fabrication CAMduct</v>
      </c>
      <c r="C41" s="425">
        <f t="shared" si="1"/>
        <v>695</v>
      </c>
      <c r="D41" s="425">
        <f t="shared" si="1"/>
        <v>730</v>
      </c>
      <c r="E41" s="425">
        <f t="shared" si="1"/>
        <v>765</v>
      </c>
      <c r="F41" s="425">
        <f t="shared" si="1"/>
        <v>765</v>
      </c>
      <c r="G41" s="425">
        <f t="shared" si="1"/>
        <v>765</v>
      </c>
      <c r="H41" s="425">
        <f t="shared" si="1"/>
        <v>920</v>
      </c>
      <c r="I41" s="425">
        <f t="shared" si="1"/>
        <v>920</v>
      </c>
      <c r="J41" s="425">
        <f t="shared" si="1"/>
        <v>920</v>
      </c>
      <c r="K41" s="425">
        <f t="shared" si="1"/>
        <v>1610</v>
      </c>
    </row>
    <row r="42" spans="1:11">
      <c r="A42" s="182"/>
      <c r="B42" s="423" t="str">
        <f t="shared" si="1"/>
        <v>Fabrication ESTmep</v>
      </c>
      <c r="C42" s="425">
        <f t="shared" si="1"/>
        <v>745</v>
      </c>
      <c r="D42" s="425">
        <f t="shared" si="1"/>
        <v>780</v>
      </c>
      <c r="E42" s="425">
        <f t="shared" si="1"/>
        <v>820</v>
      </c>
      <c r="F42" s="425">
        <f t="shared" si="1"/>
        <v>820</v>
      </c>
      <c r="G42" s="425">
        <f t="shared" si="1"/>
        <v>820</v>
      </c>
      <c r="H42" s="425">
        <f t="shared" si="1"/>
        <v>985</v>
      </c>
      <c r="I42" s="425">
        <f t="shared" si="1"/>
        <v>985</v>
      </c>
      <c r="J42" s="425">
        <f t="shared" si="1"/>
        <v>920</v>
      </c>
      <c r="K42" s="425">
        <f t="shared" si="1"/>
        <v>1610</v>
      </c>
    </row>
    <row r="43" spans="1:11">
      <c r="A43" s="182"/>
      <c r="B43" s="423" t="str">
        <f t="shared" si="1"/>
        <v>Factory Design Suite Premium</v>
      </c>
      <c r="C43" s="425">
        <f t="shared" si="1"/>
        <v>1025</v>
      </c>
      <c r="D43" s="425" t="str">
        <f t="shared" si="1"/>
        <v>M2S to Collection</v>
      </c>
      <c r="E43" s="425" t="str">
        <f t="shared" si="1"/>
        <v>M2S to Collection</v>
      </c>
      <c r="F43" s="425" t="str">
        <f t="shared" si="1"/>
        <v>M2S to Collection</v>
      </c>
      <c r="G43" s="425">
        <f t="shared" si="1"/>
        <v>1185</v>
      </c>
      <c r="H43" s="425">
        <f t="shared" si="1"/>
        <v>1420</v>
      </c>
      <c r="I43" s="425">
        <f t="shared" si="1"/>
        <v>1420</v>
      </c>
      <c r="J43" s="425">
        <f t="shared" si="1"/>
        <v>0</v>
      </c>
      <c r="K43" s="425">
        <f t="shared" si="1"/>
        <v>0</v>
      </c>
    </row>
    <row r="44" spans="1:11">
      <c r="A44" s="182"/>
      <c r="B44" s="423" t="str">
        <f t="shared" si="1"/>
        <v>Factory Design Suite Standard</v>
      </c>
      <c r="C44" s="425">
        <f t="shared" ref="B44:K69" si="2">CHOOSE(calcCurrencyIndexNum,Data_USD_Tbl,Data_CAD_Tbl,Data_EUR_Tbl,Data_JPY_Tbl,Data_AUD_Tbl,Data_GBP_Tbl)</f>
        <v>835</v>
      </c>
      <c r="D44" s="425" t="str">
        <f t="shared" si="2"/>
        <v>M2S to Collection</v>
      </c>
      <c r="E44" s="425" t="str">
        <f t="shared" si="2"/>
        <v>M2S to Collection</v>
      </c>
      <c r="F44" s="425" t="str">
        <f t="shared" si="2"/>
        <v>M2S to Collection</v>
      </c>
      <c r="G44" s="425">
        <f t="shared" si="2"/>
        <v>965</v>
      </c>
      <c r="H44" s="425">
        <f t="shared" si="2"/>
        <v>1160</v>
      </c>
      <c r="I44" s="425">
        <f t="shared" si="2"/>
        <v>1160</v>
      </c>
      <c r="J44" s="425">
        <f t="shared" si="2"/>
        <v>0</v>
      </c>
      <c r="K44" s="425">
        <f t="shared" si="2"/>
        <v>0</v>
      </c>
    </row>
    <row r="45" spans="1:11">
      <c r="A45" s="182"/>
      <c r="B45" s="423" t="str">
        <f t="shared" si="2"/>
        <v>Factory Design Suite Ultimate</v>
      </c>
      <c r="C45" s="425">
        <f t="shared" si="2"/>
        <v>1680</v>
      </c>
      <c r="D45" s="425" t="str">
        <f t="shared" si="2"/>
        <v>M2S to Collection</v>
      </c>
      <c r="E45" s="425" t="str">
        <f t="shared" si="2"/>
        <v>M2S to Collection</v>
      </c>
      <c r="F45" s="425" t="str">
        <f t="shared" si="2"/>
        <v>M2S to Collection</v>
      </c>
      <c r="G45" s="425">
        <f t="shared" si="2"/>
        <v>1940</v>
      </c>
      <c r="H45" s="425">
        <f t="shared" si="2"/>
        <v>2330</v>
      </c>
      <c r="I45" s="425">
        <f t="shared" si="2"/>
        <v>2330</v>
      </c>
      <c r="J45" s="425">
        <f t="shared" si="2"/>
        <v>0</v>
      </c>
      <c r="K45" s="425">
        <f t="shared" si="2"/>
        <v>0</v>
      </c>
    </row>
    <row r="46" spans="1:11">
      <c r="A46" s="182"/>
      <c r="B46" s="423" t="str">
        <f t="shared" si="2"/>
        <v>Helius Composite</v>
      </c>
      <c r="C46" s="425">
        <f t="shared" si="2"/>
        <v>115</v>
      </c>
      <c r="D46" s="425">
        <f t="shared" si="2"/>
        <v>120</v>
      </c>
      <c r="E46" s="425">
        <f t="shared" si="2"/>
        <v>125</v>
      </c>
      <c r="F46" s="425">
        <f t="shared" si="2"/>
        <v>125</v>
      </c>
      <c r="G46" s="425">
        <f t="shared" si="2"/>
        <v>125</v>
      </c>
      <c r="H46" s="425">
        <f t="shared" si="2"/>
        <v>150</v>
      </c>
      <c r="I46" s="425">
        <f t="shared" si="2"/>
        <v>150</v>
      </c>
      <c r="J46" s="425">
        <f t="shared" si="2"/>
        <v>280</v>
      </c>
      <c r="K46" s="425">
        <f t="shared" si="2"/>
        <v>490</v>
      </c>
    </row>
    <row r="47" spans="1:11">
      <c r="A47" s="182"/>
      <c r="B47" s="423" t="str">
        <f t="shared" si="2"/>
        <v>HSM - Premium</v>
      </c>
      <c r="C47" s="425">
        <f t="shared" si="2"/>
        <v>1125</v>
      </c>
      <c r="D47" s="425">
        <f t="shared" si="2"/>
        <v>1180</v>
      </c>
      <c r="E47" s="425">
        <f t="shared" si="2"/>
        <v>1240</v>
      </c>
      <c r="F47" s="425">
        <f t="shared" si="2"/>
        <v>1240</v>
      </c>
      <c r="G47" s="425">
        <f t="shared" si="2"/>
        <v>1240</v>
      </c>
      <c r="H47" s="425">
        <f t="shared" si="2"/>
        <v>1490</v>
      </c>
      <c r="I47" s="425">
        <f t="shared" si="2"/>
        <v>1490</v>
      </c>
      <c r="J47" s="425">
        <f t="shared" si="2"/>
        <v>2470</v>
      </c>
      <c r="K47" s="425">
        <f t="shared" si="2"/>
        <v>3705</v>
      </c>
    </row>
    <row r="48" spans="1:11">
      <c r="A48" s="182"/>
      <c r="B48" s="423" t="str">
        <f t="shared" si="2"/>
        <v>HSM - Ultimate</v>
      </c>
      <c r="C48" s="425">
        <f t="shared" si="2"/>
        <v>1575</v>
      </c>
      <c r="D48" s="425">
        <f t="shared" si="2"/>
        <v>1655</v>
      </c>
      <c r="E48" s="425">
        <f t="shared" si="2"/>
        <v>1740</v>
      </c>
      <c r="F48" s="425">
        <f t="shared" si="2"/>
        <v>1740</v>
      </c>
      <c r="G48" s="425">
        <f t="shared" si="2"/>
        <v>1735</v>
      </c>
      <c r="H48" s="425">
        <f t="shared" si="2"/>
        <v>2080</v>
      </c>
      <c r="I48" s="425">
        <f t="shared" si="2"/>
        <v>2080</v>
      </c>
      <c r="J48" s="425">
        <f t="shared" si="2"/>
        <v>3700</v>
      </c>
      <c r="K48" s="425">
        <f t="shared" si="2"/>
        <v>5550</v>
      </c>
    </row>
    <row r="49" spans="1:11">
      <c r="A49" s="182"/>
      <c r="B49" s="423" t="str">
        <f t="shared" si="2"/>
        <v>Infrastructure Design Suite Premium</v>
      </c>
      <c r="C49" s="425">
        <f t="shared" si="2"/>
        <v>1100</v>
      </c>
      <c r="D49" s="425" t="str">
        <f t="shared" si="2"/>
        <v>M2S to Collection</v>
      </c>
      <c r="E49" s="425" t="str">
        <f t="shared" si="2"/>
        <v>M2S to Collection</v>
      </c>
      <c r="F49" s="425" t="str">
        <f t="shared" si="2"/>
        <v>M2S to Collection</v>
      </c>
      <c r="G49" s="425">
        <f t="shared" si="2"/>
        <v>1270</v>
      </c>
      <c r="H49" s="425">
        <f t="shared" si="2"/>
        <v>1525</v>
      </c>
      <c r="I49" s="425">
        <f t="shared" si="2"/>
        <v>1525</v>
      </c>
      <c r="J49" s="425">
        <f t="shared" si="2"/>
        <v>0</v>
      </c>
      <c r="K49" s="425">
        <f t="shared" si="2"/>
        <v>0</v>
      </c>
    </row>
    <row r="50" spans="1:11">
      <c r="A50" s="182"/>
      <c r="B50" s="423" t="str">
        <f t="shared" si="2"/>
        <v>Infrastructure Design Suite Standard</v>
      </c>
      <c r="C50" s="425">
        <f t="shared" si="2"/>
        <v>835</v>
      </c>
      <c r="D50" s="425" t="str">
        <f t="shared" si="2"/>
        <v>M2S to Collection</v>
      </c>
      <c r="E50" s="425" t="str">
        <f t="shared" si="2"/>
        <v>M2S to Collection</v>
      </c>
      <c r="F50" s="425" t="str">
        <f t="shared" si="2"/>
        <v>M2S to Collection</v>
      </c>
      <c r="G50" s="425">
        <f t="shared" si="2"/>
        <v>965</v>
      </c>
      <c r="H50" s="425">
        <f t="shared" si="2"/>
        <v>1160</v>
      </c>
      <c r="I50" s="425">
        <f t="shared" si="2"/>
        <v>1160</v>
      </c>
      <c r="J50" s="425">
        <f t="shared" si="2"/>
        <v>0</v>
      </c>
      <c r="K50" s="425">
        <f t="shared" si="2"/>
        <v>0</v>
      </c>
    </row>
    <row r="51" spans="1:11">
      <c r="A51" s="182"/>
      <c r="B51" s="423" t="str">
        <f t="shared" si="2"/>
        <v>Infrastructure Design Suite Ultimate</v>
      </c>
      <c r="C51" s="425">
        <f t="shared" si="2"/>
        <v>1930</v>
      </c>
      <c r="D51" s="425" t="str">
        <f t="shared" si="2"/>
        <v>M2S to Collection</v>
      </c>
      <c r="E51" s="425" t="str">
        <f t="shared" si="2"/>
        <v>M2S to Collection</v>
      </c>
      <c r="F51" s="425" t="str">
        <f t="shared" si="2"/>
        <v>M2S to Collection</v>
      </c>
      <c r="G51" s="425">
        <f t="shared" si="2"/>
        <v>2230</v>
      </c>
      <c r="H51" s="425">
        <f t="shared" si="2"/>
        <v>2675</v>
      </c>
      <c r="I51" s="425">
        <f t="shared" si="2"/>
        <v>2675</v>
      </c>
      <c r="J51" s="425">
        <f t="shared" si="2"/>
        <v>0</v>
      </c>
      <c r="K51" s="425">
        <f t="shared" si="2"/>
        <v>0</v>
      </c>
    </row>
    <row r="52" spans="1:11">
      <c r="A52" s="182"/>
      <c r="B52" s="423" t="str">
        <f t="shared" si="2"/>
        <v>Infrastructure Map Server</v>
      </c>
      <c r="C52" s="425">
        <f t="shared" si="2"/>
        <v>825</v>
      </c>
      <c r="D52" s="425">
        <f t="shared" si="2"/>
        <v>865</v>
      </c>
      <c r="E52" s="425">
        <f t="shared" si="2"/>
        <v>910</v>
      </c>
      <c r="F52" s="425">
        <f t="shared" si="2"/>
        <v>910</v>
      </c>
      <c r="G52" s="425">
        <f t="shared" si="2"/>
        <v>910</v>
      </c>
      <c r="H52" s="425">
        <f t="shared" si="2"/>
        <v>1090</v>
      </c>
      <c r="I52" s="425">
        <f t="shared" si="2"/>
        <v>1090</v>
      </c>
      <c r="J52" s="425">
        <f t="shared" si="2"/>
        <v>0</v>
      </c>
      <c r="K52" s="425">
        <f t="shared" si="2"/>
        <v>2585</v>
      </c>
    </row>
    <row r="53" spans="1:11">
      <c r="A53" s="182"/>
      <c r="B53" s="423" t="str">
        <f t="shared" si="2"/>
        <v>Infraworks</v>
      </c>
      <c r="C53" s="425">
        <f t="shared" si="2"/>
        <v>0</v>
      </c>
      <c r="D53" s="425">
        <f t="shared" si="2"/>
        <v>695</v>
      </c>
      <c r="E53" s="425">
        <f t="shared" si="2"/>
        <v>630</v>
      </c>
      <c r="F53" s="425">
        <f t="shared" si="2"/>
        <v>630</v>
      </c>
      <c r="G53" s="425">
        <f t="shared" si="2"/>
        <v>0</v>
      </c>
      <c r="H53" s="425">
        <f t="shared" si="2"/>
        <v>0</v>
      </c>
      <c r="I53" s="425">
        <f t="shared" si="2"/>
        <v>0</v>
      </c>
      <c r="J53" s="425">
        <f t="shared" si="2"/>
        <v>1610</v>
      </c>
      <c r="K53" s="425">
        <f t="shared" si="2"/>
        <v>2820</v>
      </c>
    </row>
    <row r="54" spans="1:11">
      <c r="A54" s="182"/>
      <c r="B54" s="423" t="str">
        <f t="shared" si="2"/>
        <v>Inventor</v>
      </c>
      <c r="C54" s="425">
        <f t="shared" si="2"/>
        <v>750</v>
      </c>
      <c r="D54" s="425">
        <f t="shared" si="2"/>
        <v>830</v>
      </c>
      <c r="E54" s="425">
        <f t="shared" si="2"/>
        <v>870</v>
      </c>
      <c r="F54" s="425">
        <f t="shared" si="2"/>
        <v>870</v>
      </c>
      <c r="G54" s="425">
        <f t="shared" si="2"/>
        <v>870</v>
      </c>
      <c r="H54" s="425">
        <f t="shared" si="2"/>
        <v>1045</v>
      </c>
      <c r="I54" s="425">
        <f t="shared" si="2"/>
        <v>1045</v>
      </c>
      <c r="J54" s="425">
        <f t="shared" si="2"/>
        <v>1890</v>
      </c>
      <c r="K54" s="425">
        <f t="shared" si="2"/>
        <v>2835</v>
      </c>
    </row>
    <row r="55" spans="1:11">
      <c r="A55" s="182"/>
      <c r="B55" s="423" t="str">
        <f t="shared" si="2"/>
        <v>Inventor LT</v>
      </c>
      <c r="C55" s="425">
        <f t="shared" si="2"/>
        <v>180</v>
      </c>
      <c r="D55" s="425">
        <f t="shared" si="2"/>
        <v>200</v>
      </c>
      <c r="E55" s="425">
        <f t="shared" si="2"/>
        <v>210</v>
      </c>
      <c r="F55" s="425">
        <f t="shared" si="2"/>
        <v>210</v>
      </c>
      <c r="G55" s="425">
        <f t="shared" si="2"/>
        <v>210</v>
      </c>
      <c r="H55" s="425">
        <f t="shared" si="2"/>
        <v>250</v>
      </c>
      <c r="I55" s="425">
        <f t="shared" si="2"/>
        <v>250</v>
      </c>
      <c r="J55" s="425">
        <f t="shared" si="2"/>
        <v>390</v>
      </c>
      <c r="K55" s="425">
        <f t="shared" si="2"/>
        <v>685</v>
      </c>
    </row>
    <row r="56" spans="1:11">
      <c r="A56" s="182"/>
      <c r="B56" s="423" t="str">
        <f t="shared" si="2"/>
        <v>Inventor Professional</v>
      </c>
      <c r="C56" s="425">
        <f t="shared" si="2"/>
        <v>1095</v>
      </c>
      <c r="D56" s="425">
        <f t="shared" si="2"/>
        <v>830</v>
      </c>
      <c r="E56" s="425">
        <f t="shared" si="2"/>
        <v>870</v>
      </c>
      <c r="F56" s="425">
        <f t="shared" si="2"/>
        <v>870</v>
      </c>
      <c r="G56" s="425">
        <f t="shared" si="2"/>
        <v>1265</v>
      </c>
      <c r="H56" s="425">
        <f t="shared" si="2"/>
        <v>1520</v>
      </c>
      <c r="I56" s="425">
        <f t="shared" si="2"/>
        <v>1520</v>
      </c>
      <c r="J56" s="425">
        <f t="shared" si="2"/>
        <v>1935</v>
      </c>
      <c r="K56" s="425">
        <f t="shared" si="2"/>
        <v>2905</v>
      </c>
    </row>
    <row r="57" spans="1:11">
      <c r="A57" s="182"/>
      <c r="B57" s="423" t="str">
        <f t="shared" si="2"/>
        <v>Maya</v>
      </c>
      <c r="C57" s="425">
        <f t="shared" si="2"/>
        <v>625</v>
      </c>
      <c r="D57" s="425">
        <f t="shared" si="2"/>
        <v>690</v>
      </c>
      <c r="E57" s="425">
        <f t="shared" si="2"/>
        <v>725</v>
      </c>
      <c r="F57" s="425">
        <f t="shared" si="2"/>
        <v>725</v>
      </c>
      <c r="G57" s="425">
        <f t="shared" si="2"/>
        <v>720</v>
      </c>
      <c r="H57" s="425">
        <f t="shared" si="2"/>
        <v>865</v>
      </c>
      <c r="I57" s="425">
        <f t="shared" si="2"/>
        <v>865</v>
      </c>
      <c r="J57" s="425">
        <f t="shared" si="2"/>
        <v>1505</v>
      </c>
      <c r="K57" s="425">
        <f t="shared" si="2"/>
        <v>2635</v>
      </c>
    </row>
    <row r="58" spans="1:11">
      <c r="A58" s="182"/>
      <c r="B58" s="423" t="str">
        <f t="shared" si="2"/>
        <v>Maya Entertainment Creation Suite Standard</v>
      </c>
      <c r="C58" s="425">
        <f t="shared" si="2"/>
        <v>865</v>
      </c>
      <c r="D58" s="425" t="str">
        <f t="shared" si="2"/>
        <v>M2S to Collection</v>
      </c>
      <c r="E58" s="425" t="str">
        <f t="shared" si="2"/>
        <v>M2S to Collection</v>
      </c>
      <c r="F58" s="425" t="str">
        <f t="shared" si="2"/>
        <v>M2S to Collection</v>
      </c>
      <c r="G58" s="425">
        <f t="shared" si="2"/>
        <v>1000</v>
      </c>
      <c r="H58" s="425">
        <f t="shared" si="2"/>
        <v>1200</v>
      </c>
      <c r="I58" s="425">
        <f t="shared" si="2"/>
        <v>1200</v>
      </c>
      <c r="J58" s="425">
        <f t="shared" si="2"/>
        <v>0</v>
      </c>
      <c r="K58" s="425">
        <f t="shared" si="2"/>
        <v>0</v>
      </c>
    </row>
    <row r="59" spans="1:11">
      <c r="A59" s="182"/>
      <c r="B59" s="423" t="str">
        <f t="shared" si="2"/>
        <v>Maya LT</v>
      </c>
      <c r="C59" s="425">
        <f t="shared" si="2"/>
        <v>125</v>
      </c>
      <c r="D59" s="425">
        <f t="shared" si="2"/>
        <v>130</v>
      </c>
      <c r="E59" s="425">
        <f t="shared" si="2"/>
        <v>135</v>
      </c>
      <c r="F59" s="425">
        <f t="shared" si="2"/>
        <v>135</v>
      </c>
      <c r="G59" s="425">
        <f t="shared" si="2"/>
        <v>140</v>
      </c>
      <c r="H59" s="425">
        <f t="shared" si="2"/>
        <v>170</v>
      </c>
      <c r="I59" s="425">
        <f t="shared" si="2"/>
        <v>170</v>
      </c>
      <c r="J59" s="425">
        <f t="shared" si="2"/>
        <v>245</v>
      </c>
      <c r="K59" s="425">
        <f t="shared" si="2"/>
        <v>430</v>
      </c>
    </row>
    <row r="60" spans="1:11">
      <c r="A60" s="182"/>
      <c r="B60" s="423" t="str">
        <f t="shared" si="2"/>
        <v>Maya with Softimage</v>
      </c>
      <c r="C60" s="425">
        <f t="shared" si="2"/>
        <v>655</v>
      </c>
      <c r="D60" s="425">
        <f t="shared" si="2"/>
        <v>0</v>
      </c>
      <c r="E60" s="425">
        <f t="shared" si="2"/>
        <v>0</v>
      </c>
      <c r="F60" s="425">
        <f t="shared" si="2"/>
        <v>0</v>
      </c>
      <c r="G60" s="425">
        <f t="shared" si="2"/>
        <v>720</v>
      </c>
      <c r="H60" s="425">
        <f t="shared" si="2"/>
        <v>865</v>
      </c>
      <c r="I60" s="425">
        <f t="shared" si="2"/>
        <v>865</v>
      </c>
      <c r="J60" s="425">
        <f t="shared" si="2"/>
        <v>1470</v>
      </c>
      <c r="K60" s="425">
        <f t="shared" si="2"/>
        <v>0</v>
      </c>
    </row>
    <row r="61" spans="1:11">
      <c r="A61" s="182"/>
      <c r="B61" s="423" t="str">
        <f t="shared" si="2"/>
        <v>Moldflow Adviser Premium</v>
      </c>
      <c r="C61" s="425">
        <f t="shared" si="2"/>
        <v>950</v>
      </c>
      <c r="D61" s="425">
        <f t="shared" si="2"/>
        <v>1000</v>
      </c>
      <c r="E61" s="425">
        <f t="shared" si="2"/>
        <v>1050</v>
      </c>
      <c r="F61" s="425">
        <f t="shared" si="2"/>
        <v>1050</v>
      </c>
      <c r="G61" s="425">
        <f t="shared" si="2"/>
        <v>1045</v>
      </c>
      <c r="H61" s="425">
        <f t="shared" si="2"/>
        <v>1255</v>
      </c>
      <c r="I61" s="425">
        <f t="shared" si="2"/>
        <v>1255</v>
      </c>
      <c r="J61" s="425">
        <f t="shared" si="2"/>
        <v>0</v>
      </c>
      <c r="K61" s="425">
        <f t="shared" si="2"/>
        <v>2155</v>
      </c>
    </row>
    <row r="62" spans="1:11">
      <c r="A62" s="182"/>
      <c r="B62" s="423" t="str">
        <f t="shared" si="2"/>
        <v>Moldflow Adviser Ultimate</v>
      </c>
      <c r="C62" s="425">
        <f t="shared" si="2"/>
        <v>4130</v>
      </c>
      <c r="D62" s="425">
        <f t="shared" si="2"/>
        <v>4335</v>
      </c>
      <c r="E62" s="425">
        <f t="shared" si="2"/>
        <v>4550</v>
      </c>
      <c r="F62" s="425">
        <f t="shared" si="2"/>
        <v>4550</v>
      </c>
      <c r="G62" s="425">
        <f t="shared" si="2"/>
        <v>4545</v>
      </c>
      <c r="H62" s="425">
        <f t="shared" si="2"/>
        <v>5455</v>
      </c>
      <c r="I62" s="425">
        <f t="shared" si="2"/>
        <v>5455</v>
      </c>
      <c r="J62" s="425">
        <f t="shared" si="2"/>
        <v>0</v>
      </c>
      <c r="K62" s="425">
        <f t="shared" si="2"/>
        <v>10765</v>
      </c>
    </row>
    <row r="63" spans="1:11">
      <c r="A63" s="182"/>
      <c r="B63" s="423" t="str">
        <f t="shared" si="2"/>
        <v>Moldflow Insight Premium</v>
      </c>
      <c r="C63" s="425">
        <f t="shared" si="2"/>
        <v>9590</v>
      </c>
      <c r="D63" s="425">
        <f t="shared" si="2"/>
        <v>10070</v>
      </c>
      <c r="E63" s="425">
        <f t="shared" si="2"/>
        <v>10575</v>
      </c>
      <c r="F63" s="425">
        <f t="shared" si="2"/>
        <v>10575</v>
      </c>
      <c r="G63" s="425">
        <f t="shared" si="2"/>
        <v>10550</v>
      </c>
      <c r="H63" s="425">
        <f t="shared" si="2"/>
        <v>12660</v>
      </c>
      <c r="I63" s="425">
        <f t="shared" si="2"/>
        <v>12660</v>
      </c>
      <c r="J63" s="425">
        <f t="shared" si="2"/>
        <v>0</v>
      </c>
      <c r="K63" s="425">
        <f t="shared" si="2"/>
        <v>24970</v>
      </c>
    </row>
    <row r="64" spans="1:11">
      <c r="A64" s="182"/>
      <c r="B64" s="423" t="str">
        <f t="shared" si="2"/>
        <v>Moldflow Insight Standard</v>
      </c>
      <c r="C64" s="425">
        <f t="shared" si="2"/>
        <v>4795</v>
      </c>
      <c r="D64" s="425">
        <f t="shared" si="2"/>
        <v>5035</v>
      </c>
      <c r="E64" s="425">
        <f t="shared" si="2"/>
        <v>5285</v>
      </c>
      <c r="F64" s="425">
        <f t="shared" si="2"/>
        <v>5285</v>
      </c>
      <c r="G64" s="425">
        <f t="shared" si="2"/>
        <v>5275</v>
      </c>
      <c r="H64" s="425">
        <f t="shared" si="2"/>
        <v>6330</v>
      </c>
      <c r="I64" s="425">
        <f t="shared" si="2"/>
        <v>6330</v>
      </c>
      <c r="J64" s="425">
        <f t="shared" si="2"/>
        <v>0</v>
      </c>
      <c r="K64" s="425">
        <f t="shared" si="2"/>
        <v>12485</v>
      </c>
    </row>
    <row r="65" spans="1:11">
      <c r="A65" s="182"/>
      <c r="B65" s="423" t="str">
        <f t="shared" si="2"/>
        <v>Moldflow Insight Ultimate</v>
      </c>
      <c r="C65" s="425">
        <f t="shared" si="2"/>
        <v>12940</v>
      </c>
      <c r="D65" s="425">
        <f t="shared" si="2"/>
        <v>13585</v>
      </c>
      <c r="E65" s="425">
        <f t="shared" si="2"/>
        <v>14265</v>
      </c>
      <c r="F65" s="425">
        <f t="shared" si="2"/>
        <v>14265</v>
      </c>
      <c r="G65" s="425">
        <f t="shared" si="2"/>
        <v>14235</v>
      </c>
      <c r="H65" s="425">
        <f t="shared" si="2"/>
        <v>17080</v>
      </c>
      <c r="I65" s="425">
        <f t="shared" si="2"/>
        <v>17080</v>
      </c>
      <c r="J65" s="425">
        <f t="shared" si="2"/>
        <v>0</v>
      </c>
      <c r="K65" s="425">
        <f t="shared" si="2"/>
        <v>33580</v>
      </c>
    </row>
    <row r="66" spans="1:11">
      <c r="A66" s="182"/>
      <c r="B66" s="423" t="str">
        <f t="shared" si="2"/>
        <v>Moldflow Synergy</v>
      </c>
      <c r="C66" s="425">
        <f t="shared" si="2"/>
        <v>1985</v>
      </c>
      <c r="D66" s="425">
        <f t="shared" si="2"/>
        <v>2085</v>
      </c>
      <c r="E66" s="425">
        <f t="shared" si="2"/>
        <v>2190</v>
      </c>
      <c r="F66" s="425">
        <f t="shared" si="2"/>
        <v>2190</v>
      </c>
      <c r="G66" s="425">
        <f t="shared" si="2"/>
        <v>2185</v>
      </c>
      <c r="H66" s="425">
        <f t="shared" si="2"/>
        <v>2620</v>
      </c>
      <c r="I66" s="425">
        <f t="shared" si="2"/>
        <v>2620</v>
      </c>
      <c r="J66" s="425">
        <f t="shared" si="2"/>
        <v>0</v>
      </c>
      <c r="K66" s="425">
        <f t="shared" si="2"/>
        <v>5165</v>
      </c>
    </row>
    <row r="67" spans="1:11">
      <c r="A67" s="182"/>
      <c r="B67" s="423" t="str">
        <f t="shared" si="2"/>
        <v>MotionBuilder</v>
      </c>
      <c r="C67" s="425">
        <f t="shared" si="2"/>
        <v>840</v>
      </c>
      <c r="D67" s="425">
        <f t="shared" si="2"/>
        <v>925</v>
      </c>
      <c r="E67" s="425">
        <f t="shared" si="2"/>
        <v>970</v>
      </c>
      <c r="F67" s="425">
        <f t="shared" si="2"/>
        <v>970</v>
      </c>
      <c r="G67" s="425">
        <f t="shared" si="2"/>
        <v>970</v>
      </c>
      <c r="H67" s="425">
        <f t="shared" si="2"/>
        <v>1165</v>
      </c>
      <c r="I67" s="425">
        <f t="shared" si="2"/>
        <v>1165</v>
      </c>
      <c r="J67" s="425">
        <f t="shared" si="2"/>
        <v>1720</v>
      </c>
      <c r="K67" s="425">
        <f t="shared" si="2"/>
        <v>3010</v>
      </c>
    </row>
    <row r="68" spans="1:11">
      <c r="A68" s="182"/>
      <c r="B68" s="423" t="str">
        <f t="shared" si="2"/>
        <v>Mudbox</v>
      </c>
      <c r="C68" s="425">
        <f t="shared" si="2"/>
        <v>80</v>
      </c>
      <c r="D68" s="425">
        <f t="shared" si="2"/>
        <v>85</v>
      </c>
      <c r="E68" s="425">
        <f t="shared" si="2"/>
        <v>90</v>
      </c>
      <c r="F68" s="425">
        <f t="shared" si="2"/>
        <v>90</v>
      </c>
      <c r="G68" s="425">
        <f t="shared" si="2"/>
        <v>90</v>
      </c>
      <c r="H68" s="425">
        <f t="shared" si="2"/>
        <v>110</v>
      </c>
      <c r="I68" s="425">
        <f t="shared" si="2"/>
        <v>110</v>
      </c>
      <c r="J68" s="425">
        <f t="shared" si="2"/>
        <v>80</v>
      </c>
      <c r="K68" s="425">
        <f t="shared" si="2"/>
        <v>140</v>
      </c>
    </row>
    <row r="69" spans="1:11">
      <c r="A69" s="182"/>
      <c r="B69" s="423" t="str">
        <f t="shared" si="2"/>
        <v>Nastran</v>
      </c>
      <c r="C69" s="425">
        <f t="shared" si="2"/>
        <v>1355</v>
      </c>
      <c r="D69" s="425">
        <f t="shared" si="2"/>
        <v>1425</v>
      </c>
      <c r="E69" s="425">
        <f t="shared" si="2"/>
        <v>1495</v>
      </c>
      <c r="F69" s="425">
        <f t="shared" si="2"/>
        <v>1495</v>
      </c>
      <c r="G69" s="425">
        <f t="shared" si="2"/>
        <v>1490</v>
      </c>
      <c r="H69" s="425">
        <f t="shared" ref="B69:K95" si="3">CHOOSE(calcCurrencyIndexNum,Data_USD_Tbl,Data_CAD_Tbl,Data_EUR_Tbl,Data_JPY_Tbl,Data_AUD_Tbl,Data_GBP_Tbl)</f>
        <v>1790</v>
      </c>
      <c r="I69" s="425">
        <f t="shared" si="3"/>
        <v>1790</v>
      </c>
      <c r="J69" s="425" t="str">
        <f t="shared" si="3"/>
        <v/>
      </c>
      <c r="K69" s="425">
        <f t="shared" si="3"/>
        <v>4415</v>
      </c>
    </row>
    <row r="70" spans="1:11">
      <c r="A70" s="182"/>
      <c r="B70" s="423" t="str">
        <f t="shared" si="3"/>
        <v>Nastran In-CAD</v>
      </c>
      <c r="C70" s="425">
        <f t="shared" si="3"/>
        <v>1405</v>
      </c>
      <c r="D70" s="425">
        <f t="shared" si="3"/>
        <v>1475</v>
      </c>
      <c r="E70" s="425">
        <f t="shared" si="3"/>
        <v>1550</v>
      </c>
      <c r="F70" s="425">
        <f t="shared" si="3"/>
        <v>1550</v>
      </c>
      <c r="G70" s="425">
        <f t="shared" si="3"/>
        <v>1545</v>
      </c>
      <c r="H70" s="425">
        <f t="shared" si="3"/>
        <v>1855</v>
      </c>
      <c r="I70" s="425">
        <f t="shared" si="3"/>
        <v>1855</v>
      </c>
      <c r="J70" s="425">
        <f t="shared" si="3"/>
        <v>0</v>
      </c>
      <c r="K70" s="425">
        <f t="shared" si="3"/>
        <v>3570</v>
      </c>
    </row>
    <row r="71" spans="1:11">
      <c r="A71" s="182"/>
      <c r="B71" s="423" t="str">
        <f t="shared" si="3"/>
        <v>Navisworks Manage*</v>
      </c>
      <c r="C71" s="425">
        <f t="shared" si="3"/>
        <v>1230</v>
      </c>
      <c r="D71" s="425">
        <f t="shared" si="3"/>
        <v>870</v>
      </c>
      <c r="E71" s="425">
        <f t="shared" si="3"/>
        <v>915</v>
      </c>
      <c r="F71" s="425">
        <f t="shared" si="3"/>
        <v>915</v>
      </c>
      <c r="G71" s="425">
        <f t="shared" si="3"/>
        <v>1420</v>
      </c>
      <c r="H71" s="425">
        <f t="shared" si="3"/>
        <v>1705</v>
      </c>
      <c r="I71" s="425">
        <f t="shared" si="3"/>
        <v>1705</v>
      </c>
      <c r="J71" s="425">
        <f t="shared" si="3"/>
        <v>2120</v>
      </c>
      <c r="K71" s="425">
        <f t="shared" si="3"/>
        <v>3180</v>
      </c>
    </row>
    <row r="72" spans="1:11">
      <c r="A72" s="182"/>
      <c r="B72" s="423" t="str">
        <f t="shared" si="3"/>
        <v>Navisworks Simulate</v>
      </c>
      <c r="C72" s="425">
        <f t="shared" si="3"/>
        <v>330</v>
      </c>
      <c r="D72" s="425">
        <f t="shared" si="3"/>
        <v>345</v>
      </c>
      <c r="E72" s="425">
        <f t="shared" si="3"/>
        <v>360</v>
      </c>
      <c r="F72" s="425">
        <f t="shared" si="3"/>
        <v>360</v>
      </c>
      <c r="G72" s="425">
        <f t="shared" si="3"/>
        <v>365</v>
      </c>
      <c r="H72" s="425">
        <f t="shared" si="3"/>
        <v>440</v>
      </c>
      <c r="I72" s="425">
        <f t="shared" si="3"/>
        <v>440</v>
      </c>
      <c r="J72" s="425">
        <f t="shared" si="3"/>
        <v>860</v>
      </c>
      <c r="K72" s="425">
        <f t="shared" si="3"/>
        <v>1505</v>
      </c>
    </row>
    <row r="73" spans="1:11">
      <c r="A73" s="182"/>
      <c r="B73" s="423" t="str">
        <f t="shared" si="3"/>
        <v>Plant Design Suite Premium</v>
      </c>
      <c r="C73" s="425">
        <f t="shared" si="3"/>
        <v>1495</v>
      </c>
      <c r="D73" s="425" t="str">
        <f t="shared" si="3"/>
        <v>M2S to Collection</v>
      </c>
      <c r="E73" s="425" t="str">
        <f t="shared" si="3"/>
        <v>M2S to Collection</v>
      </c>
      <c r="F73" s="425" t="str">
        <f t="shared" si="3"/>
        <v>M2S to Collection</v>
      </c>
      <c r="G73" s="425">
        <f t="shared" si="3"/>
        <v>1725</v>
      </c>
      <c r="H73" s="425">
        <f t="shared" si="3"/>
        <v>2070</v>
      </c>
      <c r="I73" s="425">
        <f t="shared" si="3"/>
        <v>2070</v>
      </c>
      <c r="J73" s="425">
        <f t="shared" si="3"/>
        <v>0</v>
      </c>
      <c r="K73" s="425">
        <f t="shared" si="3"/>
        <v>0</v>
      </c>
    </row>
    <row r="74" spans="1:11">
      <c r="A74" s="182"/>
      <c r="B74" s="423" t="str">
        <f t="shared" si="3"/>
        <v>Plant Design Suite Standard</v>
      </c>
      <c r="C74" s="425">
        <f t="shared" si="3"/>
        <v>840</v>
      </c>
      <c r="D74" s="425" t="str">
        <f t="shared" si="3"/>
        <v>M2S to Collection</v>
      </c>
      <c r="E74" s="425" t="str">
        <f t="shared" si="3"/>
        <v>M2S to Collection</v>
      </c>
      <c r="F74" s="425" t="str">
        <f t="shared" si="3"/>
        <v>M2S to Collection</v>
      </c>
      <c r="G74" s="425">
        <f t="shared" si="3"/>
        <v>970</v>
      </c>
      <c r="H74" s="425">
        <f t="shared" si="3"/>
        <v>1165</v>
      </c>
      <c r="I74" s="425">
        <f t="shared" si="3"/>
        <v>1165</v>
      </c>
      <c r="J74" s="425">
        <f t="shared" si="3"/>
        <v>0</v>
      </c>
      <c r="K74" s="425">
        <f t="shared" si="3"/>
        <v>0</v>
      </c>
    </row>
    <row r="75" spans="1:11">
      <c r="A75" s="182"/>
      <c r="B75" s="423" t="str">
        <f t="shared" si="3"/>
        <v>Plant Design Suite Ultimate</v>
      </c>
      <c r="C75" s="425">
        <f t="shared" si="3"/>
        <v>2185</v>
      </c>
      <c r="D75" s="425" t="str">
        <f t="shared" si="3"/>
        <v>M2S to Collection</v>
      </c>
      <c r="E75" s="425" t="str">
        <f t="shared" si="3"/>
        <v>M2S to Collection</v>
      </c>
      <c r="F75" s="425" t="str">
        <f t="shared" si="3"/>
        <v>M2S to Collection</v>
      </c>
      <c r="G75" s="425">
        <f t="shared" si="3"/>
        <v>2525</v>
      </c>
      <c r="H75" s="425">
        <f t="shared" si="3"/>
        <v>3030</v>
      </c>
      <c r="I75" s="425">
        <f t="shared" si="3"/>
        <v>3030</v>
      </c>
      <c r="J75" s="425">
        <f t="shared" si="3"/>
        <v>0</v>
      </c>
      <c r="K75" s="425">
        <f t="shared" si="3"/>
        <v>0</v>
      </c>
    </row>
    <row r="76" spans="1:11">
      <c r="A76" s="182"/>
      <c r="B76" s="423" t="str">
        <f t="shared" si="3"/>
        <v>Point Layout</v>
      </c>
      <c r="C76" s="425">
        <f t="shared" si="3"/>
        <v>630</v>
      </c>
      <c r="D76" s="425">
        <f t="shared" si="3"/>
        <v>660</v>
      </c>
      <c r="E76" s="425">
        <f t="shared" si="3"/>
        <v>695</v>
      </c>
      <c r="F76" s="425">
        <f t="shared" si="3"/>
        <v>695</v>
      </c>
      <c r="G76" s="425">
        <f t="shared" si="3"/>
        <v>695</v>
      </c>
      <c r="H76" s="425">
        <f t="shared" si="3"/>
        <v>835</v>
      </c>
      <c r="I76" s="425">
        <f t="shared" si="3"/>
        <v>835</v>
      </c>
      <c r="J76" s="425">
        <f t="shared" si="3"/>
        <v>1640</v>
      </c>
      <c r="K76" s="425">
        <f t="shared" si="3"/>
        <v>2870</v>
      </c>
    </row>
    <row r="77" spans="1:11">
      <c r="A77" s="182"/>
      <c r="B77" s="423" t="str">
        <f t="shared" si="3"/>
        <v>Product Design Suite Premium</v>
      </c>
      <c r="C77" s="425">
        <f t="shared" si="3"/>
        <v>800</v>
      </c>
      <c r="D77" s="425" t="str">
        <f t="shared" si="3"/>
        <v>M2S to Collection</v>
      </c>
      <c r="E77" s="425" t="str">
        <f t="shared" si="3"/>
        <v>M2S to Collection</v>
      </c>
      <c r="F77" s="425" t="str">
        <f t="shared" si="3"/>
        <v>M2S to Collection</v>
      </c>
      <c r="G77" s="425">
        <f t="shared" si="3"/>
        <v>925</v>
      </c>
      <c r="H77" s="425">
        <f t="shared" si="3"/>
        <v>1110</v>
      </c>
      <c r="I77" s="425">
        <f t="shared" si="3"/>
        <v>1110</v>
      </c>
      <c r="J77" s="425">
        <f t="shared" si="3"/>
        <v>0</v>
      </c>
      <c r="K77" s="425">
        <f t="shared" si="3"/>
        <v>0</v>
      </c>
    </row>
    <row r="78" spans="1:11">
      <c r="A78" s="182"/>
      <c r="B78" s="423" t="str">
        <f t="shared" si="3"/>
        <v>Product Design Suite Ultimate</v>
      </c>
      <c r="C78" s="425">
        <f t="shared" si="3"/>
        <v>1125</v>
      </c>
      <c r="D78" s="425" t="str">
        <f t="shared" si="3"/>
        <v>M2S to Collection</v>
      </c>
      <c r="E78" s="425" t="str">
        <f t="shared" si="3"/>
        <v>M2S to Collection</v>
      </c>
      <c r="F78" s="425" t="str">
        <f t="shared" si="3"/>
        <v>M2S to Collection</v>
      </c>
      <c r="G78" s="425">
        <f t="shared" si="3"/>
        <v>1300</v>
      </c>
      <c r="H78" s="425">
        <f t="shared" si="3"/>
        <v>1560</v>
      </c>
      <c r="I78" s="425">
        <f t="shared" si="3"/>
        <v>1560</v>
      </c>
      <c r="J78" s="425">
        <f t="shared" si="3"/>
        <v>0</v>
      </c>
      <c r="K78" s="425">
        <f t="shared" si="3"/>
        <v>0</v>
      </c>
    </row>
    <row r="79" spans="1:11">
      <c r="A79" s="182"/>
      <c r="B79" s="423" t="str">
        <f t="shared" si="3"/>
        <v>Quantity Take Off</v>
      </c>
      <c r="C79" s="425">
        <f t="shared" si="3"/>
        <v>315</v>
      </c>
      <c r="D79" s="425">
        <f t="shared" si="3"/>
        <v>0</v>
      </c>
      <c r="E79" s="425">
        <f t="shared" si="3"/>
        <v>0</v>
      </c>
      <c r="F79" s="425">
        <f t="shared" si="3"/>
        <v>0</v>
      </c>
      <c r="G79" s="425">
        <f t="shared" si="3"/>
        <v>345</v>
      </c>
      <c r="H79" s="425">
        <f t="shared" si="3"/>
        <v>415</v>
      </c>
      <c r="I79" s="425">
        <f t="shared" si="3"/>
        <v>415</v>
      </c>
      <c r="J79" s="425">
        <f t="shared" si="3"/>
        <v>0</v>
      </c>
      <c r="K79" s="425">
        <f t="shared" si="3"/>
        <v>0</v>
      </c>
    </row>
    <row r="80" spans="1:11">
      <c r="A80" s="182"/>
      <c r="B80" s="423" t="str">
        <f t="shared" si="3"/>
        <v>Revit</v>
      </c>
      <c r="C80" s="425">
        <f t="shared" si="3"/>
        <v>845</v>
      </c>
      <c r="D80" s="425">
        <f t="shared" si="3"/>
        <v>930</v>
      </c>
      <c r="E80" s="425">
        <f t="shared" si="3"/>
        <v>975</v>
      </c>
      <c r="F80" s="425">
        <f t="shared" si="3"/>
        <v>975</v>
      </c>
      <c r="G80" s="425">
        <f t="shared" si="3"/>
        <v>975</v>
      </c>
      <c r="H80" s="425">
        <f t="shared" si="3"/>
        <v>1170</v>
      </c>
      <c r="I80" s="425">
        <f t="shared" si="3"/>
        <v>1170</v>
      </c>
      <c r="J80" s="425">
        <f t="shared" si="3"/>
        <v>2250</v>
      </c>
      <c r="K80" s="425">
        <f t="shared" si="3"/>
        <v>3075</v>
      </c>
    </row>
    <row r="81" spans="1:11">
      <c r="A81" s="182"/>
      <c r="B81" s="423" t="str">
        <f t="shared" si="3"/>
        <v>Revit Architecture</v>
      </c>
      <c r="C81" s="425">
        <f t="shared" si="3"/>
        <v>885</v>
      </c>
      <c r="D81" s="425">
        <f t="shared" si="3"/>
        <v>930</v>
      </c>
      <c r="E81" s="425">
        <f t="shared" si="3"/>
        <v>975</v>
      </c>
      <c r="F81" s="425">
        <f t="shared" si="3"/>
        <v>975</v>
      </c>
      <c r="G81" s="425">
        <f t="shared" si="3"/>
        <v>975</v>
      </c>
      <c r="H81" s="425">
        <f t="shared" si="3"/>
        <v>1170</v>
      </c>
      <c r="I81" s="425">
        <f t="shared" si="3"/>
        <v>1170</v>
      </c>
      <c r="J81" s="425">
        <f t="shared" si="3"/>
        <v>2000</v>
      </c>
      <c r="K81" s="425">
        <f t="shared" si="3"/>
        <v>3000</v>
      </c>
    </row>
    <row r="82" spans="1:11">
      <c r="A82" s="182"/>
      <c r="B82" s="423" t="str">
        <f t="shared" si="3"/>
        <v>Revit LT</v>
      </c>
      <c r="C82" s="425">
        <f t="shared" si="3"/>
        <v>195</v>
      </c>
      <c r="D82" s="425">
        <f t="shared" si="3"/>
        <v>215</v>
      </c>
      <c r="E82" s="425">
        <f t="shared" si="3"/>
        <v>225</v>
      </c>
      <c r="F82" s="425">
        <f t="shared" si="3"/>
        <v>225</v>
      </c>
      <c r="G82" s="425">
        <f t="shared" si="3"/>
        <v>225</v>
      </c>
      <c r="H82" s="425">
        <f t="shared" si="3"/>
        <v>270</v>
      </c>
      <c r="I82" s="425">
        <f t="shared" si="3"/>
        <v>270</v>
      </c>
      <c r="J82" s="425">
        <f t="shared" si="3"/>
        <v>420</v>
      </c>
      <c r="K82" s="425">
        <f t="shared" si="3"/>
        <v>0</v>
      </c>
    </row>
    <row r="83" spans="1:11">
      <c r="A83" s="182"/>
      <c r="B83" s="423" t="str">
        <f t="shared" si="3"/>
        <v>Revit MEP</v>
      </c>
      <c r="C83" s="425">
        <f t="shared" si="3"/>
        <v>885</v>
      </c>
      <c r="D83" s="425">
        <f t="shared" si="3"/>
        <v>930</v>
      </c>
      <c r="E83" s="425">
        <f t="shared" si="3"/>
        <v>975</v>
      </c>
      <c r="F83" s="425">
        <f t="shared" si="3"/>
        <v>975</v>
      </c>
      <c r="G83" s="425">
        <f t="shared" si="3"/>
        <v>975</v>
      </c>
      <c r="H83" s="425">
        <f t="shared" si="3"/>
        <v>1170</v>
      </c>
      <c r="I83" s="425">
        <f t="shared" si="3"/>
        <v>1170</v>
      </c>
      <c r="J83" s="425">
        <f t="shared" si="3"/>
        <v>2000</v>
      </c>
      <c r="K83" s="425">
        <f t="shared" si="3"/>
        <v>3000</v>
      </c>
    </row>
    <row r="84" spans="1:11">
      <c r="A84" s="182"/>
      <c r="B84" s="423" t="str">
        <f t="shared" si="3"/>
        <v>Revit Structure</v>
      </c>
      <c r="C84" s="425">
        <f t="shared" si="3"/>
        <v>885</v>
      </c>
      <c r="D84" s="425">
        <f t="shared" si="3"/>
        <v>930</v>
      </c>
      <c r="E84" s="425">
        <f t="shared" si="3"/>
        <v>975</v>
      </c>
      <c r="F84" s="425">
        <f t="shared" si="3"/>
        <v>975</v>
      </c>
      <c r="G84" s="425">
        <f t="shared" si="3"/>
        <v>975</v>
      </c>
      <c r="H84" s="425">
        <f t="shared" si="3"/>
        <v>1170</v>
      </c>
      <c r="I84" s="425">
        <f t="shared" si="3"/>
        <v>1170</v>
      </c>
      <c r="J84" s="425">
        <f t="shared" si="3"/>
        <v>2000</v>
      </c>
      <c r="K84" s="425">
        <f t="shared" si="3"/>
        <v>3000</v>
      </c>
    </row>
    <row r="85" spans="1:11">
      <c r="A85" s="182"/>
      <c r="B85" s="423" t="str">
        <f t="shared" si="3"/>
        <v>Robot Structural Analysis Professional</v>
      </c>
      <c r="C85" s="425">
        <f t="shared" si="3"/>
        <v>990</v>
      </c>
      <c r="D85" s="425">
        <f t="shared" si="3"/>
        <v>1040</v>
      </c>
      <c r="E85" s="425">
        <f t="shared" si="3"/>
        <v>1090</v>
      </c>
      <c r="F85" s="425">
        <f t="shared" si="3"/>
        <v>1090</v>
      </c>
      <c r="G85" s="425">
        <f t="shared" si="3"/>
        <v>1090</v>
      </c>
      <c r="H85" s="425">
        <f t="shared" si="3"/>
        <v>1310</v>
      </c>
      <c r="I85" s="425">
        <f t="shared" si="3"/>
        <v>1310</v>
      </c>
      <c r="J85" s="425">
        <f t="shared" si="3"/>
        <v>2585</v>
      </c>
      <c r="K85" s="425">
        <f t="shared" si="3"/>
        <v>4525</v>
      </c>
    </row>
    <row r="86" spans="1:11">
      <c r="A86" s="182"/>
      <c r="B86" s="423" t="str">
        <f t="shared" si="3"/>
        <v>Simulation Mechanical</v>
      </c>
      <c r="C86" s="425">
        <f t="shared" si="3"/>
        <v>2480</v>
      </c>
      <c r="D86" s="425">
        <f t="shared" si="3"/>
        <v>1475</v>
      </c>
      <c r="E86" s="425">
        <f t="shared" si="3"/>
        <v>1550</v>
      </c>
      <c r="F86" s="425">
        <f t="shared" si="3"/>
        <v>1550</v>
      </c>
      <c r="G86" s="425">
        <f t="shared" si="3"/>
        <v>2730</v>
      </c>
      <c r="H86" s="425">
        <f t="shared" si="3"/>
        <v>3275</v>
      </c>
      <c r="I86" s="425">
        <f t="shared" si="3"/>
        <v>3275</v>
      </c>
      <c r="J86" s="425">
        <f t="shared" si="3"/>
        <v>0</v>
      </c>
      <c r="K86" s="425">
        <f t="shared" si="3"/>
        <v>3570</v>
      </c>
    </row>
    <row r="87" spans="1:11">
      <c r="A87" s="182"/>
      <c r="B87" s="423" t="str">
        <f t="shared" si="3"/>
        <v>SketchBook - For Enterprise</v>
      </c>
      <c r="C87" s="425">
        <f t="shared" si="3"/>
        <v>30</v>
      </c>
      <c r="D87" s="425">
        <f t="shared" si="3"/>
        <v>30</v>
      </c>
      <c r="E87" s="425">
        <f t="shared" si="3"/>
        <v>30</v>
      </c>
      <c r="F87" s="425">
        <f t="shared" si="3"/>
        <v>30</v>
      </c>
      <c r="G87" s="425">
        <f t="shared" si="3"/>
        <v>35</v>
      </c>
      <c r="H87" s="425">
        <f t="shared" si="3"/>
        <v>40</v>
      </c>
      <c r="I87" s="425">
        <f t="shared" si="3"/>
        <v>40</v>
      </c>
      <c r="J87" s="425">
        <f t="shared" si="3"/>
        <v>85</v>
      </c>
      <c r="K87" s="425">
        <f t="shared" si="3"/>
        <v>150</v>
      </c>
    </row>
    <row r="88" spans="1:11">
      <c r="A88" s="182"/>
      <c r="B88" s="423" t="str">
        <f t="shared" si="3"/>
        <v>Structural Bridge Design</v>
      </c>
      <c r="C88" s="425">
        <f t="shared" si="3"/>
        <v>630</v>
      </c>
      <c r="D88" s="425" t="str">
        <f t="shared" si="3"/>
        <v>M2S to Collection</v>
      </c>
      <c r="E88" s="425" t="str">
        <f t="shared" si="3"/>
        <v>M2S to Collection</v>
      </c>
      <c r="F88" s="425" t="str">
        <f t="shared" si="3"/>
        <v>M2S to Collection</v>
      </c>
      <c r="G88" s="425">
        <f t="shared" si="3"/>
        <v>695</v>
      </c>
      <c r="H88" s="425">
        <f t="shared" si="3"/>
        <v>835</v>
      </c>
      <c r="I88" s="425">
        <f t="shared" si="3"/>
        <v>835</v>
      </c>
      <c r="J88" s="425">
        <f t="shared" si="3"/>
        <v>0</v>
      </c>
      <c r="K88" s="425">
        <f t="shared" si="3"/>
        <v>0</v>
      </c>
    </row>
    <row r="89" spans="1:11">
      <c r="A89" s="182"/>
      <c r="B89" s="423" t="str">
        <f t="shared" si="3"/>
        <v>TruComp</v>
      </c>
      <c r="C89" s="425">
        <f t="shared" si="3"/>
        <v>13775</v>
      </c>
      <c r="D89" s="425">
        <f t="shared" si="3"/>
        <v>14465</v>
      </c>
      <c r="E89" s="425">
        <f t="shared" si="3"/>
        <v>15190</v>
      </c>
      <c r="F89" s="425">
        <f t="shared" si="3"/>
        <v>15190</v>
      </c>
      <c r="G89" s="425">
        <f t="shared" si="3"/>
        <v>15155</v>
      </c>
      <c r="H89" s="425">
        <f t="shared" si="3"/>
        <v>18185</v>
      </c>
      <c r="I89" s="425">
        <f t="shared" si="3"/>
        <v>18185</v>
      </c>
      <c r="J89" s="425">
        <f t="shared" si="3"/>
        <v>0</v>
      </c>
      <c r="K89" s="425">
        <f t="shared" si="3"/>
        <v>53790</v>
      </c>
    </row>
    <row r="90" spans="1:11">
      <c r="A90" s="182"/>
      <c r="B90" s="423" t="str">
        <f t="shared" si="3"/>
        <v>TruLaser</v>
      </c>
      <c r="C90" s="425">
        <f t="shared" si="3"/>
        <v>2370</v>
      </c>
      <c r="D90" s="425">
        <f t="shared" si="3"/>
        <v>2490</v>
      </c>
      <c r="E90" s="425">
        <f t="shared" si="3"/>
        <v>2615</v>
      </c>
      <c r="F90" s="425">
        <f t="shared" si="3"/>
        <v>2615</v>
      </c>
      <c r="G90" s="425">
        <f t="shared" si="3"/>
        <v>2605</v>
      </c>
      <c r="H90" s="425">
        <f t="shared" si="3"/>
        <v>3125</v>
      </c>
      <c r="I90" s="425">
        <f t="shared" si="3"/>
        <v>3125</v>
      </c>
      <c r="J90" s="425">
        <f t="shared" si="3"/>
        <v>6160</v>
      </c>
      <c r="K90" s="425">
        <f t="shared" si="3"/>
        <v>10780</v>
      </c>
    </row>
    <row r="91" spans="1:11">
      <c r="A91" s="182"/>
      <c r="B91" s="423" t="str">
        <f t="shared" si="3"/>
        <v>TruNest Composites</v>
      </c>
      <c r="C91" s="425">
        <f t="shared" si="3"/>
        <v>3940</v>
      </c>
      <c r="D91" s="425">
        <f t="shared" si="3"/>
        <v>4135</v>
      </c>
      <c r="E91" s="425">
        <f t="shared" si="3"/>
        <v>4340</v>
      </c>
      <c r="F91" s="425">
        <f t="shared" si="3"/>
        <v>4340</v>
      </c>
      <c r="G91" s="425">
        <f t="shared" si="3"/>
        <v>4335</v>
      </c>
      <c r="H91" s="425">
        <f t="shared" si="3"/>
        <v>5200</v>
      </c>
      <c r="I91" s="425">
        <f t="shared" si="3"/>
        <v>5200</v>
      </c>
      <c r="J91" s="425">
        <f t="shared" si="3"/>
        <v>10250</v>
      </c>
      <c r="K91" s="425">
        <f t="shared" si="3"/>
        <v>17940</v>
      </c>
    </row>
    <row r="92" spans="1:11">
      <c r="A92" s="182"/>
      <c r="B92" s="423" t="str">
        <f t="shared" si="3"/>
        <v>TruNest Contour</v>
      </c>
      <c r="C92" s="425">
        <f t="shared" si="3"/>
        <v>3140</v>
      </c>
      <c r="D92" s="425">
        <f t="shared" si="3"/>
        <v>3295</v>
      </c>
      <c r="E92" s="425">
        <f t="shared" si="3"/>
        <v>3460</v>
      </c>
      <c r="F92" s="425">
        <f t="shared" si="3"/>
        <v>3460</v>
      </c>
      <c r="G92" s="425">
        <f t="shared" si="3"/>
        <v>3455</v>
      </c>
      <c r="H92" s="425">
        <f t="shared" si="3"/>
        <v>4145</v>
      </c>
      <c r="I92" s="425">
        <f t="shared" si="3"/>
        <v>4145</v>
      </c>
      <c r="J92" s="425">
        <f t="shared" si="3"/>
        <v>8180</v>
      </c>
      <c r="K92" s="425">
        <f t="shared" si="3"/>
        <v>14315</v>
      </c>
    </row>
    <row r="93" spans="1:11">
      <c r="A93" s="182"/>
      <c r="B93" s="423" t="str">
        <f t="shared" si="3"/>
        <v>TruNest Multi-Tool</v>
      </c>
      <c r="C93" s="425">
        <f t="shared" si="3"/>
        <v>3940</v>
      </c>
      <c r="D93" s="425">
        <f t="shared" si="3"/>
        <v>4135</v>
      </c>
      <c r="E93" s="425">
        <f t="shared" si="3"/>
        <v>4340</v>
      </c>
      <c r="F93" s="425">
        <f t="shared" si="3"/>
        <v>4340</v>
      </c>
      <c r="G93" s="425">
        <f t="shared" si="3"/>
        <v>4335</v>
      </c>
      <c r="H93" s="425">
        <f t="shared" si="3"/>
        <v>5200</v>
      </c>
      <c r="I93" s="425">
        <f t="shared" si="3"/>
        <v>5200</v>
      </c>
      <c r="J93" s="425">
        <f t="shared" si="3"/>
        <v>10250</v>
      </c>
      <c r="K93" s="425">
        <f t="shared" si="3"/>
        <v>17940</v>
      </c>
    </row>
    <row r="94" spans="1:11">
      <c r="A94" s="182"/>
      <c r="B94" s="423" t="str">
        <f t="shared" si="3"/>
        <v>Vault Office</v>
      </c>
      <c r="C94" s="425">
        <f t="shared" si="3"/>
        <v>85</v>
      </c>
      <c r="D94" s="425">
        <f t="shared" si="3"/>
        <v>90</v>
      </c>
      <c r="E94" s="425">
        <f t="shared" si="3"/>
        <v>95</v>
      </c>
      <c r="F94" s="425">
        <f t="shared" si="3"/>
        <v>95</v>
      </c>
      <c r="G94" s="425">
        <f t="shared" si="3"/>
        <v>95</v>
      </c>
      <c r="H94" s="425">
        <f t="shared" si="3"/>
        <v>115</v>
      </c>
      <c r="I94" s="425">
        <f t="shared" si="3"/>
        <v>115</v>
      </c>
      <c r="J94" s="425">
        <f t="shared" si="3"/>
        <v>0</v>
      </c>
      <c r="K94" s="425">
        <f t="shared" si="3"/>
        <v>255</v>
      </c>
    </row>
    <row r="95" spans="1:11">
      <c r="A95" s="182"/>
      <c r="B95" s="423" t="str">
        <f t="shared" si="3"/>
        <v>Vault Professional</v>
      </c>
      <c r="C95" s="425">
        <f t="shared" ref="B95:K102" si="4">CHOOSE(calcCurrencyIndexNum,Data_USD_Tbl,Data_CAD_Tbl,Data_EUR_Tbl,Data_JPY_Tbl,Data_AUD_Tbl,Data_GBP_Tbl)</f>
        <v>315</v>
      </c>
      <c r="D95" s="425">
        <f t="shared" si="4"/>
        <v>330</v>
      </c>
      <c r="E95" s="425">
        <f t="shared" si="4"/>
        <v>345</v>
      </c>
      <c r="F95" s="425">
        <f t="shared" si="4"/>
        <v>345</v>
      </c>
      <c r="G95" s="425">
        <f t="shared" si="4"/>
        <v>345</v>
      </c>
      <c r="H95" s="425">
        <f t="shared" si="4"/>
        <v>415</v>
      </c>
      <c r="I95" s="425">
        <f t="shared" si="4"/>
        <v>415</v>
      </c>
      <c r="J95" s="425">
        <f t="shared" si="4"/>
        <v>650</v>
      </c>
      <c r="K95" s="425">
        <f t="shared" si="4"/>
        <v>975</v>
      </c>
    </row>
    <row r="96" spans="1:11">
      <c r="A96" s="182"/>
      <c r="B96" s="423" t="str">
        <f t="shared" si="4"/>
        <v>Vault Workgroup</v>
      </c>
      <c r="C96" s="425">
        <f t="shared" si="4"/>
        <v>165</v>
      </c>
      <c r="D96" s="425">
        <f t="shared" si="4"/>
        <v>175</v>
      </c>
      <c r="E96" s="425">
        <f t="shared" si="4"/>
        <v>185</v>
      </c>
      <c r="F96" s="425">
        <f t="shared" si="4"/>
        <v>185</v>
      </c>
      <c r="G96" s="425">
        <f t="shared" si="4"/>
        <v>180</v>
      </c>
      <c r="H96" s="425">
        <f t="shared" si="4"/>
        <v>215</v>
      </c>
      <c r="I96" s="425">
        <f t="shared" si="4"/>
        <v>215</v>
      </c>
      <c r="J96" s="425">
        <f t="shared" si="4"/>
        <v>345</v>
      </c>
      <c r="K96" s="425">
        <f t="shared" si="4"/>
        <v>520</v>
      </c>
    </row>
    <row r="97" spans="1:11">
      <c r="A97" s="182"/>
      <c r="B97" s="423" t="str">
        <f t="shared" si="4"/>
        <v>Vehicle Tracking</v>
      </c>
      <c r="C97" s="425">
        <f t="shared" si="4"/>
        <v>315</v>
      </c>
      <c r="D97" s="425">
        <f t="shared" si="4"/>
        <v>330</v>
      </c>
      <c r="E97" s="425">
        <f t="shared" si="4"/>
        <v>345</v>
      </c>
      <c r="F97" s="425">
        <f t="shared" si="4"/>
        <v>345</v>
      </c>
      <c r="G97" s="425">
        <f t="shared" si="4"/>
        <v>345</v>
      </c>
      <c r="H97" s="425">
        <f t="shared" si="4"/>
        <v>415</v>
      </c>
      <c r="I97" s="425">
        <f t="shared" si="4"/>
        <v>415</v>
      </c>
      <c r="J97" s="425">
        <f t="shared" si="4"/>
        <v>820</v>
      </c>
      <c r="K97" s="425">
        <f t="shared" si="4"/>
        <v>1435</v>
      </c>
    </row>
    <row r="98" spans="1:11">
      <c r="A98" s="182"/>
      <c r="B98" s="423" t="str">
        <f t="shared" si="4"/>
        <v>VRED</v>
      </c>
      <c r="C98" s="425">
        <f t="shared" si="4"/>
        <v>240</v>
      </c>
      <c r="D98" s="425">
        <f t="shared" si="4"/>
        <v>250</v>
      </c>
      <c r="E98" s="425">
        <f t="shared" si="4"/>
        <v>265</v>
      </c>
      <c r="F98" s="425">
        <f t="shared" si="4"/>
        <v>265</v>
      </c>
      <c r="G98" s="425">
        <f t="shared" si="4"/>
        <v>265</v>
      </c>
      <c r="H98" s="425">
        <f t="shared" si="4"/>
        <v>320</v>
      </c>
      <c r="I98" s="425">
        <f t="shared" si="4"/>
        <v>320</v>
      </c>
      <c r="J98" s="425">
        <f t="shared" si="4"/>
        <v>625</v>
      </c>
      <c r="K98" s="425">
        <f t="shared" si="4"/>
        <v>1095</v>
      </c>
    </row>
    <row r="99" spans="1:11">
      <c r="A99" s="182"/>
      <c r="B99" s="423" t="str">
        <f t="shared" si="4"/>
        <v>VRED Design</v>
      </c>
      <c r="C99" s="425">
        <f t="shared" si="4"/>
        <v>1075</v>
      </c>
      <c r="D99" s="425">
        <f t="shared" si="4"/>
        <v>1130</v>
      </c>
      <c r="E99" s="425">
        <f t="shared" si="4"/>
        <v>1185</v>
      </c>
      <c r="F99" s="425">
        <f t="shared" si="4"/>
        <v>1185</v>
      </c>
      <c r="G99" s="425">
        <f t="shared" si="4"/>
        <v>1185</v>
      </c>
      <c r="H99" s="425">
        <f t="shared" si="4"/>
        <v>1420</v>
      </c>
      <c r="I99" s="425">
        <f t="shared" si="4"/>
        <v>1420</v>
      </c>
      <c r="J99" s="425">
        <f t="shared" si="4"/>
        <v>2800</v>
      </c>
      <c r="K99" s="425">
        <f t="shared" si="4"/>
        <v>4900</v>
      </c>
    </row>
    <row r="100" spans="1:11">
      <c r="A100" s="182"/>
      <c r="B100" s="423" t="str">
        <f t="shared" si="4"/>
        <v>VRED Presenter</v>
      </c>
      <c r="C100" s="425">
        <f t="shared" si="4"/>
        <v>240</v>
      </c>
      <c r="D100" s="425">
        <f t="shared" si="4"/>
        <v>250</v>
      </c>
      <c r="E100" s="425">
        <f t="shared" si="4"/>
        <v>265</v>
      </c>
      <c r="F100" s="425">
        <f t="shared" si="4"/>
        <v>265</v>
      </c>
      <c r="G100" s="425">
        <f t="shared" si="4"/>
        <v>265</v>
      </c>
      <c r="H100" s="425">
        <f t="shared" si="4"/>
        <v>320</v>
      </c>
      <c r="I100" s="425">
        <f t="shared" si="4"/>
        <v>320</v>
      </c>
      <c r="J100" s="425">
        <f t="shared" si="4"/>
        <v>625</v>
      </c>
      <c r="K100" s="425">
        <f t="shared" si="4"/>
        <v>1095</v>
      </c>
    </row>
    <row r="101" spans="1:11">
      <c r="A101" s="182"/>
      <c r="B101" s="423" t="str">
        <f t="shared" si="4"/>
        <v>VRED Professional</v>
      </c>
      <c r="C101" s="425">
        <f t="shared" si="4"/>
        <v>4405</v>
      </c>
      <c r="D101" s="425">
        <f t="shared" si="4"/>
        <v>4625</v>
      </c>
      <c r="E101" s="425">
        <f t="shared" si="4"/>
        <v>4855</v>
      </c>
      <c r="F101" s="425">
        <f t="shared" si="4"/>
        <v>4855</v>
      </c>
      <c r="G101" s="425">
        <f t="shared" si="4"/>
        <v>4845</v>
      </c>
      <c r="H101" s="425">
        <f t="shared" si="4"/>
        <v>5815</v>
      </c>
      <c r="I101" s="425">
        <f t="shared" si="4"/>
        <v>5815</v>
      </c>
      <c r="J101" s="425">
        <f t="shared" si="4"/>
        <v>11470</v>
      </c>
      <c r="K101" s="425">
        <f t="shared" si="4"/>
        <v>20075</v>
      </c>
    </row>
    <row r="102" spans="1:11">
      <c r="A102" s="182"/>
      <c r="B102" s="423" t="str">
        <f t="shared" si="4"/>
        <v>VRED Render Node</v>
      </c>
      <c r="C102" s="425">
        <f t="shared" si="4"/>
        <v>745</v>
      </c>
      <c r="D102" s="425">
        <f t="shared" si="4"/>
        <v>780</v>
      </c>
      <c r="E102" s="425">
        <f t="shared" si="4"/>
        <v>820</v>
      </c>
      <c r="F102" s="425">
        <f t="shared" si="4"/>
        <v>820</v>
      </c>
      <c r="G102" s="425">
        <f t="shared" si="4"/>
        <v>820</v>
      </c>
      <c r="H102" s="425">
        <f t="shared" si="4"/>
        <v>985</v>
      </c>
      <c r="I102" s="425">
        <f t="shared" si="4"/>
        <v>985</v>
      </c>
      <c r="J102" s="425">
        <f t="shared" si="4"/>
        <v>0</v>
      </c>
      <c r="K102" s="425">
        <f t="shared" si="4"/>
        <v>1950</v>
      </c>
    </row>
    <row r="103" spans="1:11">
      <c r="A103" s="182"/>
      <c r="B103" s="423" t="str">
        <f t="shared" ref="B103:K118" si="5">CHOOSE(calcCurrencyIndexNum,Data_USD_Tbl,Data_CAD_Tbl,Data_EUR_Tbl,Data_JPY_Tbl,Data_AUD_Tbl,Data_GBP_Tbl)</f>
        <v>VRED Server</v>
      </c>
      <c r="C103" s="425">
        <f t="shared" si="5"/>
        <v>11740</v>
      </c>
      <c r="D103" s="425">
        <f t="shared" si="5"/>
        <v>12325</v>
      </c>
      <c r="E103" s="425">
        <f t="shared" si="5"/>
        <v>12940</v>
      </c>
      <c r="F103" s="425">
        <f t="shared" si="5"/>
        <v>12940</v>
      </c>
      <c r="G103" s="426">
        <f t="shared" si="5"/>
        <v>12915</v>
      </c>
      <c r="H103" s="426">
        <f t="shared" si="5"/>
        <v>15500</v>
      </c>
      <c r="I103" s="426">
        <f t="shared" si="5"/>
        <v>15500</v>
      </c>
      <c r="J103" s="425">
        <f t="shared" si="5"/>
        <v>0</v>
      </c>
      <c r="K103" s="425">
        <f t="shared" si="5"/>
        <v>36675</v>
      </c>
    </row>
    <row r="104" spans="1:11">
      <c r="A104" s="182"/>
      <c r="B104" s="423" t="str">
        <f t="shared" si="5"/>
        <v>PowerInspect - Premium</v>
      </c>
      <c r="C104" s="426">
        <f t="shared" si="5"/>
        <v>0</v>
      </c>
      <c r="D104" s="425">
        <f t="shared" si="5"/>
        <v>1575</v>
      </c>
      <c r="E104" s="425">
        <f t="shared" si="5"/>
        <v>1655</v>
      </c>
      <c r="F104" s="425">
        <f t="shared" si="5"/>
        <v>1740</v>
      </c>
      <c r="G104" s="426">
        <f t="shared" si="5"/>
        <v>1575</v>
      </c>
      <c r="H104" s="426">
        <f t="shared" si="5"/>
        <v>1735</v>
      </c>
      <c r="I104" s="426">
        <f t="shared" si="5"/>
        <v>2080</v>
      </c>
      <c r="J104" s="425">
        <f t="shared" si="5"/>
        <v>4100</v>
      </c>
      <c r="K104" s="425">
        <f t="shared" si="5"/>
        <v>6150</v>
      </c>
    </row>
    <row r="105" spans="1:11">
      <c r="A105" s="182"/>
      <c r="B105" s="423" t="str">
        <f t="shared" si="5"/>
        <v xml:space="preserve">PowerInspect - Standard </v>
      </c>
      <c r="C105" s="426">
        <f t="shared" si="5"/>
        <v>0</v>
      </c>
      <c r="D105" s="425">
        <f t="shared" si="5"/>
        <v>395</v>
      </c>
      <c r="E105" s="425">
        <f t="shared" si="5"/>
        <v>415</v>
      </c>
      <c r="F105" s="425">
        <f t="shared" si="5"/>
        <v>435</v>
      </c>
      <c r="G105" s="426">
        <f t="shared" si="5"/>
        <v>395</v>
      </c>
      <c r="H105" s="426">
        <f t="shared" si="5"/>
        <v>435</v>
      </c>
      <c r="I105" s="426">
        <f t="shared" si="5"/>
        <v>520</v>
      </c>
      <c r="J105" s="425">
        <f t="shared" si="5"/>
        <v>1025</v>
      </c>
      <c r="K105" s="425">
        <f t="shared" si="5"/>
        <v>1540</v>
      </c>
    </row>
    <row r="106" spans="1:11">
      <c r="A106" s="182"/>
      <c r="B106" s="423" t="str">
        <f t="shared" si="5"/>
        <v>PowerInspect - Ultimate</v>
      </c>
      <c r="C106" s="426">
        <f t="shared" si="5"/>
        <v>0</v>
      </c>
      <c r="D106" s="425">
        <f t="shared" si="5"/>
        <v>2365</v>
      </c>
      <c r="E106" s="425">
        <f t="shared" si="5"/>
        <v>2485</v>
      </c>
      <c r="F106" s="425">
        <f t="shared" si="5"/>
        <v>2610</v>
      </c>
      <c r="G106" s="426">
        <f t="shared" si="5"/>
        <v>2365</v>
      </c>
      <c r="H106" s="426">
        <f t="shared" si="5"/>
        <v>2600</v>
      </c>
      <c r="I106" s="426">
        <f t="shared" si="5"/>
        <v>3120</v>
      </c>
      <c r="J106" s="425">
        <f t="shared" si="5"/>
        <v>6155</v>
      </c>
      <c r="K106" s="425">
        <f t="shared" si="5"/>
        <v>9235</v>
      </c>
    </row>
    <row r="107" spans="1:11">
      <c r="A107" s="182"/>
      <c r="B107" s="423" t="str">
        <f t="shared" si="5"/>
        <v>PowerMill - Premium</v>
      </c>
      <c r="C107" s="426">
        <f t="shared" si="5"/>
        <v>0</v>
      </c>
      <c r="D107" s="425">
        <f t="shared" si="5"/>
        <v>3545</v>
      </c>
      <c r="E107" s="425">
        <f t="shared" si="5"/>
        <v>3720</v>
      </c>
      <c r="F107" s="425">
        <f t="shared" si="5"/>
        <v>3905</v>
      </c>
      <c r="G107" s="426">
        <f t="shared" si="5"/>
        <v>3545</v>
      </c>
      <c r="H107" s="426">
        <f t="shared" si="5"/>
        <v>3900</v>
      </c>
      <c r="I107" s="426">
        <f t="shared" si="5"/>
        <v>4680</v>
      </c>
      <c r="J107" s="425">
        <f t="shared" si="5"/>
        <v>9225</v>
      </c>
      <c r="K107" s="425">
        <f t="shared" si="5"/>
        <v>13840</v>
      </c>
    </row>
    <row r="108" spans="1:11">
      <c r="A108" s="182"/>
      <c r="B108" s="423" t="str">
        <f t="shared" si="5"/>
        <v>PowerMill - Standard</v>
      </c>
      <c r="C108" s="426">
        <f t="shared" si="5"/>
        <v>0</v>
      </c>
      <c r="D108" s="425">
        <f t="shared" si="5"/>
        <v>2365</v>
      </c>
      <c r="E108" s="425">
        <f t="shared" si="5"/>
        <v>2485</v>
      </c>
      <c r="F108" s="425">
        <f t="shared" si="5"/>
        <v>2610</v>
      </c>
      <c r="G108" s="426">
        <f t="shared" si="5"/>
        <v>2365</v>
      </c>
      <c r="H108" s="426">
        <f t="shared" si="5"/>
        <v>2600</v>
      </c>
      <c r="I108" s="426">
        <f t="shared" si="5"/>
        <v>3120</v>
      </c>
      <c r="J108" s="425">
        <f t="shared" si="5"/>
        <v>6155</v>
      </c>
      <c r="K108" s="425">
        <f t="shared" si="5"/>
        <v>9235</v>
      </c>
    </row>
    <row r="109" spans="1:11">
      <c r="A109" s="182"/>
      <c r="B109" s="423" t="str">
        <f t="shared" si="5"/>
        <v>PowerMill - Ultimate</v>
      </c>
      <c r="C109" s="426">
        <f t="shared" si="5"/>
        <v>0</v>
      </c>
      <c r="D109" s="425">
        <f t="shared" si="5"/>
        <v>4330</v>
      </c>
      <c r="E109" s="425">
        <f t="shared" si="5"/>
        <v>4545</v>
      </c>
      <c r="F109" s="425">
        <f t="shared" si="5"/>
        <v>4770</v>
      </c>
      <c r="G109" s="426">
        <f t="shared" si="5"/>
        <v>4330</v>
      </c>
      <c r="H109" s="426">
        <f t="shared" si="5"/>
        <v>4765</v>
      </c>
      <c r="I109" s="426">
        <f t="shared" si="5"/>
        <v>5720</v>
      </c>
      <c r="J109" s="425">
        <f t="shared" si="5"/>
        <v>11270</v>
      </c>
      <c r="K109" s="425">
        <f t="shared" si="5"/>
        <v>16905</v>
      </c>
    </row>
    <row r="110" spans="1:11">
      <c r="A110" s="182"/>
      <c r="B110" s="423" t="str">
        <f t="shared" si="5"/>
        <v>PowerShape - Premium</v>
      </c>
      <c r="C110" s="426">
        <f t="shared" si="5"/>
        <v>0</v>
      </c>
      <c r="D110" s="425">
        <f t="shared" si="5"/>
        <v>1260</v>
      </c>
      <c r="E110" s="425">
        <f t="shared" si="5"/>
        <v>1325</v>
      </c>
      <c r="F110" s="425">
        <f t="shared" si="5"/>
        <v>1390</v>
      </c>
      <c r="G110" s="426">
        <f t="shared" si="5"/>
        <v>1260</v>
      </c>
      <c r="H110" s="426">
        <f t="shared" si="5"/>
        <v>1385</v>
      </c>
      <c r="I110" s="426">
        <f t="shared" si="5"/>
        <v>1660</v>
      </c>
      <c r="J110" s="425">
        <f t="shared" si="5"/>
        <v>3280</v>
      </c>
      <c r="K110" s="425">
        <f t="shared" si="5"/>
        <v>4920</v>
      </c>
    </row>
    <row r="111" spans="1:11">
      <c r="A111" s="182"/>
      <c r="B111" s="423" t="str">
        <f t="shared" si="5"/>
        <v>PowerShape - Standard</v>
      </c>
      <c r="C111" s="426">
        <f t="shared" si="5"/>
        <v>0</v>
      </c>
      <c r="D111" s="425">
        <f t="shared" si="5"/>
        <v>945</v>
      </c>
      <c r="E111" s="425">
        <f t="shared" si="5"/>
        <v>990</v>
      </c>
      <c r="F111" s="425">
        <f t="shared" si="5"/>
        <v>1040</v>
      </c>
      <c r="G111" s="426">
        <f t="shared" si="5"/>
        <v>945</v>
      </c>
      <c r="H111" s="426">
        <f t="shared" si="5"/>
        <v>1040</v>
      </c>
      <c r="I111" s="426">
        <f t="shared" si="5"/>
        <v>1250</v>
      </c>
      <c r="J111" s="425">
        <f t="shared" si="5"/>
        <v>2455</v>
      </c>
      <c r="K111" s="425">
        <f t="shared" si="5"/>
        <v>3685</v>
      </c>
    </row>
    <row r="112" spans="1:11">
      <c r="A112" s="182"/>
      <c r="B112" s="423" t="str">
        <f t="shared" si="5"/>
        <v>PowerShape - Ultimate</v>
      </c>
      <c r="C112" s="426">
        <f t="shared" si="5"/>
        <v>0</v>
      </c>
      <c r="D112" s="425">
        <f t="shared" si="5"/>
        <v>1575</v>
      </c>
      <c r="E112" s="425">
        <f t="shared" si="5"/>
        <v>1655</v>
      </c>
      <c r="F112" s="425">
        <f t="shared" si="5"/>
        <v>1740</v>
      </c>
      <c r="G112" s="426">
        <f t="shared" si="5"/>
        <v>1575</v>
      </c>
      <c r="H112" s="426">
        <f t="shared" si="5"/>
        <v>1735</v>
      </c>
      <c r="I112" s="426">
        <f t="shared" si="5"/>
        <v>2080</v>
      </c>
      <c r="J112" s="425">
        <f t="shared" si="5"/>
        <v>4100</v>
      </c>
      <c r="K112" s="425">
        <f t="shared" si="5"/>
        <v>6150</v>
      </c>
    </row>
    <row r="113" spans="1:11">
      <c r="A113" s="182"/>
      <c r="B113" s="423" t="str">
        <f t="shared" si="5"/>
        <v>FeatureCAM - Premium</v>
      </c>
      <c r="C113" s="426">
        <f t="shared" si="5"/>
        <v>0</v>
      </c>
      <c r="D113" s="425">
        <f t="shared" si="5"/>
        <v>1970</v>
      </c>
      <c r="E113" s="425">
        <f t="shared" si="5"/>
        <v>2070</v>
      </c>
      <c r="F113" s="425">
        <f t="shared" si="5"/>
        <v>2175</v>
      </c>
      <c r="G113" s="426">
        <f t="shared" si="5"/>
        <v>1970</v>
      </c>
      <c r="H113" s="426">
        <f t="shared" si="5"/>
        <v>2165</v>
      </c>
      <c r="I113" s="426">
        <f t="shared" si="5"/>
        <v>2600</v>
      </c>
      <c r="J113" s="425">
        <f t="shared" si="5"/>
        <v>5125</v>
      </c>
      <c r="K113" s="425">
        <f t="shared" si="5"/>
        <v>7690</v>
      </c>
    </row>
    <row r="114" spans="1:11">
      <c r="A114" s="182"/>
      <c r="B114" s="423" t="str">
        <f t="shared" si="5"/>
        <v>FeatureCAM - Standard</v>
      </c>
      <c r="C114" s="426">
        <f t="shared" si="5"/>
        <v>0</v>
      </c>
      <c r="D114" s="425">
        <f t="shared" si="5"/>
        <v>790</v>
      </c>
      <c r="E114" s="425">
        <f t="shared" si="5"/>
        <v>830</v>
      </c>
      <c r="F114" s="425">
        <f t="shared" si="5"/>
        <v>870</v>
      </c>
      <c r="G114" s="426">
        <f t="shared" si="5"/>
        <v>790</v>
      </c>
      <c r="H114" s="426">
        <f t="shared" si="5"/>
        <v>870</v>
      </c>
      <c r="I114" s="426">
        <f t="shared" si="5"/>
        <v>1045</v>
      </c>
      <c r="J114" s="425">
        <f t="shared" si="5"/>
        <v>2055</v>
      </c>
      <c r="K114" s="425">
        <f t="shared" si="5"/>
        <v>3085</v>
      </c>
    </row>
    <row r="115" spans="1:11">
      <c r="A115" s="182"/>
      <c r="B115" s="423" t="str">
        <f t="shared" si="5"/>
        <v>FeatureCAM - Ultimate</v>
      </c>
      <c r="C115" s="426">
        <f t="shared" si="5"/>
        <v>0</v>
      </c>
      <c r="D115" s="425">
        <f t="shared" si="5"/>
        <v>2755</v>
      </c>
      <c r="E115" s="425">
        <f t="shared" si="5"/>
        <v>2895</v>
      </c>
      <c r="F115" s="425">
        <f t="shared" si="5"/>
        <v>3040</v>
      </c>
      <c r="G115" s="426">
        <f t="shared" si="5"/>
        <v>2755</v>
      </c>
      <c r="H115" s="426">
        <f t="shared" si="5"/>
        <v>3030</v>
      </c>
      <c r="I115" s="426">
        <f t="shared" si="5"/>
        <v>3635</v>
      </c>
      <c r="J115" s="425">
        <f t="shared" si="5"/>
        <v>7170</v>
      </c>
      <c r="K115" s="425">
        <f t="shared" si="5"/>
        <v>10755</v>
      </c>
    </row>
    <row r="116" spans="1:11">
      <c r="A116" s="182"/>
      <c r="B116" s="423" t="str">
        <f t="shared" si="5"/>
        <v>Arnold</v>
      </c>
      <c r="C116" s="426">
        <f t="shared" si="5"/>
        <v>0</v>
      </c>
      <c r="D116" s="425">
        <f t="shared" si="5"/>
        <v>235</v>
      </c>
      <c r="E116" s="425">
        <f t="shared" si="5"/>
        <v>245</v>
      </c>
      <c r="F116" s="425">
        <f t="shared" si="5"/>
        <v>255</v>
      </c>
      <c r="G116" s="426">
        <f t="shared" si="5"/>
        <v>235</v>
      </c>
      <c r="H116" s="426">
        <f t="shared" si="5"/>
        <v>260</v>
      </c>
      <c r="I116" s="426">
        <f t="shared" si="5"/>
        <v>310</v>
      </c>
      <c r="J116" s="425">
        <f t="shared" si="5"/>
        <v>0</v>
      </c>
      <c r="K116" s="425">
        <f t="shared" si="5"/>
        <v>615</v>
      </c>
    </row>
    <row r="117" spans="1:11">
      <c r="A117" s="182"/>
      <c r="B117" s="423" t="str">
        <f t="shared" si="5"/>
        <v>Media and Entertainment Collection</v>
      </c>
      <c r="C117" s="426">
        <f t="shared" si="5"/>
        <v>0</v>
      </c>
      <c r="D117" s="425">
        <f t="shared" si="5"/>
        <v>955</v>
      </c>
      <c r="E117" s="425">
        <f t="shared" si="5"/>
        <v>1005</v>
      </c>
      <c r="F117" s="425">
        <f t="shared" si="5"/>
        <v>1005</v>
      </c>
      <c r="G117" s="426">
        <f t="shared" si="5"/>
        <v>0</v>
      </c>
      <c r="H117" s="426">
        <f t="shared" si="5"/>
        <v>0</v>
      </c>
      <c r="I117" s="426">
        <f t="shared" si="5"/>
        <v>0</v>
      </c>
      <c r="J117" s="425">
        <f t="shared" si="5"/>
        <v>2095</v>
      </c>
      <c r="K117" s="425">
        <f t="shared" si="5"/>
        <v>2935</v>
      </c>
    </row>
    <row r="118" spans="1:11">
      <c r="A118" s="182"/>
      <c r="B118" s="423" t="str">
        <f t="shared" si="5"/>
        <v>Product Design &amp; Manufacturing Collection</v>
      </c>
      <c r="C118" s="426">
        <f t="shared" si="5"/>
        <v>0</v>
      </c>
      <c r="D118" s="425">
        <f t="shared" si="5"/>
        <v>880</v>
      </c>
      <c r="E118" s="425">
        <f t="shared" si="5"/>
        <v>925</v>
      </c>
      <c r="F118" s="425">
        <f t="shared" si="5"/>
        <v>925</v>
      </c>
      <c r="G118" s="426">
        <f t="shared" si="5"/>
        <v>0</v>
      </c>
      <c r="H118" s="426">
        <f t="shared" si="5"/>
        <v>0</v>
      </c>
      <c r="I118" s="426">
        <f t="shared" si="5"/>
        <v>0</v>
      </c>
      <c r="J118" s="425">
        <f t="shared" si="5"/>
        <v>2525</v>
      </c>
      <c r="K118" s="425">
        <f t="shared" si="5"/>
        <v>3535</v>
      </c>
    </row>
    <row r="119" spans="1:11">
      <c r="A119" s="191"/>
      <c r="B119" s="191"/>
      <c r="C119" s="191"/>
      <c r="D119" s="191"/>
      <c r="E119" s="191"/>
      <c r="F119" s="191"/>
      <c r="G119" s="191"/>
      <c r="H119" s="191"/>
      <c r="I119" s="191"/>
      <c r="J119" s="191"/>
      <c r="K119" s="191" t="s">
        <v>535</v>
      </c>
    </row>
  </sheetData>
  <mergeCells count="3">
    <mergeCell ref="D1:F1"/>
    <mergeCell ref="G1:I1"/>
    <mergeCell ref="J1:K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pageSetUpPr fitToPage="1"/>
  </sheetPr>
  <dimension ref="A1:XEU131"/>
  <sheetViews>
    <sheetView topLeftCell="B1" zoomScaleNormal="100" workbookViewId="0">
      <pane xSplit="1" ySplit="21" topLeftCell="BD115" activePane="bottomRight" state="frozen"/>
      <selection activeCell="B1" sqref="B1"/>
      <selection pane="topRight" activeCell="C1" sqref="C1"/>
      <selection pane="bottomLeft" activeCell="B22" sqref="B22"/>
      <selection pane="bottomRight" activeCell="A95" sqref="A95:XFD103"/>
    </sheetView>
  </sheetViews>
  <sheetFormatPr defaultColWidth="6.3984375" defaultRowHeight="14.25" customHeight="1"/>
  <cols>
    <col min="1" max="1" width="18.09765625" hidden="1" customWidth="1"/>
    <col min="2" max="2" width="44" customWidth="1"/>
    <col min="3" max="74" width="16.5" customWidth="1"/>
  </cols>
  <sheetData>
    <row r="1" spans="1:67">
      <c r="A1" s="138"/>
      <c r="B1" s="144"/>
      <c r="C1" s="137"/>
      <c r="D1" s="137"/>
      <c r="E1" s="137"/>
      <c r="F1" s="137"/>
      <c r="G1" s="137"/>
      <c r="H1" s="137"/>
      <c r="I1" s="137"/>
      <c r="J1" s="137"/>
      <c r="K1" s="137"/>
      <c r="L1" s="137"/>
      <c r="M1" s="137"/>
      <c r="N1" s="137"/>
      <c r="O1" s="137"/>
      <c r="P1" s="137"/>
      <c r="Q1" s="137"/>
      <c r="R1" s="137"/>
      <c r="S1" s="137"/>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row>
    <row r="2" spans="1:67" ht="24.95" customHeight="1">
      <c r="A2" s="138"/>
      <c r="B2" s="137"/>
      <c r="C2" s="137"/>
      <c r="D2" s="137"/>
      <c r="E2" s="137"/>
      <c r="F2" s="137"/>
      <c r="G2" s="137"/>
      <c r="H2" s="137"/>
      <c r="I2" s="137"/>
      <c r="J2" s="137"/>
      <c r="K2" s="137"/>
      <c r="L2" s="137"/>
      <c r="M2" s="137"/>
      <c r="N2" s="137"/>
      <c r="O2" s="137"/>
      <c r="P2" s="137"/>
      <c r="Q2" s="137"/>
      <c r="R2" s="137"/>
      <c r="S2" s="137"/>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BE2" s="138"/>
      <c r="BF2" s="138"/>
      <c r="BG2" s="138"/>
      <c r="BH2" s="138"/>
      <c r="BI2" s="138"/>
      <c r="BJ2" s="138"/>
      <c r="BK2" s="138"/>
      <c r="BL2" s="138"/>
    </row>
    <row r="3" spans="1:67" ht="15.75">
      <c r="B3" s="355" t="s">
        <v>1870</v>
      </c>
      <c r="C3" s="143"/>
      <c r="D3" s="143"/>
      <c r="G3" s="137"/>
      <c r="H3" s="137"/>
      <c r="I3" s="137"/>
      <c r="J3" s="137"/>
      <c r="K3" s="137"/>
      <c r="L3" s="137"/>
      <c r="M3" s="137"/>
      <c r="N3" s="137"/>
      <c r="O3" s="137"/>
      <c r="P3" s="137"/>
      <c r="Q3" s="137"/>
      <c r="R3" s="137"/>
      <c r="S3" s="137"/>
      <c r="T3" s="137"/>
      <c r="U3" s="137"/>
      <c r="V3" s="137"/>
      <c r="W3" s="137"/>
      <c r="X3" s="137"/>
      <c r="Y3" s="137"/>
      <c r="Z3" s="137"/>
      <c r="AA3" s="137"/>
      <c r="AB3" s="137"/>
      <c r="AC3" s="137"/>
      <c r="AD3" s="137"/>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s="138"/>
    </row>
    <row r="4" spans="1:67" ht="15.75">
      <c r="B4" s="356" t="s">
        <v>308</v>
      </c>
      <c r="C4" s="143"/>
      <c r="D4" s="143"/>
      <c r="E4" s="143"/>
      <c r="F4" s="143"/>
      <c r="G4" s="137"/>
      <c r="H4" s="137"/>
      <c r="I4" s="137"/>
      <c r="J4" s="137"/>
      <c r="K4" s="137"/>
      <c r="L4" s="137"/>
      <c r="M4" s="137"/>
      <c r="N4" s="137"/>
      <c r="O4" s="137"/>
      <c r="P4" s="137"/>
      <c r="Q4" s="137"/>
      <c r="R4" s="137"/>
      <c r="S4" s="137"/>
      <c r="T4" s="137"/>
      <c r="U4" s="137"/>
      <c r="V4" s="137"/>
      <c r="W4" s="137"/>
      <c r="X4" s="137"/>
      <c r="Y4" s="137"/>
      <c r="Z4" s="137"/>
      <c r="AA4" s="137"/>
      <c r="AB4" s="137"/>
      <c r="AC4" s="137"/>
      <c r="AD4" s="137"/>
      <c r="AE4" s="137"/>
      <c r="AF4" s="137"/>
      <c r="AG4" s="137"/>
      <c r="AH4" s="137"/>
      <c r="AI4" s="137"/>
      <c r="AJ4" s="137"/>
      <c r="AK4" s="137"/>
      <c r="AL4" s="137"/>
      <c r="AM4" s="137"/>
      <c r="AN4" s="137"/>
      <c r="AO4" s="137"/>
      <c r="AP4" s="137"/>
      <c r="AQ4" s="137"/>
      <c r="AR4" s="137"/>
      <c r="AS4" s="137"/>
      <c r="AT4" s="137"/>
      <c r="AU4" s="137"/>
      <c r="AV4" s="137"/>
      <c r="AW4" s="137"/>
      <c r="AX4" s="137"/>
      <c r="AY4" s="137"/>
      <c r="AZ4" s="137"/>
      <c r="BA4" s="137"/>
      <c r="BB4" s="137"/>
      <c r="BC4" s="137"/>
      <c r="BD4" s="137"/>
      <c r="BE4" s="137"/>
      <c r="BF4" s="137"/>
      <c r="BG4" s="137"/>
      <c r="BH4" s="137"/>
      <c r="BI4" s="137"/>
      <c r="BJ4" s="137"/>
      <c r="BK4" s="137"/>
      <c r="BL4" s="138"/>
    </row>
    <row r="5" spans="1:67" ht="15.75" hidden="1">
      <c r="B5" s="356"/>
      <c r="C5" s="143"/>
      <c r="D5" s="143"/>
      <c r="E5" s="143"/>
      <c r="F5" s="143"/>
      <c r="G5" s="137"/>
      <c r="H5" s="137"/>
      <c r="I5" s="137"/>
      <c r="J5" s="137"/>
      <c r="K5" s="137"/>
      <c r="L5" s="137"/>
      <c r="M5" s="137"/>
      <c r="N5" s="137"/>
      <c r="O5" s="137"/>
      <c r="P5" s="137"/>
      <c r="Q5" s="137"/>
      <c r="R5" s="137"/>
      <c r="S5" s="137"/>
      <c r="T5" s="137"/>
      <c r="U5" s="137"/>
      <c r="V5" s="137"/>
      <c r="W5" s="137"/>
      <c r="X5" s="137"/>
      <c r="Y5" s="137"/>
      <c r="Z5" s="137"/>
      <c r="AA5" s="137"/>
      <c r="AB5" s="137"/>
      <c r="AC5" s="137"/>
      <c r="AD5" s="137"/>
      <c r="AE5" s="137"/>
      <c r="AF5" s="137"/>
      <c r="AG5" s="137"/>
      <c r="AH5" s="137"/>
      <c r="AI5" s="137"/>
      <c r="AJ5" s="137"/>
      <c r="AK5" s="137"/>
      <c r="AL5" s="137"/>
      <c r="AM5" s="137"/>
      <c r="AN5" s="137"/>
      <c r="AO5" s="137"/>
      <c r="AP5" s="137"/>
      <c r="AQ5" s="137"/>
      <c r="AR5" s="137"/>
      <c r="AS5" s="137"/>
      <c r="AT5" s="137"/>
      <c r="AU5" s="137"/>
      <c r="AV5" s="137"/>
      <c r="AW5" s="137"/>
      <c r="AX5" s="137"/>
      <c r="AY5" s="137"/>
      <c r="AZ5" s="137"/>
      <c r="BA5" s="137"/>
      <c r="BB5" s="137"/>
      <c r="BC5" s="137"/>
      <c r="BD5" s="137"/>
      <c r="BE5" s="137"/>
      <c r="BF5" s="137"/>
      <c r="BG5" s="137"/>
      <c r="BH5" s="137"/>
      <c r="BI5" s="137"/>
      <c r="BJ5" s="137"/>
      <c r="BK5" s="137"/>
      <c r="BL5" s="138"/>
    </row>
    <row r="6" spans="1:67" ht="15.75" hidden="1">
      <c r="B6" s="356" t="s">
        <v>307</v>
      </c>
      <c r="C6" s="143"/>
      <c r="D6" s="143"/>
      <c r="E6" s="143"/>
      <c r="F6" s="143"/>
      <c r="G6" s="137"/>
      <c r="H6" s="137"/>
      <c r="I6" s="137"/>
      <c r="J6" s="137"/>
      <c r="K6" s="137"/>
      <c r="L6" s="137"/>
      <c r="M6" s="137"/>
      <c r="N6" s="137"/>
      <c r="O6" s="137"/>
      <c r="P6" s="137"/>
      <c r="Q6" s="137"/>
      <c r="R6" s="137"/>
      <c r="S6" s="137"/>
      <c r="T6" s="137"/>
      <c r="U6" s="137"/>
      <c r="V6" s="137"/>
      <c r="W6" s="137"/>
      <c r="X6" s="137"/>
      <c r="Y6" s="137"/>
      <c r="Z6" s="137"/>
      <c r="AA6" s="137"/>
      <c r="AB6" s="137"/>
      <c r="AC6" s="137"/>
      <c r="AD6" s="137"/>
      <c r="AE6" s="137"/>
      <c r="AF6" s="137"/>
      <c r="AG6" s="137"/>
      <c r="AH6" s="137"/>
      <c r="AI6" s="137"/>
      <c r="AJ6" s="137"/>
      <c r="AK6" s="137"/>
      <c r="AL6" s="137"/>
      <c r="AM6" s="137"/>
      <c r="AN6" s="137"/>
      <c r="AO6" s="137"/>
      <c r="AP6" s="137"/>
      <c r="AQ6" s="137"/>
      <c r="AR6" s="137"/>
      <c r="AS6" s="137"/>
      <c r="AT6" s="137"/>
      <c r="AU6" s="137"/>
      <c r="AV6" s="137"/>
      <c r="AW6" s="137"/>
      <c r="AX6" s="137"/>
      <c r="AY6" s="137"/>
      <c r="AZ6" s="137"/>
      <c r="BA6" s="137"/>
      <c r="BB6" s="137"/>
      <c r="BC6" s="137"/>
      <c r="BD6" s="137"/>
      <c r="BE6" s="137"/>
      <c r="BF6" s="137"/>
      <c r="BG6" s="137"/>
      <c r="BH6" s="137"/>
      <c r="BI6" s="137"/>
      <c r="BJ6" s="137"/>
      <c r="BK6" s="137"/>
      <c r="BL6" s="138"/>
    </row>
    <row r="7" spans="1:67" hidden="1">
      <c r="B7" s="357" t="s">
        <v>1662</v>
      </c>
      <c r="C7" s="143"/>
      <c r="D7" s="143"/>
      <c r="E7" s="143"/>
      <c r="F7" s="143"/>
      <c r="G7" s="137"/>
      <c r="H7" s="137"/>
      <c r="I7" s="137"/>
      <c r="J7" s="137"/>
      <c r="K7" s="137"/>
      <c r="L7" s="137"/>
      <c r="M7" s="137"/>
      <c r="N7" s="137"/>
      <c r="O7" s="137"/>
      <c r="P7" s="137"/>
      <c r="Q7" s="137"/>
      <c r="R7" s="137"/>
      <c r="S7" s="137"/>
      <c r="T7" s="137"/>
      <c r="U7" s="137"/>
      <c r="V7" s="137"/>
      <c r="W7" s="137"/>
      <c r="X7" s="137"/>
      <c r="Y7" s="137"/>
      <c r="Z7" s="137"/>
      <c r="AA7" s="137"/>
      <c r="AB7" s="137"/>
      <c r="AC7" s="137"/>
      <c r="AD7" s="137"/>
      <c r="AE7" s="137"/>
      <c r="AF7" s="137"/>
      <c r="AG7" s="137"/>
      <c r="AH7" s="137"/>
      <c r="AI7" s="137"/>
      <c r="AJ7" s="137"/>
      <c r="AK7" s="137"/>
      <c r="AL7" s="137"/>
      <c r="AM7" s="137"/>
      <c r="AN7" s="137"/>
      <c r="AO7" s="137"/>
      <c r="AP7" s="137"/>
      <c r="AQ7" s="137"/>
      <c r="AR7" s="137"/>
      <c r="AS7" s="137"/>
      <c r="AT7" s="137"/>
      <c r="AU7" s="137"/>
      <c r="AV7" s="137"/>
      <c r="AW7" s="137"/>
      <c r="AX7" s="137"/>
      <c r="AY7" s="137"/>
      <c r="AZ7" s="137"/>
      <c r="BA7" s="137"/>
      <c r="BB7" s="137"/>
      <c r="BC7" s="137"/>
      <c r="BD7" s="137"/>
      <c r="BE7" s="137"/>
      <c r="BF7" s="137"/>
      <c r="BG7" s="137"/>
      <c r="BH7" s="137"/>
      <c r="BI7" s="137"/>
      <c r="BJ7" s="137"/>
      <c r="BK7" s="137"/>
      <c r="BL7" s="138"/>
    </row>
    <row r="8" spans="1:67" hidden="1">
      <c r="B8" s="357" t="s">
        <v>306</v>
      </c>
      <c r="C8" s="143"/>
      <c r="D8" s="143"/>
      <c r="E8" s="143"/>
      <c r="F8" s="143"/>
      <c r="G8" s="137"/>
      <c r="H8" s="137"/>
      <c r="I8" s="137"/>
      <c r="J8" s="137"/>
      <c r="K8" s="137"/>
      <c r="L8" s="137"/>
      <c r="M8" s="137"/>
      <c r="N8" s="137"/>
      <c r="O8" s="137"/>
      <c r="P8" s="137"/>
      <c r="Q8" s="137"/>
      <c r="R8" s="137"/>
      <c r="S8" s="137"/>
      <c r="T8" s="137"/>
      <c r="U8" s="137"/>
      <c r="V8" s="137"/>
      <c r="W8" s="137"/>
      <c r="X8" s="137"/>
      <c r="Y8" s="137"/>
      <c r="Z8" s="137"/>
      <c r="AA8" s="137"/>
      <c r="AB8" s="137"/>
      <c r="AC8" s="137"/>
      <c r="AD8" s="137"/>
      <c r="AE8" s="137"/>
      <c r="AF8" s="137"/>
      <c r="AG8" s="137"/>
      <c r="AH8" s="137"/>
      <c r="AI8" s="137"/>
      <c r="AJ8" s="137"/>
      <c r="AK8" s="137"/>
      <c r="AL8" s="137"/>
      <c r="AM8" s="137"/>
      <c r="AN8" s="137"/>
      <c r="AO8" s="137"/>
      <c r="AP8" s="137"/>
      <c r="AQ8" s="137"/>
      <c r="AR8" s="137"/>
      <c r="AS8" s="137"/>
      <c r="AT8" s="137"/>
      <c r="AU8" s="137"/>
      <c r="AV8" s="137"/>
      <c r="AW8" s="137"/>
      <c r="AX8" s="137"/>
      <c r="AY8" s="137"/>
      <c r="AZ8" s="137"/>
      <c r="BA8" s="137"/>
      <c r="BB8" s="137"/>
      <c r="BC8" s="137"/>
      <c r="BD8" s="137"/>
      <c r="BE8" s="137"/>
      <c r="BF8" s="137"/>
      <c r="BG8" s="137"/>
      <c r="BH8" s="137"/>
      <c r="BI8" s="137"/>
      <c r="BJ8" s="137"/>
      <c r="BK8" s="137"/>
      <c r="BL8" s="138"/>
    </row>
    <row r="9" spans="1:67" hidden="1">
      <c r="B9" s="357" t="s">
        <v>1663</v>
      </c>
      <c r="C9" s="358"/>
      <c r="D9" s="358"/>
      <c r="E9" s="358"/>
      <c r="F9" s="358"/>
      <c r="G9" s="359"/>
      <c r="H9" s="359"/>
      <c r="I9" s="359"/>
      <c r="J9" s="359"/>
      <c r="K9" s="359"/>
      <c r="L9" s="359"/>
      <c r="M9" s="359"/>
      <c r="N9" s="359"/>
      <c r="O9" s="359"/>
      <c r="P9" s="359"/>
      <c r="Q9" s="359"/>
      <c r="R9" s="359"/>
      <c r="S9" s="359"/>
      <c r="T9" s="359"/>
      <c r="U9" s="359"/>
      <c r="V9" s="359"/>
      <c r="W9" s="359"/>
      <c r="X9" s="359"/>
      <c r="Y9" s="359"/>
      <c r="Z9" s="359"/>
      <c r="AA9" s="359"/>
      <c r="AB9" s="359"/>
      <c r="AC9" s="359"/>
      <c r="AD9" s="359"/>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59"/>
      <c r="BC9" s="359"/>
      <c r="BD9" s="359"/>
      <c r="BE9" s="359"/>
      <c r="BF9" s="359"/>
      <c r="BG9" s="359"/>
      <c r="BH9" s="359"/>
      <c r="BI9" s="359"/>
      <c r="BJ9" s="359"/>
      <c r="BK9" s="359"/>
      <c r="BL9" s="360"/>
    </row>
    <row r="10" spans="1:67" hidden="1">
      <c r="B10" s="357" t="s">
        <v>1664</v>
      </c>
      <c r="C10" s="358"/>
      <c r="D10" s="358"/>
      <c r="E10" s="358"/>
      <c r="F10" s="358"/>
      <c r="G10" s="359"/>
      <c r="H10" s="359"/>
      <c r="I10" s="359"/>
      <c r="J10" s="359"/>
      <c r="K10" s="359"/>
      <c r="L10" s="359"/>
      <c r="M10" s="359"/>
      <c r="N10" s="359"/>
      <c r="O10" s="359"/>
      <c r="P10" s="359"/>
      <c r="Q10" s="359"/>
      <c r="R10" s="359"/>
      <c r="S10" s="359"/>
      <c r="T10" s="359"/>
      <c r="U10" s="359"/>
      <c r="V10" s="359"/>
      <c r="W10" s="359"/>
      <c r="X10" s="359"/>
      <c r="Y10" s="359"/>
      <c r="Z10" s="359"/>
      <c r="AA10" s="359"/>
      <c r="AB10" s="359"/>
      <c r="AC10" s="359"/>
      <c r="AD10" s="359"/>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59"/>
      <c r="BC10" s="359"/>
      <c r="BD10" s="359"/>
      <c r="BE10" s="359"/>
      <c r="BF10" s="359"/>
      <c r="BG10" s="359"/>
      <c r="BH10" s="359"/>
      <c r="BI10" s="359"/>
      <c r="BJ10" s="359"/>
      <c r="BK10" s="359"/>
      <c r="BL10" s="360"/>
    </row>
    <row r="11" spans="1:67" hidden="1">
      <c r="B11" s="361" t="s">
        <v>305</v>
      </c>
      <c r="C11" s="358"/>
      <c r="D11" s="358"/>
      <c r="E11" s="358"/>
      <c r="F11" s="358"/>
      <c r="G11" s="359"/>
      <c r="H11" s="359"/>
      <c r="I11" s="359"/>
      <c r="J11" s="359"/>
      <c r="K11" s="359"/>
      <c r="L11" s="359"/>
      <c r="M11" s="359"/>
      <c r="N11" s="359"/>
      <c r="O11" s="359"/>
      <c r="P11" s="359"/>
      <c r="Q11" s="359"/>
      <c r="R11" s="359"/>
      <c r="S11" s="359"/>
      <c r="T11" s="359"/>
      <c r="U11" s="359"/>
      <c r="V11" s="359"/>
      <c r="W11" s="359"/>
      <c r="X11" s="359"/>
      <c r="Y11" s="359"/>
      <c r="Z11" s="359"/>
      <c r="AA11" s="359"/>
      <c r="AB11" s="359"/>
      <c r="AC11" s="359"/>
      <c r="AD11" s="359"/>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A11" s="359"/>
      <c r="BB11" s="359"/>
      <c r="BC11" s="359"/>
      <c r="BD11" s="359"/>
      <c r="BE11" s="359"/>
      <c r="BF11" s="359"/>
      <c r="BG11" s="359"/>
      <c r="BH11" s="359"/>
      <c r="BI11" s="359"/>
      <c r="BJ11" s="359"/>
      <c r="BK11" s="359"/>
      <c r="BL11" s="360"/>
    </row>
    <row r="12" spans="1:67" hidden="1">
      <c r="B12" s="362" t="s">
        <v>1665</v>
      </c>
      <c r="C12" s="358"/>
      <c r="D12" s="358"/>
      <c r="E12" s="358"/>
      <c r="F12" s="358"/>
      <c r="G12" s="359"/>
      <c r="H12" s="359"/>
      <c r="I12" s="359"/>
      <c r="J12" s="359"/>
      <c r="K12" s="359"/>
      <c r="L12" s="359"/>
      <c r="M12" s="359"/>
      <c r="N12" s="359"/>
      <c r="O12" s="359"/>
      <c r="P12" s="359"/>
      <c r="Q12" s="359"/>
      <c r="R12" s="359"/>
      <c r="S12" s="359"/>
      <c r="T12" s="359"/>
      <c r="U12" s="359"/>
      <c r="V12" s="359"/>
      <c r="W12" s="359"/>
      <c r="X12" s="359"/>
      <c r="Y12" s="359"/>
      <c r="Z12" s="359"/>
      <c r="AA12" s="359"/>
      <c r="AB12" s="359"/>
      <c r="AC12" s="359"/>
      <c r="AD12" s="359"/>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A12" s="359"/>
      <c r="BB12" s="359"/>
      <c r="BC12" s="359"/>
      <c r="BD12" s="359"/>
      <c r="BE12" s="359"/>
      <c r="BF12" s="359"/>
      <c r="BG12" s="359"/>
      <c r="BH12" s="359"/>
      <c r="BI12" s="359"/>
      <c r="BJ12" s="359"/>
      <c r="BK12" s="359"/>
      <c r="BL12" s="360"/>
    </row>
    <row r="13" spans="1:67" hidden="1">
      <c r="B13" s="357" t="s">
        <v>1666</v>
      </c>
      <c r="C13" s="358"/>
      <c r="D13" s="358"/>
      <c r="E13" s="358"/>
      <c r="F13" s="358"/>
      <c r="G13" s="359"/>
      <c r="H13" s="359"/>
      <c r="I13" s="359"/>
      <c r="J13" s="359"/>
      <c r="K13" s="359"/>
      <c r="L13" s="359"/>
      <c r="M13" s="359"/>
      <c r="N13" s="359"/>
      <c r="O13" s="359"/>
      <c r="P13" s="359"/>
      <c r="Q13" s="359"/>
      <c r="R13" s="359"/>
      <c r="S13" s="359"/>
      <c r="T13" s="359"/>
      <c r="U13" s="359"/>
      <c r="V13" s="359"/>
      <c r="W13" s="359"/>
      <c r="X13" s="359"/>
      <c r="Y13" s="359"/>
      <c r="Z13" s="359"/>
      <c r="AA13" s="359"/>
      <c r="AB13" s="359"/>
      <c r="AC13" s="359"/>
      <c r="AD13" s="359"/>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A13" s="359"/>
      <c r="BB13" s="359"/>
      <c r="BC13" s="359"/>
      <c r="BD13" s="359"/>
      <c r="BE13" s="359"/>
      <c r="BF13" s="359"/>
      <c r="BG13" s="359"/>
      <c r="BH13" s="359"/>
      <c r="BI13" s="359"/>
      <c r="BJ13" s="359"/>
      <c r="BK13" s="359"/>
      <c r="BL13" s="360"/>
    </row>
    <row r="14" spans="1:67" ht="3" customHeight="1">
      <c r="B14" s="137"/>
      <c r="C14" s="137"/>
      <c r="D14" s="137"/>
      <c r="E14" s="137"/>
      <c r="F14" s="137"/>
      <c r="G14" s="137"/>
      <c r="H14" s="137"/>
      <c r="I14" s="137"/>
      <c r="J14" s="137"/>
      <c r="K14" s="137"/>
      <c r="L14" s="137"/>
      <c r="M14" s="137"/>
      <c r="N14" s="137"/>
      <c r="O14" s="137"/>
      <c r="P14" s="137"/>
      <c r="Q14" s="137"/>
      <c r="R14" s="137"/>
      <c r="S14" s="137"/>
      <c r="T14" s="137"/>
      <c r="U14" s="137"/>
      <c r="V14" s="137"/>
      <c r="W14" s="137"/>
      <c r="X14" s="137"/>
      <c r="Y14" s="137"/>
      <c r="Z14" s="137"/>
      <c r="AA14" s="137"/>
      <c r="AB14" s="137"/>
      <c r="AC14" s="137"/>
      <c r="AD14" s="137"/>
      <c r="AE14" s="137"/>
      <c r="AF14" s="137"/>
      <c r="AG14" s="137"/>
      <c r="AH14" s="137"/>
      <c r="AI14" s="137"/>
      <c r="AJ14" s="137"/>
      <c r="AK14" s="137"/>
      <c r="AL14" s="137"/>
      <c r="AM14" s="137"/>
      <c r="AN14" s="137"/>
      <c r="AO14" s="137"/>
      <c r="AP14" s="137"/>
      <c r="AQ14" s="137"/>
      <c r="AR14" s="137"/>
      <c r="AS14" s="137"/>
      <c r="AT14" s="137"/>
      <c r="AU14" s="137"/>
      <c r="AV14" s="137"/>
      <c r="AW14" s="137"/>
      <c r="AX14" s="137"/>
      <c r="AY14" s="137"/>
      <c r="AZ14" s="137"/>
      <c r="BA14" s="137"/>
      <c r="BB14" s="137"/>
      <c r="BC14" s="137"/>
      <c r="BD14" s="137"/>
      <c r="BE14" s="137"/>
      <c r="BF14" s="137"/>
      <c r="BG14" s="137"/>
      <c r="BH14" s="137"/>
      <c r="BI14" s="137"/>
      <c r="BJ14" s="137"/>
      <c r="BK14" s="137"/>
      <c r="BL14" s="138"/>
    </row>
    <row r="15" spans="1:67" ht="15.75">
      <c r="B15" s="363" t="s">
        <v>304</v>
      </c>
      <c r="C15" s="137"/>
      <c r="D15" s="137"/>
      <c r="E15" s="137"/>
      <c r="F15" s="137"/>
      <c r="G15" s="137"/>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c r="AG15" s="137"/>
      <c r="AH15" s="137"/>
      <c r="AI15" s="137"/>
      <c r="AJ15" s="137"/>
      <c r="AK15" s="137"/>
      <c r="AL15" s="137"/>
      <c r="AM15" s="137"/>
      <c r="AN15" s="137"/>
      <c r="AO15" s="137"/>
      <c r="AP15" s="137"/>
      <c r="AQ15" s="137"/>
      <c r="AR15" s="137"/>
      <c r="AS15" s="137"/>
      <c r="AT15" s="137"/>
      <c r="AU15" s="137"/>
      <c r="AV15" s="137"/>
      <c r="AW15" s="137"/>
      <c r="AX15" s="137"/>
      <c r="AY15" s="137"/>
      <c r="AZ15" s="137"/>
      <c r="BA15" s="137"/>
      <c r="BB15" s="137"/>
      <c r="BC15" s="137"/>
      <c r="BD15" s="137"/>
      <c r="BE15" s="137"/>
      <c r="BF15" s="137"/>
      <c r="BG15" s="137"/>
      <c r="BH15" s="137"/>
      <c r="BI15" s="137"/>
      <c r="BJ15" s="137"/>
      <c r="BK15" s="137"/>
      <c r="BL15" s="138"/>
    </row>
    <row r="16" spans="1:67">
      <c r="B16" s="142" t="s">
        <v>1667</v>
      </c>
      <c r="C16" s="137"/>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7"/>
      <c r="AB16" s="137"/>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137"/>
      <c r="BB16" s="137"/>
      <c r="BC16" s="137"/>
      <c r="BD16" s="137"/>
      <c r="BE16" s="137"/>
      <c r="BF16" s="137"/>
      <c r="BG16" s="137"/>
      <c r="BH16" s="137"/>
      <c r="BI16" s="137"/>
      <c r="BJ16" s="137"/>
      <c r="BK16" s="137"/>
      <c r="BL16" s="137"/>
      <c r="BM16" s="137"/>
      <c r="BN16" s="137"/>
      <c r="BO16" s="137"/>
    </row>
    <row r="17" spans="1:16375">
      <c r="B17" s="142" t="s">
        <v>1668</v>
      </c>
      <c r="C17" s="137"/>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7"/>
      <c r="AB17" s="137"/>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c r="BE17" s="137"/>
      <c r="BF17" s="137"/>
      <c r="BG17" s="137"/>
      <c r="BH17" s="137"/>
      <c r="BI17" s="137"/>
      <c r="BJ17" s="137"/>
      <c r="BK17" s="137"/>
      <c r="BL17" s="137"/>
      <c r="BM17" s="137"/>
      <c r="BN17" s="137"/>
      <c r="BO17" s="137"/>
    </row>
    <row r="18" spans="1:16375" hidden="1">
      <c r="B18" s="142"/>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c r="BE18" s="137"/>
      <c r="BF18" s="137"/>
      <c r="BG18" s="137"/>
      <c r="BH18" s="137"/>
      <c r="BI18" s="137"/>
      <c r="BJ18" s="137"/>
      <c r="BK18" s="137"/>
      <c r="BL18" s="137"/>
      <c r="BM18" s="137"/>
      <c r="BN18" s="137"/>
      <c r="BO18" s="137"/>
    </row>
    <row r="19" spans="1:16375">
      <c r="A19" s="137"/>
      <c r="B19" s="137"/>
      <c r="C19" s="137"/>
      <c r="D19" s="137"/>
      <c r="E19" s="137"/>
      <c r="F19" s="137"/>
      <c r="G19" s="137"/>
      <c r="H19" s="137"/>
      <c r="I19" s="137"/>
      <c r="J19" s="137"/>
      <c r="K19" s="137"/>
      <c r="L19" s="137"/>
      <c r="M19" s="137"/>
      <c r="N19" s="137"/>
      <c r="O19" s="137"/>
      <c r="P19" s="137"/>
      <c r="Q19" s="137"/>
      <c r="R19" s="137"/>
      <c r="S19" s="137"/>
      <c r="T19" s="137"/>
      <c r="U19" s="137"/>
      <c r="V19" s="137"/>
      <c r="W19" s="13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137"/>
    </row>
    <row r="20" spans="1:16375">
      <c r="A20" s="141"/>
      <c r="B20" s="141"/>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row>
    <row r="21" spans="1:16375" ht="186" customHeight="1">
      <c r="A21" s="168" t="s">
        <v>356</v>
      </c>
      <c r="B21" s="169" t="s">
        <v>303</v>
      </c>
      <c r="C21" s="387" t="s">
        <v>300</v>
      </c>
      <c r="D21" s="387" t="s">
        <v>1871</v>
      </c>
      <c r="E21" s="387" t="s">
        <v>387</v>
      </c>
      <c r="F21" s="387" t="s">
        <v>270</v>
      </c>
      <c r="G21" s="387" t="s">
        <v>1669</v>
      </c>
      <c r="H21" s="387" t="s">
        <v>1670</v>
      </c>
      <c r="I21" s="387" t="s">
        <v>1671</v>
      </c>
      <c r="J21" s="387" t="s">
        <v>1672</v>
      </c>
      <c r="K21" s="387" t="s">
        <v>1673</v>
      </c>
      <c r="L21" s="387" t="s">
        <v>1674</v>
      </c>
      <c r="M21" s="387" t="s">
        <v>1912</v>
      </c>
      <c r="N21" s="387" t="s">
        <v>1913</v>
      </c>
      <c r="O21" s="387" t="s">
        <v>276</v>
      </c>
      <c r="P21" s="387" t="s">
        <v>1675</v>
      </c>
      <c r="Q21" s="394" t="s">
        <v>279</v>
      </c>
      <c r="R21" s="387" t="s">
        <v>281</v>
      </c>
      <c r="S21" s="387" t="s">
        <v>1915</v>
      </c>
      <c r="T21" s="387" t="s">
        <v>1914</v>
      </c>
      <c r="U21" s="387" t="s">
        <v>1677</v>
      </c>
      <c r="V21" s="387" t="s">
        <v>1678</v>
      </c>
      <c r="W21" s="387" t="s">
        <v>1679</v>
      </c>
      <c r="X21" s="387" t="s">
        <v>1680</v>
      </c>
      <c r="Y21" s="387" t="s">
        <v>1683</v>
      </c>
      <c r="Z21" s="387" t="s">
        <v>288</v>
      </c>
      <c r="AA21" s="387" t="s">
        <v>391</v>
      </c>
      <c r="AB21" s="387" t="s">
        <v>289</v>
      </c>
      <c r="AC21" s="387" t="s">
        <v>290</v>
      </c>
      <c r="AD21" s="387" t="s">
        <v>1685</v>
      </c>
      <c r="AE21" s="387" t="s">
        <v>1686</v>
      </c>
      <c r="AF21" s="387" t="s">
        <v>1687</v>
      </c>
      <c r="AG21" s="387" t="s">
        <v>1688</v>
      </c>
      <c r="AH21" s="387" t="s">
        <v>1689</v>
      </c>
      <c r="AI21" s="387" t="s">
        <v>1690</v>
      </c>
      <c r="AJ21" s="387" t="s">
        <v>1691</v>
      </c>
      <c r="AK21" s="387" t="s">
        <v>292</v>
      </c>
      <c r="AL21" s="387" t="s">
        <v>1692</v>
      </c>
      <c r="AM21" s="387" t="s">
        <v>1791</v>
      </c>
      <c r="AN21" s="387" t="s">
        <v>1695</v>
      </c>
      <c r="AO21" s="387" t="s">
        <v>1696</v>
      </c>
      <c r="AP21" s="387" t="s">
        <v>298</v>
      </c>
      <c r="AQ21" s="387" t="s">
        <v>299</v>
      </c>
      <c r="AR21" s="387" t="s">
        <v>388</v>
      </c>
      <c r="AS21" s="394" t="s">
        <v>1697</v>
      </c>
      <c r="AT21" s="387" t="s">
        <v>1698</v>
      </c>
      <c r="AU21" s="387" t="s">
        <v>1699</v>
      </c>
      <c r="AV21" s="387" t="s">
        <v>1700</v>
      </c>
      <c r="AW21" s="387" t="s">
        <v>1701</v>
      </c>
      <c r="AX21" s="387" t="s">
        <v>1702</v>
      </c>
      <c r="AY21" s="387" t="s">
        <v>1703</v>
      </c>
      <c r="AZ21" s="387" t="s">
        <v>1704</v>
      </c>
      <c r="BA21" s="387" t="s">
        <v>1705</v>
      </c>
      <c r="BB21" s="387" t="s">
        <v>1706</v>
      </c>
      <c r="BC21" s="394" t="s">
        <v>1707</v>
      </c>
      <c r="BD21" s="387" t="s">
        <v>1708</v>
      </c>
      <c r="BE21" s="387" t="s">
        <v>1709</v>
      </c>
      <c r="BF21" s="387" t="s">
        <v>1710</v>
      </c>
      <c r="BG21" s="387" t="s">
        <v>1711</v>
      </c>
      <c r="BH21" s="387" t="s">
        <v>1712</v>
      </c>
      <c r="BI21" s="387" t="s">
        <v>1713</v>
      </c>
      <c r="BJ21" s="387" t="s">
        <v>1954</v>
      </c>
      <c r="BK21" s="387" t="s">
        <v>1955</v>
      </c>
      <c r="BL21" s="387" t="s">
        <v>1956</v>
      </c>
      <c r="BM21" s="387" t="s">
        <v>1957</v>
      </c>
      <c r="BN21" s="387" t="s">
        <v>1958</v>
      </c>
      <c r="BO21" s="387" t="s">
        <v>1959</v>
      </c>
      <c r="BP21" s="387" t="s">
        <v>1960</v>
      </c>
      <c r="BQ21" s="387" t="s">
        <v>1961</v>
      </c>
      <c r="BR21" s="387" t="s">
        <v>1962</v>
      </c>
      <c r="BS21" s="387" t="s">
        <v>1963</v>
      </c>
      <c r="BT21" s="387" t="s">
        <v>1964</v>
      </c>
      <c r="BU21" s="387" t="s">
        <v>1965</v>
      </c>
      <c r="BV21" s="387" t="s">
        <v>1966</v>
      </c>
    </row>
    <row r="22" spans="1:16375" s="137" customFormat="1">
      <c r="A22" s="137" t="s">
        <v>357</v>
      </c>
      <c r="B22" s="370" t="s">
        <v>270</v>
      </c>
      <c r="C22" s="371" t="s">
        <v>302</v>
      </c>
      <c r="D22" s="371" t="s">
        <v>302</v>
      </c>
      <c r="E22" s="371" t="s">
        <v>302</v>
      </c>
      <c r="F22" s="371" t="s">
        <v>302</v>
      </c>
      <c r="G22" s="372"/>
      <c r="H22" s="372"/>
      <c r="I22" s="372"/>
      <c r="J22" s="372"/>
      <c r="K22" s="372"/>
      <c r="L22" s="372"/>
      <c r="M22" s="372"/>
      <c r="N22" s="372"/>
      <c r="O22" s="372"/>
      <c r="P22" s="372"/>
      <c r="Q22" s="372"/>
      <c r="R22" s="372"/>
      <c r="S22" s="372"/>
      <c r="T22" s="372"/>
      <c r="U22" s="372"/>
      <c r="V22" s="372"/>
      <c r="W22" s="372"/>
      <c r="X22" s="372"/>
      <c r="Y22" s="372"/>
      <c r="Z22" s="372"/>
      <c r="AA22" s="372"/>
      <c r="AB22" s="372"/>
      <c r="AC22" s="373"/>
      <c r="AD22" s="372"/>
      <c r="AE22" s="372"/>
      <c r="AF22" s="372"/>
      <c r="AG22" s="372"/>
      <c r="AH22" s="372"/>
      <c r="AI22" s="372"/>
      <c r="AJ22" s="372"/>
      <c r="AK22" s="373"/>
      <c r="AL22" s="372"/>
      <c r="AM22" s="372"/>
      <c r="AN22" s="372"/>
      <c r="AO22" s="372"/>
      <c r="AP22" s="372"/>
      <c r="AQ22" s="372"/>
      <c r="AR22" s="372"/>
      <c r="AS22" s="372"/>
      <c r="AT22" s="372"/>
      <c r="AU22" s="372"/>
      <c r="AV22" s="372"/>
      <c r="AW22" s="372"/>
      <c r="AX22" s="372"/>
      <c r="AY22" s="372"/>
      <c r="AZ22" s="372"/>
      <c r="BA22" s="372"/>
      <c r="BB22" s="372"/>
      <c r="BC22" s="372"/>
      <c r="BD22" s="372"/>
      <c r="BE22" s="372"/>
      <c r="BF22" s="372"/>
      <c r="BG22" s="372"/>
      <c r="BH22" s="372"/>
      <c r="BI22" s="372"/>
      <c r="BJ22" s="372"/>
      <c r="BK22" s="372"/>
      <c r="BL22" s="372"/>
      <c r="BM22" s="372"/>
      <c r="BN22" s="372"/>
      <c r="BO22" s="372"/>
      <c r="BP22" s="372"/>
      <c r="BQ22" s="372"/>
      <c r="BR22" s="372"/>
      <c r="BS22" s="372"/>
      <c r="BT22" s="372"/>
      <c r="BU22" s="372"/>
      <c r="BV22" s="372"/>
    </row>
    <row r="23" spans="1:16375" s="374" customFormat="1">
      <c r="A23" s="374" t="s">
        <v>1806</v>
      </c>
      <c r="B23" s="375" t="s">
        <v>1799</v>
      </c>
      <c r="C23" s="376"/>
      <c r="D23" s="376"/>
      <c r="E23" s="376" t="s">
        <v>302</v>
      </c>
      <c r="F23" s="376" t="s">
        <v>302</v>
      </c>
      <c r="G23" s="377"/>
      <c r="H23" s="377"/>
      <c r="I23" s="377"/>
      <c r="J23" s="377"/>
      <c r="K23" s="377"/>
      <c r="L23" s="377"/>
      <c r="M23" s="377"/>
      <c r="N23" s="377"/>
      <c r="O23" s="377"/>
      <c r="P23" s="377"/>
      <c r="Q23" s="372"/>
      <c r="R23" s="377"/>
      <c r="S23" s="377"/>
      <c r="T23" s="377"/>
      <c r="U23" s="377"/>
      <c r="V23" s="377"/>
      <c r="W23" s="377"/>
      <c r="X23" s="377"/>
      <c r="Y23" s="377"/>
      <c r="Z23" s="377"/>
      <c r="AA23" s="377"/>
      <c r="AB23" s="377"/>
      <c r="AC23" s="378"/>
      <c r="AD23" s="377"/>
      <c r="AE23" s="377"/>
      <c r="AF23" s="377"/>
      <c r="AG23" s="377"/>
      <c r="AH23" s="377"/>
      <c r="AI23" s="377"/>
      <c r="AJ23" s="377"/>
      <c r="AK23" s="378"/>
      <c r="AL23" s="377"/>
      <c r="AM23" s="377"/>
      <c r="AN23" s="377"/>
      <c r="AO23" s="377"/>
      <c r="AP23" s="377"/>
      <c r="AQ23" s="377"/>
      <c r="AR23" s="377"/>
      <c r="AS23" s="377"/>
      <c r="AT23" s="377"/>
      <c r="AU23" s="377"/>
      <c r="AV23" s="377"/>
      <c r="AW23" s="377"/>
      <c r="AX23" s="377"/>
      <c r="AY23" s="377"/>
      <c r="AZ23" s="377"/>
      <c r="BA23" s="377"/>
      <c r="BB23" s="377"/>
      <c r="BC23" s="377"/>
      <c r="BD23" s="377"/>
      <c r="BE23" s="377"/>
      <c r="BF23" s="377"/>
      <c r="BG23" s="377"/>
      <c r="BH23" s="377"/>
      <c r="BI23" s="377"/>
      <c r="BJ23" s="377"/>
      <c r="BK23" s="377"/>
      <c r="BL23" s="377"/>
      <c r="BM23" s="377"/>
      <c r="BN23" s="377"/>
      <c r="BO23" s="377"/>
      <c r="BP23" s="377"/>
      <c r="BQ23" s="377"/>
      <c r="BR23" s="377"/>
      <c r="BS23" s="377"/>
      <c r="BT23" s="377"/>
      <c r="BU23" s="377"/>
      <c r="BV23" s="377"/>
      <c r="BW23" s="137"/>
      <c r="BX23" s="137"/>
      <c r="BY23" s="137"/>
      <c r="BZ23" s="137"/>
      <c r="CA23" s="137"/>
      <c r="CB23" s="137"/>
      <c r="CC23" s="137"/>
      <c r="CD23" s="137"/>
      <c r="CE23" s="137"/>
      <c r="CF23" s="137"/>
      <c r="CG23" s="137"/>
      <c r="CH23" s="137"/>
      <c r="CI23" s="137"/>
      <c r="CJ23" s="137"/>
      <c r="CK23" s="137"/>
      <c r="CL23" s="137"/>
      <c r="CM23" s="137"/>
      <c r="CN23" s="137"/>
      <c r="CO23" s="137"/>
      <c r="CP23" s="137"/>
      <c r="CQ23" s="137"/>
      <c r="CR23" s="137"/>
      <c r="CS23" s="137"/>
      <c r="CT23" s="137"/>
      <c r="CU23" s="137"/>
      <c r="CV23" s="137"/>
      <c r="CW23" s="137"/>
      <c r="CX23" s="137"/>
      <c r="CY23" s="137"/>
      <c r="CZ23" s="137"/>
      <c r="DA23" s="137"/>
      <c r="DB23" s="137"/>
      <c r="DC23" s="137"/>
      <c r="DD23" s="137"/>
      <c r="DE23" s="137"/>
      <c r="DF23" s="137"/>
      <c r="DG23" s="137"/>
      <c r="DH23" s="137"/>
      <c r="DI23" s="137"/>
      <c r="DJ23" s="137"/>
      <c r="DK23" s="137"/>
      <c r="DL23" s="137"/>
      <c r="DM23" s="137"/>
      <c r="DN23" s="137"/>
      <c r="DO23" s="137"/>
      <c r="DP23" s="137"/>
      <c r="DQ23" s="137"/>
      <c r="DR23" s="137"/>
      <c r="DS23" s="137"/>
      <c r="DT23" s="137"/>
      <c r="DU23" s="137"/>
      <c r="DV23" s="137"/>
      <c r="DW23" s="137"/>
      <c r="DX23" s="137"/>
      <c r="DY23" s="137"/>
      <c r="DZ23" s="137"/>
      <c r="EA23" s="137"/>
      <c r="EB23" s="137"/>
      <c r="EC23" s="137"/>
      <c r="ED23" s="137"/>
      <c r="EE23" s="137"/>
      <c r="EF23" s="137"/>
      <c r="EG23" s="137"/>
      <c r="EH23" s="137"/>
      <c r="EI23" s="137"/>
      <c r="EJ23" s="137"/>
      <c r="EK23" s="13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137"/>
      <c r="FQ23" s="137"/>
      <c r="FR23" s="137"/>
      <c r="FS23" s="137"/>
      <c r="FT23" s="137"/>
      <c r="FU23" s="137"/>
      <c r="FV23" s="137"/>
      <c r="FW23" s="137"/>
      <c r="FX23" s="137"/>
      <c r="FY23" s="137"/>
      <c r="FZ23" s="137"/>
      <c r="GA23" s="137"/>
      <c r="GB23" s="137"/>
      <c r="GC23" s="137"/>
      <c r="GD23" s="137"/>
      <c r="GE23" s="137"/>
      <c r="GF23" s="137"/>
      <c r="GG23" s="137"/>
      <c r="GH23" s="137"/>
      <c r="GI23" s="137"/>
      <c r="GJ23" s="137"/>
      <c r="GK23" s="137"/>
      <c r="GL23" s="137"/>
      <c r="GM23" s="137"/>
      <c r="GN23" s="137"/>
      <c r="GO23" s="137"/>
      <c r="GP23" s="137"/>
      <c r="GQ23" s="137"/>
      <c r="GR23" s="137"/>
      <c r="GS23" s="137"/>
      <c r="GT23" s="137"/>
      <c r="GU23" s="137"/>
      <c r="GV23" s="137"/>
      <c r="GW23" s="137"/>
      <c r="GX23" s="137"/>
      <c r="GY23" s="137"/>
      <c r="GZ23" s="137"/>
      <c r="HA23" s="137"/>
      <c r="HB23" s="137"/>
      <c r="HC23" s="137"/>
      <c r="HD23" s="137"/>
      <c r="HE23" s="137"/>
      <c r="HF23" s="137"/>
      <c r="HG23" s="137"/>
      <c r="HH23" s="137"/>
      <c r="HI23" s="137"/>
      <c r="HJ23" s="137"/>
      <c r="HK23" s="137"/>
      <c r="HL23" s="137"/>
      <c r="HM23" s="137"/>
      <c r="HN23" s="137"/>
      <c r="HO23" s="137"/>
      <c r="HP23" s="137"/>
      <c r="HQ23" s="137"/>
      <c r="HR23" s="137"/>
      <c r="HS23" s="137"/>
      <c r="HT23" s="137"/>
      <c r="HU23" s="137"/>
      <c r="HV23" s="137"/>
      <c r="HW23" s="137"/>
      <c r="HX23" s="137"/>
      <c r="HY23" s="137"/>
      <c r="HZ23" s="137"/>
      <c r="IA23" s="137"/>
      <c r="IB23" s="137"/>
      <c r="IC23" s="137"/>
      <c r="ID23" s="137"/>
      <c r="IE23" s="137"/>
      <c r="IF23" s="137"/>
      <c r="IG23" s="137"/>
      <c r="IH23" s="137"/>
      <c r="II23" s="137"/>
      <c r="IJ23" s="137"/>
      <c r="IK23" s="137"/>
      <c r="IL23" s="137"/>
      <c r="IM23" s="137"/>
      <c r="IN23" s="137"/>
      <c r="IO23" s="137"/>
      <c r="IP23" s="137"/>
      <c r="IQ23" s="137"/>
      <c r="IR23" s="137"/>
      <c r="IS23" s="137"/>
      <c r="IT23" s="137"/>
      <c r="IU23" s="137"/>
      <c r="IV23" s="137"/>
      <c r="IW23" s="137"/>
      <c r="IX23" s="137"/>
      <c r="IY23" s="137"/>
      <c r="IZ23" s="137"/>
      <c r="JA23" s="137"/>
      <c r="JB23" s="137"/>
      <c r="JC23" s="137"/>
      <c r="JD23" s="137"/>
      <c r="JE23" s="137"/>
      <c r="JF23" s="137"/>
      <c r="JG23" s="137"/>
      <c r="JH23" s="137"/>
      <c r="JI23" s="137"/>
      <c r="JJ23" s="137"/>
      <c r="JK23" s="137"/>
      <c r="JL23" s="137"/>
      <c r="JM23" s="137"/>
      <c r="JN23" s="137"/>
      <c r="JO23" s="137"/>
      <c r="JP23" s="137"/>
      <c r="JQ23" s="137"/>
      <c r="JR23" s="137"/>
      <c r="JS23" s="137"/>
      <c r="JT23" s="137"/>
      <c r="JU23" s="137"/>
      <c r="JV23" s="137"/>
      <c r="JW23" s="137"/>
      <c r="JX23" s="137"/>
      <c r="JY23" s="137"/>
      <c r="JZ23" s="137"/>
      <c r="KA23" s="137"/>
      <c r="KB23" s="137"/>
      <c r="KC23" s="137"/>
      <c r="KD23" s="137"/>
      <c r="KE23" s="137"/>
      <c r="KF23" s="137"/>
      <c r="KG23" s="137"/>
      <c r="KH23" s="137"/>
      <c r="KI23" s="137"/>
      <c r="KJ23" s="137"/>
      <c r="KK23" s="137"/>
      <c r="KL23" s="137"/>
      <c r="KM23" s="137"/>
      <c r="KN23" s="137"/>
      <c r="KO23" s="137"/>
      <c r="KP23" s="137"/>
      <c r="KQ23" s="137"/>
      <c r="KR23" s="137"/>
      <c r="KS23" s="137"/>
      <c r="KT23" s="137"/>
      <c r="KU23" s="137"/>
      <c r="KV23" s="137"/>
      <c r="KW23" s="137"/>
      <c r="KX23" s="137"/>
      <c r="KY23" s="137"/>
      <c r="KZ23" s="137"/>
      <c r="LA23" s="137"/>
      <c r="LB23" s="137"/>
      <c r="LC23" s="137"/>
      <c r="LD23" s="137"/>
      <c r="LE23" s="137"/>
      <c r="LF23" s="137"/>
      <c r="LG23" s="137"/>
      <c r="LH23" s="137"/>
      <c r="LI23" s="137"/>
      <c r="LJ23" s="137"/>
      <c r="LK23" s="137"/>
      <c r="LL23" s="137"/>
      <c r="LM23" s="137"/>
      <c r="LN23" s="137"/>
      <c r="LO23" s="137"/>
      <c r="LP23" s="137"/>
      <c r="LQ23" s="137"/>
      <c r="LR23" s="137"/>
      <c r="LS23" s="137"/>
      <c r="LT23" s="137"/>
      <c r="LU23" s="137"/>
      <c r="LV23" s="137"/>
      <c r="LW23" s="137"/>
      <c r="LX23" s="137"/>
      <c r="LY23" s="137"/>
      <c r="LZ23" s="137"/>
      <c r="MA23" s="137"/>
      <c r="MB23" s="137"/>
      <c r="MC23" s="137"/>
      <c r="MD23" s="137"/>
      <c r="ME23" s="137"/>
      <c r="MF23" s="137"/>
      <c r="MG23" s="137"/>
      <c r="MH23" s="137"/>
      <c r="MI23" s="137"/>
      <c r="MJ23" s="137"/>
      <c r="MK23" s="137"/>
      <c r="ML23" s="137"/>
      <c r="MM23" s="137"/>
      <c r="MN23" s="137"/>
      <c r="MO23" s="137"/>
      <c r="MP23" s="137"/>
      <c r="MQ23" s="137"/>
      <c r="MR23" s="137"/>
      <c r="MS23" s="137"/>
      <c r="MT23" s="137"/>
      <c r="MU23" s="137"/>
      <c r="MV23" s="137"/>
      <c r="MW23" s="137"/>
      <c r="MX23" s="137"/>
      <c r="MY23" s="137"/>
      <c r="MZ23" s="137"/>
      <c r="NA23" s="137"/>
      <c r="NB23" s="137"/>
      <c r="NC23" s="137"/>
      <c r="ND23" s="137"/>
      <c r="NE23" s="137"/>
      <c r="NF23" s="137"/>
      <c r="NG23" s="137"/>
      <c r="NH23" s="137"/>
      <c r="NI23" s="137"/>
      <c r="NJ23" s="137"/>
      <c r="NK23" s="137"/>
      <c r="NL23" s="137"/>
      <c r="NM23" s="137"/>
      <c r="NN23" s="137"/>
      <c r="NO23" s="137"/>
      <c r="NP23" s="137"/>
      <c r="NQ23" s="137"/>
      <c r="NR23" s="137"/>
      <c r="NS23" s="137"/>
      <c r="NT23" s="137"/>
      <c r="NU23" s="137"/>
      <c r="NV23" s="137"/>
      <c r="NW23" s="137"/>
      <c r="NX23" s="137"/>
      <c r="NY23" s="137"/>
      <c r="NZ23" s="137"/>
      <c r="OA23" s="137"/>
      <c r="OB23" s="137"/>
      <c r="OC23" s="137"/>
      <c r="OD23" s="137"/>
      <c r="OE23" s="137"/>
      <c r="OF23" s="137"/>
      <c r="OG23" s="137"/>
      <c r="OH23" s="137"/>
      <c r="OI23" s="137"/>
      <c r="OJ23" s="137"/>
      <c r="OK23" s="137"/>
      <c r="OL23" s="137"/>
      <c r="OM23" s="137"/>
      <c r="ON23" s="137"/>
      <c r="OO23" s="137"/>
      <c r="OP23" s="137"/>
      <c r="OQ23" s="137"/>
      <c r="OR23" s="137"/>
      <c r="OS23" s="137"/>
      <c r="OT23" s="137"/>
      <c r="OU23" s="137"/>
      <c r="OV23" s="137"/>
      <c r="OW23" s="137"/>
      <c r="OX23" s="137"/>
      <c r="OY23" s="137"/>
      <c r="OZ23" s="137"/>
      <c r="PA23" s="137"/>
      <c r="PB23" s="137"/>
      <c r="PC23" s="137"/>
      <c r="PD23" s="137"/>
      <c r="PE23" s="137"/>
      <c r="PF23" s="137"/>
      <c r="PG23" s="137"/>
      <c r="PH23" s="137"/>
      <c r="PI23" s="137"/>
      <c r="PJ23" s="137"/>
      <c r="PK23" s="137"/>
      <c r="PL23" s="137"/>
      <c r="PM23" s="137"/>
      <c r="PN23" s="137"/>
      <c r="PO23" s="137"/>
      <c r="PP23" s="137"/>
      <c r="PQ23" s="137"/>
      <c r="PR23" s="137"/>
      <c r="PS23" s="137"/>
      <c r="PT23" s="137"/>
      <c r="PU23" s="137"/>
      <c r="PV23" s="137"/>
      <c r="PW23" s="137"/>
      <c r="PX23" s="137"/>
      <c r="PY23" s="137"/>
      <c r="PZ23" s="137"/>
      <c r="QA23" s="137"/>
      <c r="QB23" s="137"/>
      <c r="QC23" s="137"/>
      <c r="QD23" s="137"/>
      <c r="QE23" s="137"/>
      <c r="QF23" s="137"/>
      <c r="QG23" s="137"/>
      <c r="QH23" s="137"/>
      <c r="QI23" s="137"/>
      <c r="QJ23" s="137"/>
      <c r="QK23" s="137"/>
      <c r="QL23" s="137"/>
      <c r="QM23" s="137"/>
      <c r="QN23" s="137"/>
      <c r="QO23" s="137"/>
      <c r="QP23" s="137"/>
      <c r="QQ23" s="137"/>
      <c r="QR23" s="137"/>
      <c r="QS23" s="137"/>
      <c r="QT23" s="137"/>
      <c r="QU23" s="137"/>
      <c r="QV23" s="137"/>
      <c r="QW23" s="137"/>
      <c r="QX23" s="137"/>
      <c r="QY23" s="137"/>
      <c r="QZ23" s="137"/>
      <c r="RA23" s="137"/>
      <c r="RB23" s="137"/>
      <c r="RC23" s="137"/>
      <c r="RD23" s="137"/>
      <c r="RE23" s="137"/>
      <c r="RF23" s="137"/>
      <c r="RG23" s="137"/>
      <c r="RH23" s="137"/>
      <c r="RI23" s="137"/>
      <c r="RJ23" s="137"/>
      <c r="RK23" s="137"/>
      <c r="RL23" s="137"/>
      <c r="RM23" s="137"/>
      <c r="RN23" s="137"/>
      <c r="RO23" s="137"/>
      <c r="RP23" s="137"/>
      <c r="RQ23" s="137"/>
      <c r="RR23" s="137"/>
      <c r="RS23" s="137"/>
      <c r="RT23" s="137"/>
      <c r="RU23" s="137"/>
      <c r="RV23" s="137"/>
      <c r="RW23" s="137"/>
      <c r="RX23" s="137"/>
      <c r="RY23" s="137"/>
      <c r="RZ23" s="137"/>
      <c r="SA23" s="137"/>
      <c r="SB23" s="137"/>
      <c r="SC23" s="137"/>
      <c r="SD23" s="137"/>
      <c r="SE23" s="137"/>
      <c r="SF23" s="137"/>
      <c r="SG23" s="137"/>
      <c r="SH23" s="137"/>
      <c r="SI23" s="137"/>
      <c r="SJ23" s="137"/>
      <c r="SK23" s="137"/>
      <c r="SL23" s="137"/>
      <c r="SM23" s="137"/>
      <c r="SN23" s="137"/>
      <c r="SO23" s="137"/>
      <c r="SP23" s="137"/>
      <c r="SQ23" s="137"/>
      <c r="SR23" s="137"/>
      <c r="SS23" s="137"/>
      <c r="ST23" s="137"/>
      <c r="SU23" s="137"/>
      <c r="SV23" s="137"/>
      <c r="SW23" s="137"/>
      <c r="SX23" s="137"/>
      <c r="SY23" s="137"/>
      <c r="SZ23" s="137"/>
      <c r="TA23" s="137"/>
      <c r="TB23" s="137"/>
      <c r="TC23" s="137"/>
      <c r="TD23" s="137"/>
      <c r="TE23" s="137"/>
      <c r="TF23" s="137"/>
      <c r="TG23" s="137"/>
      <c r="TH23" s="137"/>
      <c r="TI23" s="137"/>
      <c r="TJ23" s="137"/>
      <c r="TK23" s="137"/>
      <c r="TL23" s="137"/>
      <c r="TM23" s="137"/>
      <c r="TN23" s="137"/>
      <c r="TO23" s="137"/>
      <c r="TP23" s="137"/>
      <c r="TQ23" s="137"/>
      <c r="TR23" s="137"/>
      <c r="TS23" s="137"/>
      <c r="TT23" s="137"/>
      <c r="TU23" s="137"/>
      <c r="TV23" s="137"/>
      <c r="TW23" s="137"/>
      <c r="TX23" s="137"/>
      <c r="TY23" s="137"/>
      <c r="TZ23" s="137"/>
      <c r="UA23" s="137"/>
      <c r="UB23" s="137"/>
      <c r="UC23" s="137"/>
      <c r="UD23" s="137"/>
      <c r="UE23" s="137"/>
      <c r="UF23" s="137"/>
      <c r="UG23" s="137"/>
      <c r="UH23" s="137"/>
      <c r="UI23" s="137"/>
      <c r="UJ23" s="137"/>
      <c r="UK23" s="137"/>
      <c r="UL23" s="137"/>
      <c r="UM23" s="137"/>
      <c r="UN23" s="137"/>
      <c r="UO23" s="137"/>
      <c r="UP23" s="137"/>
      <c r="UQ23" s="137"/>
      <c r="UR23" s="137"/>
      <c r="US23" s="137"/>
      <c r="UT23" s="137"/>
      <c r="UU23" s="137"/>
      <c r="UV23" s="137"/>
      <c r="UW23" s="137"/>
      <c r="UX23" s="137"/>
      <c r="UY23" s="137"/>
      <c r="UZ23" s="137"/>
      <c r="VA23" s="137"/>
      <c r="VB23" s="137"/>
      <c r="VC23" s="137"/>
      <c r="VD23" s="137"/>
      <c r="VE23" s="137"/>
      <c r="VF23" s="137"/>
      <c r="VG23" s="137"/>
      <c r="VH23" s="137"/>
      <c r="VI23" s="137"/>
      <c r="VJ23" s="137"/>
      <c r="VK23" s="137"/>
      <c r="VL23" s="137"/>
      <c r="VM23" s="137"/>
      <c r="VN23" s="137"/>
      <c r="VO23" s="137"/>
      <c r="VP23" s="137"/>
      <c r="VQ23" s="137"/>
      <c r="VR23" s="137"/>
      <c r="VS23" s="137"/>
      <c r="VT23" s="137"/>
      <c r="VU23" s="137"/>
      <c r="VV23" s="137"/>
      <c r="VW23" s="137"/>
      <c r="VX23" s="137"/>
      <c r="VY23" s="137"/>
      <c r="VZ23" s="137"/>
      <c r="WA23" s="137"/>
      <c r="WB23" s="137"/>
      <c r="WC23" s="137"/>
      <c r="WD23" s="137"/>
      <c r="WE23" s="137"/>
      <c r="WF23" s="137"/>
      <c r="WG23" s="137"/>
      <c r="WH23" s="137"/>
      <c r="WI23" s="137"/>
      <c r="WJ23" s="137"/>
      <c r="WK23" s="137"/>
      <c r="WL23" s="137"/>
      <c r="WM23" s="137"/>
      <c r="WN23" s="137"/>
      <c r="WO23" s="137"/>
      <c r="WP23" s="137"/>
      <c r="WQ23" s="137"/>
      <c r="WR23" s="137"/>
      <c r="WS23" s="137"/>
      <c r="WT23" s="137"/>
      <c r="WU23" s="137"/>
      <c r="WV23" s="137"/>
      <c r="WW23" s="137"/>
      <c r="WX23" s="137"/>
      <c r="WY23" s="137"/>
      <c r="WZ23" s="137"/>
      <c r="XA23" s="137"/>
      <c r="XB23" s="137"/>
      <c r="XC23" s="137"/>
      <c r="XD23" s="137"/>
      <c r="XE23" s="137"/>
      <c r="XF23" s="137"/>
      <c r="XG23" s="137"/>
      <c r="XH23" s="137"/>
      <c r="XI23" s="137"/>
      <c r="XJ23" s="137"/>
      <c r="XK23" s="137"/>
      <c r="XL23" s="137"/>
      <c r="XM23" s="137"/>
      <c r="XN23" s="137"/>
      <c r="XO23" s="137"/>
      <c r="XP23" s="137"/>
      <c r="XQ23" s="137"/>
      <c r="XR23" s="137"/>
      <c r="XS23" s="137"/>
      <c r="XT23" s="137"/>
      <c r="XU23" s="137"/>
      <c r="XV23" s="137"/>
      <c r="XW23" s="137"/>
      <c r="XX23" s="137"/>
      <c r="XY23" s="137"/>
      <c r="XZ23" s="137"/>
      <c r="YA23" s="137"/>
      <c r="YB23" s="137"/>
      <c r="YC23" s="137"/>
      <c r="YD23" s="137"/>
      <c r="YE23" s="137"/>
      <c r="YF23" s="137"/>
      <c r="YG23" s="137"/>
      <c r="YH23" s="137"/>
      <c r="YI23" s="137"/>
      <c r="YJ23" s="137"/>
      <c r="YK23" s="137"/>
      <c r="YL23" s="137"/>
      <c r="YM23" s="137"/>
      <c r="YN23" s="137"/>
      <c r="YO23" s="137"/>
      <c r="YP23" s="137"/>
      <c r="YQ23" s="137"/>
      <c r="YR23" s="137"/>
      <c r="YS23" s="137"/>
      <c r="YT23" s="137"/>
      <c r="YU23" s="137"/>
      <c r="YV23" s="137"/>
      <c r="YW23" s="137"/>
      <c r="YX23" s="137"/>
      <c r="YY23" s="137"/>
      <c r="YZ23" s="137"/>
      <c r="ZA23" s="137"/>
      <c r="ZB23" s="137"/>
      <c r="ZC23" s="137"/>
      <c r="ZD23" s="137"/>
      <c r="ZE23" s="137"/>
      <c r="ZF23" s="137"/>
      <c r="ZG23" s="137"/>
      <c r="ZH23" s="137"/>
      <c r="ZI23" s="137"/>
      <c r="ZJ23" s="137"/>
      <c r="ZK23" s="137"/>
      <c r="ZL23" s="137"/>
      <c r="ZM23" s="137"/>
      <c r="ZN23" s="137"/>
      <c r="ZO23" s="137"/>
      <c r="ZP23" s="137"/>
      <c r="ZQ23" s="137"/>
      <c r="ZR23" s="137"/>
      <c r="ZS23" s="137"/>
      <c r="ZT23" s="137"/>
      <c r="ZU23" s="137"/>
      <c r="ZV23" s="137"/>
      <c r="ZW23" s="137"/>
      <c r="ZX23" s="137"/>
      <c r="ZY23" s="137"/>
      <c r="ZZ23" s="137"/>
      <c r="AAA23" s="137"/>
      <c r="AAB23" s="137"/>
      <c r="AAC23" s="137"/>
      <c r="AAD23" s="137"/>
      <c r="AAE23" s="137"/>
      <c r="AAF23" s="137"/>
      <c r="AAG23" s="137"/>
      <c r="AAH23" s="137"/>
      <c r="AAI23" s="137"/>
      <c r="AAJ23" s="137"/>
      <c r="AAK23" s="137"/>
      <c r="AAL23" s="137"/>
      <c r="AAM23" s="137"/>
      <c r="AAN23" s="137"/>
      <c r="AAO23" s="137"/>
      <c r="AAP23" s="137"/>
      <c r="AAQ23" s="137"/>
      <c r="AAR23" s="137"/>
      <c r="AAS23" s="137"/>
      <c r="AAT23" s="137"/>
      <c r="AAU23" s="137"/>
      <c r="AAV23" s="137"/>
      <c r="AAW23" s="137"/>
      <c r="AAX23" s="137"/>
      <c r="AAY23" s="137"/>
      <c r="AAZ23" s="137"/>
      <c r="ABA23" s="137"/>
      <c r="ABB23" s="137"/>
      <c r="ABC23" s="137"/>
      <c r="ABD23" s="137"/>
      <c r="ABE23" s="137"/>
      <c r="ABF23" s="137"/>
      <c r="ABG23" s="137"/>
      <c r="ABH23" s="137"/>
      <c r="ABI23" s="137"/>
      <c r="ABJ23" s="137"/>
      <c r="ABK23" s="137"/>
      <c r="ABL23" s="137"/>
      <c r="ABM23" s="137"/>
      <c r="ABN23" s="137"/>
      <c r="ABO23" s="137"/>
      <c r="ABP23" s="137"/>
      <c r="ABQ23" s="137"/>
      <c r="ABR23" s="137"/>
      <c r="ABS23" s="137"/>
      <c r="ABT23" s="137"/>
      <c r="ABU23" s="137"/>
      <c r="ABV23" s="137"/>
      <c r="ABW23" s="137"/>
      <c r="ABX23" s="137"/>
      <c r="ABY23" s="137"/>
      <c r="ABZ23" s="137"/>
      <c r="ACA23" s="137"/>
      <c r="ACB23" s="137"/>
      <c r="ACC23" s="137"/>
      <c r="ACD23" s="137"/>
      <c r="ACE23" s="137"/>
      <c r="ACF23" s="137"/>
      <c r="ACG23" s="137"/>
      <c r="ACH23" s="137"/>
      <c r="ACI23" s="137"/>
      <c r="ACJ23" s="137"/>
      <c r="ACK23" s="137"/>
      <c r="ACL23" s="137"/>
      <c r="ACM23" s="137"/>
      <c r="ACN23" s="137"/>
      <c r="ACO23" s="137"/>
      <c r="ACP23" s="137"/>
      <c r="ACQ23" s="137"/>
      <c r="ACR23" s="137"/>
      <c r="ACS23" s="137"/>
      <c r="ACT23" s="137"/>
      <c r="ACU23" s="137"/>
      <c r="ACV23" s="137"/>
      <c r="ACW23" s="137"/>
      <c r="ACX23" s="137"/>
      <c r="ACY23" s="137"/>
      <c r="ACZ23" s="137"/>
      <c r="ADA23" s="137"/>
      <c r="ADB23" s="137"/>
      <c r="ADC23" s="137"/>
      <c r="ADD23" s="137"/>
      <c r="ADE23" s="137"/>
      <c r="ADF23" s="137"/>
      <c r="ADG23" s="137"/>
      <c r="ADH23" s="137"/>
      <c r="ADI23" s="137"/>
      <c r="ADJ23" s="137"/>
      <c r="ADK23" s="137"/>
      <c r="ADL23" s="137"/>
      <c r="ADM23" s="137"/>
      <c r="ADN23" s="137"/>
      <c r="ADO23" s="137"/>
      <c r="ADP23" s="137"/>
      <c r="ADQ23" s="137"/>
      <c r="ADR23" s="137"/>
      <c r="ADS23" s="137"/>
      <c r="ADT23" s="137"/>
      <c r="ADU23" s="137"/>
      <c r="ADV23" s="137"/>
      <c r="ADW23" s="137"/>
      <c r="ADX23" s="137"/>
      <c r="ADY23" s="137"/>
      <c r="ADZ23" s="137"/>
      <c r="AEA23" s="137"/>
      <c r="AEB23" s="137"/>
      <c r="AEC23" s="137"/>
      <c r="AED23" s="137"/>
      <c r="AEE23" s="137"/>
      <c r="AEF23" s="137"/>
      <c r="AEG23" s="137"/>
      <c r="AEH23" s="137"/>
      <c r="AEI23" s="137"/>
      <c r="AEJ23" s="137"/>
      <c r="AEK23" s="137"/>
      <c r="AEL23" s="137"/>
      <c r="AEM23" s="137"/>
      <c r="AEN23" s="137"/>
      <c r="AEO23" s="137"/>
      <c r="AEP23" s="137"/>
      <c r="AEQ23" s="137"/>
      <c r="AER23" s="137"/>
      <c r="AES23" s="137"/>
      <c r="AET23" s="137"/>
      <c r="AEU23" s="137"/>
      <c r="AEV23" s="137"/>
      <c r="AEW23" s="137"/>
      <c r="AEX23" s="137"/>
      <c r="AEY23" s="137"/>
      <c r="AEZ23" s="137"/>
      <c r="AFA23" s="137"/>
      <c r="AFB23" s="137"/>
      <c r="AFC23" s="137"/>
      <c r="AFD23" s="137"/>
      <c r="AFE23" s="137"/>
      <c r="AFF23" s="137"/>
      <c r="AFG23" s="137"/>
      <c r="AFH23" s="137"/>
      <c r="AFI23" s="137"/>
      <c r="AFJ23" s="137"/>
      <c r="AFK23" s="137"/>
      <c r="AFL23" s="137"/>
      <c r="AFM23" s="137"/>
      <c r="AFN23" s="137"/>
      <c r="AFO23" s="137"/>
      <c r="AFP23" s="137"/>
      <c r="AFQ23" s="137"/>
      <c r="AFR23" s="137"/>
      <c r="AFS23" s="137"/>
      <c r="AFT23" s="137"/>
      <c r="AFU23" s="137"/>
      <c r="AFV23" s="137"/>
      <c r="AFW23" s="137"/>
      <c r="AFX23" s="137"/>
      <c r="AFY23" s="137"/>
      <c r="AFZ23" s="137"/>
      <c r="AGA23" s="137"/>
      <c r="AGB23" s="137"/>
      <c r="AGC23" s="137"/>
      <c r="AGD23" s="137"/>
      <c r="AGE23" s="137"/>
      <c r="AGF23" s="137"/>
      <c r="AGG23" s="137"/>
      <c r="AGH23" s="137"/>
      <c r="AGI23" s="137"/>
      <c r="AGJ23" s="137"/>
      <c r="AGK23" s="137"/>
      <c r="AGL23" s="137"/>
      <c r="AGM23" s="137"/>
      <c r="AGN23" s="137"/>
      <c r="AGO23" s="137"/>
      <c r="AGP23" s="137"/>
      <c r="AGQ23" s="137"/>
      <c r="AGR23" s="137"/>
      <c r="AGS23" s="137"/>
      <c r="AGT23" s="137"/>
      <c r="AGU23" s="137"/>
      <c r="AGV23" s="137"/>
      <c r="AGW23" s="137"/>
      <c r="AGX23" s="137"/>
      <c r="AGY23" s="137"/>
      <c r="AGZ23" s="137"/>
      <c r="AHA23" s="137"/>
      <c r="AHB23" s="137"/>
      <c r="AHC23" s="137"/>
      <c r="AHD23" s="137"/>
      <c r="AHE23" s="137"/>
      <c r="AHF23" s="137"/>
      <c r="AHG23" s="137"/>
      <c r="AHH23" s="137"/>
      <c r="AHI23" s="137"/>
      <c r="AHJ23" s="137"/>
      <c r="AHK23" s="137"/>
      <c r="AHL23" s="137"/>
      <c r="AHM23" s="137"/>
      <c r="AHN23" s="137"/>
      <c r="AHO23" s="137"/>
      <c r="AHP23" s="137"/>
      <c r="AHQ23" s="137"/>
      <c r="AHR23" s="137"/>
      <c r="AHS23" s="137"/>
      <c r="AHT23" s="137"/>
      <c r="AHU23" s="137"/>
      <c r="AHV23" s="137"/>
      <c r="AHW23" s="137"/>
      <c r="AHX23" s="137"/>
      <c r="AHY23" s="137"/>
      <c r="AHZ23" s="137"/>
      <c r="AIA23" s="137"/>
      <c r="AIB23" s="137"/>
      <c r="AIC23" s="137"/>
      <c r="AID23" s="137"/>
      <c r="AIE23" s="137"/>
      <c r="AIF23" s="137"/>
      <c r="AIG23" s="137"/>
      <c r="AIH23" s="137"/>
      <c r="AII23" s="137"/>
      <c r="AIJ23" s="137"/>
      <c r="AIK23" s="137"/>
      <c r="AIL23" s="137"/>
      <c r="AIM23" s="137"/>
      <c r="AIN23" s="137"/>
      <c r="AIO23" s="137"/>
      <c r="AIP23" s="137"/>
      <c r="AIQ23" s="137"/>
      <c r="AIR23" s="137"/>
      <c r="AIS23" s="137"/>
      <c r="AIT23" s="137"/>
      <c r="AIU23" s="137"/>
      <c r="AIV23" s="137"/>
      <c r="AIW23" s="137"/>
      <c r="AIX23" s="137"/>
      <c r="AIY23" s="137"/>
      <c r="AIZ23" s="137"/>
      <c r="AJA23" s="137"/>
      <c r="AJB23" s="137"/>
      <c r="AJC23" s="137"/>
      <c r="AJD23" s="137"/>
      <c r="AJE23" s="137"/>
      <c r="AJF23" s="137"/>
      <c r="AJG23" s="137"/>
      <c r="AJH23" s="137"/>
      <c r="AJI23" s="137"/>
      <c r="AJJ23" s="137"/>
      <c r="AJK23" s="137"/>
      <c r="AJL23" s="137"/>
      <c r="AJM23" s="137"/>
      <c r="AJN23" s="137"/>
      <c r="AJO23" s="137"/>
      <c r="AJP23" s="137"/>
      <c r="AJQ23" s="137"/>
      <c r="AJR23" s="137"/>
      <c r="AJS23" s="137"/>
      <c r="AJT23" s="137"/>
      <c r="AJU23" s="137"/>
      <c r="AJV23" s="137"/>
      <c r="AJW23" s="137"/>
      <c r="AJX23" s="137"/>
      <c r="AJY23" s="137"/>
      <c r="AJZ23" s="137"/>
      <c r="AKA23" s="137"/>
      <c r="AKB23" s="137"/>
      <c r="AKC23" s="137"/>
      <c r="AKD23" s="137"/>
      <c r="AKE23" s="137"/>
      <c r="AKF23" s="137"/>
      <c r="AKG23" s="137"/>
      <c r="AKH23" s="137"/>
      <c r="AKI23" s="137"/>
      <c r="AKJ23" s="137"/>
      <c r="AKK23" s="137"/>
      <c r="AKL23" s="137"/>
      <c r="AKM23" s="137"/>
      <c r="AKN23" s="137"/>
      <c r="AKO23" s="137"/>
      <c r="AKP23" s="137"/>
      <c r="AKQ23" s="137"/>
      <c r="AKR23" s="137"/>
      <c r="AKS23" s="137"/>
      <c r="AKT23" s="137"/>
      <c r="AKU23" s="137"/>
      <c r="AKV23" s="137"/>
      <c r="AKW23" s="137"/>
      <c r="AKX23" s="137"/>
      <c r="AKY23" s="137"/>
      <c r="AKZ23" s="137"/>
      <c r="ALA23" s="137"/>
      <c r="ALB23" s="137"/>
      <c r="ALC23" s="137"/>
      <c r="ALD23" s="137"/>
      <c r="ALE23" s="137"/>
      <c r="ALF23" s="137"/>
      <c r="ALG23" s="137"/>
      <c r="ALH23" s="137"/>
      <c r="ALI23" s="137"/>
      <c r="ALJ23" s="137"/>
      <c r="ALK23" s="137"/>
      <c r="ALL23" s="137"/>
      <c r="ALM23" s="137"/>
      <c r="ALN23" s="137"/>
      <c r="ALO23" s="137"/>
      <c r="ALP23" s="137"/>
      <c r="ALQ23" s="137"/>
      <c r="ALR23" s="137"/>
      <c r="ALS23" s="137"/>
      <c r="ALT23" s="137"/>
      <c r="ALU23" s="137"/>
      <c r="ALV23" s="137"/>
      <c r="ALW23" s="137"/>
      <c r="ALX23" s="137"/>
      <c r="ALY23" s="137"/>
      <c r="ALZ23" s="137"/>
      <c r="AMA23" s="137"/>
      <c r="AMB23" s="137"/>
      <c r="AMC23" s="137"/>
      <c r="AMD23" s="137"/>
      <c r="AME23" s="137"/>
      <c r="AMF23" s="137"/>
      <c r="AMG23" s="137"/>
      <c r="AMH23" s="137"/>
      <c r="AMI23" s="137"/>
      <c r="AMJ23" s="137"/>
      <c r="AMK23" s="137"/>
      <c r="AML23" s="137"/>
      <c r="AMM23" s="137"/>
      <c r="AMN23" s="137"/>
      <c r="AMO23" s="137"/>
      <c r="AMP23" s="137"/>
      <c r="AMQ23" s="137"/>
      <c r="AMR23" s="137"/>
      <c r="AMS23" s="137"/>
      <c r="AMT23" s="137"/>
      <c r="AMU23" s="137"/>
      <c r="AMV23" s="137"/>
      <c r="AMW23" s="137"/>
      <c r="AMX23" s="137"/>
      <c r="AMY23" s="137"/>
      <c r="AMZ23" s="137"/>
      <c r="ANA23" s="137"/>
      <c r="ANB23" s="137"/>
      <c r="ANC23" s="137"/>
      <c r="AND23" s="137"/>
      <c r="ANE23" s="137"/>
      <c r="ANF23" s="137"/>
      <c r="ANG23" s="137"/>
      <c r="ANH23" s="137"/>
      <c r="ANI23" s="137"/>
      <c r="ANJ23" s="137"/>
      <c r="ANK23" s="137"/>
      <c r="ANL23" s="137"/>
      <c r="ANM23" s="137"/>
      <c r="ANN23" s="137"/>
      <c r="ANO23" s="137"/>
      <c r="ANP23" s="137"/>
      <c r="ANQ23" s="137"/>
      <c r="ANR23" s="137"/>
      <c r="ANS23" s="137"/>
      <c r="ANT23" s="137"/>
      <c r="ANU23" s="137"/>
      <c r="ANV23" s="137"/>
      <c r="ANW23" s="137"/>
      <c r="ANX23" s="137"/>
      <c r="ANY23" s="137"/>
      <c r="ANZ23" s="137"/>
      <c r="AOA23" s="137"/>
      <c r="AOB23" s="137"/>
      <c r="AOC23" s="137"/>
      <c r="AOD23" s="137"/>
      <c r="AOE23" s="137"/>
      <c r="AOF23" s="137"/>
      <c r="AOG23" s="137"/>
      <c r="AOH23" s="137"/>
      <c r="AOI23" s="137"/>
      <c r="AOJ23" s="137"/>
      <c r="AOK23" s="137"/>
      <c r="AOL23" s="137"/>
      <c r="AOM23" s="137"/>
      <c r="AON23" s="137"/>
      <c r="AOO23" s="137"/>
      <c r="AOP23" s="137"/>
      <c r="AOQ23" s="137"/>
      <c r="AOR23" s="137"/>
      <c r="AOS23" s="137"/>
      <c r="AOT23" s="137"/>
      <c r="AOU23" s="137"/>
      <c r="AOV23" s="137"/>
      <c r="AOW23" s="137"/>
      <c r="AOX23" s="137"/>
      <c r="AOY23" s="137"/>
      <c r="AOZ23" s="137"/>
      <c r="APA23" s="137"/>
      <c r="APB23" s="137"/>
      <c r="APC23" s="137"/>
      <c r="APD23" s="137"/>
      <c r="APE23" s="137"/>
      <c r="APF23" s="137"/>
      <c r="APG23" s="137"/>
      <c r="APH23" s="137"/>
      <c r="API23" s="137"/>
      <c r="APJ23" s="137"/>
      <c r="APK23" s="137"/>
      <c r="APL23" s="137"/>
      <c r="APM23" s="137"/>
      <c r="APN23" s="137"/>
      <c r="APO23" s="137"/>
      <c r="APP23" s="137"/>
      <c r="APQ23" s="137"/>
      <c r="APR23" s="137"/>
      <c r="APS23" s="137"/>
      <c r="APT23" s="137"/>
      <c r="APU23" s="137"/>
      <c r="APV23" s="137"/>
      <c r="APW23" s="137"/>
      <c r="APX23" s="137"/>
      <c r="APY23" s="137"/>
      <c r="APZ23" s="137"/>
      <c r="AQA23" s="137"/>
      <c r="AQB23" s="137"/>
      <c r="AQC23" s="137"/>
      <c r="AQD23" s="137"/>
      <c r="AQE23" s="137"/>
      <c r="AQF23" s="137"/>
      <c r="AQG23" s="137"/>
      <c r="AQH23" s="137"/>
      <c r="AQI23" s="137"/>
      <c r="AQJ23" s="137"/>
      <c r="AQK23" s="137"/>
      <c r="AQL23" s="137"/>
      <c r="AQM23" s="137"/>
      <c r="AQN23" s="137"/>
      <c r="AQO23" s="137"/>
      <c r="AQP23" s="137"/>
      <c r="AQQ23" s="137"/>
      <c r="AQR23" s="137"/>
      <c r="AQS23" s="137"/>
      <c r="AQT23" s="137"/>
      <c r="AQU23" s="137"/>
      <c r="AQV23" s="137"/>
      <c r="AQW23" s="137"/>
      <c r="AQX23" s="137"/>
      <c r="AQY23" s="137"/>
      <c r="AQZ23" s="137"/>
      <c r="ARA23" s="137"/>
      <c r="ARB23" s="137"/>
      <c r="ARC23" s="137"/>
      <c r="ARD23" s="137"/>
      <c r="ARE23" s="137"/>
      <c r="ARF23" s="137"/>
      <c r="ARG23" s="137"/>
      <c r="ARH23" s="137"/>
      <c r="ARI23" s="137"/>
      <c r="ARJ23" s="137"/>
      <c r="ARK23" s="137"/>
      <c r="ARL23" s="137"/>
      <c r="ARM23" s="137"/>
      <c r="ARN23" s="137"/>
      <c r="ARO23" s="137"/>
      <c r="ARP23" s="137"/>
      <c r="ARQ23" s="137"/>
      <c r="ARR23" s="137"/>
      <c r="ARS23" s="137"/>
      <c r="ART23" s="137"/>
      <c r="ARU23" s="137"/>
      <c r="ARV23" s="137"/>
      <c r="ARW23" s="137"/>
      <c r="ARX23" s="137"/>
      <c r="ARY23" s="137"/>
      <c r="ARZ23" s="137"/>
      <c r="ASA23" s="137"/>
      <c r="ASB23" s="137"/>
      <c r="ASC23" s="137"/>
      <c r="ASD23" s="137"/>
      <c r="ASE23" s="137"/>
      <c r="ASF23" s="137"/>
      <c r="ASG23" s="137"/>
      <c r="ASH23" s="137"/>
      <c r="ASI23" s="137"/>
      <c r="ASJ23" s="137"/>
      <c r="ASK23" s="137"/>
      <c r="ASL23" s="137"/>
      <c r="ASM23" s="137"/>
      <c r="ASN23" s="137"/>
      <c r="ASO23" s="137"/>
      <c r="ASP23" s="137"/>
      <c r="ASQ23" s="137"/>
      <c r="ASR23" s="137"/>
      <c r="ASS23" s="137"/>
      <c r="AST23" s="137"/>
      <c r="ASU23" s="137"/>
      <c r="ASV23" s="137"/>
      <c r="ASW23" s="137"/>
      <c r="ASX23" s="137"/>
      <c r="ASY23" s="137"/>
      <c r="ASZ23" s="137"/>
      <c r="ATA23" s="137"/>
      <c r="ATB23" s="137"/>
      <c r="ATC23" s="137"/>
      <c r="ATD23" s="137"/>
      <c r="ATE23" s="137"/>
      <c r="ATF23" s="137"/>
      <c r="ATG23" s="137"/>
      <c r="ATH23" s="137"/>
      <c r="ATI23" s="137"/>
      <c r="ATJ23" s="137"/>
      <c r="ATK23" s="137"/>
      <c r="ATL23" s="137"/>
      <c r="ATM23" s="137"/>
      <c r="ATN23" s="137"/>
      <c r="ATO23" s="137"/>
      <c r="ATP23" s="137"/>
      <c r="ATQ23" s="137"/>
      <c r="ATR23" s="137"/>
      <c r="ATS23" s="137"/>
      <c r="ATT23" s="137"/>
      <c r="ATU23" s="137"/>
      <c r="ATV23" s="137"/>
      <c r="ATW23" s="137"/>
      <c r="ATX23" s="137"/>
      <c r="ATY23" s="137"/>
      <c r="ATZ23" s="137"/>
      <c r="AUA23" s="137"/>
      <c r="AUB23" s="137"/>
      <c r="AUC23" s="137"/>
      <c r="AUD23" s="137"/>
      <c r="AUE23" s="137"/>
      <c r="AUF23" s="137"/>
      <c r="AUG23" s="137"/>
      <c r="AUH23" s="137"/>
      <c r="AUI23" s="137"/>
      <c r="AUJ23" s="137"/>
      <c r="AUK23" s="137"/>
      <c r="AUL23" s="137"/>
      <c r="AUM23" s="137"/>
      <c r="AUN23" s="137"/>
      <c r="AUO23" s="137"/>
      <c r="AUP23" s="137"/>
      <c r="AUQ23" s="137"/>
      <c r="AUR23" s="137"/>
      <c r="AUS23" s="137"/>
      <c r="AUT23" s="137"/>
      <c r="AUU23" s="137"/>
      <c r="AUV23" s="137"/>
      <c r="AUW23" s="137"/>
      <c r="AUX23" s="137"/>
      <c r="AUY23" s="137"/>
      <c r="AUZ23" s="137"/>
      <c r="AVA23" s="137"/>
      <c r="AVB23" s="137"/>
      <c r="AVC23" s="137"/>
      <c r="AVD23" s="137"/>
      <c r="AVE23" s="137"/>
      <c r="AVF23" s="137"/>
      <c r="AVG23" s="137"/>
      <c r="AVH23" s="137"/>
      <c r="AVI23" s="137"/>
      <c r="AVJ23" s="137"/>
      <c r="AVK23" s="137"/>
      <c r="AVL23" s="137"/>
      <c r="AVM23" s="137"/>
      <c r="AVN23" s="137"/>
      <c r="AVO23" s="137"/>
      <c r="AVP23" s="137"/>
      <c r="AVQ23" s="137"/>
      <c r="AVR23" s="137"/>
      <c r="AVS23" s="137"/>
      <c r="AVT23" s="137"/>
      <c r="AVU23" s="137"/>
      <c r="AVV23" s="137"/>
      <c r="AVW23" s="137"/>
      <c r="AVX23" s="137"/>
      <c r="AVY23" s="137"/>
      <c r="AVZ23" s="137"/>
      <c r="AWA23" s="137"/>
      <c r="AWB23" s="137"/>
      <c r="AWC23" s="137"/>
      <c r="AWD23" s="137"/>
      <c r="AWE23" s="137"/>
      <c r="AWF23" s="137"/>
      <c r="AWG23" s="137"/>
      <c r="AWH23" s="137"/>
      <c r="AWI23" s="137"/>
      <c r="AWJ23" s="137"/>
      <c r="AWK23" s="137"/>
      <c r="AWL23" s="137"/>
      <c r="AWM23" s="137"/>
      <c r="AWN23" s="137"/>
      <c r="AWO23" s="137"/>
      <c r="AWP23" s="137"/>
      <c r="AWQ23" s="137"/>
      <c r="AWR23" s="137"/>
      <c r="AWS23" s="137"/>
      <c r="AWT23" s="137"/>
      <c r="AWU23" s="137"/>
      <c r="AWV23" s="137"/>
      <c r="AWW23" s="137"/>
      <c r="AWX23" s="137"/>
      <c r="AWY23" s="137"/>
      <c r="AWZ23" s="137"/>
      <c r="AXA23" s="137"/>
      <c r="AXB23" s="137"/>
      <c r="AXC23" s="137"/>
      <c r="AXD23" s="137"/>
      <c r="AXE23" s="137"/>
      <c r="AXF23" s="137"/>
      <c r="AXG23" s="137"/>
      <c r="AXH23" s="137"/>
      <c r="AXI23" s="137"/>
      <c r="AXJ23" s="137"/>
      <c r="AXK23" s="137"/>
      <c r="AXL23" s="137"/>
      <c r="AXM23" s="137"/>
      <c r="AXN23" s="137"/>
      <c r="AXO23" s="137"/>
      <c r="AXP23" s="137"/>
      <c r="AXQ23" s="137"/>
      <c r="AXR23" s="137"/>
      <c r="AXS23" s="137"/>
      <c r="AXT23" s="137"/>
      <c r="AXU23" s="137"/>
      <c r="AXV23" s="137"/>
      <c r="AXW23" s="137"/>
      <c r="AXX23" s="137"/>
      <c r="AXY23" s="137"/>
      <c r="AXZ23" s="137"/>
      <c r="AYA23" s="137"/>
      <c r="AYB23" s="137"/>
      <c r="AYC23" s="137"/>
      <c r="AYD23" s="137"/>
      <c r="AYE23" s="137"/>
      <c r="AYF23" s="137"/>
      <c r="AYG23" s="137"/>
      <c r="AYH23" s="137"/>
      <c r="AYI23" s="137"/>
      <c r="AYJ23" s="137"/>
      <c r="AYK23" s="137"/>
      <c r="AYL23" s="137"/>
      <c r="AYM23" s="137"/>
      <c r="AYN23" s="137"/>
      <c r="AYO23" s="137"/>
      <c r="AYP23" s="137"/>
      <c r="AYQ23" s="137"/>
      <c r="AYR23" s="137"/>
      <c r="AYS23" s="137"/>
      <c r="AYT23" s="137"/>
      <c r="AYU23" s="137"/>
      <c r="AYV23" s="137"/>
      <c r="AYW23" s="137"/>
      <c r="AYX23" s="137"/>
      <c r="AYY23" s="137"/>
      <c r="AYZ23" s="137"/>
      <c r="AZA23" s="137"/>
      <c r="AZB23" s="137"/>
      <c r="AZC23" s="137"/>
      <c r="AZD23" s="137"/>
      <c r="AZE23" s="137"/>
      <c r="AZF23" s="137"/>
      <c r="AZG23" s="137"/>
      <c r="AZH23" s="137"/>
      <c r="AZI23" s="137"/>
      <c r="AZJ23" s="137"/>
      <c r="AZK23" s="137"/>
      <c r="AZL23" s="137"/>
      <c r="AZM23" s="137"/>
      <c r="AZN23" s="137"/>
      <c r="AZO23" s="137"/>
      <c r="AZP23" s="137"/>
      <c r="AZQ23" s="137"/>
      <c r="AZR23" s="137"/>
      <c r="AZS23" s="137"/>
      <c r="AZT23" s="137"/>
      <c r="AZU23" s="137"/>
      <c r="AZV23" s="137"/>
      <c r="AZW23" s="137"/>
      <c r="AZX23" s="137"/>
      <c r="AZY23" s="137"/>
      <c r="AZZ23" s="137"/>
      <c r="BAA23" s="137"/>
      <c r="BAB23" s="137"/>
      <c r="BAC23" s="137"/>
      <c r="BAD23" s="137"/>
      <c r="BAE23" s="137"/>
      <c r="BAF23" s="137"/>
      <c r="BAG23" s="137"/>
      <c r="BAH23" s="137"/>
      <c r="BAI23" s="137"/>
      <c r="BAJ23" s="137"/>
      <c r="BAK23" s="137"/>
      <c r="BAL23" s="137"/>
      <c r="BAM23" s="137"/>
      <c r="BAN23" s="137"/>
      <c r="BAO23" s="137"/>
      <c r="BAP23" s="137"/>
      <c r="BAQ23" s="137"/>
      <c r="BAR23" s="137"/>
      <c r="BAS23" s="137"/>
      <c r="BAT23" s="137"/>
      <c r="BAU23" s="137"/>
      <c r="BAV23" s="137"/>
      <c r="BAW23" s="137"/>
      <c r="BAX23" s="137"/>
      <c r="BAY23" s="137"/>
      <c r="BAZ23" s="137"/>
      <c r="BBA23" s="137"/>
      <c r="BBB23" s="137"/>
      <c r="BBC23" s="137"/>
      <c r="BBD23" s="137"/>
      <c r="BBE23" s="137"/>
      <c r="BBF23" s="137"/>
      <c r="BBG23" s="137"/>
      <c r="BBH23" s="137"/>
      <c r="BBI23" s="137"/>
      <c r="BBJ23" s="137"/>
      <c r="BBK23" s="137"/>
      <c r="BBL23" s="137"/>
      <c r="BBM23" s="137"/>
      <c r="BBN23" s="137"/>
      <c r="BBO23" s="137"/>
      <c r="BBP23" s="137"/>
      <c r="BBQ23" s="137"/>
      <c r="BBR23" s="137"/>
      <c r="BBS23" s="137"/>
      <c r="BBT23" s="137"/>
      <c r="BBU23" s="137"/>
      <c r="BBV23" s="137"/>
      <c r="BBW23" s="137"/>
      <c r="BBX23" s="137"/>
      <c r="BBY23" s="137"/>
      <c r="BBZ23" s="137"/>
      <c r="BCA23" s="137"/>
      <c r="BCB23" s="137"/>
      <c r="BCC23" s="137"/>
      <c r="BCD23" s="137"/>
      <c r="BCE23" s="137"/>
      <c r="BCF23" s="137"/>
      <c r="BCG23" s="137"/>
      <c r="BCH23" s="137"/>
      <c r="BCI23" s="137"/>
      <c r="BCJ23" s="137"/>
      <c r="BCK23" s="137"/>
      <c r="BCL23" s="137"/>
      <c r="BCM23" s="137"/>
      <c r="BCN23" s="137"/>
      <c r="BCO23" s="137"/>
      <c r="BCP23" s="137"/>
      <c r="BCQ23" s="137"/>
      <c r="BCR23" s="137"/>
      <c r="BCS23" s="137"/>
      <c r="BCT23" s="137"/>
      <c r="BCU23" s="137"/>
      <c r="BCV23" s="137"/>
      <c r="BCW23" s="137"/>
      <c r="BCX23" s="137"/>
      <c r="BCY23" s="137"/>
      <c r="BCZ23" s="137"/>
      <c r="BDA23" s="137"/>
      <c r="BDB23" s="137"/>
      <c r="BDC23" s="137"/>
      <c r="BDD23" s="137"/>
      <c r="BDE23" s="137"/>
      <c r="BDF23" s="137"/>
      <c r="BDG23" s="137"/>
      <c r="BDH23" s="137"/>
      <c r="BDI23" s="137"/>
      <c r="BDJ23" s="137"/>
      <c r="BDK23" s="137"/>
      <c r="BDL23" s="137"/>
      <c r="BDM23" s="137"/>
      <c r="BDN23" s="137"/>
      <c r="BDO23" s="137"/>
      <c r="BDP23" s="137"/>
      <c r="BDQ23" s="137"/>
      <c r="BDR23" s="137"/>
      <c r="BDS23" s="137"/>
      <c r="BDT23" s="137"/>
      <c r="BDU23" s="137"/>
      <c r="BDV23" s="137"/>
      <c r="BDW23" s="137"/>
      <c r="BDX23" s="137"/>
      <c r="BDY23" s="137"/>
      <c r="BDZ23" s="137"/>
      <c r="BEA23" s="137"/>
      <c r="BEB23" s="137"/>
      <c r="BEC23" s="137"/>
      <c r="BED23" s="137"/>
      <c r="BEE23" s="137"/>
      <c r="BEF23" s="137"/>
      <c r="BEG23" s="137"/>
      <c r="BEH23" s="137"/>
      <c r="BEI23" s="137"/>
      <c r="BEJ23" s="137"/>
      <c r="BEK23" s="137"/>
      <c r="BEL23" s="137"/>
      <c r="BEM23" s="137"/>
      <c r="BEN23" s="137"/>
      <c r="BEO23" s="137"/>
      <c r="BEP23" s="137"/>
      <c r="BEQ23" s="137"/>
      <c r="BER23" s="137"/>
      <c r="BES23" s="137"/>
      <c r="BET23" s="137"/>
      <c r="BEU23" s="137"/>
      <c r="BEV23" s="137"/>
      <c r="BEW23" s="137"/>
      <c r="BEX23" s="137"/>
      <c r="BEY23" s="137"/>
      <c r="BEZ23" s="137"/>
      <c r="BFA23" s="137"/>
      <c r="BFB23" s="137"/>
      <c r="BFC23" s="137"/>
      <c r="BFD23" s="137"/>
      <c r="BFE23" s="137"/>
      <c r="BFF23" s="137"/>
      <c r="BFG23" s="137"/>
      <c r="BFH23" s="137"/>
      <c r="BFI23" s="137"/>
      <c r="BFJ23" s="137"/>
      <c r="BFK23" s="137"/>
      <c r="BFL23" s="137"/>
      <c r="BFM23" s="137"/>
      <c r="BFN23" s="137"/>
      <c r="BFO23" s="137"/>
      <c r="BFP23" s="137"/>
      <c r="BFQ23" s="137"/>
      <c r="BFR23" s="137"/>
      <c r="BFS23" s="137"/>
      <c r="BFT23" s="137"/>
      <c r="BFU23" s="137"/>
      <c r="BFV23" s="137"/>
      <c r="BFW23" s="137"/>
      <c r="BFX23" s="137"/>
      <c r="BFY23" s="137"/>
      <c r="BFZ23" s="137"/>
      <c r="BGA23" s="137"/>
      <c r="BGB23" s="137"/>
      <c r="BGC23" s="137"/>
      <c r="BGD23" s="137"/>
      <c r="BGE23" s="137"/>
      <c r="BGF23" s="137"/>
      <c r="BGG23" s="137"/>
      <c r="BGH23" s="137"/>
      <c r="BGI23" s="137"/>
      <c r="BGJ23" s="137"/>
      <c r="BGK23" s="137"/>
      <c r="BGL23" s="137"/>
      <c r="BGM23" s="137"/>
      <c r="BGN23" s="137"/>
      <c r="BGO23" s="137"/>
      <c r="BGP23" s="137"/>
      <c r="BGQ23" s="137"/>
      <c r="BGR23" s="137"/>
      <c r="BGS23" s="137"/>
      <c r="BGT23" s="137"/>
      <c r="BGU23" s="137"/>
      <c r="BGV23" s="137"/>
      <c r="BGW23" s="137"/>
      <c r="BGX23" s="137"/>
      <c r="BGY23" s="137"/>
      <c r="BGZ23" s="137"/>
      <c r="BHA23" s="137"/>
      <c r="BHB23" s="137"/>
      <c r="BHC23" s="137"/>
      <c r="BHD23" s="137"/>
      <c r="BHE23" s="137"/>
      <c r="BHF23" s="137"/>
      <c r="BHG23" s="137"/>
      <c r="BHH23" s="137"/>
      <c r="BHI23" s="137"/>
      <c r="BHJ23" s="137"/>
      <c r="BHK23" s="137"/>
      <c r="BHL23" s="137"/>
      <c r="BHM23" s="137"/>
      <c r="BHN23" s="137"/>
      <c r="BHO23" s="137"/>
      <c r="BHP23" s="137"/>
      <c r="BHQ23" s="137"/>
      <c r="BHR23" s="137"/>
      <c r="BHS23" s="137"/>
      <c r="BHT23" s="137"/>
      <c r="BHU23" s="137"/>
      <c r="BHV23" s="137"/>
      <c r="BHW23" s="137"/>
      <c r="BHX23" s="137"/>
      <c r="BHY23" s="137"/>
      <c r="BHZ23" s="137"/>
      <c r="BIA23" s="137"/>
      <c r="BIB23" s="137"/>
      <c r="BIC23" s="137"/>
      <c r="BID23" s="137"/>
      <c r="BIE23" s="137"/>
      <c r="BIF23" s="137"/>
      <c r="BIG23" s="137"/>
      <c r="BIH23" s="137"/>
      <c r="BII23" s="137"/>
      <c r="BIJ23" s="137"/>
      <c r="BIK23" s="137"/>
      <c r="BIL23" s="137"/>
      <c r="BIM23" s="137"/>
      <c r="BIN23" s="137"/>
      <c r="BIO23" s="137"/>
      <c r="BIP23" s="137"/>
      <c r="BIQ23" s="137"/>
      <c r="BIR23" s="137"/>
      <c r="BIS23" s="137"/>
      <c r="BIT23" s="137"/>
      <c r="BIU23" s="137"/>
      <c r="BIV23" s="137"/>
      <c r="BIW23" s="137"/>
      <c r="BIX23" s="137"/>
      <c r="BIY23" s="137"/>
      <c r="BIZ23" s="137"/>
      <c r="BJA23" s="137"/>
      <c r="BJB23" s="137"/>
      <c r="BJC23" s="137"/>
      <c r="BJD23" s="137"/>
      <c r="BJE23" s="137"/>
      <c r="BJF23" s="137"/>
      <c r="BJG23" s="137"/>
      <c r="BJH23" s="137"/>
      <c r="BJI23" s="137"/>
      <c r="BJJ23" s="137"/>
      <c r="BJK23" s="137"/>
      <c r="BJL23" s="137"/>
      <c r="BJM23" s="137"/>
      <c r="BJN23" s="137"/>
      <c r="BJO23" s="137"/>
      <c r="BJP23" s="137"/>
      <c r="BJQ23" s="137"/>
      <c r="BJR23" s="137"/>
      <c r="BJS23" s="137"/>
      <c r="BJT23" s="137"/>
      <c r="BJU23" s="137"/>
      <c r="BJV23" s="137"/>
      <c r="BJW23" s="137"/>
      <c r="BJX23" s="137"/>
      <c r="BJY23" s="137"/>
      <c r="BJZ23" s="137"/>
      <c r="BKA23" s="137"/>
      <c r="BKB23" s="137"/>
      <c r="BKC23" s="137"/>
      <c r="BKD23" s="137"/>
      <c r="BKE23" s="137"/>
      <c r="BKF23" s="137"/>
      <c r="BKG23" s="137"/>
      <c r="BKH23" s="137"/>
      <c r="BKI23" s="137"/>
      <c r="BKJ23" s="137"/>
      <c r="BKK23" s="137"/>
      <c r="BKL23" s="137"/>
      <c r="BKM23" s="137"/>
      <c r="BKN23" s="137"/>
      <c r="BKO23" s="137"/>
      <c r="BKP23" s="137"/>
      <c r="BKQ23" s="137"/>
      <c r="BKR23" s="137"/>
      <c r="BKS23" s="137"/>
      <c r="BKT23" s="137"/>
      <c r="BKU23" s="137"/>
      <c r="BKV23" s="137"/>
      <c r="BKW23" s="137"/>
      <c r="BKX23" s="137"/>
      <c r="BKY23" s="137"/>
      <c r="BKZ23" s="137"/>
      <c r="BLA23" s="137"/>
      <c r="BLB23" s="137"/>
      <c r="BLC23" s="137"/>
      <c r="BLD23" s="137"/>
      <c r="BLE23" s="137"/>
      <c r="BLF23" s="137"/>
      <c r="BLG23" s="137"/>
      <c r="BLH23" s="137"/>
      <c r="BLI23" s="137"/>
      <c r="BLJ23" s="137"/>
      <c r="BLK23" s="137"/>
      <c r="BLL23" s="137"/>
      <c r="BLM23" s="137"/>
      <c r="BLN23" s="137"/>
      <c r="BLO23" s="137"/>
      <c r="BLP23" s="137"/>
      <c r="BLQ23" s="137"/>
      <c r="BLR23" s="137"/>
      <c r="BLS23" s="137"/>
      <c r="BLT23" s="137"/>
      <c r="BLU23" s="137"/>
      <c r="BLV23" s="137"/>
      <c r="BLW23" s="137"/>
      <c r="BLX23" s="137"/>
      <c r="BLY23" s="137"/>
      <c r="BLZ23" s="137"/>
      <c r="BMA23" s="137"/>
      <c r="BMB23" s="137"/>
      <c r="BMC23" s="137"/>
      <c r="BMD23" s="137"/>
      <c r="BME23" s="137"/>
      <c r="BMF23" s="137"/>
      <c r="BMG23" s="137"/>
      <c r="BMH23" s="137"/>
      <c r="BMI23" s="137"/>
      <c r="BMJ23" s="137"/>
      <c r="BMK23" s="137"/>
      <c r="BML23" s="137"/>
      <c r="BMM23" s="137"/>
      <c r="BMN23" s="137"/>
      <c r="BMO23" s="137"/>
      <c r="BMP23" s="137"/>
      <c r="BMQ23" s="137"/>
      <c r="BMR23" s="137"/>
      <c r="BMS23" s="137"/>
      <c r="BMT23" s="137"/>
      <c r="BMU23" s="137"/>
      <c r="BMV23" s="137"/>
      <c r="BMW23" s="137"/>
      <c r="BMX23" s="137"/>
      <c r="BMY23" s="137"/>
      <c r="BMZ23" s="137"/>
      <c r="BNA23" s="137"/>
      <c r="BNB23" s="137"/>
      <c r="BNC23" s="137"/>
      <c r="BND23" s="137"/>
      <c r="BNE23" s="137"/>
      <c r="BNF23" s="137"/>
      <c r="BNG23" s="137"/>
      <c r="BNH23" s="137"/>
      <c r="BNI23" s="137"/>
      <c r="BNJ23" s="137"/>
      <c r="BNK23" s="137"/>
      <c r="BNL23" s="137"/>
      <c r="BNM23" s="137"/>
      <c r="BNN23" s="137"/>
      <c r="BNO23" s="137"/>
      <c r="BNP23" s="137"/>
      <c r="BNQ23" s="137"/>
      <c r="BNR23" s="137"/>
      <c r="BNS23" s="137"/>
      <c r="BNT23" s="137"/>
      <c r="BNU23" s="137"/>
      <c r="BNV23" s="137"/>
      <c r="BNW23" s="137"/>
      <c r="BNX23" s="137"/>
      <c r="BNY23" s="137"/>
      <c r="BNZ23" s="137"/>
      <c r="BOA23" s="137"/>
      <c r="BOB23" s="137"/>
      <c r="BOC23" s="137"/>
      <c r="BOD23" s="137"/>
      <c r="BOE23" s="137"/>
      <c r="BOF23" s="137"/>
      <c r="BOG23" s="137"/>
      <c r="BOH23" s="137"/>
      <c r="BOI23" s="137"/>
      <c r="BOJ23" s="137"/>
      <c r="BOK23" s="137"/>
      <c r="BOL23" s="137"/>
      <c r="BOM23" s="137"/>
      <c r="BON23" s="137"/>
      <c r="BOO23" s="137"/>
      <c r="BOP23" s="137"/>
      <c r="BOQ23" s="137"/>
      <c r="BOR23" s="137"/>
      <c r="BOS23" s="137"/>
      <c r="BOT23" s="137"/>
      <c r="BOU23" s="137"/>
      <c r="BOV23" s="137"/>
      <c r="BOW23" s="137"/>
      <c r="BOX23" s="137"/>
      <c r="BOY23" s="137"/>
      <c r="BOZ23" s="137"/>
      <c r="BPA23" s="137"/>
      <c r="BPB23" s="137"/>
      <c r="BPC23" s="137"/>
      <c r="BPD23" s="137"/>
      <c r="BPE23" s="137"/>
      <c r="BPF23" s="137"/>
      <c r="BPG23" s="137"/>
      <c r="BPH23" s="137"/>
      <c r="BPI23" s="137"/>
      <c r="BPJ23" s="137"/>
      <c r="BPK23" s="137"/>
      <c r="BPL23" s="137"/>
      <c r="BPM23" s="137"/>
      <c r="BPN23" s="137"/>
      <c r="BPO23" s="137"/>
      <c r="BPP23" s="137"/>
      <c r="BPQ23" s="137"/>
      <c r="BPR23" s="137"/>
      <c r="BPS23" s="137"/>
      <c r="BPT23" s="137"/>
      <c r="BPU23" s="137"/>
      <c r="BPV23" s="137"/>
      <c r="BPW23" s="137"/>
      <c r="BPX23" s="137"/>
      <c r="BPY23" s="137"/>
      <c r="BPZ23" s="137"/>
      <c r="BQA23" s="137"/>
      <c r="BQB23" s="137"/>
      <c r="BQC23" s="137"/>
      <c r="BQD23" s="137"/>
      <c r="BQE23" s="137"/>
      <c r="BQF23" s="137"/>
      <c r="BQG23" s="137"/>
      <c r="BQH23" s="137"/>
      <c r="BQI23" s="137"/>
      <c r="BQJ23" s="137"/>
      <c r="BQK23" s="137"/>
      <c r="BQL23" s="137"/>
      <c r="BQM23" s="137"/>
      <c r="BQN23" s="137"/>
      <c r="BQO23" s="137"/>
      <c r="BQP23" s="137"/>
      <c r="BQQ23" s="137"/>
      <c r="BQR23" s="137"/>
      <c r="BQS23" s="137"/>
      <c r="BQT23" s="137"/>
      <c r="BQU23" s="137"/>
      <c r="BQV23" s="137"/>
      <c r="BQW23" s="137"/>
      <c r="BQX23" s="137"/>
      <c r="BQY23" s="137"/>
      <c r="BQZ23" s="137"/>
      <c r="BRA23" s="137"/>
      <c r="BRB23" s="137"/>
      <c r="BRC23" s="137"/>
      <c r="BRD23" s="137"/>
      <c r="BRE23" s="137"/>
      <c r="BRF23" s="137"/>
      <c r="BRG23" s="137"/>
      <c r="BRH23" s="137"/>
      <c r="BRI23" s="137"/>
      <c r="BRJ23" s="137"/>
      <c r="BRK23" s="137"/>
      <c r="BRL23" s="137"/>
      <c r="BRM23" s="137"/>
      <c r="BRN23" s="137"/>
      <c r="BRO23" s="137"/>
      <c r="BRP23" s="137"/>
      <c r="BRQ23" s="137"/>
      <c r="BRR23" s="137"/>
      <c r="BRS23" s="137"/>
      <c r="BRT23" s="137"/>
      <c r="BRU23" s="137"/>
      <c r="BRV23" s="137"/>
      <c r="BRW23" s="137"/>
      <c r="BRX23" s="137"/>
      <c r="BRY23" s="137"/>
      <c r="BRZ23" s="137"/>
      <c r="BSA23" s="137"/>
      <c r="BSB23" s="137"/>
      <c r="BSC23" s="137"/>
      <c r="BSD23" s="137"/>
      <c r="BSE23" s="137"/>
      <c r="BSF23" s="137"/>
      <c r="BSG23" s="137"/>
      <c r="BSH23" s="137"/>
      <c r="BSI23" s="137"/>
      <c r="BSJ23" s="137"/>
      <c r="BSK23" s="137"/>
      <c r="BSL23" s="137"/>
      <c r="BSM23" s="137"/>
      <c r="BSN23" s="137"/>
      <c r="BSO23" s="137"/>
      <c r="BSP23" s="137"/>
      <c r="BSQ23" s="137"/>
      <c r="BSR23" s="137"/>
      <c r="BSS23" s="137"/>
      <c r="BST23" s="137"/>
      <c r="BSU23" s="137"/>
      <c r="BSV23" s="137"/>
      <c r="BSW23" s="137"/>
      <c r="BSX23" s="137"/>
      <c r="BSY23" s="137"/>
      <c r="BSZ23" s="137"/>
      <c r="BTA23" s="137"/>
      <c r="BTB23" s="137"/>
      <c r="BTC23" s="137"/>
      <c r="BTD23" s="137"/>
      <c r="BTE23" s="137"/>
      <c r="BTF23" s="137"/>
      <c r="BTG23" s="137"/>
      <c r="BTH23" s="137"/>
      <c r="BTI23" s="137"/>
      <c r="BTJ23" s="137"/>
      <c r="BTK23" s="137"/>
      <c r="BTL23" s="137"/>
      <c r="BTM23" s="137"/>
      <c r="BTN23" s="137"/>
      <c r="BTO23" s="137"/>
      <c r="BTP23" s="137"/>
      <c r="BTQ23" s="137"/>
      <c r="BTR23" s="137"/>
      <c r="BTS23" s="137"/>
      <c r="BTT23" s="137"/>
      <c r="BTU23" s="137"/>
      <c r="BTV23" s="137"/>
      <c r="BTW23" s="137"/>
      <c r="BTX23" s="137"/>
      <c r="BTY23" s="137"/>
      <c r="BTZ23" s="137"/>
      <c r="BUA23" s="137"/>
      <c r="BUB23" s="137"/>
      <c r="BUC23" s="137"/>
      <c r="BUD23" s="137"/>
      <c r="BUE23" s="137"/>
      <c r="BUF23" s="137"/>
      <c r="BUG23" s="137"/>
      <c r="BUH23" s="137"/>
      <c r="BUI23" s="137"/>
      <c r="BUJ23" s="137"/>
      <c r="BUK23" s="137"/>
      <c r="BUL23" s="137"/>
      <c r="BUM23" s="137"/>
      <c r="BUN23" s="137"/>
      <c r="BUO23" s="137"/>
      <c r="BUP23" s="137"/>
      <c r="BUQ23" s="137"/>
      <c r="BUR23" s="137"/>
      <c r="BUS23" s="137"/>
      <c r="BUT23" s="137"/>
      <c r="BUU23" s="137"/>
      <c r="BUV23" s="137"/>
      <c r="BUW23" s="137"/>
      <c r="BUX23" s="137"/>
      <c r="BUY23" s="137"/>
      <c r="BUZ23" s="137"/>
      <c r="BVA23" s="137"/>
      <c r="BVB23" s="137"/>
      <c r="BVC23" s="137"/>
      <c r="BVD23" s="137"/>
      <c r="BVE23" s="137"/>
      <c r="BVF23" s="137"/>
      <c r="BVG23" s="137"/>
      <c r="BVH23" s="137"/>
      <c r="BVI23" s="137"/>
      <c r="BVJ23" s="137"/>
      <c r="BVK23" s="137"/>
      <c r="BVL23" s="137"/>
      <c r="BVM23" s="137"/>
      <c r="BVN23" s="137"/>
      <c r="BVO23" s="137"/>
      <c r="BVP23" s="137"/>
      <c r="BVQ23" s="137"/>
      <c r="BVR23" s="137"/>
      <c r="BVS23" s="137"/>
      <c r="BVT23" s="137"/>
      <c r="BVU23" s="137"/>
      <c r="BVV23" s="137"/>
      <c r="BVW23" s="137"/>
      <c r="BVX23" s="137"/>
      <c r="BVY23" s="137"/>
      <c r="BVZ23" s="137"/>
      <c r="BWA23" s="137"/>
      <c r="BWB23" s="137"/>
      <c r="BWC23" s="137"/>
      <c r="BWD23" s="137"/>
      <c r="BWE23" s="137"/>
      <c r="BWF23" s="137"/>
      <c r="BWG23" s="137"/>
      <c r="BWH23" s="137"/>
      <c r="BWI23" s="137"/>
      <c r="BWJ23" s="137"/>
      <c r="BWK23" s="137"/>
      <c r="BWL23" s="137"/>
      <c r="BWM23" s="137"/>
      <c r="BWN23" s="137"/>
      <c r="BWO23" s="137"/>
      <c r="BWP23" s="137"/>
      <c r="BWQ23" s="137"/>
      <c r="BWR23" s="137"/>
      <c r="BWS23" s="137"/>
      <c r="BWT23" s="137"/>
      <c r="BWU23" s="137"/>
      <c r="BWV23" s="137"/>
      <c r="BWW23" s="137"/>
      <c r="BWX23" s="137"/>
      <c r="BWY23" s="137"/>
      <c r="BWZ23" s="137"/>
      <c r="BXA23" s="137"/>
      <c r="BXB23" s="137"/>
      <c r="BXC23" s="137"/>
      <c r="BXD23" s="137"/>
      <c r="BXE23" s="137"/>
      <c r="BXF23" s="137"/>
      <c r="BXG23" s="137"/>
      <c r="BXH23" s="137"/>
      <c r="BXI23" s="137"/>
      <c r="BXJ23" s="137"/>
      <c r="BXK23" s="137"/>
      <c r="BXL23" s="137"/>
      <c r="BXM23" s="137"/>
      <c r="BXN23" s="137"/>
      <c r="BXO23" s="137"/>
      <c r="BXP23" s="137"/>
      <c r="BXQ23" s="137"/>
      <c r="BXR23" s="137"/>
      <c r="BXS23" s="137"/>
      <c r="BXT23" s="137"/>
      <c r="BXU23" s="137"/>
      <c r="BXV23" s="137"/>
      <c r="BXW23" s="137"/>
      <c r="BXX23" s="137"/>
      <c r="BXY23" s="137"/>
      <c r="BXZ23" s="137"/>
      <c r="BYA23" s="137"/>
      <c r="BYB23" s="137"/>
      <c r="BYC23" s="137"/>
      <c r="BYD23" s="137"/>
      <c r="BYE23" s="137"/>
      <c r="BYF23" s="137"/>
      <c r="BYG23" s="137"/>
      <c r="BYH23" s="137"/>
      <c r="BYI23" s="137"/>
      <c r="BYJ23" s="137"/>
      <c r="BYK23" s="137"/>
      <c r="BYL23" s="137"/>
      <c r="BYM23" s="137"/>
      <c r="BYN23" s="137"/>
      <c r="BYO23" s="137"/>
      <c r="BYP23" s="137"/>
      <c r="BYQ23" s="137"/>
      <c r="BYR23" s="137"/>
      <c r="BYS23" s="137"/>
      <c r="BYT23" s="137"/>
      <c r="BYU23" s="137"/>
      <c r="BYV23" s="137"/>
      <c r="BYW23" s="137"/>
      <c r="BYX23" s="137"/>
      <c r="BYY23" s="137"/>
      <c r="BYZ23" s="137"/>
      <c r="BZA23" s="137"/>
      <c r="BZB23" s="137"/>
      <c r="BZC23" s="137"/>
      <c r="BZD23" s="137"/>
      <c r="BZE23" s="137"/>
      <c r="BZF23" s="137"/>
      <c r="BZG23" s="137"/>
      <c r="BZH23" s="137"/>
      <c r="BZI23" s="137"/>
      <c r="BZJ23" s="137"/>
      <c r="BZK23" s="137"/>
      <c r="BZL23" s="137"/>
      <c r="BZM23" s="137"/>
      <c r="BZN23" s="137"/>
      <c r="BZO23" s="137"/>
      <c r="BZP23" s="137"/>
      <c r="BZQ23" s="137"/>
      <c r="BZR23" s="137"/>
      <c r="BZS23" s="137"/>
      <c r="BZT23" s="137"/>
      <c r="BZU23" s="137"/>
      <c r="BZV23" s="137"/>
      <c r="BZW23" s="137"/>
      <c r="BZX23" s="137"/>
      <c r="BZY23" s="137"/>
      <c r="BZZ23" s="137"/>
      <c r="CAA23" s="137"/>
      <c r="CAB23" s="137"/>
      <c r="CAC23" s="137"/>
      <c r="CAD23" s="137"/>
      <c r="CAE23" s="137"/>
      <c r="CAF23" s="137"/>
      <c r="CAG23" s="137"/>
      <c r="CAH23" s="137"/>
      <c r="CAI23" s="137"/>
      <c r="CAJ23" s="137"/>
      <c r="CAK23" s="137"/>
      <c r="CAL23" s="137"/>
      <c r="CAM23" s="137"/>
      <c r="CAN23" s="137"/>
      <c r="CAO23" s="137"/>
      <c r="CAP23" s="137"/>
      <c r="CAQ23" s="137"/>
      <c r="CAR23" s="137"/>
      <c r="CAS23" s="137"/>
      <c r="CAT23" s="137"/>
      <c r="CAU23" s="137"/>
      <c r="CAV23" s="137"/>
      <c r="CAW23" s="137"/>
      <c r="CAX23" s="137"/>
      <c r="CAY23" s="137"/>
      <c r="CAZ23" s="137"/>
      <c r="CBA23" s="137"/>
      <c r="CBB23" s="137"/>
      <c r="CBC23" s="137"/>
      <c r="CBD23" s="137"/>
      <c r="CBE23" s="137"/>
      <c r="CBF23" s="137"/>
      <c r="CBG23" s="137"/>
      <c r="CBH23" s="137"/>
      <c r="CBI23" s="137"/>
      <c r="CBJ23" s="137"/>
      <c r="CBK23" s="137"/>
      <c r="CBL23" s="137"/>
      <c r="CBM23" s="137"/>
      <c r="CBN23" s="137"/>
      <c r="CBO23" s="137"/>
      <c r="CBP23" s="137"/>
      <c r="CBQ23" s="137"/>
      <c r="CBR23" s="137"/>
      <c r="CBS23" s="137"/>
      <c r="CBT23" s="137"/>
      <c r="CBU23" s="137"/>
      <c r="CBV23" s="137"/>
      <c r="CBW23" s="137"/>
      <c r="CBX23" s="137"/>
      <c r="CBY23" s="137"/>
      <c r="CBZ23" s="137"/>
      <c r="CCA23" s="137"/>
      <c r="CCB23" s="137"/>
      <c r="CCC23" s="137"/>
      <c r="CCD23" s="137"/>
      <c r="CCE23" s="137"/>
      <c r="CCF23" s="137"/>
      <c r="CCG23" s="137"/>
      <c r="CCH23" s="137"/>
      <c r="CCI23" s="137"/>
      <c r="CCJ23" s="137"/>
      <c r="CCK23" s="137"/>
      <c r="CCL23" s="137"/>
      <c r="CCM23" s="137"/>
      <c r="CCN23" s="137"/>
      <c r="CCO23" s="137"/>
      <c r="CCP23" s="137"/>
      <c r="CCQ23" s="137"/>
      <c r="CCR23" s="137"/>
      <c r="CCS23" s="137"/>
      <c r="CCT23" s="137"/>
      <c r="CCU23" s="137"/>
      <c r="CCV23" s="137"/>
      <c r="CCW23" s="137"/>
      <c r="CCX23" s="137"/>
      <c r="CCY23" s="137"/>
      <c r="CCZ23" s="137"/>
      <c r="CDA23" s="137"/>
      <c r="CDB23" s="137"/>
      <c r="CDC23" s="137"/>
      <c r="CDD23" s="137"/>
      <c r="CDE23" s="137"/>
      <c r="CDF23" s="137"/>
      <c r="CDG23" s="137"/>
      <c r="CDH23" s="137"/>
      <c r="CDI23" s="137"/>
      <c r="CDJ23" s="137"/>
      <c r="CDK23" s="137"/>
      <c r="CDL23" s="137"/>
      <c r="CDM23" s="137"/>
      <c r="CDN23" s="137"/>
      <c r="CDO23" s="137"/>
      <c r="CDP23" s="137"/>
      <c r="CDQ23" s="137"/>
      <c r="CDR23" s="137"/>
      <c r="CDS23" s="137"/>
      <c r="CDT23" s="137"/>
      <c r="CDU23" s="137"/>
      <c r="CDV23" s="137"/>
      <c r="CDW23" s="137"/>
      <c r="CDX23" s="137"/>
      <c r="CDY23" s="137"/>
      <c r="CDZ23" s="137"/>
      <c r="CEA23" s="137"/>
      <c r="CEB23" s="137"/>
      <c r="CEC23" s="137"/>
      <c r="CED23" s="137"/>
      <c r="CEE23" s="137"/>
      <c r="CEF23" s="137"/>
      <c r="CEG23" s="137"/>
      <c r="CEH23" s="137"/>
      <c r="CEI23" s="137"/>
      <c r="CEJ23" s="137"/>
      <c r="CEK23" s="137"/>
      <c r="CEL23" s="137"/>
      <c r="CEM23" s="137"/>
      <c r="CEN23" s="137"/>
      <c r="CEO23" s="137"/>
      <c r="CEP23" s="137"/>
      <c r="CEQ23" s="137"/>
      <c r="CER23" s="137"/>
      <c r="CES23" s="137"/>
      <c r="CET23" s="137"/>
      <c r="CEU23" s="137"/>
      <c r="CEV23" s="137"/>
      <c r="CEW23" s="137"/>
      <c r="CEX23" s="137"/>
      <c r="CEY23" s="137"/>
      <c r="CEZ23" s="137"/>
      <c r="CFA23" s="137"/>
      <c r="CFB23" s="137"/>
      <c r="CFC23" s="137"/>
      <c r="CFD23" s="137"/>
      <c r="CFE23" s="137"/>
      <c r="CFF23" s="137"/>
      <c r="CFG23" s="137"/>
      <c r="CFH23" s="137"/>
      <c r="CFI23" s="137"/>
      <c r="CFJ23" s="137"/>
      <c r="CFK23" s="137"/>
      <c r="CFL23" s="137"/>
      <c r="CFM23" s="137"/>
      <c r="CFN23" s="137"/>
      <c r="CFO23" s="137"/>
      <c r="CFP23" s="137"/>
      <c r="CFQ23" s="137"/>
      <c r="CFR23" s="137"/>
      <c r="CFS23" s="137"/>
      <c r="CFT23" s="137"/>
      <c r="CFU23" s="137"/>
      <c r="CFV23" s="137"/>
      <c r="CFW23" s="137"/>
      <c r="CFX23" s="137"/>
      <c r="CFY23" s="137"/>
      <c r="CFZ23" s="137"/>
      <c r="CGA23" s="137"/>
      <c r="CGB23" s="137"/>
      <c r="CGC23" s="137"/>
      <c r="CGD23" s="137"/>
      <c r="CGE23" s="137"/>
      <c r="CGF23" s="137"/>
      <c r="CGG23" s="137"/>
      <c r="CGH23" s="137"/>
      <c r="CGI23" s="137"/>
      <c r="CGJ23" s="137"/>
      <c r="CGK23" s="137"/>
      <c r="CGL23" s="137"/>
      <c r="CGM23" s="137"/>
      <c r="CGN23" s="137"/>
      <c r="CGO23" s="137"/>
      <c r="CGP23" s="137"/>
      <c r="CGQ23" s="137"/>
      <c r="CGR23" s="137"/>
      <c r="CGS23" s="137"/>
      <c r="CGT23" s="137"/>
      <c r="CGU23" s="137"/>
      <c r="CGV23" s="137"/>
      <c r="CGW23" s="137"/>
      <c r="CGX23" s="137"/>
      <c r="CGY23" s="137"/>
      <c r="CGZ23" s="137"/>
      <c r="CHA23" s="137"/>
      <c r="CHB23" s="137"/>
      <c r="CHC23" s="137"/>
      <c r="CHD23" s="137"/>
      <c r="CHE23" s="137"/>
      <c r="CHF23" s="137"/>
      <c r="CHG23" s="137"/>
      <c r="CHH23" s="137"/>
      <c r="CHI23" s="137"/>
      <c r="CHJ23" s="137"/>
      <c r="CHK23" s="137"/>
      <c r="CHL23" s="137"/>
      <c r="CHM23" s="137"/>
      <c r="CHN23" s="137"/>
      <c r="CHO23" s="137"/>
      <c r="CHP23" s="137"/>
      <c r="CHQ23" s="137"/>
      <c r="CHR23" s="137"/>
      <c r="CHS23" s="137"/>
      <c r="CHT23" s="137"/>
      <c r="CHU23" s="137"/>
      <c r="CHV23" s="137"/>
      <c r="CHW23" s="137"/>
      <c r="CHX23" s="137"/>
      <c r="CHY23" s="137"/>
      <c r="CHZ23" s="137"/>
      <c r="CIA23" s="137"/>
      <c r="CIB23" s="137"/>
      <c r="CIC23" s="137"/>
      <c r="CID23" s="137"/>
      <c r="CIE23" s="137"/>
      <c r="CIF23" s="137"/>
      <c r="CIG23" s="137"/>
      <c r="CIH23" s="137"/>
      <c r="CII23" s="137"/>
      <c r="CIJ23" s="137"/>
      <c r="CIK23" s="137"/>
      <c r="CIL23" s="137"/>
      <c r="CIM23" s="137"/>
      <c r="CIN23" s="137"/>
      <c r="CIO23" s="137"/>
      <c r="CIP23" s="137"/>
      <c r="CIQ23" s="137"/>
      <c r="CIR23" s="137"/>
      <c r="CIS23" s="137"/>
      <c r="CIT23" s="137"/>
      <c r="CIU23" s="137"/>
      <c r="CIV23" s="137"/>
      <c r="CIW23" s="137"/>
      <c r="CIX23" s="137"/>
      <c r="CIY23" s="137"/>
      <c r="CIZ23" s="137"/>
      <c r="CJA23" s="137"/>
      <c r="CJB23" s="137"/>
      <c r="CJC23" s="137"/>
      <c r="CJD23" s="137"/>
      <c r="CJE23" s="137"/>
      <c r="CJF23" s="137"/>
      <c r="CJG23" s="137"/>
      <c r="CJH23" s="137"/>
      <c r="CJI23" s="137"/>
      <c r="CJJ23" s="137"/>
      <c r="CJK23" s="137"/>
      <c r="CJL23" s="137"/>
      <c r="CJM23" s="137"/>
      <c r="CJN23" s="137"/>
      <c r="CJO23" s="137"/>
      <c r="CJP23" s="137"/>
      <c r="CJQ23" s="137"/>
      <c r="CJR23" s="137"/>
      <c r="CJS23" s="137"/>
      <c r="CJT23" s="137"/>
      <c r="CJU23" s="137"/>
      <c r="CJV23" s="137"/>
      <c r="CJW23" s="137"/>
      <c r="CJX23" s="137"/>
      <c r="CJY23" s="137"/>
      <c r="CJZ23" s="137"/>
      <c r="CKA23" s="137"/>
      <c r="CKB23" s="137"/>
      <c r="CKC23" s="137"/>
      <c r="CKD23" s="137"/>
      <c r="CKE23" s="137"/>
      <c r="CKF23" s="137"/>
      <c r="CKG23" s="137"/>
      <c r="CKH23" s="137"/>
      <c r="CKI23" s="137"/>
      <c r="CKJ23" s="137"/>
      <c r="CKK23" s="137"/>
      <c r="CKL23" s="137"/>
      <c r="CKM23" s="137"/>
      <c r="CKN23" s="137"/>
      <c r="CKO23" s="137"/>
      <c r="CKP23" s="137"/>
      <c r="CKQ23" s="137"/>
      <c r="CKR23" s="137"/>
      <c r="CKS23" s="137"/>
      <c r="CKT23" s="137"/>
      <c r="CKU23" s="137"/>
      <c r="CKV23" s="137"/>
      <c r="CKW23" s="137"/>
      <c r="CKX23" s="137"/>
      <c r="CKY23" s="137"/>
      <c r="CKZ23" s="137"/>
      <c r="CLA23" s="137"/>
      <c r="CLB23" s="137"/>
      <c r="CLC23" s="137"/>
      <c r="CLD23" s="137"/>
      <c r="CLE23" s="137"/>
      <c r="CLF23" s="137"/>
      <c r="CLG23" s="137"/>
      <c r="CLH23" s="137"/>
      <c r="CLI23" s="137"/>
      <c r="CLJ23" s="137"/>
      <c r="CLK23" s="137"/>
      <c r="CLL23" s="137"/>
      <c r="CLM23" s="137"/>
      <c r="CLN23" s="137"/>
      <c r="CLO23" s="137"/>
      <c r="CLP23" s="137"/>
      <c r="CLQ23" s="137"/>
      <c r="CLR23" s="137"/>
      <c r="CLS23" s="137"/>
      <c r="CLT23" s="137"/>
      <c r="CLU23" s="137"/>
      <c r="CLV23" s="137"/>
      <c r="CLW23" s="137"/>
      <c r="CLX23" s="137"/>
      <c r="CLY23" s="137"/>
      <c r="CLZ23" s="137"/>
      <c r="CMA23" s="137"/>
      <c r="CMB23" s="137"/>
      <c r="CMC23" s="137"/>
      <c r="CMD23" s="137"/>
      <c r="CME23" s="137"/>
      <c r="CMF23" s="137"/>
      <c r="CMG23" s="137"/>
      <c r="CMH23" s="137"/>
      <c r="CMI23" s="137"/>
      <c r="CMJ23" s="137"/>
      <c r="CMK23" s="137"/>
      <c r="CML23" s="137"/>
      <c r="CMM23" s="137"/>
      <c r="CMN23" s="137"/>
      <c r="CMO23" s="137"/>
      <c r="CMP23" s="137"/>
      <c r="CMQ23" s="137"/>
      <c r="CMR23" s="137"/>
      <c r="CMS23" s="137"/>
      <c r="CMT23" s="137"/>
      <c r="CMU23" s="137"/>
      <c r="CMV23" s="137"/>
      <c r="CMW23" s="137"/>
      <c r="CMX23" s="137"/>
      <c r="CMY23" s="137"/>
      <c r="CMZ23" s="137"/>
      <c r="CNA23" s="137"/>
      <c r="CNB23" s="137"/>
      <c r="CNC23" s="137"/>
      <c r="CND23" s="137"/>
      <c r="CNE23" s="137"/>
      <c r="CNF23" s="137"/>
      <c r="CNG23" s="137"/>
      <c r="CNH23" s="137"/>
      <c r="CNI23" s="137"/>
      <c r="CNJ23" s="137"/>
      <c r="CNK23" s="137"/>
      <c r="CNL23" s="137"/>
      <c r="CNM23" s="137"/>
      <c r="CNN23" s="137"/>
      <c r="CNO23" s="137"/>
      <c r="CNP23" s="137"/>
      <c r="CNQ23" s="137"/>
      <c r="CNR23" s="137"/>
      <c r="CNS23" s="137"/>
      <c r="CNT23" s="137"/>
      <c r="CNU23" s="137"/>
      <c r="CNV23" s="137"/>
      <c r="CNW23" s="137"/>
      <c r="CNX23" s="137"/>
      <c r="CNY23" s="137"/>
      <c r="CNZ23" s="137"/>
      <c r="COA23" s="137"/>
      <c r="COB23" s="137"/>
      <c r="COC23" s="137"/>
      <c r="COD23" s="137"/>
      <c r="COE23" s="137"/>
      <c r="COF23" s="137"/>
      <c r="COG23" s="137"/>
      <c r="COH23" s="137"/>
      <c r="COI23" s="137"/>
      <c r="COJ23" s="137"/>
      <c r="COK23" s="137"/>
      <c r="COL23" s="137"/>
      <c r="COM23" s="137"/>
      <c r="CON23" s="137"/>
      <c r="COO23" s="137"/>
      <c r="COP23" s="137"/>
      <c r="COQ23" s="137"/>
      <c r="COR23" s="137"/>
      <c r="COS23" s="137"/>
      <c r="COT23" s="137"/>
      <c r="COU23" s="137"/>
      <c r="COV23" s="137"/>
      <c r="COW23" s="137"/>
      <c r="COX23" s="137"/>
      <c r="COY23" s="137"/>
      <c r="COZ23" s="137"/>
      <c r="CPA23" s="137"/>
      <c r="CPB23" s="137"/>
      <c r="CPC23" s="137"/>
      <c r="CPD23" s="137"/>
      <c r="CPE23" s="137"/>
      <c r="CPF23" s="137"/>
      <c r="CPG23" s="137"/>
      <c r="CPH23" s="137"/>
      <c r="CPI23" s="137"/>
      <c r="CPJ23" s="137"/>
      <c r="CPK23" s="137"/>
      <c r="CPL23" s="137"/>
      <c r="CPM23" s="137"/>
      <c r="CPN23" s="137"/>
      <c r="CPO23" s="137"/>
      <c r="CPP23" s="137"/>
      <c r="CPQ23" s="137"/>
      <c r="CPR23" s="137"/>
      <c r="CPS23" s="137"/>
      <c r="CPT23" s="137"/>
      <c r="CPU23" s="137"/>
      <c r="CPV23" s="137"/>
      <c r="CPW23" s="137"/>
      <c r="CPX23" s="137"/>
      <c r="CPY23" s="137"/>
      <c r="CPZ23" s="137"/>
      <c r="CQA23" s="137"/>
      <c r="CQB23" s="137"/>
      <c r="CQC23" s="137"/>
      <c r="CQD23" s="137"/>
      <c r="CQE23" s="137"/>
      <c r="CQF23" s="137"/>
      <c r="CQG23" s="137"/>
      <c r="CQH23" s="137"/>
      <c r="CQI23" s="137"/>
      <c r="CQJ23" s="137"/>
      <c r="CQK23" s="137"/>
      <c r="CQL23" s="137"/>
      <c r="CQM23" s="137"/>
      <c r="CQN23" s="137"/>
      <c r="CQO23" s="137"/>
      <c r="CQP23" s="137"/>
      <c r="CQQ23" s="137"/>
      <c r="CQR23" s="137"/>
      <c r="CQS23" s="137"/>
      <c r="CQT23" s="137"/>
      <c r="CQU23" s="137"/>
      <c r="CQV23" s="137"/>
      <c r="CQW23" s="137"/>
      <c r="CQX23" s="137"/>
      <c r="CQY23" s="137"/>
      <c r="CQZ23" s="137"/>
      <c r="CRA23" s="137"/>
      <c r="CRB23" s="137"/>
      <c r="CRC23" s="137"/>
      <c r="CRD23" s="137"/>
      <c r="CRE23" s="137"/>
      <c r="CRF23" s="137"/>
      <c r="CRG23" s="137"/>
      <c r="CRH23" s="137"/>
      <c r="CRI23" s="137"/>
      <c r="CRJ23" s="137"/>
      <c r="CRK23" s="137"/>
      <c r="CRL23" s="137"/>
      <c r="CRM23" s="137"/>
      <c r="CRN23" s="137"/>
      <c r="CRO23" s="137"/>
      <c r="CRP23" s="137"/>
      <c r="CRQ23" s="137"/>
      <c r="CRR23" s="137"/>
      <c r="CRS23" s="137"/>
      <c r="CRT23" s="137"/>
      <c r="CRU23" s="137"/>
      <c r="CRV23" s="137"/>
      <c r="CRW23" s="137"/>
      <c r="CRX23" s="137"/>
      <c r="CRY23" s="137"/>
      <c r="CRZ23" s="137"/>
      <c r="CSA23" s="137"/>
      <c r="CSB23" s="137"/>
      <c r="CSC23" s="137"/>
      <c r="CSD23" s="137"/>
      <c r="CSE23" s="137"/>
      <c r="CSF23" s="137"/>
      <c r="CSG23" s="137"/>
      <c r="CSH23" s="137"/>
      <c r="CSI23" s="137"/>
      <c r="CSJ23" s="137"/>
      <c r="CSK23" s="137"/>
      <c r="CSL23" s="137"/>
      <c r="CSM23" s="137"/>
      <c r="CSN23" s="137"/>
      <c r="CSO23" s="137"/>
      <c r="CSP23" s="137"/>
      <c r="CSQ23" s="137"/>
      <c r="CSR23" s="137"/>
      <c r="CSS23" s="137"/>
      <c r="CST23" s="137"/>
      <c r="CSU23" s="137"/>
      <c r="CSV23" s="137"/>
      <c r="CSW23" s="137"/>
      <c r="CSX23" s="137"/>
      <c r="CSY23" s="137"/>
      <c r="CSZ23" s="137"/>
      <c r="CTA23" s="137"/>
      <c r="CTB23" s="137"/>
      <c r="CTC23" s="137"/>
      <c r="CTD23" s="137"/>
      <c r="CTE23" s="137"/>
      <c r="CTF23" s="137"/>
      <c r="CTG23" s="137"/>
      <c r="CTH23" s="137"/>
      <c r="CTI23" s="137"/>
      <c r="CTJ23" s="137"/>
      <c r="CTK23" s="137"/>
      <c r="CTL23" s="137"/>
      <c r="CTM23" s="137"/>
      <c r="CTN23" s="137"/>
      <c r="CTO23" s="137"/>
      <c r="CTP23" s="137"/>
      <c r="CTQ23" s="137"/>
      <c r="CTR23" s="137"/>
      <c r="CTS23" s="137"/>
      <c r="CTT23" s="137"/>
      <c r="CTU23" s="137"/>
      <c r="CTV23" s="137"/>
      <c r="CTW23" s="137"/>
      <c r="CTX23" s="137"/>
      <c r="CTY23" s="137"/>
      <c r="CTZ23" s="137"/>
      <c r="CUA23" s="137"/>
      <c r="CUB23" s="137"/>
      <c r="CUC23" s="137"/>
      <c r="CUD23" s="137"/>
      <c r="CUE23" s="137"/>
      <c r="CUF23" s="137"/>
      <c r="CUG23" s="137"/>
      <c r="CUH23" s="137"/>
      <c r="CUI23" s="137"/>
      <c r="CUJ23" s="137"/>
      <c r="CUK23" s="137"/>
      <c r="CUL23" s="137"/>
      <c r="CUM23" s="137"/>
      <c r="CUN23" s="137"/>
      <c r="CUO23" s="137"/>
      <c r="CUP23" s="137"/>
      <c r="CUQ23" s="137"/>
      <c r="CUR23" s="137"/>
      <c r="CUS23" s="137"/>
      <c r="CUT23" s="137"/>
      <c r="CUU23" s="137"/>
      <c r="CUV23" s="137"/>
      <c r="CUW23" s="137"/>
      <c r="CUX23" s="137"/>
      <c r="CUY23" s="137"/>
      <c r="CUZ23" s="137"/>
      <c r="CVA23" s="137"/>
      <c r="CVB23" s="137"/>
      <c r="CVC23" s="137"/>
      <c r="CVD23" s="137"/>
      <c r="CVE23" s="137"/>
      <c r="CVF23" s="137"/>
      <c r="CVG23" s="137"/>
      <c r="CVH23" s="137"/>
      <c r="CVI23" s="137"/>
      <c r="CVJ23" s="137"/>
      <c r="CVK23" s="137"/>
      <c r="CVL23" s="137"/>
      <c r="CVM23" s="137"/>
      <c r="CVN23" s="137"/>
      <c r="CVO23" s="137"/>
      <c r="CVP23" s="137"/>
      <c r="CVQ23" s="137"/>
      <c r="CVR23" s="137"/>
      <c r="CVS23" s="137"/>
      <c r="CVT23" s="137"/>
      <c r="CVU23" s="137"/>
      <c r="CVV23" s="137"/>
      <c r="CVW23" s="137"/>
      <c r="CVX23" s="137"/>
      <c r="CVY23" s="137"/>
      <c r="CVZ23" s="137"/>
      <c r="CWA23" s="137"/>
      <c r="CWB23" s="137"/>
      <c r="CWC23" s="137"/>
      <c r="CWD23" s="137"/>
      <c r="CWE23" s="137"/>
      <c r="CWF23" s="137"/>
      <c r="CWG23" s="137"/>
      <c r="CWH23" s="137"/>
      <c r="CWI23" s="137"/>
      <c r="CWJ23" s="137"/>
      <c r="CWK23" s="137"/>
      <c r="CWL23" s="137"/>
      <c r="CWM23" s="137"/>
      <c r="CWN23" s="137"/>
      <c r="CWO23" s="137"/>
      <c r="CWP23" s="137"/>
      <c r="CWQ23" s="137"/>
      <c r="CWR23" s="137"/>
      <c r="CWS23" s="137"/>
      <c r="CWT23" s="137"/>
      <c r="CWU23" s="137"/>
      <c r="CWV23" s="137"/>
      <c r="CWW23" s="137"/>
      <c r="CWX23" s="137"/>
      <c r="CWY23" s="137"/>
      <c r="CWZ23" s="137"/>
      <c r="CXA23" s="137"/>
      <c r="CXB23" s="137"/>
      <c r="CXC23" s="137"/>
      <c r="CXD23" s="137"/>
      <c r="CXE23" s="137"/>
      <c r="CXF23" s="137"/>
      <c r="CXG23" s="137"/>
      <c r="CXH23" s="137"/>
      <c r="CXI23" s="137"/>
      <c r="CXJ23" s="137"/>
      <c r="CXK23" s="137"/>
      <c r="CXL23" s="137"/>
      <c r="CXM23" s="137"/>
      <c r="CXN23" s="137"/>
      <c r="CXO23" s="137"/>
      <c r="CXP23" s="137"/>
      <c r="CXQ23" s="137"/>
      <c r="CXR23" s="137"/>
      <c r="CXS23" s="137"/>
      <c r="CXT23" s="137"/>
      <c r="CXU23" s="137"/>
      <c r="CXV23" s="137"/>
      <c r="CXW23" s="137"/>
      <c r="CXX23" s="137"/>
      <c r="CXY23" s="137"/>
      <c r="CXZ23" s="137"/>
      <c r="CYA23" s="137"/>
      <c r="CYB23" s="137"/>
      <c r="CYC23" s="137"/>
      <c r="CYD23" s="137"/>
      <c r="CYE23" s="137"/>
      <c r="CYF23" s="137"/>
      <c r="CYG23" s="137"/>
      <c r="CYH23" s="137"/>
      <c r="CYI23" s="137"/>
      <c r="CYJ23" s="137"/>
      <c r="CYK23" s="137"/>
      <c r="CYL23" s="137"/>
      <c r="CYM23" s="137"/>
      <c r="CYN23" s="137"/>
      <c r="CYO23" s="137"/>
      <c r="CYP23" s="137"/>
      <c r="CYQ23" s="137"/>
      <c r="CYR23" s="137"/>
      <c r="CYS23" s="137"/>
      <c r="CYT23" s="137"/>
      <c r="CYU23" s="137"/>
      <c r="CYV23" s="137"/>
      <c r="CYW23" s="137"/>
      <c r="CYX23" s="137"/>
      <c r="CYY23" s="137"/>
      <c r="CYZ23" s="137"/>
      <c r="CZA23" s="137"/>
      <c r="CZB23" s="137"/>
      <c r="CZC23" s="137"/>
      <c r="CZD23" s="137"/>
      <c r="CZE23" s="137"/>
      <c r="CZF23" s="137"/>
      <c r="CZG23" s="137"/>
      <c r="CZH23" s="137"/>
      <c r="CZI23" s="137"/>
      <c r="CZJ23" s="137"/>
      <c r="CZK23" s="137"/>
      <c r="CZL23" s="137"/>
      <c r="CZM23" s="137"/>
      <c r="CZN23" s="137"/>
      <c r="CZO23" s="137"/>
      <c r="CZP23" s="137"/>
      <c r="CZQ23" s="137"/>
      <c r="CZR23" s="137"/>
      <c r="CZS23" s="137"/>
      <c r="CZT23" s="137"/>
      <c r="CZU23" s="137"/>
      <c r="CZV23" s="137"/>
      <c r="CZW23" s="137"/>
      <c r="CZX23" s="137"/>
      <c r="CZY23" s="137"/>
      <c r="CZZ23" s="137"/>
      <c r="DAA23" s="137"/>
      <c r="DAB23" s="137"/>
      <c r="DAC23" s="137"/>
      <c r="DAD23" s="137"/>
      <c r="DAE23" s="137"/>
      <c r="DAF23" s="137"/>
      <c r="DAG23" s="137"/>
      <c r="DAH23" s="137"/>
      <c r="DAI23" s="137"/>
      <c r="DAJ23" s="137"/>
      <c r="DAK23" s="137"/>
      <c r="DAL23" s="137"/>
      <c r="DAM23" s="137"/>
      <c r="DAN23" s="137"/>
      <c r="DAO23" s="137"/>
      <c r="DAP23" s="137"/>
      <c r="DAQ23" s="137"/>
      <c r="DAR23" s="137"/>
      <c r="DAS23" s="137"/>
      <c r="DAT23" s="137"/>
      <c r="DAU23" s="137"/>
      <c r="DAV23" s="137"/>
      <c r="DAW23" s="137"/>
      <c r="DAX23" s="137"/>
      <c r="DAY23" s="137"/>
      <c r="DAZ23" s="137"/>
      <c r="DBA23" s="137"/>
      <c r="DBB23" s="137"/>
      <c r="DBC23" s="137"/>
      <c r="DBD23" s="137"/>
      <c r="DBE23" s="137"/>
      <c r="DBF23" s="137"/>
      <c r="DBG23" s="137"/>
      <c r="DBH23" s="137"/>
      <c r="DBI23" s="137"/>
      <c r="DBJ23" s="137"/>
      <c r="DBK23" s="137"/>
      <c r="DBL23" s="137"/>
      <c r="DBM23" s="137"/>
      <c r="DBN23" s="137"/>
      <c r="DBO23" s="137"/>
      <c r="DBP23" s="137"/>
      <c r="DBQ23" s="137"/>
      <c r="DBR23" s="137"/>
      <c r="DBS23" s="137"/>
      <c r="DBT23" s="137"/>
      <c r="DBU23" s="137"/>
      <c r="DBV23" s="137"/>
      <c r="DBW23" s="137"/>
      <c r="DBX23" s="137"/>
      <c r="DBY23" s="137"/>
      <c r="DBZ23" s="137"/>
      <c r="DCA23" s="137"/>
      <c r="DCB23" s="137"/>
      <c r="DCC23" s="137"/>
      <c r="DCD23" s="137"/>
      <c r="DCE23" s="137"/>
      <c r="DCF23" s="137"/>
      <c r="DCG23" s="137"/>
      <c r="DCH23" s="137"/>
      <c r="DCI23" s="137"/>
      <c r="DCJ23" s="137"/>
      <c r="DCK23" s="137"/>
      <c r="DCL23" s="137"/>
      <c r="DCM23" s="137"/>
      <c r="DCN23" s="137"/>
      <c r="DCO23" s="137"/>
      <c r="DCP23" s="137"/>
      <c r="DCQ23" s="137"/>
      <c r="DCR23" s="137"/>
      <c r="DCS23" s="137"/>
      <c r="DCT23" s="137"/>
      <c r="DCU23" s="137"/>
      <c r="DCV23" s="137"/>
      <c r="DCW23" s="137"/>
      <c r="DCX23" s="137"/>
      <c r="DCY23" s="137"/>
      <c r="DCZ23" s="137"/>
      <c r="DDA23" s="137"/>
      <c r="DDB23" s="137"/>
      <c r="DDC23" s="137"/>
      <c r="DDD23" s="137"/>
      <c r="DDE23" s="137"/>
      <c r="DDF23" s="137"/>
      <c r="DDG23" s="137"/>
      <c r="DDH23" s="137"/>
      <c r="DDI23" s="137"/>
      <c r="DDJ23" s="137"/>
      <c r="DDK23" s="137"/>
      <c r="DDL23" s="137"/>
      <c r="DDM23" s="137"/>
      <c r="DDN23" s="137"/>
      <c r="DDO23" s="137"/>
      <c r="DDP23" s="137"/>
      <c r="DDQ23" s="137"/>
      <c r="DDR23" s="137"/>
      <c r="DDS23" s="137"/>
      <c r="DDT23" s="137"/>
      <c r="DDU23" s="137"/>
      <c r="DDV23" s="137"/>
      <c r="DDW23" s="137"/>
      <c r="DDX23" s="137"/>
      <c r="DDY23" s="137"/>
      <c r="DDZ23" s="137"/>
      <c r="DEA23" s="137"/>
      <c r="DEB23" s="137"/>
      <c r="DEC23" s="137"/>
      <c r="DED23" s="137"/>
      <c r="DEE23" s="137"/>
      <c r="DEF23" s="137"/>
      <c r="DEG23" s="137"/>
      <c r="DEH23" s="137"/>
      <c r="DEI23" s="137"/>
      <c r="DEJ23" s="137"/>
      <c r="DEK23" s="137"/>
      <c r="DEL23" s="137"/>
      <c r="DEM23" s="137"/>
      <c r="DEN23" s="137"/>
      <c r="DEO23" s="137"/>
      <c r="DEP23" s="137"/>
      <c r="DEQ23" s="137"/>
      <c r="DER23" s="137"/>
      <c r="DES23" s="137"/>
      <c r="DET23" s="137"/>
      <c r="DEU23" s="137"/>
      <c r="DEV23" s="137"/>
      <c r="DEW23" s="137"/>
      <c r="DEX23" s="137"/>
      <c r="DEY23" s="137"/>
      <c r="DEZ23" s="137"/>
      <c r="DFA23" s="137"/>
      <c r="DFB23" s="137"/>
      <c r="DFC23" s="137"/>
      <c r="DFD23" s="137"/>
      <c r="DFE23" s="137"/>
      <c r="DFF23" s="137"/>
      <c r="DFG23" s="137"/>
      <c r="DFH23" s="137"/>
      <c r="DFI23" s="137"/>
      <c r="DFJ23" s="137"/>
      <c r="DFK23" s="137"/>
      <c r="DFL23" s="137"/>
      <c r="DFM23" s="137"/>
      <c r="DFN23" s="137"/>
      <c r="DFO23" s="137"/>
      <c r="DFP23" s="137"/>
      <c r="DFQ23" s="137"/>
      <c r="DFR23" s="137"/>
      <c r="DFS23" s="137"/>
      <c r="DFT23" s="137"/>
      <c r="DFU23" s="137"/>
      <c r="DFV23" s="137"/>
      <c r="DFW23" s="137"/>
      <c r="DFX23" s="137"/>
      <c r="DFY23" s="137"/>
      <c r="DFZ23" s="137"/>
      <c r="DGA23" s="137"/>
      <c r="DGB23" s="137"/>
      <c r="DGC23" s="137"/>
      <c r="DGD23" s="137"/>
      <c r="DGE23" s="137"/>
      <c r="DGF23" s="137"/>
      <c r="DGG23" s="137"/>
      <c r="DGH23" s="137"/>
      <c r="DGI23" s="137"/>
      <c r="DGJ23" s="137"/>
      <c r="DGK23" s="137"/>
      <c r="DGL23" s="137"/>
      <c r="DGM23" s="137"/>
      <c r="DGN23" s="137"/>
      <c r="DGO23" s="137"/>
      <c r="DGP23" s="137"/>
      <c r="DGQ23" s="137"/>
      <c r="DGR23" s="137"/>
      <c r="DGS23" s="137"/>
      <c r="DGT23" s="137"/>
      <c r="DGU23" s="137"/>
      <c r="DGV23" s="137"/>
      <c r="DGW23" s="137"/>
      <c r="DGX23" s="137"/>
      <c r="DGY23" s="137"/>
      <c r="DGZ23" s="137"/>
      <c r="DHA23" s="137"/>
      <c r="DHB23" s="137"/>
      <c r="DHC23" s="137"/>
      <c r="DHD23" s="137"/>
      <c r="DHE23" s="137"/>
      <c r="DHF23" s="137"/>
      <c r="DHG23" s="137"/>
      <c r="DHH23" s="137"/>
      <c r="DHI23" s="137"/>
      <c r="DHJ23" s="137"/>
      <c r="DHK23" s="137"/>
      <c r="DHL23" s="137"/>
      <c r="DHM23" s="137"/>
      <c r="DHN23" s="137"/>
      <c r="DHO23" s="137"/>
      <c r="DHP23" s="137"/>
      <c r="DHQ23" s="137"/>
      <c r="DHR23" s="137"/>
      <c r="DHS23" s="137"/>
      <c r="DHT23" s="137"/>
      <c r="DHU23" s="137"/>
      <c r="DHV23" s="137"/>
      <c r="DHW23" s="137"/>
      <c r="DHX23" s="137"/>
      <c r="DHY23" s="137"/>
      <c r="DHZ23" s="137"/>
      <c r="DIA23" s="137"/>
      <c r="DIB23" s="137"/>
      <c r="DIC23" s="137"/>
      <c r="DID23" s="137"/>
      <c r="DIE23" s="137"/>
      <c r="DIF23" s="137"/>
      <c r="DIG23" s="137"/>
      <c r="DIH23" s="137"/>
      <c r="DII23" s="137"/>
      <c r="DIJ23" s="137"/>
      <c r="DIK23" s="137"/>
      <c r="DIL23" s="137"/>
      <c r="DIM23" s="137"/>
      <c r="DIN23" s="137"/>
      <c r="DIO23" s="137"/>
      <c r="DIP23" s="137"/>
      <c r="DIQ23" s="137"/>
      <c r="DIR23" s="137"/>
      <c r="DIS23" s="137"/>
      <c r="DIT23" s="137"/>
      <c r="DIU23" s="137"/>
      <c r="DIV23" s="137"/>
      <c r="DIW23" s="137"/>
      <c r="DIX23" s="137"/>
      <c r="DIY23" s="137"/>
      <c r="DIZ23" s="137"/>
      <c r="DJA23" s="137"/>
      <c r="DJB23" s="137"/>
      <c r="DJC23" s="137"/>
      <c r="DJD23" s="137"/>
      <c r="DJE23" s="137"/>
      <c r="DJF23" s="137"/>
      <c r="DJG23" s="137"/>
      <c r="DJH23" s="137"/>
      <c r="DJI23" s="137"/>
      <c r="DJJ23" s="137"/>
      <c r="DJK23" s="137"/>
      <c r="DJL23" s="137"/>
      <c r="DJM23" s="137"/>
      <c r="DJN23" s="137"/>
      <c r="DJO23" s="137"/>
      <c r="DJP23" s="137"/>
      <c r="DJQ23" s="137"/>
      <c r="DJR23" s="137"/>
      <c r="DJS23" s="137"/>
      <c r="DJT23" s="137"/>
      <c r="DJU23" s="137"/>
      <c r="DJV23" s="137"/>
      <c r="DJW23" s="137"/>
      <c r="DJX23" s="137"/>
      <c r="DJY23" s="137"/>
      <c r="DJZ23" s="137"/>
      <c r="DKA23" s="137"/>
      <c r="DKB23" s="137"/>
      <c r="DKC23" s="137"/>
      <c r="DKD23" s="137"/>
      <c r="DKE23" s="137"/>
      <c r="DKF23" s="137"/>
      <c r="DKG23" s="137"/>
      <c r="DKH23" s="137"/>
      <c r="DKI23" s="137"/>
      <c r="DKJ23" s="137"/>
      <c r="DKK23" s="137"/>
      <c r="DKL23" s="137"/>
      <c r="DKM23" s="137"/>
      <c r="DKN23" s="137"/>
      <c r="DKO23" s="137"/>
      <c r="DKP23" s="137"/>
      <c r="DKQ23" s="137"/>
      <c r="DKR23" s="137"/>
      <c r="DKS23" s="137"/>
      <c r="DKT23" s="137"/>
      <c r="DKU23" s="137"/>
      <c r="DKV23" s="137"/>
      <c r="DKW23" s="137"/>
      <c r="DKX23" s="137"/>
      <c r="DKY23" s="137"/>
      <c r="DKZ23" s="137"/>
      <c r="DLA23" s="137"/>
      <c r="DLB23" s="137"/>
      <c r="DLC23" s="137"/>
      <c r="DLD23" s="137"/>
      <c r="DLE23" s="137"/>
      <c r="DLF23" s="137"/>
      <c r="DLG23" s="137"/>
      <c r="DLH23" s="137"/>
      <c r="DLI23" s="137"/>
      <c r="DLJ23" s="137"/>
      <c r="DLK23" s="137"/>
      <c r="DLL23" s="137"/>
      <c r="DLM23" s="137"/>
      <c r="DLN23" s="137"/>
      <c r="DLO23" s="137"/>
      <c r="DLP23" s="137"/>
      <c r="DLQ23" s="137"/>
      <c r="DLR23" s="137"/>
      <c r="DLS23" s="137"/>
      <c r="DLT23" s="137"/>
      <c r="DLU23" s="137"/>
      <c r="DLV23" s="137"/>
      <c r="DLW23" s="137"/>
      <c r="DLX23" s="137"/>
      <c r="DLY23" s="137"/>
      <c r="DLZ23" s="137"/>
      <c r="DMA23" s="137"/>
      <c r="DMB23" s="137"/>
      <c r="DMC23" s="137"/>
      <c r="DMD23" s="137"/>
      <c r="DME23" s="137"/>
      <c r="DMF23" s="137"/>
      <c r="DMG23" s="137"/>
      <c r="DMH23" s="137"/>
      <c r="DMI23" s="137"/>
      <c r="DMJ23" s="137"/>
      <c r="DMK23" s="137"/>
      <c r="DML23" s="137"/>
      <c r="DMM23" s="137"/>
      <c r="DMN23" s="137"/>
      <c r="DMO23" s="137"/>
      <c r="DMP23" s="137"/>
      <c r="DMQ23" s="137"/>
      <c r="DMR23" s="137"/>
      <c r="DMS23" s="137"/>
      <c r="DMT23" s="137"/>
      <c r="DMU23" s="137"/>
      <c r="DMV23" s="137"/>
      <c r="DMW23" s="137"/>
      <c r="DMX23" s="137"/>
      <c r="DMY23" s="137"/>
      <c r="DMZ23" s="137"/>
      <c r="DNA23" s="137"/>
      <c r="DNB23" s="137"/>
      <c r="DNC23" s="137"/>
      <c r="DND23" s="137"/>
      <c r="DNE23" s="137"/>
      <c r="DNF23" s="137"/>
      <c r="DNG23" s="137"/>
      <c r="DNH23" s="137"/>
      <c r="DNI23" s="137"/>
      <c r="DNJ23" s="137"/>
      <c r="DNK23" s="137"/>
      <c r="DNL23" s="137"/>
      <c r="DNM23" s="137"/>
      <c r="DNN23" s="137"/>
      <c r="DNO23" s="137"/>
      <c r="DNP23" s="137"/>
      <c r="DNQ23" s="137"/>
      <c r="DNR23" s="137"/>
      <c r="DNS23" s="137"/>
      <c r="DNT23" s="137"/>
      <c r="DNU23" s="137"/>
      <c r="DNV23" s="137"/>
      <c r="DNW23" s="137"/>
      <c r="DNX23" s="137"/>
      <c r="DNY23" s="137"/>
      <c r="DNZ23" s="137"/>
      <c r="DOA23" s="137"/>
      <c r="DOB23" s="137"/>
      <c r="DOC23" s="137"/>
      <c r="DOD23" s="137"/>
      <c r="DOE23" s="137"/>
      <c r="DOF23" s="137"/>
      <c r="DOG23" s="137"/>
      <c r="DOH23" s="137"/>
      <c r="DOI23" s="137"/>
      <c r="DOJ23" s="137"/>
      <c r="DOK23" s="137"/>
      <c r="DOL23" s="137"/>
      <c r="DOM23" s="137"/>
      <c r="DON23" s="137"/>
      <c r="DOO23" s="137"/>
      <c r="DOP23" s="137"/>
      <c r="DOQ23" s="137"/>
      <c r="DOR23" s="137"/>
      <c r="DOS23" s="137"/>
      <c r="DOT23" s="137"/>
      <c r="DOU23" s="137"/>
      <c r="DOV23" s="137"/>
      <c r="DOW23" s="137"/>
      <c r="DOX23" s="137"/>
      <c r="DOY23" s="137"/>
      <c r="DOZ23" s="137"/>
      <c r="DPA23" s="137"/>
      <c r="DPB23" s="137"/>
      <c r="DPC23" s="137"/>
      <c r="DPD23" s="137"/>
      <c r="DPE23" s="137"/>
      <c r="DPF23" s="137"/>
      <c r="DPG23" s="137"/>
      <c r="DPH23" s="137"/>
      <c r="DPI23" s="137"/>
      <c r="DPJ23" s="137"/>
      <c r="DPK23" s="137"/>
      <c r="DPL23" s="137"/>
      <c r="DPM23" s="137"/>
      <c r="DPN23" s="137"/>
      <c r="DPO23" s="137"/>
      <c r="DPP23" s="137"/>
      <c r="DPQ23" s="137"/>
      <c r="DPR23" s="137"/>
      <c r="DPS23" s="137"/>
      <c r="DPT23" s="137"/>
      <c r="DPU23" s="137"/>
      <c r="DPV23" s="137"/>
      <c r="DPW23" s="137"/>
      <c r="DPX23" s="137"/>
      <c r="DPY23" s="137"/>
      <c r="DPZ23" s="137"/>
      <c r="DQA23" s="137"/>
      <c r="DQB23" s="137"/>
      <c r="DQC23" s="137"/>
      <c r="DQD23" s="137"/>
      <c r="DQE23" s="137"/>
      <c r="DQF23" s="137"/>
      <c r="DQG23" s="137"/>
      <c r="DQH23" s="137"/>
      <c r="DQI23" s="137"/>
      <c r="DQJ23" s="137"/>
      <c r="DQK23" s="137"/>
      <c r="DQL23" s="137"/>
      <c r="DQM23" s="137"/>
      <c r="DQN23" s="137"/>
      <c r="DQO23" s="137"/>
      <c r="DQP23" s="137"/>
      <c r="DQQ23" s="137"/>
      <c r="DQR23" s="137"/>
      <c r="DQS23" s="137"/>
      <c r="DQT23" s="137"/>
      <c r="DQU23" s="137"/>
      <c r="DQV23" s="137"/>
      <c r="DQW23" s="137"/>
      <c r="DQX23" s="137"/>
      <c r="DQY23" s="137"/>
      <c r="DQZ23" s="137"/>
      <c r="DRA23" s="137"/>
      <c r="DRB23" s="137"/>
      <c r="DRC23" s="137"/>
      <c r="DRD23" s="137"/>
      <c r="DRE23" s="137"/>
      <c r="DRF23" s="137"/>
      <c r="DRG23" s="137"/>
      <c r="DRH23" s="137"/>
      <c r="DRI23" s="137"/>
      <c r="DRJ23" s="137"/>
      <c r="DRK23" s="137"/>
      <c r="DRL23" s="137"/>
      <c r="DRM23" s="137"/>
      <c r="DRN23" s="137"/>
      <c r="DRO23" s="137"/>
      <c r="DRP23" s="137"/>
      <c r="DRQ23" s="137"/>
      <c r="DRR23" s="137"/>
      <c r="DRS23" s="137"/>
      <c r="DRT23" s="137"/>
      <c r="DRU23" s="137"/>
      <c r="DRV23" s="137"/>
      <c r="DRW23" s="137"/>
      <c r="DRX23" s="137"/>
      <c r="DRY23" s="137"/>
      <c r="DRZ23" s="137"/>
      <c r="DSA23" s="137"/>
      <c r="DSB23" s="137"/>
      <c r="DSC23" s="137"/>
      <c r="DSD23" s="137"/>
      <c r="DSE23" s="137"/>
      <c r="DSF23" s="137"/>
      <c r="DSG23" s="137"/>
      <c r="DSH23" s="137"/>
      <c r="DSI23" s="137"/>
      <c r="DSJ23" s="137"/>
      <c r="DSK23" s="137"/>
      <c r="DSL23" s="137"/>
      <c r="DSM23" s="137"/>
      <c r="DSN23" s="137"/>
      <c r="DSO23" s="137"/>
      <c r="DSP23" s="137"/>
      <c r="DSQ23" s="137"/>
      <c r="DSR23" s="137"/>
      <c r="DSS23" s="137"/>
      <c r="DST23" s="137"/>
      <c r="DSU23" s="137"/>
      <c r="DSV23" s="137"/>
      <c r="DSW23" s="137"/>
      <c r="DSX23" s="137"/>
      <c r="DSY23" s="137"/>
      <c r="DSZ23" s="137"/>
      <c r="DTA23" s="137"/>
      <c r="DTB23" s="137"/>
      <c r="DTC23" s="137"/>
      <c r="DTD23" s="137"/>
      <c r="DTE23" s="137"/>
      <c r="DTF23" s="137"/>
      <c r="DTG23" s="137"/>
      <c r="DTH23" s="137"/>
      <c r="DTI23" s="137"/>
      <c r="DTJ23" s="137"/>
      <c r="DTK23" s="137"/>
      <c r="DTL23" s="137"/>
      <c r="DTM23" s="137"/>
      <c r="DTN23" s="137"/>
      <c r="DTO23" s="137"/>
      <c r="DTP23" s="137"/>
      <c r="DTQ23" s="137"/>
      <c r="DTR23" s="137"/>
      <c r="DTS23" s="137"/>
      <c r="DTT23" s="137"/>
      <c r="DTU23" s="137"/>
      <c r="DTV23" s="137"/>
      <c r="DTW23" s="137"/>
      <c r="DTX23" s="137"/>
      <c r="DTY23" s="137"/>
      <c r="DTZ23" s="137"/>
      <c r="DUA23" s="137"/>
      <c r="DUB23" s="137"/>
      <c r="DUC23" s="137"/>
      <c r="DUD23" s="137"/>
      <c r="DUE23" s="137"/>
      <c r="DUF23" s="137"/>
      <c r="DUG23" s="137"/>
      <c r="DUH23" s="137"/>
      <c r="DUI23" s="137"/>
      <c r="DUJ23" s="137"/>
      <c r="DUK23" s="137"/>
      <c r="DUL23" s="137"/>
      <c r="DUM23" s="137"/>
      <c r="DUN23" s="137"/>
      <c r="DUO23" s="137"/>
      <c r="DUP23" s="137"/>
      <c r="DUQ23" s="137"/>
      <c r="DUR23" s="137"/>
      <c r="DUS23" s="137"/>
      <c r="DUT23" s="137"/>
      <c r="DUU23" s="137"/>
      <c r="DUV23" s="137"/>
      <c r="DUW23" s="137"/>
      <c r="DUX23" s="137"/>
      <c r="DUY23" s="137"/>
      <c r="DUZ23" s="137"/>
      <c r="DVA23" s="137"/>
      <c r="DVB23" s="137"/>
      <c r="DVC23" s="137"/>
      <c r="DVD23" s="137"/>
      <c r="DVE23" s="137"/>
      <c r="DVF23" s="137"/>
      <c r="DVG23" s="137"/>
      <c r="DVH23" s="137"/>
      <c r="DVI23" s="137"/>
      <c r="DVJ23" s="137"/>
      <c r="DVK23" s="137"/>
      <c r="DVL23" s="137"/>
      <c r="DVM23" s="137"/>
      <c r="DVN23" s="137"/>
      <c r="DVO23" s="137"/>
      <c r="DVP23" s="137"/>
      <c r="DVQ23" s="137"/>
      <c r="DVR23" s="137"/>
      <c r="DVS23" s="137"/>
      <c r="DVT23" s="137"/>
      <c r="DVU23" s="137"/>
      <c r="DVV23" s="137"/>
      <c r="DVW23" s="137"/>
      <c r="DVX23" s="137"/>
      <c r="DVY23" s="137"/>
      <c r="DVZ23" s="137"/>
      <c r="DWA23" s="137"/>
      <c r="DWB23" s="137"/>
      <c r="DWC23" s="137"/>
      <c r="DWD23" s="137"/>
      <c r="DWE23" s="137"/>
      <c r="DWF23" s="137"/>
      <c r="DWG23" s="137"/>
      <c r="DWH23" s="137"/>
      <c r="DWI23" s="137"/>
      <c r="DWJ23" s="137"/>
      <c r="DWK23" s="137"/>
      <c r="DWL23" s="137"/>
      <c r="DWM23" s="137"/>
      <c r="DWN23" s="137"/>
      <c r="DWO23" s="137"/>
      <c r="DWP23" s="137"/>
      <c r="DWQ23" s="137"/>
      <c r="DWR23" s="137"/>
      <c r="DWS23" s="137"/>
      <c r="DWT23" s="137"/>
      <c r="DWU23" s="137"/>
      <c r="DWV23" s="137"/>
      <c r="DWW23" s="137"/>
      <c r="DWX23" s="137"/>
      <c r="DWY23" s="137"/>
      <c r="DWZ23" s="137"/>
      <c r="DXA23" s="137"/>
      <c r="DXB23" s="137"/>
      <c r="DXC23" s="137"/>
      <c r="DXD23" s="137"/>
      <c r="DXE23" s="137"/>
      <c r="DXF23" s="137"/>
      <c r="DXG23" s="137"/>
      <c r="DXH23" s="137"/>
      <c r="DXI23" s="137"/>
      <c r="DXJ23" s="137"/>
      <c r="DXK23" s="137"/>
      <c r="DXL23" s="137"/>
      <c r="DXM23" s="137"/>
      <c r="DXN23" s="137"/>
      <c r="DXO23" s="137"/>
      <c r="DXP23" s="137"/>
      <c r="DXQ23" s="137"/>
      <c r="DXR23" s="137"/>
      <c r="DXS23" s="137"/>
      <c r="DXT23" s="137"/>
      <c r="DXU23" s="137"/>
      <c r="DXV23" s="137"/>
      <c r="DXW23" s="137"/>
      <c r="DXX23" s="137"/>
      <c r="DXY23" s="137"/>
      <c r="DXZ23" s="137"/>
      <c r="DYA23" s="137"/>
      <c r="DYB23" s="137"/>
      <c r="DYC23" s="137"/>
      <c r="DYD23" s="137"/>
      <c r="DYE23" s="137"/>
      <c r="DYF23" s="137"/>
      <c r="DYG23" s="137"/>
      <c r="DYH23" s="137"/>
      <c r="DYI23" s="137"/>
      <c r="DYJ23" s="137"/>
      <c r="DYK23" s="137"/>
      <c r="DYL23" s="137"/>
      <c r="DYM23" s="137"/>
      <c r="DYN23" s="137"/>
      <c r="DYO23" s="137"/>
      <c r="DYP23" s="137"/>
      <c r="DYQ23" s="137"/>
      <c r="DYR23" s="137"/>
      <c r="DYS23" s="137"/>
      <c r="DYT23" s="137"/>
      <c r="DYU23" s="137"/>
      <c r="DYV23" s="137"/>
      <c r="DYW23" s="137"/>
      <c r="DYX23" s="137"/>
      <c r="DYY23" s="137"/>
      <c r="DYZ23" s="137"/>
      <c r="DZA23" s="137"/>
      <c r="DZB23" s="137"/>
      <c r="DZC23" s="137"/>
      <c r="DZD23" s="137"/>
      <c r="DZE23" s="137"/>
      <c r="DZF23" s="137"/>
      <c r="DZG23" s="137"/>
      <c r="DZH23" s="137"/>
      <c r="DZI23" s="137"/>
      <c r="DZJ23" s="137"/>
      <c r="DZK23" s="137"/>
      <c r="DZL23" s="137"/>
      <c r="DZM23" s="137"/>
      <c r="DZN23" s="137"/>
      <c r="DZO23" s="137"/>
      <c r="DZP23" s="137"/>
      <c r="DZQ23" s="137"/>
      <c r="DZR23" s="137"/>
      <c r="DZS23" s="137"/>
      <c r="DZT23" s="137"/>
      <c r="DZU23" s="137"/>
      <c r="DZV23" s="137"/>
      <c r="DZW23" s="137"/>
      <c r="DZX23" s="137"/>
      <c r="DZY23" s="137"/>
      <c r="DZZ23" s="137"/>
      <c r="EAA23" s="137"/>
      <c r="EAB23" s="137"/>
      <c r="EAC23" s="137"/>
      <c r="EAD23" s="137"/>
      <c r="EAE23" s="137"/>
      <c r="EAF23" s="137"/>
      <c r="EAG23" s="137"/>
      <c r="EAH23" s="137"/>
      <c r="EAI23" s="137"/>
      <c r="EAJ23" s="137"/>
      <c r="EAK23" s="137"/>
      <c r="EAL23" s="137"/>
      <c r="EAM23" s="137"/>
      <c r="EAN23" s="137"/>
      <c r="EAO23" s="137"/>
      <c r="EAP23" s="137"/>
      <c r="EAQ23" s="137"/>
      <c r="EAR23" s="137"/>
      <c r="EAS23" s="137"/>
      <c r="EAT23" s="137"/>
      <c r="EAU23" s="137"/>
      <c r="EAV23" s="137"/>
      <c r="EAW23" s="137"/>
      <c r="EAX23" s="137"/>
      <c r="EAY23" s="137"/>
      <c r="EAZ23" s="137"/>
      <c r="EBA23" s="137"/>
      <c r="EBB23" s="137"/>
      <c r="EBC23" s="137"/>
      <c r="EBD23" s="137"/>
      <c r="EBE23" s="137"/>
      <c r="EBF23" s="137"/>
      <c r="EBG23" s="137"/>
      <c r="EBH23" s="137"/>
      <c r="EBI23" s="137"/>
      <c r="EBJ23" s="137"/>
      <c r="EBK23" s="137"/>
      <c r="EBL23" s="137"/>
      <c r="EBM23" s="137"/>
      <c r="EBN23" s="137"/>
      <c r="EBO23" s="137"/>
      <c r="EBP23" s="137"/>
      <c r="EBQ23" s="137"/>
      <c r="EBR23" s="137"/>
      <c r="EBS23" s="137"/>
      <c r="EBT23" s="137"/>
      <c r="EBU23" s="137"/>
      <c r="EBV23" s="137"/>
      <c r="EBW23" s="137"/>
      <c r="EBX23" s="137"/>
      <c r="EBY23" s="137"/>
      <c r="EBZ23" s="137"/>
      <c r="ECA23" s="137"/>
      <c r="ECB23" s="137"/>
      <c r="ECC23" s="137"/>
      <c r="ECD23" s="137"/>
      <c r="ECE23" s="137"/>
      <c r="ECF23" s="137"/>
      <c r="ECG23" s="137"/>
      <c r="ECH23" s="137"/>
      <c r="ECI23" s="137"/>
      <c r="ECJ23" s="137"/>
      <c r="ECK23" s="137"/>
      <c r="ECL23" s="137"/>
      <c r="ECM23" s="137"/>
      <c r="ECN23" s="137"/>
      <c r="ECO23" s="137"/>
      <c r="ECP23" s="137"/>
      <c r="ECQ23" s="137"/>
      <c r="ECR23" s="137"/>
      <c r="ECS23" s="137"/>
      <c r="ECT23" s="137"/>
      <c r="ECU23" s="137"/>
      <c r="ECV23" s="137"/>
      <c r="ECW23" s="137"/>
      <c r="ECX23" s="137"/>
      <c r="ECY23" s="137"/>
      <c r="ECZ23" s="137"/>
      <c r="EDA23" s="137"/>
      <c r="EDB23" s="137"/>
      <c r="EDC23" s="137"/>
      <c r="EDD23" s="137"/>
      <c r="EDE23" s="137"/>
      <c r="EDF23" s="137"/>
      <c r="EDG23" s="137"/>
      <c r="EDH23" s="137"/>
      <c r="EDI23" s="137"/>
      <c r="EDJ23" s="137"/>
      <c r="EDK23" s="137"/>
      <c r="EDL23" s="137"/>
      <c r="EDM23" s="137"/>
      <c r="EDN23" s="137"/>
      <c r="EDO23" s="137"/>
      <c r="EDP23" s="137"/>
      <c r="EDQ23" s="137"/>
      <c r="EDR23" s="137"/>
      <c r="EDS23" s="137"/>
      <c r="EDT23" s="137"/>
      <c r="EDU23" s="137"/>
      <c r="EDV23" s="137"/>
      <c r="EDW23" s="137"/>
      <c r="EDX23" s="137"/>
      <c r="EDY23" s="137"/>
      <c r="EDZ23" s="137"/>
      <c r="EEA23" s="137"/>
      <c r="EEB23" s="137"/>
      <c r="EEC23" s="137"/>
      <c r="EED23" s="137"/>
      <c r="EEE23" s="137"/>
      <c r="EEF23" s="137"/>
      <c r="EEG23" s="137"/>
      <c r="EEH23" s="137"/>
      <c r="EEI23" s="137"/>
      <c r="EEJ23" s="137"/>
      <c r="EEK23" s="137"/>
      <c r="EEL23" s="137"/>
      <c r="EEM23" s="137"/>
      <c r="EEN23" s="137"/>
      <c r="EEO23" s="137"/>
      <c r="EEP23" s="137"/>
      <c r="EEQ23" s="137"/>
      <c r="EER23" s="137"/>
      <c r="EES23" s="137"/>
      <c r="EET23" s="137"/>
      <c r="EEU23" s="137"/>
      <c r="EEV23" s="137"/>
      <c r="EEW23" s="137"/>
      <c r="EEX23" s="137"/>
      <c r="EEY23" s="137"/>
      <c r="EEZ23" s="137"/>
      <c r="EFA23" s="137"/>
      <c r="EFB23" s="137"/>
      <c r="EFC23" s="137"/>
      <c r="EFD23" s="137"/>
      <c r="EFE23" s="137"/>
      <c r="EFF23" s="137"/>
      <c r="EFG23" s="137"/>
      <c r="EFH23" s="137"/>
      <c r="EFI23" s="137"/>
      <c r="EFJ23" s="137"/>
      <c r="EFK23" s="137"/>
      <c r="EFL23" s="137"/>
      <c r="EFM23" s="137"/>
      <c r="EFN23" s="137"/>
      <c r="EFO23" s="137"/>
      <c r="EFP23" s="137"/>
      <c r="EFQ23" s="137"/>
      <c r="EFR23" s="137"/>
      <c r="EFS23" s="137"/>
      <c r="EFT23" s="137"/>
      <c r="EFU23" s="137"/>
      <c r="EFV23" s="137"/>
      <c r="EFW23" s="137"/>
      <c r="EFX23" s="137"/>
      <c r="EFY23" s="137"/>
      <c r="EFZ23" s="137"/>
      <c r="EGA23" s="137"/>
      <c r="EGB23" s="137"/>
      <c r="EGC23" s="137"/>
      <c r="EGD23" s="137"/>
      <c r="EGE23" s="137"/>
      <c r="EGF23" s="137"/>
      <c r="EGG23" s="137"/>
      <c r="EGH23" s="137"/>
      <c r="EGI23" s="137"/>
      <c r="EGJ23" s="137"/>
      <c r="EGK23" s="137"/>
      <c r="EGL23" s="137"/>
      <c r="EGM23" s="137"/>
      <c r="EGN23" s="137"/>
      <c r="EGO23" s="137"/>
      <c r="EGP23" s="137"/>
      <c r="EGQ23" s="137"/>
      <c r="EGR23" s="137"/>
      <c r="EGS23" s="137"/>
      <c r="EGT23" s="137"/>
      <c r="EGU23" s="137"/>
      <c r="EGV23" s="137"/>
      <c r="EGW23" s="137"/>
      <c r="EGX23" s="137"/>
      <c r="EGY23" s="137"/>
      <c r="EGZ23" s="137"/>
      <c r="EHA23" s="137"/>
      <c r="EHB23" s="137"/>
      <c r="EHC23" s="137"/>
      <c r="EHD23" s="137"/>
      <c r="EHE23" s="137"/>
      <c r="EHF23" s="137"/>
      <c r="EHG23" s="137"/>
      <c r="EHH23" s="137"/>
      <c r="EHI23" s="137"/>
      <c r="EHJ23" s="137"/>
      <c r="EHK23" s="137"/>
      <c r="EHL23" s="137"/>
      <c r="EHM23" s="137"/>
      <c r="EHN23" s="137"/>
      <c r="EHO23" s="137"/>
      <c r="EHP23" s="137"/>
      <c r="EHQ23" s="137"/>
      <c r="EHR23" s="137"/>
      <c r="EHS23" s="137"/>
      <c r="EHT23" s="137"/>
      <c r="EHU23" s="137"/>
      <c r="EHV23" s="137"/>
      <c r="EHW23" s="137"/>
      <c r="EHX23" s="137"/>
      <c r="EHY23" s="137"/>
      <c r="EHZ23" s="137"/>
      <c r="EIA23" s="137"/>
      <c r="EIB23" s="137"/>
      <c r="EIC23" s="137"/>
      <c r="EID23" s="137"/>
      <c r="EIE23" s="137"/>
      <c r="EIF23" s="137"/>
      <c r="EIG23" s="137"/>
      <c r="EIH23" s="137"/>
      <c r="EII23" s="137"/>
      <c r="EIJ23" s="137"/>
      <c r="EIK23" s="137"/>
      <c r="EIL23" s="137"/>
      <c r="EIM23" s="137"/>
      <c r="EIN23" s="137"/>
      <c r="EIO23" s="137"/>
      <c r="EIP23" s="137"/>
      <c r="EIQ23" s="137"/>
      <c r="EIR23" s="137"/>
      <c r="EIS23" s="137"/>
      <c r="EIT23" s="137"/>
      <c r="EIU23" s="137"/>
      <c r="EIV23" s="137"/>
      <c r="EIW23" s="137"/>
      <c r="EIX23" s="137"/>
      <c r="EIY23" s="137"/>
      <c r="EIZ23" s="137"/>
      <c r="EJA23" s="137"/>
      <c r="EJB23" s="137"/>
      <c r="EJC23" s="137"/>
      <c r="EJD23" s="137"/>
      <c r="EJE23" s="137"/>
      <c r="EJF23" s="137"/>
      <c r="EJG23" s="137"/>
      <c r="EJH23" s="137"/>
      <c r="EJI23" s="137"/>
      <c r="EJJ23" s="137"/>
      <c r="EJK23" s="137"/>
      <c r="EJL23" s="137"/>
      <c r="EJM23" s="137"/>
      <c r="EJN23" s="137"/>
      <c r="EJO23" s="137"/>
      <c r="EJP23" s="137"/>
      <c r="EJQ23" s="137"/>
      <c r="EJR23" s="137"/>
      <c r="EJS23" s="137"/>
      <c r="EJT23" s="137"/>
      <c r="EJU23" s="137"/>
      <c r="EJV23" s="137"/>
      <c r="EJW23" s="137"/>
      <c r="EJX23" s="137"/>
      <c r="EJY23" s="137"/>
      <c r="EJZ23" s="137"/>
      <c r="EKA23" s="137"/>
      <c r="EKB23" s="137"/>
      <c r="EKC23" s="137"/>
      <c r="EKD23" s="137"/>
      <c r="EKE23" s="137"/>
      <c r="EKF23" s="137"/>
      <c r="EKG23" s="137"/>
      <c r="EKH23" s="137"/>
      <c r="EKI23" s="137"/>
      <c r="EKJ23" s="137"/>
      <c r="EKK23" s="137"/>
      <c r="EKL23" s="137"/>
      <c r="EKM23" s="137"/>
      <c r="EKN23" s="137"/>
      <c r="EKO23" s="137"/>
      <c r="EKP23" s="137"/>
      <c r="EKQ23" s="137"/>
      <c r="EKR23" s="137"/>
      <c r="EKS23" s="137"/>
      <c r="EKT23" s="137"/>
      <c r="EKU23" s="137"/>
      <c r="EKV23" s="137"/>
      <c r="EKW23" s="137"/>
      <c r="EKX23" s="137"/>
      <c r="EKY23" s="137"/>
      <c r="EKZ23" s="137"/>
      <c r="ELA23" s="137"/>
      <c r="ELB23" s="137"/>
      <c r="ELC23" s="137"/>
      <c r="ELD23" s="137"/>
      <c r="ELE23" s="137"/>
      <c r="ELF23" s="137"/>
      <c r="ELG23" s="137"/>
      <c r="ELH23" s="137"/>
      <c r="ELI23" s="137"/>
      <c r="ELJ23" s="137"/>
      <c r="ELK23" s="137"/>
      <c r="ELL23" s="137"/>
      <c r="ELM23" s="137"/>
      <c r="ELN23" s="137"/>
      <c r="ELO23" s="137"/>
      <c r="ELP23" s="137"/>
      <c r="ELQ23" s="137"/>
      <c r="ELR23" s="137"/>
      <c r="ELS23" s="137"/>
      <c r="ELT23" s="137"/>
      <c r="ELU23" s="137"/>
      <c r="ELV23" s="137"/>
      <c r="ELW23" s="137"/>
      <c r="ELX23" s="137"/>
      <c r="ELY23" s="137"/>
      <c r="ELZ23" s="137"/>
      <c r="EMA23" s="137"/>
      <c r="EMB23" s="137"/>
      <c r="EMC23" s="137"/>
      <c r="EMD23" s="137"/>
      <c r="EME23" s="137"/>
      <c r="EMF23" s="137"/>
      <c r="EMG23" s="137"/>
      <c r="EMH23" s="137"/>
      <c r="EMI23" s="137"/>
      <c r="EMJ23" s="137"/>
      <c r="EMK23" s="137"/>
      <c r="EML23" s="137"/>
      <c r="EMM23" s="137"/>
      <c r="EMN23" s="137"/>
      <c r="EMO23" s="137"/>
      <c r="EMP23" s="137"/>
      <c r="EMQ23" s="137"/>
      <c r="EMR23" s="137"/>
      <c r="EMS23" s="137"/>
      <c r="EMT23" s="137"/>
      <c r="EMU23" s="137"/>
      <c r="EMV23" s="137"/>
      <c r="EMW23" s="137"/>
      <c r="EMX23" s="137"/>
      <c r="EMY23" s="137"/>
      <c r="EMZ23" s="137"/>
      <c r="ENA23" s="137"/>
      <c r="ENB23" s="137"/>
      <c r="ENC23" s="137"/>
      <c r="END23" s="137"/>
      <c r="ENE23" s="137"/>
      <c r="ENF23" s="137"/>
      <c r="ENG23" s="137"/>
      <c r="ENH23" s="137"/>
      <c r="ENI23" s="137"/>
      <c r="ENJ23" s="137"/>
      <c r="ENK23" s="137"/>
      <c r="ENL23" s="137"/>
      <c r="ENM23" s="137"/>
      <c r="ENN23" s="137"/>
      <c r="ENO23" s="137"/>
      <c r="ENP23" s="137"/>
      <c r="ENQ23" s="137"/>
      <c r="ENR23" s="137"/>
      <c r="ENS23" s="137"/>
      <c r="ENT23" s="137"/>
      <c r="ENU23" s="137"/>
      <c r="ENV23" s="137"/>
      <c r="ENW23" s="137"/>
      <c r="ENX23" s="137"/>
      <c r="ENY23" s="137"/>
      <c r="ENZ23" s="137"/>
      <c r="EOA23" s="137"/>
      <c r="EOB23" s="137"/>
      <c r="EOC23" s="137"/>
      <c r="EOD23" s="137"/>
      <c r="EOE23" s="137"/>
      <c r="EOF23" s="137"/>
      <c r="EOG23" s="137"/>
      <c r="EOH23" s="137"/>
      <c r="EOI23" s="137"/>
      <c r="EOJ23" s="137"/>
      <c r="EOK23" s="137"/>
      <c r="EOL23" s="137"/>
      <c r="EOM23" s="137"/>
      <c r="EON23" s="137"/>
      <c r="EOO23" s="137"/>
      <c r="EOP23" s="137"/>
      <c r="EOQ23" s="137"/>
      <c r="EOR23" s="137"/>
      <c r="EOS23" s="137"/>
      <c r="EOT23" s="137"/>
      <c r="EOU23" s="137"/>
      <c r="EOV23" s="137"/>
      <c r="EOW23" s="137"/>
      <c r="EOX23" s="137"/>
      <c r="EOY23" s="137"/>
      <c r="EOZ23" s="137"/>
      <c r="EPA23" s="137"/>
      <c r="EPB23" s="137"/>
      <c r="EPC23" s="137"/>
      <c r="EPD23" s="137"/>
      <c r="EPE23" s="137"/>
      <c r="EPF23" s="137"/>
      <c r="EPG23" s="137"/>
      <c r="EPH23" s="137"/>
      <c r="EPI23" s="137"/>
      <c r="EPJ23" s="137"/>
      <c r="EPK23" s="137"/>
      <c r="EPL23" s="137"/>
      <c r="EPM23" s="137"/>
      <c r="EPN23" s="137"/>
      <c r="EPO23" s="137"/>
      <c r="EPP23" s="137"/>
      <c r="EPQ23" s="137"/>
      <c r="EPR23" s="137"/>
      <c r="EPS23" s="137"/>
      <c r="EPT23" s="137"/>
      <c r="EPU23" s="137"/>
      <c r="EPV23" s="137"/>
      <c r="EPW23" s="137"/>
      <c r="EPX23" s="137"/>
      <c r="EPY23" s="137"/>
      <c r="EPZ23" s="137"/>
      <c r="EQA23" s="137"/>
      <c r="EQB23" s="137"/>
      <c r="EQC23" s="137"/>
      <c r="EQD23" s="137"/>
      <c r="EQE23" s="137"/>
      <c r="EQF23" s="137"/>
      <c r="EQG23" s="137"/>
      <c r="EQH23" s="137"/>
      <c r="EQI23" s="137"/>
      <c r="EQJ23" s="137"/>
      <c r="EQK23" s="137"/>
      <c r="EQL23" s="137"/>
      <c r="EQM23" s="137"/>
      <c r="EQN23" s="137"/>
      <c r="EQO23" s="137"/>
      <c r="EQP23" s="137"/>
      <c r="EQQ23" s="137"/>
      <c r="EQR23" s="137"/>
      <c r="EQS23" s="137"/>
      <c r="EQT23" s="137"/>
      <c r="EQU23" s="137"/>
      <c r="EQV23" s="137"/>
      <c r="EQW23" s="137"/>
      <c r="EQX23" s="137"/>
      <c r="EQY23" s="137"/>
      <c r="EQZ23" s="137"/>
      <c r="ERA23" s="137"/>
      <c r="ERB23" s="137"/>
      <c r="ERC23" s="137"/>
      <c r="ERD23" s="137"/>
      <c r="ERE23" s="137"/>
      <c r="ERF23" s="137"/>
      <c r="ERG23" s="137"/>
      <c r="ERH23" s="137"/>
      <c r="ERI23" s="137"/>
      <c r="ERJ23" s="137"/>
      <c r="ERK23" s="137"/>
      <c r="ERL23" s="137"/>
      <c r="ERM23" s="137"/>
      <c r="ERN23" s="137"/>
      <c r="ERO23" s="137"/>
      <c r="ERP23" s="137"/>
      <c r="ERQ23" s="137"/>
      <c r="ERR23" s="137"/>
      <c r="ERS23" s="137"/>
      <c r="ERT23" s="137"/>
      <c r="ERU23" s="137"/>
      <c r="ERV23" s="137"/>
      <c r="ERW23" s="137"/>
      <c r="ERX23" s="137"/>
      <c r="ERY23" s="137"/>
      <c r="ERZ23" s="137"/>
      <c r="ESA23" s="137"/>
      <c r="ESB23" s="137"/>
      <c r="ESC23" s="137"/>
      <c r="ESD23" s="137"/>
      <c r="ESE23" s="137"/>
      <c r="ESF23" s="137"/>
      <c r="ESG23" s="137"/>
      <c r="ESH23" s="137"/>
      <c r="ESI23" s="137"/>
      <c r="ESJ23" s="137"/>
      <c r="ESK23" s="137"/>
      <c r="ESL23" s="137"/>
      <c r="ESM23" s="137"/>
      <c r="ESN23" s="137"/>
      <c r="ESO23" s="137"/>
      <c r="ESP23" s="137"/>
      <c r="ESQ23" s="137"/>
      <c r="ESR23" s="137"/>
      <c r="ESS23" s="137"/>
      <c r="EST23" s="137"/>
      <c r="ESU23" s="137"/>
      <c r="ESV23" s="137"/>
      <c r="ESW23" s="137"/>
      <c r="ESX23" s="137"/>
      <c r="ESY23" s="137"/>
      <c r="ESZ23" s="137"/>
      <c r="ETA23" s="137"/>
      <c r="ETB23" s="137"/>
      <c r="ETC23" s="137"/>
      <c r="ETD23" s="137"/>
      <c r="ETE23" s="137"/>
      <c r="ETF23" s="137"/>
      <c r="ETG23" s="137"/>
      <c r="ETH23" s="137"/>
      <c r="ETI23" s="137"/>
      <c r="ETJ23" s="137"/>
      <c r="ETK23" s="137"/>
      <c r="ETL23" s="137"/>
      <c r="ETM23" s="137"/>
      <c r="ETN23" s="137"/>
      <c r="ETO23" s="137"/>
      <c r="ETP23" s="137"/>
      <c r="ETQ23" s="137"/>
      <c r="ETR23" s="137"/>
      <c r="ETS23" s="137"/>
      <c r="ETT23" s="137"/>
      <c r="ETU23" s="137"/>
      <c r="ETV23" s="137"/>
      <c r="ETW23" s="137"/>
      <c r="ETX23" s="137"/>
      <c r="ETY23" s="137"/>
      <c r="ETZ23" s="137"/>
      <c r="EUA23" s="137"/>
      <c r="EUB23" s="137"/>
      <c r="EUC23" s="137"/>
      <c r="EUD23" s="137"/>
      <c r="EUE23" s="137"/>
      <c r="EUF23" s="137"/>
      <c r="EUG23" s="137"/>
      <c r="EUH23" s="137"/>
      <c r="EUI23" s="137"/>
      <c r="EUJ23" s="137"/>
      <c r="EUK23" s="137"/>
      <c r="EUL23" s="137"/>
      <c r="EUM23" s="137"/>
      <c r="EUN23" s="137"/>
      <c r="EUO23" s="137"/>
      <c r="EUP23" s="137"/>
      <c r="EUQ23" s="137"/>
      <c r="EUR23" s="137"/>
      <c r="EUS23" s="137"/>
      <c r="EUT23" s="137"/>
      <c r="EUU23" s="137"/>
      <c r="EUV23" s="137"/>
      <c r="EUW23" s="137"/>
      <c r="EUX23" s="137"/>
      <c r="EUY23" s="137"/>
      <c r="EUZ23" s="137"/>
      <c r="EVA23" s="137"/>
      <c r="EVB23" s="137"/>
      <c r="EVC23" s="137"/>
      <c r="EVD23" s="137"/>
      <c r="EVE23" s="137"/>
      <c r="EVF23" s="137"/>
      <c r="EVG23" s="137"/>
      <c r="EVH23" s="137"/>
      <c r="EVI23" s="137"/>
      <c r="EVJ23" s="137"/>
      <c r="EVK23" s="137"/>
      <c r="EVL23" s="137"/>
      <c r="EVM23" s="137"/>
      <c r="EVN23" s="137"/>
      <c r="EVO23" s="137"/>
      <c r="EVP23" s="137"/>
      <c r="EVQ23" s="137"/>
      <c r="EVR23" s="137"/>
      <c r="EVS23" s="137"/>
      <c r="EVT23" s="137"/>
      <c r="EVU23" s="137"/>
      <c r="EVV23" s="137"/>
      <c r="EVW23" s="137"/>
      <c r="EVX23" s="137"/>
      <c r="EVY23" s="137"/>
      <c r="EVZ23" s="137"/>
      <c r="EWA23" s="137"/>
      <c r="EWB23" s="137"/>
      <c r="EWC23" s="137"/>
      <c r="EWD23" s="137"/>
      <c r="EWE23" s="137"/>
      <c r="EWF23" s="137"/>
      <c r="EWG23" s="137"/>
      <c r="EWH23" s="137"/>
      <c r="EWI23" s="137"/>
      <c r="EWJ23" s="137"/>
      <c r="EWK23" s="137"/>
      <c r="EWL23" s="137"/>
      <c r="EWM23" s="137"/>
      <c r="EWN23" s="137"/>
      <c r="EWO23" s="137"/>
      <c r="EWP23" s="137"/>
      <c r="EWQ23" s="137"/>
      <c r="EWR23" s="137"/>
      <c r="EWS23" s="137"/>
      <c r="EWT23" s="137"/>
      <c r="EWU23" s="137"/>
      <c r="EWV23" s="137"/>
      <c r="EWW23" s="137"/>
      <c r="EWX23" s="137"/>
      <c r="EWY23" s="137"/>
      <c r="EWZ23" s="137"/>
      <c r="EXA23" s="137"/>
      <c r="EXB23" s="137"/>
      <c r="EXC23" s="137"/>
      <c r="EXD23" s="137"/>
      <c r="EXE23" s="137"/>
      <c r="EXF23" s="137"/>
      <c r="EXG23" s="137"/>
      <c r="EXH23" s="137"/>
      <c r="EXI23" s="137"/>
      <c r="EXJ23" s="137"/>
      <c r="EXK23" s="137"/>
      <c r="EXL23" s="137"/>
      <c r="EXM23" s="137"/>
      <c r="EXN23" s="137"/>
      <c r="EXO23" s="137"/>
      <c r="EXP23" s="137"/>
      <c r="EXQ23" s="137"/>
      <c r="EXR23" s="137"/>
      <c r="EXS23" s="137"/>
      <c r="EXT23" s="137"/>
      <c r="EXU23" s="137"/>
      <c r="EXV23" s="137"/>
      <c r="EXW23" s="137"/>
      <c r="EXX23" s="137"/>
      <c r="EXY23" s="137"/>
      <c r="EXZ23" s="137"/>
      <c r="EYA23" s="137"/>
      <c r="EYB23" s="137"/>
      <c r="EYC23" s="137"/>
      <c r="EYD23" s="137"/>
      <c r="EYE23" s="137"/>
      <c r="EYF23" s="137"/>
      <c r="EYG23" s="137"/>
      <c r="EYH23" s="137"/>
      <c r="EYI23" s="137"/>
      <c r="EYJ23" s="137"/>
      <c r="EYK23" s="137"/>
      <c r="EYL23" s="137"/>
      <c r="EYM23" s="137"/>
      <c r="EYN23" s="137"/>
      <c r="EYO23" s="137"/>
      <c r="EYP23" s="137"/>
      <c r="EYQ23" s="137"/>
      <c r="EYR23" s="137"/>
      <c r="EYS23" s="137"/>
      <c r="EYT23" s="137"/>
      <c r="EYU23" s="137"/>
      <c r="EYV23" s="137"/>
      <c r="EYW23" s="137"/>
      <c r="EYX23" s="137"/>
      <c r="EYY23" s="137"/>
      <c r="EYZ23" s="137"/>
      <c r="EZA23" s="137"/>
      <c r="EZB23" s="137"/>
      <c r="EZC23" s="137"/>
      <c r="EZD23" s="137"/>
      <c r="EZE23" s="137"/>
      <c r="EZF23" s="137"/>
      <c r="EZG23" s="137"/>
      <c r="EZH23" s="137"/>
      <c r="EZI23" s="137"/>
      <c r="EZJ23" s="137"/>
      <c r="EZK23" s="137"/>
      <c r="EZL23" s="137"/>
      <c r="EZM23" s="137"/>
      <c r="EZN23" s="137"/>
      <c r="EZO23" s="137"/>
      <c r="EZP23" s="137"/>
      <c r="EZQ23" s="137"/>
      <c r="EZR23" s="137"/>
      <c r="EZS23" s="137"/>
      <c r="EZT23" s="137"/>
      <c r="EZU23" s="137"/>
      <c r="EZV23" s="137"/>
      <c r="EZW23" s="137"/>
      <c r="EZX23" s="137"/>
      <c r="EZY23" s="137"/>
      <c r="EZZ23" s="137"/>
      <c r="FAA23" s="137"/>
      <c r="FAB23" s="137"/>
      <c r="FAC23" s="137"/>
      <c r="FAD23" s="137"/>
      <c r="FAE23" s="137"/>
      <c r="FAF23" s="137"/>
      <c r="FAG23" s="137"/>
      <c r="FAH23" s="137"/>
      <c r="FAI23" s="137"/>
      <c r="FAJ23" s="137"/>
      <c r="FAK23" s="137"/>
      <c r="FAL23" s="137"/>
      <c r="FAM23" s="137"/>
      <c r="FAN23" s="137"/>
      <c r="FAO23" s="137"/>
      <c r="FAP23" s="137"/>
      <c r="FAQ23" s="137"/>
      <c r="FAR23" s="137"/>
      <c r="FAS23" s="137"/>
      <c r="FAT23" s="137"/>
      <c r="FAU23" s="137"/>
      <c r="FAV23" s="137"/>
      <c r="FAW23" s="137"/>
      <c r="FAX23" s="137"/>
      <c r="FAY23" s="137"/>
      <c r="FAZ23" s="137"/>
      <c r="FBA23" s="137"/>
      <c r="FBB23" s="137"/>
      <c r="FBC23" s="137"/>
      <c r="FBD23" s="137"/>
      <c r="FBE23" s="137"/>
      <c r="FBF23" s="137"/>
      <c r="FBG23" s="137"/>
      <c r="FBH23" s="137"/>
      <c r="FBI23" s="137"/>
      <c r="FBJ23" s="137"/>
      <c r="FBK23" s="137"/>
      <c r="FBL23" s="137"/>
      <c r="FBM23" s="137"/>
      <c r="FBN23" s="137"/>
      <c r="FBO23" s="137"/>
      <c r="FBP23" s="137"/>
      <c r="FBQ23" s="137"/>
      <c r="FBR23" s="137"/>
      <c r="FBS23" s="137"/>
      <c r="FBT23" s="137"/>
      <c r="FBU23" s="137"/>
      <c r="FBV23" s="137"/>
      <c r="FBW23" s="137"/>
      <c r="FBX23" s="137"/>
      <c r="FBY23" s="137"/>
      <c r="FBZ23" s="137"/>
      <c r="FCA23" s="137"/>
      <c r="FCB23" s="137"/>
      <c r="FCC23" s="137"/>
      <c r="FCD23" s="137"/>
      <c r="FCE23" s="137"/>
      <c r="FCF23" s="137"/>
      <c r="FCG23" s="137"/>
      <c r="FCH23" s="137"/>
      <c r="FCI23" s="137"/>
      <c r="FCJ23" s="137"/>
      <c r="FCK23" s="137"/>
      <c r="FCL23" s="137"/>
      <c r="FCM23" s="137"/>
      <c r="FCN23" s="137"/>
      <c r="FCO23" s="137"/>
      <c r="FCP23" s="137"/>
      <c r="FCQ23" s="137"/>
      <c r="FCR23" s="137"/>
      <c r="FCS23" s="137"/>
      <c r="FCT23" s="137"/>
      <c r="FCU23" s="137"/>
      <c r="FCV23" s="137"/>
      <c r="FCW23" s="137"/>
      <c r="FCX23" s="137"/>
      <c r="FCY23" s="137"/>
      <c r="FCZ23" s="137"/>
      <c r="FDA23" s="137"/>
      <c r="FDB23" s="137"/>
      <c r="FDC23" s="137"/>
      <c r="FDD23" s="137"/>
      <c r="FDE23" s="137"/>
      <c r="FDF23" s="137"/>
      <c r="FDG23" s="137"/>
      <c r="FDH23" s="137"/>
      <c r="FDI23" s="137"/>
      <c r="FDJ23" s="137"/>
      <c r="FDK23" s="137"/>
      <c r="FDL23" s="137"/>
      <c r="FDM23" s="137"/>
      <c r="FDN23" s="137"/>
      <c r="FDO23" s="137"/>
      <c r="FDP23" s="137"/>
      <c r="FDQ23" s="137"/>
      <c r="FDR23" s="137"/>
      <c r="FDS23" s="137"/>
      <c r="FDT23" s="137"/>
      <c r="FDU23" s="137"/>
      <c r="FDV23" s="137"/>
      <c r="FDW23" s="137"/>
      <c r="FDX23" s="137"/>
      <c r="FDY23" s="137"/>
      <c r="FDZ23" s="137"/>
      <c r="FEA23" s="137"/>
      <c r="FEB23" s="137"/>
      <c r="FEC23" s="137"/>
      <c r="FED23" s="137"/>
      <c r="FEE23" s="137"/>
      <c r="FEF23" s="137"/>
      <c r="FEG23" s="137"/>
      <c r="FEH23" s="137"/>
      <c r="FEI23" s="137"/>
      <c r="FEJ23" s="137"/>
      <c r="FEK23" s="137"/>
      <c r="FEL23" s="137"/>
      <c r="FEM23" s="137"/>
      <c r="FEN23" s="137"/>
      <c r="FEO23" s="137"/>
      <c r="FEP23" s="137"/>
      <c r="FEQ23" s="137"/>
      <c r="FER23" s="137"/>
      <c r="FES23" s="137"/>
      <c r="FET23" s="137"/>
      <c r="FEU23" s="137"/>
      <c r="FEV23" s="137"/>
      <c r="FEW23" s="137"/>
      <c r="FEX23" s="137"/>
      <c r="FEY23" s="137"/>
      <c r="FEZ23" s="137"/>
      <c r="FFA23" s="137"/>
      <c r="FFB23" s="137"/>
      <c r="FFC23" s="137"/>
      <c r="FFD23" s="137"/>
      <c r="FFE23" s="137"/>
      <c r="FFF23" s="137"/>
      <c r="FFG23" s="137"/>
      <c r="FFH23" s="137"/>
      <c r="FFI23" s="137"/>
      <c r="FFJ23" s="137"/>
      <c r="FFK23" s="137"/>
      <c r="FFL23" s="137"/>
      <c r="FFM23" s="137"/>
      <c r="FFN23" s="137"/>
      <c r="FFO23" s="137"/>
      <c r="FFP23" s="137"/>
      <c r="FFQ23" s="137"/>
      <c r="FFR23" s="137"/>
      <c r="FFS23" s="137"/>
      <c r="FFT23" s="137"/>
      <c r="FFU23" s="137"/>
      <c r="FFV23" s="137"/>
      <c r="FFW23" s="137"/>
      <c r="FFX23" s="137"/>
      <c r="FFY23" s="137"/>
      <c r="FFZ23" s="137"/>
      <c r="FGA23" s="137"/>
      <c r="FGB23" s="137"/>
      <c r="FGC23" s="137"/>
      <c r="FGD23" s="137"/>
      <c r="FGE23" s="137"/>
      <c r="FGF23" s="137"/>
      <c r="FGG23" s="137"/>
      <c r="FGH23" s="137"/>
      <c r="FGI23" s="137"/>
      <c r="FGJ23" s="137"/>
      <c r="FGK23" s="137"/>
      <c r="FGL23" s="137"/>
      <c r="FGM23" s="137"/>
      <c r="FGN23" s="137"/>
      <c r="FGO23" s="137"/>
      <c r="FGP23" s="137"/>
      <c r="FGQ23" s="137"/>
      <c r="FGR23" s="137"/>
      <c r="FGS23" s="137"/>
      <c r="FGT23" s="137"/>
      <c r="FGU23" s="137"/>
      <c r="FGV23" s="137"/>
      <c r="FGW23" s="137"/>
      <c r="FGX23" s="137"/>
      <c r="FGY23" s="137"/>
      <c r="FGZ23" s="137"/>
      <c r="FHA23" s="137"/>
      <c r="FHB23" s="137"/>
      <c r="FHC23" s="137"/>
      <c r="FHD23" s="137"/>
      <c r="FHE23" s="137"/>
      <c r="FHF23" s="137"/>
      <c r="FHG23" s="137"/>
      <c r="FHH23" s="137"/>
      <c r="FHI23" s="137"/>
      <c r="FHJ23" s="137"/>
      <c r="FHK23" s="137"/>
      <c r="FHL23" s="137"/>
      <c r="FHM23" s="137"/>
      <c r="FHN23" s="137"/>
      <c r="FHO23" s="137"/>
      <c r="FHP23" s="137"/>
      <c r="FHQ23" s="137"/>
      <c r="FHR23" s="137"/>
      <c r="FHS23" s="137"/>
      <c r="FHT23" s="137"/>
      <c r="FHU23" s="137"/>
      <c r="FHV23" s="137"/>
      <c r="FHW23" s="137"/>
      <c r="FHX23" s="137"/>
      <c r="FHY23" s="137"/>
      <c r="FHZ23" s="137"/>
      <c r="FIA23" s="137"/>
      <c r="FIB23" s="137"/>
      <c r="FIC23" s="137"/>
      <c r="FID23" s="137"/>
      <c r="FIE23" s="137"/>
      <c r="FIF23" s="137"/>
      <c r="FIG23" s="137"/>
      <c r="FIH23" s="137"/>
      <c r="FII23" s="137"/>
      <c r="FIJ23" s="137"/>
      <c r="FIK23" s="137"/>
      <c r="FIL23" s="137"/>
      <c r="FIM23" s="137"/>
      <c r="FIN23" s="137"/>
      <c r="FIO23" s="137"/>
      <c r="FIP23" s="137"/>
      <c r="FIQ23" s="137"/>
      <c r="FIR23" s="137"/>
      <c r="FIS23" s="137"/>
      <c r="FIT23" s="137"/>
      <c r="FIU23" s="137"/>
      <c r="FIV23" s="137"/>
      <c r="FIW23" s="137"/>
      <c r="FIX23" s="137"/>
      <c r="FIY23" s="137"/>
      <c r="FIZ23" s="137"/>
      <c r="FJA23" s="137"/>
      <c r="FJB23" s="137"/>
      <c r="FJC23" s="137"/>
      <c r="FJD23" s="137"/>
      <c r="FJE23" s="137"/>
      <c r="FJF23" s="137"/>
      <c r="FJG23" s="137"/>
      <c r="FJH23" s="137"/>
      <c r="FJI23" s="137"/>
      <c r="FJJ23" s="137"/>
      <c r="FJK23" s="137"/>
      <c r="FJL23" s="137"/>
      <c r="FJM23" s="137"/>
      <c r="FJN23" s="137"/>
      <c r="FJO23" s="137"/>
      <c r="FJP23" s="137"/>
      <c r="FJQ23" s="137"/>
      <c r="FJR23" s="137"/>
      <c r="FJS23" s="137"/>
      <c r="FJT23" s="137"/>
      <c r="FJU23" s="137"/>
      <c r="FJV23" s="137"/>
      <c r="FJW23" s="137"/>
      <c r="FJX23" s="137"/>
      <c r="FJY23" s="137"/>
      <c r="FJZ23" s="137"/>
      <c r="FKA23" s="137"/>
      <c r="FKB23" s="137"/>
      <c r="FKC23" s="137"/>
      <c r="FKD23" s="137"/>
      <c r="FKE23" s="137"/>
      <c r="FKF23" s="137"/>
      <c r="FKG23" s="137"/>
      <c r="FKH23" s="137"/>
      <c r="FKI23" s="137"/>
      <c r="FKJ23" s="137"/>
      <c r="FKK23" s="137"/>
      <c r="FKL23" s="137"/>
      <c r="FKM23" s="137"/>
      <c r="FKN23" s="137"/>
      <c r="FKO23" s="137"/>
      <c r="FKP23" s="137"/>
      <c r="FKQ23" s="137"/>
      <c r="FKR23" s="137"/>
      <c r="FKS23" s="137"/>
      <c r="FKT23" s="137"/>
      <c r="FKU23" s="137"/>
      <c r="FKV23" s="137"/>
      <c r="FKW23" s="137"/>
      <c r="FKX23" s="137"/>
      <c r="FKY23" s="137"/>
      <c r="FKZ23" s="137"/>
      <c r="FLA23" s="137"/>
      <c r="FLB23" s="137"/>
      <c r="FLC23" s="137"/>
      <c r="FLD23" s="137"/>
      <c r="FLE23" s="137"/>
      <c r="FLF23" s="137"/>
      <c r="FLG23" s="137"/>
      <c r="FLH23" s="137"/>
      <c r="FLI23" s="137"/>
      <c r="FLJ23" s="137"/>
      <c r="FLK23" s="137"/>
      <c r="FLL23" s="137"/>
      <c r="FLM23" s="137"/>
      <c r="FLN23" s="137"/>
      <c r="FLO23" s="137"/>
      <c r="FLP23" s="137"/>
      <c r="FLQ23" s="137"/>
      <c r="FLR23" s="137"/>
      <c r="FLS23" s="137"/>
      <c r="FLT23" s="137"/>
      <c r="FLU23" s="137"/>
      <c r="FLV23" s="137"/>
      <c r="FLW23" s="137"/>
      <c r="FLX23" s="137"/>
      <c r="FLY23" s="137"/>
      <c r="FLZ23" s="137"/>
      <c r="FMA23" s="137"/>
      <c r="FMB23" s="137"/>
      <c r="FMC23" s="137"/>
      <c r="FMD23" s="137"/>
      <c r="FME23" s="137"/>
      <c r="FMF23" s="137"/>
      <c r="FMG23" s="137"/>
      <c r="FMH23" s="137"/>
      <c r="FMI23" s="137"/>
      <c r="FMJ23" s="137"/>
      <c r="FMK23" s="137"/>
      <c r="FML23" s="137"/>
      <c r="FMM23" s="137"/>
      <c r="FMN23" s="137"/>
      <c r="FMO23" s="137"/>
      <c r="FMP23" s="137"/>
      <c r="FMQ23" s="137"/>
      <c r="FMR23" s="137"/>
      <c r="FMS23" s="137"/>
      <c r="FMT23" s="137"/>
      <c r="FMU23" s="137"/>
      <c r="FMV23" s="137"/>
      <c r="FMW23" s="137"/>
      <c r="FMX23" s="137"/>
      <c r="FMY23" s="137"/>
      <c r="FMZ23" s="137"/>
      <c r="FNA23" s="137"/>
      <c r="FNB23" s="137"/>
      <c r="FNC23" s="137"/>
      <c r="FND23" s="137"/>
      <c r="FNE23" s="137"/>
      <c r="FNF23" s="137"/>
      <c r="FNG23" s="137"/>
      <c r="FNH23" s="137"/>
      <c r="FNI23" s="137"/>
      <c r="FNJ23" s="137"/>
      <c r="FNK23" s="137"/>
      <c r="FNL23" s="137"/>
      <c r="FNM23" s="137"/>
      <c r="FNN23" s="137"/>
      <c r="FNO23" s="137"/>
      <c r="FNP23" s="137"/>
      <c r="FNQ23" s="137"/>
      <c r="FNR23" s="137"/>
      <c r="FNS23" s="137"/>
      <c r="FNT23" s="137"/>
      <c r="FNU23" s="137"/>
      <c r="FNV23" s="137"/>
      <c r="FNW23" s="137"/>
      <c r="FNX23" s="137"/>
      <c r="FNY23" s="137"/>
      <c r="FNZ23" s="137"/>
      <c r="FOA23" s="137"/>
      <c r="FOB23" s="137"/>
      <c r="FOC23" s="137"/>
      <c r="FOD23" s="137"/>
      <c r="FOE23" s="137"/>
      <c r="FOF23" s="137"/>
      <c r="FOG23" s="137"/>
      <c r="FOH23" s="137"/>
      <c r="FOI23" s="137"/>
      <c r="FOJ23" s="137"/>
      <c r="FOK23" s="137"/>
      <c r="FOL23" s="137"/>
      <c r="FOM23" s="137"/>
      <c r="FON23" s="137"/>
      <c r="FOO23" s="137"/>
      <c r="FOP23" s="137"/>
      <c r="FOQ23" s="137"/>
      <c r="FOR23" s="137"/>
      <c r="FOS23" s="137"/>
      <c r="FOT23" s="137"/>
      <c r="FOU23" s="137"/>
      <c r="FOV23" s="137"/>
      <c r="FOW23" s="137"/>
      <c r="FOX23" s="137"/>
      <c r="FOY23" s="137"/>
      <c r="FOZ23" s="137"/>
      <c r="FPA23" s="137"/>
      <c r="FPB23" s="137"/>
      <c r="FPC23" s="137"/>
      <c r="FPD23" s="137"/>
      <c r="FPE23" s="137"/>
      <c r="FPF23" s="137"/>
      <c r="FPG23" s="137"/>
      <c r="FPH23" s="137"/>
      <c r="FPI23" s="137"/>
      <c r="FPJ23" s="137"/>
      <c r="FPK23" s="137"/>
      <c r="FPL23" s="137"/>
      <c r="FPM23" s="137"/>
      <c r="FPN23" s="137"/>
      <c r="FPO23" s="137"/>
      <c r="FPP23" s="137"/>
      <c r="FPQ23" s="137"/>
      <c r="FPR23" s="137"/>
      <c r="FPS23" s="137"/>
      <c r="FPT23" s="137"/>
      <c r="FPU23" s="137"/>
      <c r="FPV23" s="137"/>
      <c r="FPW23" s="137"/>
      <c r="FPX23" s="137"/>
      <c r="FPY23" s="137"/>
      <c r="FPZ23" s="137"/>
      <c r="FQA23" s="137"/>
      <c r="FQB23" s="137"/>
      <c r="FQC23" s="137"/>
      <c r="FQD23" s="137"/>
      <c r="FQE23" s="137"/>
      <c r="FQF23" s="137"/>
      <c r="FQG23" s="137"/>
      <c r="FQH23" s="137"/>
      <c r="FQI23" s="137"/>
      <c r="FQJ23" s="137"/>
      <c r="FQK23" s="137"/>
      <c r="FQL23" s="137"/>
      <c r="FQM23" s="137"/>
      <c r="FQN23" s="137"/>
      <c r="FQO23" s="137"/>
      <c r="FQP23" s="137"/>
      <c r="FQQ23" s="137"/>
      <c r="FQR23" s="137"/>
      <c r="FQS23" s="137"/>
      <c r="FQT23" s="137"/>
      <c r="FQU23" s="137"/>
      <c r="FQV23" s="137"/>
      <c r="FQW23" s="137"/>
      <c r="FQX23" s="137"/>
      <c r="FQY23" s="137"/>
      <c r="FQZ23" s="137"/>
      <c r="FRA23" s="137"/>
      <c r="FRB23" s="137"/>
      <c r="FRC23" s="137"/>
      <c r="FRD23" s="137"/>
      <c r="FRE23" s="137"/>
      <c r="FRF23" s="137"/>
      <c r="FRG23" s="137"/>
      <c r="FRH23" s="137"/>
      <c r="FRI23" s="137"/>
      <c r="FRJ23" s="137"/>
      <c r="FRK23" s="137"/>
      <c r="FRL23" s="137"/>
      <c r="FRM23" s="137"/>
      <c r="FRN23" s="137"/>
      <c r="FRO23" s="137"/>
      <c r="FRP23" s="137"/>
      <c r="FRQ23" s="137"/>
      <c r="FRR23" s="137"/>
      <c r="FRS23" s="137"/>
      <c r="FRT23" s="137"/>
      <c r="FRU23" s="137"/>
      <c r="FRV23" s="137"/>
      <c r="FRW23" s="137"/>
      <c r="FRX23" s="137"/>
      <c r="FRY23" s="137"/>
      <c r="FRZ23" s="137"/>
      <c r="FSA23" s="137"/>
      <c r="FSB23" s="137"/>
      <c r="FSC23" s="137"/>
      <c r="FSD23" s="137"/>
      <c r="FSE23" s="137"/>
      <c r="FSF23" s="137"/>
      <c r="FSG23" s="137"/>
      <c r="FSH23" s="137"/>
      <c r="FSI23" s="137"/>
      <c r="FSJ23" s="137"/>
      <c r="FSK23" s="137"/>
      <c r="FSL23" s="137"/>
      <c r="FSM23" s="137"/>
      <c r="FSN23" s="137"/>
      <c r="FSO23" s="137"/>
      <c r="FSP23" s="137"/>
      <c r="FSQ23" s="137"/>
      <c r="FSR23" s="137"/>
      <c r="FSS23" s="137"/>
      <c r="FST23" s="137"/>
      <c r="FSU23" s="137"/>
      <c r="FSV23" s="137"/>
      <c r="FSW23" s="137"/>
      <c r="FSX23" s="137"/>
      <c r="FSY23" s="137"/>
      <c r="FSZ23" s="137"/>
      <c r="FTA23" s="137"/>
      <c r="FTB23" s="137"/>
      <c r="FTC23" s="137"/>
      <c r="FTD23" s="137"/>
      <c r="FTE23" s="137"/>
      <c r="FTF23" s="137"/>
      <c r="FTG23" s="137"/>
      <c r="FTH23" s="137"/>
      <c r="FTI23" s="137"/>
      <c r="FTJ23" s="137"/>
      <c r="FTK23" s="137"/>
      <c r="FTL23" s="137"/>
      <c r="FTM23" s="137"/>
      <c r="FTN23" s="137"/>
      <c r="FTO23" s="137"/>
      <c r="FTP23" s="137"/>
      <c r="FTQ23" s="137"/>
      <c r="FTR23" s="137"/>
      <c r="FTS23" s="137"/>
      <c r="FTT23" s="137"/>
      <c r="FTU23" s="137"/>
      <c r="FTV23" s="137"/>
      <c r="FTW23" s="137"/>
      <c r="FTX23" s="137"/>
      <c r="FTY23" s="137"/>
      <c r="FTZ23" s="137"/>
      <c r="FUA23" s="137"/>
      <c r="FUB23" s="137"/>
      <c r="FUC23" s="137"/>
      <c r="FUD23" s="137"/>
      <c r="FUE23" s="137"/>
      <c r="FUF23" s="137"/>
      <c r="FUG23" s="137"/>
      <c r="FUH23" s="137"/>
      <c r="FUI23" s="137"/>
      <c r="FUJ23" s="137"/>
      <c r="FUK23" s="137"/>
      <c r="FUL23" s="137"/>
      <c r="FUM23" s="137"/>
      <c r="FUN23" s="137"/>
      <c r="FUO23" s="137"/>
      <c r="FUP23" s="137"/>
      <c r="FUQ23" s="137"/>
      <c r="FUR23" s="137"/>
      <c r="FUS23" s="137"/>
      <c r="FUT23" s="137"/>
      <c r="FUU23" s="137"/>
      <c r="FUV23" s="137"/>
      <c r="FUW23" s="137"/>
      <c r="FUX23" s="137"/>
      <c r="FUY23" s="137"/>
      <c r="FUZ23" s="137"/>
      <c r="FVA23" s="137"/>
      <c r="FVB23" s="137"/>
      <c r="FVC23" s="137"/>
      <c r="FVD23" s="137"/>
      <c r="FVE23" s="137"/>
      <c r="FVF23" s="137"/>
      <c r="FVG23" s="137"/>
      <c r="FVH23" s="137"/>
      <c r="FVI23" s="137"/>
      <c r="FVJ23" s="137"/>
      <c r="FVK23" s="137"/>
      <c r="FVL23" s="137"/>
      <c r="FVM23" s="137"/>
      <c r="FVN23" s="137"/>
      <c r="FVO23" s="137"/>
      <c r="FVP23" s="137"/>
      <c r="FVQ23" s="137"/>
      <c r="FVR23" s="137"/>
      <c r="FVS23" s="137"/>
      <c r="FVT23" s="137"/>
      <c r="FVU23" s="137"/>
      <c r="FVV23" s="137"/>
      <c r="FVW23" s="137"/>
      <c r="FVX23" s="137"/>
      <c r="FVY23" s="137"/>
      <c r="FVZ23" s="137"/>
      <c r="FWA23" s="137"/>
      <c r="FWB23" s="137"/>
      <c r="FWC23" s="137"/>
      <c r="FWD23" s="137"/>
      <c r="FWE23" s="137"/>
      <c r="FWF23" s="137"/>
      <c r="FWG23" s="137"/>
      <c r="FWH23" s="137"/>
      <c r="FWI23" s="137"/>
      <c r="FWJ23" s="137"/>
      <c r="FWK23" s="137"/>
      <c r="FWL23" s="137"/>
      <c r="FWM23" s="137"/>
      <c r="FWN23" s="137"/>
      <c r="FWO23" s="137"/>
      <c r="FWP23" s="137"/>
      <c r="FWQ23" s="137"/>
      <c r="FWR23" s="137"/>
      <c r="FWS23" s="137"/>
      <c r="FWT23" s="137"/>
      <c r="FWU23" s="137"/>
      <c r="FWV23" s="137"/>
      <c r="FWW23" s="137"/>
      <c r="FWX23" s="137"/>
      <c r="FWY23" s="137"/>
      <c r="FWZ23" s="137"/>
      <c r="FXA23" s="137"/>
      <c r="FXB23" s="137"/>
      <c r="FXC23" s="137"/>
      <c r="FXD23" s="137"/>
      <c r="FXE23" s="137"/>
      <c r="FXF23" s="137"/>
      <c r="FXG23" s="137"/>
      <c r="FXH23" s="137"/>
      <c r="FXI23" s="137"/>
      <c r="FXJ23" s="137"/>
      <c r="FXK23" s="137"/>
      <c r="FXL23" s="137"/>
      <c r="FXM23" s="137"/>
      <c r="FXN23" s="137"/>
      <c r="FXO23" s="137"/>
      <c r="FXP23" s="137"/>
      <c r="FXQ23" s="137"/>
      <c r="FXR23" s="137"/>
      <c r="FXS23" s="137"/>
      <c r="FXT23" s="137"/>
      <c r="FXU23" s="137"/>
      <c r="FXV23" s="137"/>
      <c r="FXW23" s="137"/>
      <c r="FXX23" s="137"/>
      <c r="FXY23" s="137"/>
      <c r="FXZ23" s="137"/>
      <c r="FYA23" s="137"/>
      <c r="FYB23" s="137"/>
      <c r="FYC23" s="137"/>
      <c r="FYD23" s="137"/>
      <c r="FYE23" s="137"/>
      <c r="FYF23" s="137"/>
      <c r="FYG23" s="137"/>
      <c r="FYH23" s="137"/>
      <c r="FYI23" s="137"/>
      <c r="FYJ23" s="137"/>
      <c r="FYK23" s="137"/>
      <c r="FYL23" s="137"/>
      <c r="FYM23" s="137"/>
      <c r="FYN23" s="137"/>
      <c r="FYO23" s="137"/>
      <c r="FYP23" s="137"/>
      <c r="FYQ23" s="137"/>
      <c r="FYR23" s="137"/>
      <c r="FYS23" s="137"/>
      <c r="FYT23" s="137"/>
      <c r="FYU23" s="137"/>
      <c r="FYV23" s="137"/>
      <c r="FYW23" s="137"/>
      <c r="FYX23" s="137"/>
      <c r="FYY23" s="137"/>
      <c r="FYZ23" s="137"/>
      <c r="FZA23" s="137"/>
      <c r="FZB23" s="137"/>
      <c r="FZC23" s="137"/>
      <c r="FZD23" s="137"/>
      <c r="FZE23" s="137"/>
      <c r="FZF23" s="137"/>
      <c r="FZG23" s="137"/>
      <c r="FZH23" s="137"/>
      <c r="FZI23" s="137"/>
      <c r="FZJ23" s="137"/>
      <c r="FZK23" s="137"/>
      <c r="FZL23" s="137"/>
      <c r="FZM23" s="137"/>
      <c r="FZN23" s="137"/>
      <c r="FZO23" s="137"/>
      <c r="FZP23" s="137"/>
      <c r="FZQ23" s="137"/>
      <c r="FZR23" s="137"/>
      <c r="FZS23" s="137"/>
      <c r="FZT23" s="137"/>
      <c r="FZU23" s="137"/>
      <c r="FZV23" s="137"/>
      <c r="FZW23" s="137"/>
      <c r="FZX23" s="137"/>
      <c r="FZY23" s="137"/>
      <c r="FZZ23" s="137"/>
      <c r="GAA23" s="137"/>
      <c r="GAB23" s="137"/>
      <c r="GAC23" s="137"/>
      <c r="GAD23" s="137"/>
      <c r="GAE23" s="137"/>
      <c r="GAF23" s="137"/>
      <c r="GAG23" s="137"/>
      <c r="GAH23" s="137"/>
      <c r="GAI23" s="137"/>
      <c r="GAJ23" s="137"/>
      <c r="GAK23" s="137"/>
      <c r="GAL23" s="137"/>
      <c r="GAM23" s="137"/>
      <c r="GAN23" s="137"/>
      <c r="GAO23" s="137"/>
      <c r="GAP23" s="137"/>
      <c r="GAQ23" s="137"/>
      <c r="GAR23" s="137"/>
      <c r="GAS23" s="137"/>
      <c r="GAT23" s="137"/>
      <c r="GAU23" s="137"/>
      <c r="GAV23" s="137"/>
      <c r="GAW23" s="137"/>
      <c r="GAX23" s="137"/>
      <c r="GAY23" s="137"/>
      <c r="GAZ23" s="137"/>
      <c r="GBA23" s="137"/>
      <c r="GBB23" s="137"/>
      <c r="GBC23" s="137"/>
      <c r="GBD23" s="137"/>
      <c r="GBE23" s="137"/>
      <c r="GBF23" s="137"/>
      <c r="GBG23" s="137"/>
      <c r="GBH23" s="137"/>
      <c r="GBI23" s="137"/>
      <c r="GBJ23" s="137"/>
      <c r="GBK23" s="137"/>
      <c r="GBL23" s="137"/>
      <c r="GBM23" s="137"/>
      <c r="GBN23" s="137"/>
      <c r="GBO23" s="137"/>
      <c r="GBP23" s="137"/>
      <c r="GBQ23" s="137"/>
      <c r="GBR23" s="137"/>
      <c r="GBS23" s="137"/>
      <c r="GBT23" s="137"/>
      <c r="GBU23" s="137"/>
      <c r="GBV23" s="137"/>
      <c r="GBW23" s="137"/>
      <c r="GBX23" s="137"/>
      <c r="GBY23" s="137"/>
      <c r="GBZ23" s="137"/>
      <c r="GCA23" s="137"/>
      <c r="GCB23" s="137"/>
      <c r="GCC23" s="137"/>
      <c r="GCD23" s="137"/>
      <c r="GCE23" s="137"/>
      <c r="GCF23" s="137"/>
      <c r="GCG23" s="137"/>
      <c r="GCH23" s="137"/>
      <c r="GCI23" s="137"/>
      <c r="GCJ23" s="137"/>
      <c r="GCK23" s="137"/>
      <c r="GCL23" s="137"/>
      <c r="GCM23" s="137"/>
      <c r="GCN23" s="137"/>
      <c r="GCO23" s="137"/>
      <c r="GCP23" s="137"/>
      <c r="GCQ23" s="137"/>
      <c r="GCR23" s="137"/>
      <c r="GCS23" s="137"/>
      <c r="GCT23" s="137"/>
      <c r="GCU23" s="137"/>
      <c r="GCV23" s="137"/>
      <c r="GCW23" s="137"/>
      <c r="GCX23" s="137"/>
      <c r="GCY23" s="137"/>
      <c r="GCZ23" s="137"/>
      <c r="GDA23" s="137"/>
      <c r="GDB23" s="137"/>
      <c r="GDC23" s="137"/>
      <c r="GDD23" s="137"/>
      <c r="GDE23" s="137"/>
      <c r="GDF23" s="137"/>
      <c r="GDG23" s="137"/>
      <c r="GDH23" s="137"/>
      <c r="GDI23" s="137"/>
      <c r="GDJ23" s="137"/>
      <c r="GDK23" s="137"/>
      <c r="GDL23" s="137"/>
      <c r="GDM23" s="137"/>
      <c r="GDN23" s="137"/>
      <c r="GDO23" s="137"/>
      <c r="GDP23" s="137"/>
      <c r="GDQ23" s="137"/>
      <c r="GDR23" s="137"/>
      <c r="GDS23" s="137"/>
      <c r="GDT23" s="137"/>
      <c r="GDU23" s="137"/>
      <c r="GDV23" s="137"/>
      <c r="GDW23" s="137"/>
      <c r="GDX23" s="137"/>
      <c r="GDY23" s="137"/>
      <c r="GDZ23" s="137"/>
      <c r="GEA23" s="137"/>
      <c r="GEB23" s="137"/>
      <c r="GEC23" s="137"/>
      <c r="GED23" s="137"/>
      <c r="GEE23" s="137"/>
      <c r="GEF23" s="137"/>
      <c r="GEG23" s="137"/>
      <c r="GEH23" s="137"/>
      <c r="GEI23" s="137"/>
      <c r="GEJ23" s="137"/>
      <c r="GEK23" s="137"/>
      <c r="GEL23" s="137"/>
      <c r="GEM23" s="137"/>
      <c r="GEN23" s="137"/>
      <c r="GEO23" s="137"/>
      <c r="GEP23" s="137"/>
      <c r="GEQ23" s="137"/>
      <c r="GER23" s="137"/>
      <c r="GES23" s="137"/>
      <c r="GET23" s="137"/>
      <c r="GEU23" s="137"/>
      <c r="GEV23" s="137"/>
      <c r="GEW23" s="137"/>
      <c r="GEX23" s="137"/>
      <c r="GEY23" s="137"/>
      <c r="GEZ23" s="137"/>
      <c r="GFA23" s="137"/>
      <c r="GFB23" s="137"/>
      <c r="GFC23" s="137"/>
      <c r="GFD23" s="137"/>
      <c r="GFE23" s="137"/>
      <c r="GFF23" s="137"/>
      <c r="GFG23" s="137"/>
      <c r="GFH23" s="137"/>
      <c r="GFI23" s="137"/>
      <c r="GFJ23" s="137"/>
      <c r="GFK23" s="137"/>
      <c r="GFL23" s="137"/>
      <c r="GFM23" s="137"/>
      <c r="GFN23" s="137"/>
      <c r="GFO23" s="137"/>
      <c r="GFP23" s="137"/>
      <c r="GFQ23" s="137"/>
      <c r="GFR23" s="137"/>
      <c r="GFS23" s="137"/>
      <c r="GFT23" s="137"/>
      <c r="GFU23" s="137"/>
      <c r="GFV23" s="137"/>
      <c r="GFW23" s="137"/>
      <c r="GFX23" s="137"/>
      <c r="GFY23" s="137"/>
      <c r="GFZ23" s="137"/>
      <c r="GGA23" s="137"/>
      <c r="GGB23" s="137"/>
      <c r="GGC23" s="137"/>
      <c r="GGD23" s="137"/>
      <c r="GGE23" s="137"/>
      <c r="GGF23" s="137"/>
      <c r="GGG23" s="137"/>
      <c r="GGH23" s="137"/>
      <c r="GGI23" s="137"/>
      <c r="GGJ23" s="137"/>
      <c r="GGK23" s="137"/>
      <c r="GGL23" s="137"/>
      <c r="GGM23" s="137"/>
      <c r="GGN23" s="137"/>
      <c r="GGO23" s="137"/>
      <c r="GGP23" s="137"/>
      <c r="GGQ23" s="137"/>
      <c r="GGR23" s="137"/>
      <c r="GGS23" s="137"/>
      <c r="GGT23" s="137"/>
      <c r="GGU23" s="137"/>
      <c r="GGV23" s="137"/>
      <c r="GGW23" s="137"/>
      <c r="GGX23" s="137"/>
      <c r="GGY23" s="137"/>
      <c r="GGZ23" s="137"/>
      <c r="GHA23" s="137"/>
      <c r="GHB23" s="137"/>
      <c r="GHC23" s="137"/>
      <c r="GHD23" s="137"/>
      <c r="GHE23" s="137"/>
      <c r="GHF23" s="137"/>
      <c r="GHG23" s="137"/>
      <c r="GHH23" s="137"/>
      <c r="GHI23" s="137"/>
      <c r="GHJ23" s="137"/>
      <c r="GHK23" s="137"/>
      <c r="GHL23" s="137"/>
      <c r="GHM23" s="137"/>
      <c r="GHN23" s="137"/>
      <c r="GHO23" s="137"/>
      <c r="GHP23" s="137"/>
      <c r="GHQ23" s="137"/>
      <c r="GHR23" s="137"/>
      <c r="GHS23" s="137"/>
      <c r="GHT23" s="137"/>
      <c r="GHU23" s="137"/>
      <c r="GHV23" s="137"/>
      <c r="GHW23" s="137"/>
      <c r="GHX23" s="137"/>
      <c r="GHY23" s="137"/>
      <c r="GHZ23" s="137"/>
      <c r="GIA23" s="137"/>
      <c r="GIB23" s="137"/>
      <c r="GIC23" s="137"/>
      <c r="GID23" s="137"/>
      <c r="GIE23" s="137"/>
      <c r="GIF23" s="137"/>
      <c r="GIG23" s="137"/>
      <c r="GIH23" s="137"/>
      <c r="GII23" s="137"/>
      <c r="GIJ23" s="137"/>
      <c r="GIK23" s="137"/>
      <c r="GIL23" s="137"/>
      <c r="GIM23" s="137"/>
      <c r="GIN23" s="137"/>
      <c r="GIO23" s="137"/>
      <c r="GIP23" s="137"/>
      <c r="GIQ23" s="137"/>
      <c r="GIR23" s="137"/>
      <c r="GIS23" s="137"/>
      <c r="GIT23" s="137"/>
      <c r="GIU23" s="137"/>
      <c r="GIV23" s="137"/>
      <c r="GIW23" s="137"/>
      <c r="GIX23" s="137"/>
      <c r="GIY23" s="137"/>
      <c r="GIZ23" s="137"/>
      <c r="GJA23" s="137"/>
      <c r="GJB23" s="137"/>
      <c r="GJC23" s="137"/>
      <c r="GJD23" s="137"/>
      <c r="GJE23" s="137"/>
      <c r="GJF23" s="137"/>
      <c r="GJG23" s="137"/>
      <c r="GJH23" s="137"/>
      <c r="GJI23" s="137"/>
      <c r="GJJ23" s="137"/>
      <c r="GJK23" s="137"/>
      <c r="GJL23" s="137"/>
      <c r="GJM23" s="137"/>
      <c r="GJN23" s="137"/>
      <c r="GJO23" s="137"/>
      <c r="GJP23" s="137"/>
      <c r="GJQ23" s="137"/>
      <c r="GJR23" s="137"/>
      <c r="GJS23" s="137"/>
      <c r="GJT23" s="137"/>
      <c r="GJU23" s="137"/>
      <c r="GJV23" s="137"/>
      <c r="GJW23" s="137"/>
      <c r="GJX23" s="137"/>
      <c r="GJY23" s="137"/>
      <c r="GJZ23" s="137"/>
      <c r="GKA23" s="137"/>
      <c r="GKB23" s="137"/>
      <c r="GKC23" s="137"/>
      <c r="GKD23" s="137"/>
      <c r="GKE23" s="137"/>
      <c r="GKF23" s="137"/>
      <c r="GKG23" s="137"/>
      <c r="GKH23" s="137"/>
      <c r="GKI23" s="137"/>
      <c r="GKJ23" s="137"/>
      <c r="GKK23" s="137"/>
      <c r="GKL23" s="137"/>
      <c r="GKM23" s="137"/>
      <c r="GKN23" s="137"/>
      <c r="GKO23" s="137"/>
      <c r="GKP23" s="137"/>
      <c r="GKQ23" s="137"/>
      <c r="GKR23" s="137"/>
      <c r="GKS23" s="137"/>
      <c r="GKT23" s="137"/>
      <c r="GKU23" s="137"/>
      <c r="GKV23" s="137"/>
      <c r="GKW23" s="137"/>
      <c r="GKX23" s="137"/>
      <c r="GKY23" s="137"/>
      <c r="GKZ23" s="137"/>
      <c r="GLA23" s="137"/>
      <c r="GLB23" s="137"/>
      <c r="GLC23" s="137"/>
      <c r="GLD23" s="137"/>
      <c r="GLE23" s="137"/>
      <c r="GLF23" s="137"/>
      <c r="GLG23" s="137"/>
      <c r="GLH23" s="137"/>
      <c r="GLI23" s="137"/>
      <c r="GLJ23" s="137"/>
      <c r="GLK23" s="137"/>
      <c r="GLL23" s="137"/>
      <c r="GLM23" s="137"/>
      <c r="GLN23" s="137"/>
      <c r="GLO23" s="137"/>
      <c r="GLP23" s="137"/>
      <c r="GLQ23" s="137"/>
      <c r="GLR23" s="137"/>
      <c r="GLS23" s="137"/>
      <c r="GLT23" s="137"/>
      <c r="GLU23" s="137"/>
      <c r="GLV23" s="137"/>
      <c r="GLW23" s="137"/>
      <c r="GLX23" s="137"/>
      <c r="GLY23" s="137"/>
      <c r="GLZ23" s="137"/>
      <c r="GMA23" s="137"/>
      <c r="GMB23" s="137"/>
      <c r="GMC23" s="137"/>
      <c r="GMD23" s="137"/>
      <c r="GME23" s="137"/>
      <c r="GMF23" s="137"/>
      <c r="GMG23" s="137"/>
      <c r="GMH23" s="137"/>
      <c r="GMI23" s="137"/>
      <c r="GMJ23" s="137"/>
      <c r="GMK23" s="137"/>
      <c r="GML23" s="137"/>
      <c r="GMM23" s="137"/>
      <c r="GMN23" s="137"/>
      <c r="GMO23" s="137"/>
      <c r="GMP23" s="137"/>
      <c r="GMQ23" s="137"/>
      <c r="GMR23" s="137"/>
      <c r="GMS23" s="137"/>
      <c r="GMT23" s="137"/>
      <c r="GMU23" s="137"/>
      <c r="GMV23" s="137"/>
      <c r="GMW23" s="137"/>
      <c r="GMX23" s="137"/>
      <c r="GMY23" s="137"/>
      <c r="GMZ23" s="137"/>
      <c r="GNA23" s="137"/>
      <c r="GNB23" s="137"/>
      <c r="GNC23" s="137"/>
      <c r="GND23" s="137"/>
      <c r="GNE23" s="137"/>
      <c r="GNF23" s="137"/>
      <c r="GNG23" s="137"/>
      <c r="GNH23" s="137"/>
      <c r="GNI23" s="137"/>
      <c r="GNJ23" s="137"/>
      <c r="GNK23" s="137"/>
      <c r="GNL23" s="137"/>
      <c r="GNM23" s="137"/>
      <c r="GNN23" s="137"/>
      <c r="GNO23" s="137"/>
      <c r="GNP23" s="137"/>
      <c r="GNQ23" s="137"/>
      <c r="GNR23" s="137"/>
      <c r="GNS23" s="137"/>
      <c r="GNT23" s="137"/>
      <c r="GNU23" s="137"/>
      <c r="GNV23" s="137"/>
      <c r="GNW23" s="137"/>
      <c r="GNX23" s="137"/>
      <c r="GNY23" s="137"/>
      <c r="GNZ23" s="137"/>
      <c r="GOA23" s="137"/>
      <c r="GOB23" s="137"/>
      <c r="GOC23" s="137"/>
      <c r="GOD23" s="137"/>
      <c r="GOE23" s="137"/>
      <c r="GOF23" s="137"/>
      <c r="GOG23" s="137"/>
      <c r="GOH23" s="137"/>
      <c r="GOI23" s="137"/>
      <c r="GOJ23" s="137"/>
      <c r="GOK23" s="137"/>
      <c r="GOL23" s="137"/>
      <c r="GOM23" s="137"/>
      <c r="GON23" s="137"/>
      <c r="GOO23" s="137"/>
      <c r="GOP23" s="137"/>
      <c r="GOQ23" s="137"/>
      <c r="GOR23" s="137"/>
      <c r="GOS23" s="137"/>
      <c r="GOT23" s="137"/>
      <c r="GOU23" s="137"/>
      <c r="GOV23" s="137"/>
      <c r="GOW23" s="137"/>
      <c r="GOX23" s="137"/>
      <c r="GOY23" s="137"/>
      <c r="GOZ23" s="137"/>
      <c r="GPA23" s="137"/>
      <c r="GPB23" s="137"/>
      <c r="GPC23" s="137"/>
      <c r="GPD23" s="137"/>
      <c r="GPE23" s="137"/>
      <c r="GPF23" s="137"/>
      <c r="GPG23" s="137"/>
      <c r="GPH23" s="137"/>
      <c r="GPI23" s="137"/>
      <c r="GPJ23" s="137"/>
      <c r="GPK23" s="137"/>
      <c r="GPL23" s="137"/>
      <c r="GPM23" s="137"/>
      <c r="GPN23" s="137"/>
      <c r="GPO23" s="137"/>
      <c r="GPP23" s="137"/>
      <c r="GPQ23" s="137"/>
      <c r="GPR23" s="137"/>
      <c r="GPS23" s="137"/>
      <c r="GPT23" s="137"/>
      <c r="GPU23" s="137"/>
      <c r="GPV23" s="137"/>
      <c r="GPW23" s="137"/>
      <c r="GPX23" s="137"/>
      <c r="GPY23" s="137"/>
      <c r="GPZ23" s="137"/>
      <c r="GQA23" s="137"/>
      <c r="GQB23" s="137"/>
      <c r="GQC23" s="137"/>
      <c r="GQD23" s="137"/>
      <c r="GQE23" s="137"/>
      <c r="GQF23" s="137"/>
      <c r="GQG23" s="137"/>
      <c r="GQH23" s="137"/>
      <c r="GQI23" s="137"/>
      <c r="GQJ23" s="137"/>
      <c r="GQK23" s="137"/>
      <c r="GQL23" s="137"/>
      <c r="GQM23" s="137"/>
      <c r="GQN23" s="137"/>
      <c r="GQO23" s="137"/>
      <c r="GQP23" s="137"/>
      <c r="GQQ23" s="137"/>
      <c r="GQR23" s="137"/>
      <c r="GQS23" s="137"/>
      <c r="GQT23" s="137"/>
      <c r="GQU23" s="137"/>
      <c r="GQV23" s="137"/>
      <c r="GQW23" s="137"/>
      <c r="GQX23" s="137"/>
      <c r="GQY23" s="137"/>
      <c r="GQZ23" s="137"/>
      <c r="GRA23" s="137"/>
      <c r="GRB23" s="137"/>
      <c r="GRC23" s="137"/>
      <c r="GRD23" s="137"/>
      <c r="GRE23" s="137"/>
      <c r="GRF23" s="137"/>
      <c r="GRG23" s="137"/>
      <c r="GRH23" s="137"/>
      <c r="GRI23" s="137"/>
      <c r="GRJ23" s="137"/>
      <c r="GRK23" s="137"/>
      <c r="GRL23" s="137"/>
      <c r="GRM23" s="137"/>
      <c r="GRN23" s="137"/>
      <c r="GRO23" s="137"/>
      <c r="GRP23" s="137"/>
      <c r="GRQ23" s="137"/>
      <c r="GRR23" s="137"/>
      <c r="GRS23" s="137"/>
      <c r="GRT23" s="137"/>
      <c r="GRU23" s="137"/>
      <c r="GRV23" s="137"/>
      <c r="GRW23" s="137"/>
      <c r="GRX23" s="137"/>
      <c r="GRY23" s="137"/>
      <c r="GRZ23" s="137"/>
      <c r="GSA23" s="137"/>
      <c r="GSB23" s="137"/>
      <c r="GSC23" s="137"/>
      <c r="GSD23" s="137"/>
      <c r="GSE23" s="137"/>
      <c r="GSF23" s="137"/>
      <c r="GSG23" s="137"/>
      <c r="GSH23" s="137"/>
      <c r="GSI23" s="137"/>
      <c r="GSJ23" s="137"/>
      <c r="GSK23" s="137"/>
      <c r="GSL23" s="137"/>
      <c r="GSM23" s="137"/>
      <c r="GSN23" s="137"/>
      <c r="GSO23" s="137"/>
      <c r="GSP23" s="137"/>
      <c r="GSQ23" s="137"/>
      <c r="GSR23" s="137"/>
      <c r="GSS23" s="137"/>
      <c r="GST23" s="137"/>
      <c r="GSU23" s="137"/>
      <c r="GSV23" s="137"/>
      <c r="GSW23" s="137"/>
      <c r="GSX23" s="137"/>
      <c r="GSY23" s="137"/>
      <c r="GSZ23" s="137"/>
      <c r="GTA23" s="137"/>
      <c r="GTB23" s="137"/>
      <c r="GTC23" s="137"/>
      <c r="GTD23" s="137"/>
      <c r="GTE23" s="137"/>
      <c r="GTF23" s="137"/>
      <c r="GTG23" s="137"/>
      <c r="GTH23" s="137"/>
      <c r="GTI23" s="137"/>
      <c r="GTJ23" s="137"/>
      <c r="GTK23" s="137"/>
      <c r="GTL23" s="137"/>
      <c r="GTM23" s="137"/>
      <c r="GTN23" s="137"/>
      <c r="GTO23" s="137"/>
      <c r="GTP23" s="137"/>
      <c r="GTQ23" s="137"/>
      <c r="GTR23" s="137"/>
      <c r="GTS23" s="137"/>
      <c r="GTT23" s="137"/>
      <c r="GTU23" s="137"/>
      <c r="GTV23" s="137"/>
      <c r="GTW23" s="137"/>
      <c r="GTX23" s="137"/>
      <c r="GTY23" s="137"/>
      <c r="GTZ23" s="137"/>
      <c r="GUA23" s="137"/>
      <c r="GUB23" s="137"/>
      <c r="GUC23" s="137"/>
      <c r="GUD23" s="137"/>
      <c r="GUE23" s="137"/>
      <c r="GUF23" s="137"/>
      <c r="GUG23" s="137"/>
      <c r="GUH23" s="137"/>
      <c r="GUI23" s="137"/>
      <c r="GUJ23" s="137"/>
      <c r="GUK23" s="137"/>
      <c r="GUL23" s="137"/>
      <c r="GUM23" s="137"/>
      <c r="GUN23" s="137"/>
      <c r="GUO23" s="137"/>
      <c r="GUP23" s="137"/>
      <c r="GUQ23" s="137"/>
      <c r="GUR23" s="137"/>
      <c r="GUS23" s="137"/>
      <c r="GUT23" s="137"/>
      <c r="GUU23" s="137"/>
      <c r="GUV23" s="137"/>
      <c r="GUW23" s="137"/>
      <c r="GUX23" s="137"/>
      <c r="GUY23" s="137"/>
      <c r="GUZ23" s="137"/>
      <c r="GVA23" s="137"/>
      <c r="GVB23" s="137"/>
      <c r="GVC23" s="137"/>
      <c r="GVD23" s="137"/>
      <c r="GVE23" s="137"/>
      <c r="GVF23" s="137"/>
      <c r="GVG23" s="137"/>
      <c r="GVH23" s="137"/>
      <c r="GVI23" s="137"/>
      <c r="GVJ23" s="137"/>
      <c r="GVK23" s="137"/>
      <c r="GVL23" s="137"/>
      <c r="GVM23" s="137"/>
      <c r="GVN23" s="137"/>
      <c r="GVO23" s="137"/>
      <c r="GVP23" s="137"/>
      <c r="GVQ23" s="137"/>
      <c r="GVR23" s="137"/>
      <c r="GVS23" s="137"/>
      <c r="GVT23" s="137"/>
      <c r="GVU23" s="137"/>
      <c r="GVV23" s="137"/>
      <c r="GVW23" s="137"/>
      <c r="GVX23" s="137"/>
      <c r="GVY23" s="137"/>
      <c r="GVZ23" s="137"/>
      <c r="GWA23" s="137"/>
      <c r="GWB23" s="137"/>
      <c r="GWC23" s="137"/>
      <c r="GWD23" s="137"/>
      <c r="GWE23" s="137"/>
      <c r="GWF23" s="137"/>
      <c r="GWG23" s="137"/>
      <c r="GWH23" s="137"/>
      <c r="GWI23" s="137"/>
      <c r="GWJ23" s="137"/>
      <c r="GWK23" s="137"/>
      <c r="GWL23" s="137"/>
      <c r="GWM23" s="137"/>
      <c r="GWN23" s="137"/>
      <c r="GWO23" s="137"/>
      <c r="GWP23" s="137"/>
      <c r="GWQ23" s="137"/>
      <c r="GWR23" s="137"/>
      <c r="GWS23" s="137"/>
      <c r="GWT23" s="137"/>
      <c r="GWU23" s="137"/>
      <c r="GWV23" s="137"/>
      <c r="GWW23" s="137"/>
      <c r="GWX23" s="137"/>
      <c r="GWY23" s="137"/>
      <c r="GWZ23" s="137"/>
      <c r="GXA23" s="137"/>
      <c r="GXB23" s="137"/>
      <c r="GXC23" s="137"/>
      <c r="GXD23" s="137"/>
      <c r="GXE23" s="137"/>
      <c r="GXF23" s="137"/>
      <c r="GXG23" s="137"/>
      <c r="GXH23" s="137"/>
      <c r="GXI23" s="137"/>
      <c r="GXJ23" s="137"/>
      <c r="GXK23" s="137"/>
      <c r="GXL23" s="137"/>
      <c r="GXM23" s="137"/>
      <c r="GXN23" s="137"/>
      <c r="GXO23" s="137"/>
      <c r="GXP23" s="137"/>
      <c r="GXQ23" s="137"/>
      <c r="GXR23" s="137"/>
      <c r="GXS23" s="137"/>
      <c r="GXT23" s="137"/>
      <c r="GXU23" s="137"/>
      <c r="GXV23" s="137"/>
      <c r="GXW23" s="137"/>
      <c r="GXX23" s="137"/>
      <c r="GXY23" s="137"/>
      <c r="GXZ23" s="137"/>
      <c r="GYA23" s="137"/>
      <c r="GYB23" s="137"/>
      <c r="GYC23" s="137"/>
      <c r="GYD23" s="137"/>
      <c r="GYE23" s="137"/>
      <c r="GYF23" s="137"/>
      <c r="GYG23" s="137"/>
      <c r="GYH23" s="137"/>
      <c r="GYI23" s="137"/>
      <c r="GYJ23" s="137"/>
      <c r="GYK23" s="137"/>
      <c r="GYL23" s="137"/>
      <c r="GYM23" s="137"/>
      <c r="GYN23" s="137"/>
      <c r="GYO23" s="137"/>
      <c r="GYP23" s="137"/>
      <c r="GYQ23" s="137"/>
      <c r="GYR23" s="137"/>
      <c r="GYS23" s="137"/>
      <c r="GYT23" s="137"/>
      <c r="GYU23" s="137"/>
      <c r="GYV23" s="137"/>
      <c r="GYW23" s="137"/>
      <c r="GYX23" s="137"/>
      <c r="GYY23" s="137"/>
      <c r="GYZ23" s="137"/>
      <c r="GZA23" s="137"/>
      <c r="GZB23" s="137"/>
      <c r="GZC23" s="137"/>
      <c r="GZD23" s="137"/>
      <c r="GZE23" s="137"/>
      <c r="GZF23" s="137"/>
      <c r="GZG23" s="137"/>
      <c r="GZH23" s="137"/>
      <c r="GZI23" s="137"/>
      <c r="GZJ23" s="137"/>
      <c r="GZK23" s="137"/>
      <c r="GZL23" s="137"/>
      <c r="GZM23" s="137"/>
      <c r="GZN23" s="137"/>
      <c r="GZO23" s="137"/>
      <c r="GZP23" s="137"/>
      <c r="GZQ23" s="137"/>
      <c r="GZR23" s="137"/>
      <c r="GZS23" s="137"/>
      <c r="GZT23" s="137"/>
      <c r="GZU23" s="137"/>
      <c r="GZV23" s="137"/>
      <c r="GZW23" s="137"/>
      <c r="GZX23" s="137"/>
      <c r="GZY23" s="137"/>
      <c r="GZZ23" s="137"/>
      <c r="HAA23" s="137"/>
      <c r="HAB23" s="137"/>
      <c r="HAC23" s="137"/>
      <c r="HAD23" s="137"/>
      <c r="HAE23" s="137"/>
      <c r="HAF23" s="137"/>
      <c r="HAG23" s="137"/>
      <c r="HAH23" s="137"/>
      <c r="HAI23" s="137"/>
      <c r="HAJ23" s="137"/>
      <c r="HAK23" s="137"/>
      <c r="HAL23" s="137"/>
      <c r="HAM23" s="137"/>
      <c r="HAN23" s="137"/>
      <c r="HAO23" s="137"/>
      <c r="HAP23" s="137"/>
      <c r="HAQ23" s="137"/>
      <c r="HAR23" s="137"/>
      <c r="HAS23" s="137"/>
      <c r="HAT23" s="137"/>
      <c r="HAU23" s="137"/>
      <c r="HAV23" s="137"/>
      <c r="HAW23" s="137"/>
      <c r="HAX23" s="137"/>
      <c r="HAY23" s="137"/>
      <c r="HAZ23" s="137"/>
      <c r="HBA23" s="137"/>
      <c r="HBB23" s="137"/>
      <c r="HBC23" s="137"/>
      <c r="HBD23" s="137"/>
      <c r="HBE23" s="137"/>
      <c r="HBF23" s="137"/>
      <c r="HBG23" s="137"/>
      <c r="HBH23" s="137"/>
      <c r="HBI23" s="137"/>
      <c r="HBJ23" s="137"/>
      <c r="HBK23" s="137"/>
      <c r="HBL23" s="137"/>
      <c r="HBM23" s="137"/>
      <c r="HBN23" s="137"/>
      <c r="HBO23" s="137"/>
      <c r="HBP23" s="137"/>
      <c r="HBQ23" s="137"/>
      <c r="HBR23" s="137"/>
      <c r="HBS23" s="137"/>
      <c r="HBT23" s="137"/>
      <c r="HBU23" s="137"/>
      <c r="HBV23" s="137"/>
      <c r="HBW23" s="137"/>
      <c r="HBX23" s="137"/>
      <c r="HBY23" s="137"/>
      <c r="HBZ23" s="137"/>
      <c r="HCA23" s="137"/>
      <c r="HCB23" s="137"/>
      <c r="HCC23" s="137"/>
      <c r="HCD23" s="137"/>
      <c r="HCE23" s="137"/>
      <c r="HCF23" s="137"/>
      <c r="HCG23" s="137"/>
      <c r="HCH23" s="137"/>
      <c r="HCI23" s="137"/>
      <c r="HCJ23" s="137"/>
      <c r="HCK23" s="137"/>
      <c r="HCL23" s="137"/>
      <c r="HCM23" s="137"/>
      <c r="HCN23" s="137"/>
      <c r="HCO23" s="137"/>
      <c r="HCP23" s="137"/>
      <c r="HCQ23" s="137"/>
      <c r="HCR23" s="137"/>
      <c r="HCS23" s="137"/>
      <c r="HCT23" s="137"/>
      <c r="HCU23" s="137"/>
      <c r="HCV23" s="137"/>
      <c r="HCW23" s="137"/>
      <c r="HCX23" s="137"/>
      <c r="HCY23" s="137"/>
      <c r="HCZ23" s="137"/>
      <c r="HDA23" s="137"/>
      <c r="HDB23" s="137"/>
      <c r="HDC23" s="137"/>
      <c r="HDD23" s="137"/>
      <c r="HDE23" s="137"/>
      <c r="HDF23" s="137"/>
      <c r="HDG23" s="137"/>
      <c r="HDH23" s="137"/>
      <c r="HDI23" s="137"/>
      <c r="HDJ23" s="137"/>
      <c r="HDK23" s="137"/>
      <c r="HDL23" s="137"/>
      <c r="HDM23" s="137"/>
      <c r="HDN23" s="137"/>
      <c r="HDO23" s="137"/>
      <c r="HDP23" s="137"/>
      <c r="HDQ23" s="137"/>
      <c r="HDR23" s="137"/>
      <c r="HDS23" s="137"/>
      <c r="HDT23" s="137"/>
      <c r="HDU23" s="137"/>
      <c r="HDV23" s="137"/>
      <c r="HDW23" s="137"/>
      <c r="HDX23" s="137"/>
      <c r="HDY23" s="137"/>
      <c r="HDZ23" s="137"/>
      <c r="HEA23" s="137"/>
      <c r="HEB23" s="137"/>
      <c r="HEC23" s="137"/>
      <c r="HED23" s="137"/>
      <c r="HEE23" s="137"/>
      <c r="HEF23" s="137"/>
      <c r="HEG23" s="137"/>
      <c r="HEH23" s="137"/>
      <c r="HEI23" s="137"/>
      <c r="HEJ23" s="137"/>
      <c r="HEK23" s="137"/>
      <c r="HEL23" s="137"/>
      <c r="HEM23" s="137"/>
      <c r="HEN23" s="137"/>
      <c r="HEO23" s="137"/>
      <c r="HEP23" s="137"/>
      <c r="HEQ23" s="137"/>
      <c r="HER23" s="137"/>
      <c r="HES23" s="137"/>
      <c r="HET23" s="137"/>
      <c r="HEU23" s="137"/>
      <c r="HEV23" s="137"/>
      <c r="HEW23" s="137"/>
      <c r="HEX23" s="137"/>
      <c r="HEY23" s="137"/>
      <c r="HEZ23" s="137"/>
      <c r="HFA23" s="137"/>
      <c r="HFB23" s="137"/>
      <c r="HFC23" s="137"/>
      <c r="HFD23" s="137"/>
      <c r="HFE23" s="137"/>
      <c r="HFF23" s="137"/>
      <c r="HFG23" s="137"/>
      <c r="HFH23" s="137"/>
      <c r="HFI23" s="137"/>
      <c r="HFJ23" s="137"/>
      <c r="HFK23" s="137"/>
      <c r="HFL23" s="137"/>
      <c r="HFM23" s="137"/>
      <c r="HFN23" s="137"/>
      <c r="HFO23" s="137"/>
      <c r="HFP23" s="137"/>
      <c r="HFQ23" s="137"/>
      <c r="HFR23" s="137"/>
      <c r="HFS23" s="137"/>
      <c r="HFT23" s="137"/>
      <c r="HFU23" s="137"/>
      <c r="HFV23" s="137"/>
      <c r="HFW23" s="137"/>
      <c r="HFX23" s="137"/>
      <c r="HFY23" s="137"/>
      <c r="HFZ23" s="137"/>
      <c r="HGA23" s="137"/>
      <c r="HGB23" s="137"/>
      <c r="HGC23" s="137"/>
      <c r="HGD23" s="137"/>
      <c r="HGE23" s="137"/>
      <c r="HGF23" s="137"/>
      <c r="HGG23" s="137"/>
      <c r="HGH23" s="137"/>
      <c r="HGI23" s="137"/>
      <c r="HGJ23" s="137"/>
      <c r="HGK23" s="137"/>
      <c r="HGL23" s="137"/>
      <c r="HGM23" s="137"/>
      <c r="HGN23" s="137"/>
      <c r="HGO23" s="137"/>
      <c r="HGP23" s="137"/>
      <c r="HGQ23" s="137"/>
      <c r="HGR23" s="137"/>
      <c r="HGS23" s="137"/>
      <c r="HGT23" s="137"/>
      <c r="HGU23" s="137"/>
      <c r="HGV23" s="137"/>
      <c r="HGW23" s="137"/>
      <c r="HGX23" s="137"/>
      <c r="HGY23" s="137"/>
      <c r="HGZ23" s="137"/>
      <c r="HHA23" s="137"/>
      <c r="HHB23" s="137"/>
      <c r="HHC23" s="137"/>
      <c r="HHD23" s="137"/>
      <c r="HHE23" s="137"/>
      <c r="HHF23" s="137"/>
      <c r="HHG23" s="137"/>
      <c r="HHH23" s="137"/>
      <c r="HHI23" s="137"/>
      <c r="HHJ23" s="137"/>
      <c r="HHK23" s="137"/>
      <c r="HHL23" s="137"/>
      <c r="HHM23" s="137"/>
      <c r="HHN23" s="137"/>
      <c r="HHO23" s="137"/>
      <c r="HHP23" s="137"/>
      <c r="HHQ23" s="137"/>
      <c r="HHR23" s="137"/>
      <c r="HHS23" s="137"/>
      <c r="HHT23" s="137"/>
      <c r="HHU23" s="137"/>
      <c r="HHV23" s="137"/>
      <c r="HHW23" s="137"/>
      <c r="HHX23" s="137"/>
      <c r="HHY23" s="137"/>
      <c r="HHZ23" s="137"/>
      <c r="HIA23" s="137"/>
      <c r="HIB23" s="137"/>
      <c r="HIC23" s="137"/>
      <c r="HID23" s="137"/>
      <c r="HIE23" s="137"/>
      <c r="HIF23" s="137"/>
      <c r="HIG23" s="137"/>
      <c r="HIH23" s="137"/>
      <c r="HII23" s="137"/>
      <c r="HIJ23" s="137"/>
      <c r="HIK23" s="137"/>
      <c r="HIL23" s="137"/>
      <c r="HIM23" s="137"/>
      <c r="HIN23" s="137"/>
      <c r="HIO23" s="137"/>
      <c r="HIP23" s="137"/>
      <c r="HIQ23" s="137"/>
      <c r="HIR23" s="137"/>
      <c r="HIS23" s="137"/>
      <c r="HIT23" s="137"/>
      <c r="HIU23" s="137"/>
      <c r="HIV23" s="137"/>
      <c r="HIW23" s="137"/>
      <c r="HIX23" s="137"/>
      <c r="HIY23" s="137"/>
      <c r="HIZ23" s="137"/>
      <c r="HJA23" s="137"/>
      <c r="HJB23" s="137"/>
      <c r="HJC23" s="137"/>
      <c r="HJD23" s="137"/>
      <c r="HJE23" s="137"/>
      <c r="HJF23" s="137"/>
      <c r="HJG23" s="137"/>
      <c r="HJH23" s="137"/>
      <c r="HJI23" s="137"/>
      <c r="HJJ23" s="137"/>
      <c r="HJK23" s="137"/>
      <c r="HJL23" s="137"/>
      <c r="HJM23" s="137"/>
      <c r="HJN23" s="137"/>
      <c r="HJO23" s="137"/>
      <c r="HJP23" s="137"/>
      <c r="HJQ23" s="137"/>
      <c r="HJR23" s="137"/>
      <c r="HJS23" s="137"/>
      <c r="HJT23" s="137"/>
      <c r="HJU23" s="137"/>
      <c r="HJV23" s="137"/>
      <c r="HJW23" s="137"/>
      <c r="HJX23" s="137"/>
      <c r="HJY23" s="137"/>
      <c r="HJZ23" s="137"/>
      <c r="HKA23" s="137"/>
      <c r="HKB23" s="137"/>
      <c r="HKC23" s="137"/>
      <c r="HKD23" s="137"/>
      <c r="HKE23" s="137"/>
      <c r="HKF23" s="137"/>
      <c r="HKG23" s="137"/>
      <c r="HKH23" s="137"/>
      <c r="HKI23" s="137"/>
      <c r="HKJ23" s="137"/>
      <c r="HKK23" s="137"/>
      <c r="HKL23" s="137"/>
      <c r="HKM23" s="137"/>
      <c r="HKN23" s="137"/>
      <c r="HKO23" s="137"/>
      <c r="HKP23" s="137"/>
      <c r="HKQ23" s="137"/>
      <c r="HKR23" s="137"/>
      <c r="HKS23" s="137"/>
      <c r="HKT23" s="137"/>
      <c r="HKU23" s="137"/>
      <c r="HKV23" s="137"/>
      <c r="HKW23" s="137"/>
      <c r="HKX23" s="137"/>
      <c r="HKY23" s="137"/>
      <c r="HKZ23" s="137"/>
      <c r="HLA23" s="137"/>
      <c r="HLB23" s="137"/>
      <c r="HLC23" s="137"/>
      <c r="HLD23" s="137"/>
      <c r="HLE23" s="137"/>
      <c r="HLF23" s="137"/>
      <c r="HLG23" s="137"/>
      <c r="HLH23" s="137"/>
      <c r="HLI23" s="137"/>
      <c r="HLJ23" s="137"/>
      <c r="HLK23" s="137"/>
      <c r="HLL23" s="137"/>
      <c r="HLM23" s="137"/>
      <c r="HLN23" s="137"/>
      <c r="HLO23" s="137"/>
      <c r="HLP23" s="137"/>
      <c r="HLQ23" s="137"/>
      <c r="HLR23" s="137"/>
      <c r="HLS23" s="137"/>
      <c r="HLT23" s="137"/>
      <c r="HLU23" s="137"/>
      <c r="HLV23" s="137"/>
      <c r="HLW23" s="137"/>
      <c r="HLX23" s="137"/>
      <c r="HLY23" s="137"/>
      <c r="HLZ23" s="137"/>
      <c r="HMA23" s="137"/>
      <c r="HMB23" s="137"/>
      <c r="HMC23" s="137"/>
      <c r="HMD23" s="137"/>
      <c r="HME23" s="137"/>
      <c r="HMF23" s="137"/>
      <c r="HMG23" s="137"/>
      <c r="HMH23" s="137"/>
      <c r="HMI23" s="137"/>
      <c r="HMJ23" s="137"/>
      <c r="HMK23" s="137"/>
      <c r="HML23" s="137"/>
      <c r="HMM23" s="137"/>
      <c r="HMN23" s="137"/>
      <c r="HMO23" s="137"/>
      <c r="HMP23" s="137"/>
      <c r="HMQ23" s="137"/>
      <c r="HMR23" s="137"/>
      <c r="HMS23" s="137"/>
      <c r="HMT23" s="137"/>
      <c r="HMU23" s="137"/>
      <c r="HMV23" s="137"/>
      <c r="HMW23" s="137"/>
      <c r="HMX23" s="137"/>
      <c r="HMY23" s="137"/>
      <c r="HMZ23" s="137"/>
      <c r="HNA23" s="137"/>
      <c r="HNB23" s="137"/>
      <c r="HNC23" s="137"/>
      <c r="HND23" s="137"/>
      <c r="HNE23" s="137"/>
      <c r="HNF23" s="137"/>
      <c r="HNG23" s="137"/>
      <c r="HNH23" s="137"/>
      <c r="HNI23" s="137"/>
      <c r="HNJ23" s="137"/>
      <c r="HNK23" s="137"/>
      <c r="HNL23" s="137"/>
      <c r="HNM23" s="137"/>
      <c r="HNN23" s="137"/>
      <c r="HNO23" s="137"/>
      <c r="HNP23" s="137"/>
      <c r="HNQ23" s="137"/>
      <c r="HNR23" s="137"/>
      <c r="HNS23" s="137"/>
      <c r="HNT23" s="137"/>
      <c r="HNU23" s="137"/>
      <c r="HNV23" s="137"/>
      <c r="HNW23" s="137"/>
      <c r="HNX23" s="137"/>
      <c r="HNY23" s="137"/>
      <c r="HNZ23" s="137"/>
      <c r="HOA23" s="137"/>
      <c r="HOB23" s="137"/>
      <c r="HOC23" s="137"/>
      <c r="HOD23" s="137"/>
      <c r="HOE23" s="137"/>
      <c r="HOF23" s="137"/>
      <c r="HOG23" s="137"/>
      <c r="HOH23" s="137"/>
      <c r="HOI23" s="137"/>
      <c r="HOJ23" s="137"/>
      <c r="HOK23" s="137"/>
      <c r="HOL23" s="137"/>
      <c r="HOM23" s="137"/>
      <c r="HON23" s="137"/>
      <c r="HOO23" s="137"/>
      <c r="HOP23" s="137"/>
      <c r="HOQ23" s="137"/>
      <c r="HOR23" s="137"/>
      <c r="HOS23" s="137"/>
      <c r="HOT23" s="137"/>
      <c r="HOU23" s="137"/>
      <c r="HOV23" s="137"/>
      <c r="HOW23" s="137"/>
      <c r="HOX23" s="137"/>
      <c r="HOY23" s="137"/>
      <c r="HOZ23" s="137"/>
      <c r="HPA23" s="137"/>
      <c r="HPB23" s="137"/>
      <c r="HPC23" s="137"/>
      <c r="HPD23" s="137"/>
      <c r="HPE23" s="137"/>
      <c r="HPF23" s="137"/>
      <c r="HPG23" s="137"/>
      <c r="HPH23" s="137"/>
      <c r="HPI23" s="137"/>
      <c r="HPJ23" s="137"/>
      <c r="HPK23" s="137"/>
      <c r="HPL23" s="137"/>
      <c r="HPM23" s="137"/>
      <c r="HPN23" s="137"/>
      <c r="HPO23" s="137"/>
      <c r="HPP23" s="137"/>
      <c r="HPQ23" s="137"/>
      <c r="HPR23" s="137"/>
      <c r="HPS23" s="137"/>
      <c r="HPT23" s="137"/>
      <c r="HPU23" s="137"/>
      <c r="HPV23" s="137"/>
      <c r="HPW23" s="137"/>
      <c r="HPX23" s="137"/>
      <c r="HPY23" s="137"/>
      <c r="HPZ23" s="137"/>
      <c r="HQA23" s="137"/>
      <c r="HQB23" s="137"/>
      <c r="HQC23" s="137"/>
      <c r="HQD23" s="137"/>
      <c r="HQE23" s="137"/>
      <c r="HQF23" s="137"/>
      <c r="HQG23" s="137"/>
      <c r="HQH23" s="137"/>
      <c r="HQI23" s="137"/>
      <c r="HQJ23" s="137"/>
      <c r="HQK23" s="137"/>
      <c r="HQL23" s="137"/>
      <c r="HQM23" s="137"/>
      <c r="HQN23" s="137"/>
      <c r="HQO23" s="137"/>
      <c r="HQP23" s="137"/>
      <c r="HQQ23" s="137"/>
      <c r="HQR23" s="137"/>
      <c r="HQS23" s="137"/>
      <c r="HQT23" s="137"/>
      <c r="HQU23" s="137"/>
      <c r="HQV23" s="137"/>
      <c r="HQW23" s="137"/>
      <c r="HQX23" s="137"/>
      <c r="HQY23" s="137"/>
      <c r="HQZ23" s="137"/>
      <c r="HRA23" s="137"/>
      <c r="HRB23" s="137"/>
      <c r="HRC23" s="137"/>
      <c r="HRD23" s="137"/>
      <c r="HRE23" s="137"/>
      <c r="HRF23" s="137"/>
      <c r="HRG23" s="137"/>
      <c r="HRH23" s="137"/>
      <c r="HRI23" s="137"/>
      <c r="HRJ23" s="137"/>
      <c r="HRK23" s="137"/>
      <c r="HRL23" s="137"/>
      <c r="HRM23" s="137"/>
      <c r="HRN23" s="137"/>
      <c r="HRO23" s="137"/>
      <c r="HRP23" s="137"/>
      <c r="HRQ23" s="137"/>
      <c r="HRR23" s="137"/>
      <c r="HRS23" s="137"/>
      <c r="HRT23" s="137"/>
      <c r="HRU23" s="137"/>
      <c r="HRV23" s="137"/>
      <c r="HRW23" s="137"/>
      <c r="HRX23" s="137"/>
      <c r="HRY23" s="137"/>
      <c r="HRZ23" s="137"/>
      <c r="HSA23" s="137"/>
      <c r="HSB23" s="137"/>
      <c r="HSC23" s="137"/>
      <c r="HSD23" s="137"/>
      <c r="HSE23" s="137"/>
      <c r="HSF23" s="137"/>
      <c r="HSG23" s="137"/>
      <c r="HSH23" s="137"/>
      <c r="HSI23" s="137"/>
      <c r="HSJ23" s="137"/>
      <c r="HSK23" s="137"/>
      <c r="HSL23" s="137"/>
      <c r="HSM23" s="137"/>
      <c r="HSN23" s="137"/>
      <c r="HSO23" s="137"/>
      <c r="HSP23" s="137"/>
      <c r="HSQ23" s="137"/>
      <c r="HSR23" s="137"/>
      <c r="HSS23" s="137"/>
      <c r="HST23" s="137"/>
      <c r="HSU23" s="137"/>
      <c r="HSV23" s="137"/>
      <c r="HSW23" s="137"/>
      <c r="HSX23" s="137"/>
      <c r="HSY23" s="137"/>
      <c r="HSZ23" s="137"/>
      <c r="HTA23" s="137"/>
      <c r="HTB23" s="137"/>
      <c r="HTC23" s="137"/>
      <c r="HTD23" s="137"/>
      <c r="HTE23" s="137"/>
      <c r="HTF23" s="137"/>
      <c r="HTG23" s="137"/>
      <c r="HTH23" s="137"/>
      <c r="HTI23" s="137"/>
      <c r="HTJ23" s="137"/>
      <c r="HTK23" s="137"/>
      <c r="HTL23" s="137"/>
      <c r="HTM23" s="137"/>
      <c r="HTN23" s="137"/>
      <c r="HTO23" s="137"/>
      <c r="HTP23" s="137"/>
      <c r="HTQ23" s="137"/>
      <c r="HTR23" s="137"/>
      <c r="HTS23" s="137"/>
      <c r="HTT23" s="137"/>
      <c r="HTU23" s="137"/>
      <c r="HTV23" s="137"/>
      <c r="HTW23" s="137"/>
      <c r="HTX23" s="137"/>
      <c r="HTY23" s="137"/>
      <c r="HTZ23" s="137"/>
      <c r="HUA23" s="137"/>
      <c r="HUB23" s="137"/>
      <c r="HUC23" s="137"/>
      <c r="HUD23" s="137"/>
      <c r="HUE23" s="137"/>
      <c r="HUF23" s="137"/>
      <c r="HUG23" s="137"/>
      <c r="HUH23" s="137"/>
      <c r="HUI23" s="137"/>
      <c r="HUJ23" s="137"/>
      <c r="HUK23" s="137"/>
      <c r="HUL23" s="137"/>
      <c r="HUM23" s="137"/>
      <c r="HUN23" s="137"/>
      <c r="HUO23" s="137"/>
      <c r="HUP23" s="137"/>
      <c r="HUQ23" s="137"/>
      <c r="HUR23" s="137"/>
      <c r="HUS23" s="137"/>
      <c r="HUT23" s="137"/>
      <c r="HUU23" s="137"/>
      <c r="HUV23" s="137"/>
      <c r="HUW23" s="137"/>
      <c r="HUX23" s="137"/>
      <c r="HUY23" s="137"/>
      <c r="HUZ23" s="137"/>
      <c r="HVA23" s="137"/>
      <c r="HVB23" s="137"/>
      <c r="HVC23" s="137"/>
      <c r="HVD23" s="137"/>
      <c r="HVE23" s="137"/>
      <c r="HVF23" s="137"/>
      <c r="HVG23" s="137"/>
      <c r="HVH23" s="137"/>
      <c r="HVI23" s="137"/>
      <c r="HVJ23" s="137"/>
      <c r="HVK23" s="137"/>
      <c r="HVL23" s="137"/>
      <c r="HVM23" s="137"/>
      <c r="HVN23" s="137"/>
      <c r="HVO23" s="137"/>
      <c r="HVP23" s="137"/>
      <c r="HVQ23" s="137"/>
      <c r="HVR23" s="137"/>
      <c r="HVS23" s="137"/>
      <c r="HVT23" s="137"/>
      <c r="HVU23" s="137"/>
      <c r="HVV23" s="137"/>
      <c r="HVW23" s="137"/>
      <c r="HVX23" s="137"/>
      <c r="HVY23" s="137"/>
      <c r="HVZ23" s="137"/>
      <c r="HWA23" s="137"/>
      <c r="HWB23" s="137"/>
      <c r="HWC23" s="137"/>
      <c r="HWD23" s="137"/>
      <c r="HWE23" s="137"/>
      <c r="HWF23" s="137"/>
      <c r="HWG23" s="137"/>
      <c r="HWH23" s="137"/>
      <c r="HWI23" s="137"/>
      <c r="HWJ23" s="137"/>
      <c r="HWK23" s="137"/>
      <c r="HWL23" s="137"/>
      <c r="HWM23" s="137"/>
      <c r="HWN23" s="137"/>
      <c r="HWO23" s="137"/>
      <c r="HWP23" s="137"/>
      <c r="HWQ23" s="137"/>
      <c r="HWR23" s="137"/>
      <c r="HWS23" s="137"/>
      <c r="HWT23" s="137"/>
      <c r="HWU23" s="137"/>
      <c r="HWV23" s="137"/>
      <c r="HWW23" s="137"/>
      <c r="HWX23" s="137"/>
      <c r="HWY23" s="137"/>
      <c r="HWZ23" s="137"/>
      <c r="HXA23" s="137"/>
      <c r="HXB23" s="137"/>
      <c r="HXC23" s="137"/>
      <c r="HXD23" s="137"/>
      <c r="HXE23" s="137"/>
      <c r="HXF23" s="137"/>
      <c r="HXG23" s="137"/>
      <c r="HXH23" s="137"/>
      <c r="HXI23" s="137"/>
      <c r="HXJ23" s="137"/>
      <c r="HXK23" s="137"/>
      <c r="HXL23" s="137"/>
      <c r="HXM23" s="137"/>
      <c r="HXN23" s="137"/>
      <c r="HXO23" s="137"/>
      <c r="HXP23" s="137"/>
      <c r="HXQ23" s="137"/>
      <c r="HXR23" s="137"/>
      <c r="HXS23" s="137"/>
      <c r="HXT23" s="137"/>
      <c r="HXU23" s="137"/>
      <c r="HXV23" s="137"/>
      <c r="HXW23" s="137"/>
      <c r="HXX23" s="137"/>
      <c r="HXY23" s="137"/>
      <c r="HXZ23" s="137"/>
      <c r="HYA23" s="137"/>
      <c r="HYB23" s="137"/>
      <c r="HYC23" s="137"/>
      <c r="HYD23" s="137"/>
      <c r="HYE23" s="137"/>
      <c r="HYF23" s="137"/>
      <c r="HYG23" s="137"/>
      <c r="HYH23" s="137"/>
      <c r="HYI23" s="137"/>
      <c r="HYJ23" s="137"/>
      <c r="HYK23" s="137"/>
      <c r="HYL23" s="137"/>
      <c r="HYM23" s="137"/>
      <c r="HYN23" s="137"/>
      <c r="HYO23" s="137"/>
      <c r="HYP23" s="137"/>
      <c r="HYQ23" s="137"/>
      <c r="HYR23" s="137"/>
      <c r="HYS23" s="137"/>
      <c r="HYT23" s="137"/>
      <c r="HYU23" s="137"/>
      <c r="HYV23" s="137"/>
      <c r="HYW23" s="137"/>
      <c r="HYX23" s="137"/>
      <c r="HYY23" s="137"/>
      <c r="HYZ23" s="137"/>
      <c r="HZA23" s="137"/>
      <c r="HZB23" s="137"/>
      <c r="HZC23" s="137"/>
      <c r="HZD23" s="137"/>
      <c r="HZE23" s="137"/>
      <c r="HZF23" s="137"/>
      <c r="HZG23" s="137"/>
      <c r="HZH23" s="137"/>
      <c r="HZI23" s="137"/>
      <c r="HZJ23" s="137"/>
      <c r="HZK23" s="137"/>
      <c r="HZL23" s="137"/>
      <c r="HZM23" s="137"/>
      <c r="HZN23" s="137"/>
      <c r="HZO23" s="137"/>
      <c r="HZP23" s="137"/>
      <c r="HZQ23" s="137"/>
      <c r="HZR23" s="137"/>
      <c r="HZS23" s="137"/>
      <c r="HZT23" s="137"/>
      <c r="HZU23" s="137"/>
      <c r="HZV23" s="137"/>
      <c r="HZW23" s="137"/>
      <c r="HZX23" s="137"/>
      <c r="HZY23" s="137"/>
      <c r="HZZ23" s="137"/>
      <c r="IAA23" s="137"/>
      <c r="IAB23" s="137"/>
      <c r="IAC23" s="137"/>
      <c r="IAD23" s="137"/>
      <c r="IAE23" s="137"/>
      <c r="IAF23" s="137"/>
      <c r="IAG23" s="137"/>
      <c r="IAH23" s="137"/>
      <c r="IAI23" s="137"/>
      <c r="IAJ23" s="137"/>
      <c r="IAK23" s="137"/>
      <c r="IAL23" s="137"/>
      <c r="IAM23" s="137"/>
      <c r="IAN23" s="137"/>
      <c r="IAO23" s="137"/>
      <c r="IAP23" s="137"/>
      <c r="IAQ23" s="137"/>
      <c r="IAR23" s="137"/>
      <c r="IAS23" s="137"/>
      <c r="IAT23" s="137"/>
      <c r="IAU23" s="137"/>
      <c r="IAV23" s="137"/>
      <c r="IAW23" s="137"/>
      <c r="IAX23" s="137"/>
      <c r="IAY23" s="137"/>
      <c r="IAZ23" s="137"/>
      <c r="IBA23" s="137"/>
      <c r="IBB23" s="137"/>
      <c r="IBC23" s="137"/>
      <c r="IBD23" s="137"/>
      <c r="IBE23" s="137"/>
      <c r="IBF23" s="137"/>
      <c r="IBG23" s="137"/>
      <c r="IBH23" s="137"/>
      <c r="IBI23" s="137"/>
      <c r="IBJ23" s="137"/>
      <c r="IBK23" s="137"/>
      <c r="IBL23" s="137"/>
      <c r="IBM23" s="137"/>
      <c r="IBN23" s="137"/>
      <c r="IBO23" s="137"/>
      <c r="IBP23" s="137"/>
      <c r="IBQ23" s="137"/>
      <c r="IBR23" s="137"/>
      <c r="IBS23" s="137"/>
      <c r="IBT23" s="137"/>
      <c r="IBU23" s="137"/>
      <c r="IBV23" s="137"/>
      <c r="IBW23" s="137"/>
      <c r="IBX23" s="137"/>
      <c r="IBY23" s="137"/>
      <c r="IBZ23" s="137"/>
      <c r="ICA23" s="137"/>
      <c r="ICB23" s="137"/>
      <c r="ICC23" s="137"/>
      <c r="ICD23" s="137"/>
      <c r="ICE23" s="137"/>
      <c r="ICF23" s="137"/>
      <c r="ICG23" s="137"/>
      <c r="ICH23" s="137"/>
      <c r="ICI23" s="137"/>
      <c r="ICJ23" s="137"/>
      <c r="ICK23" s="137"/>
      <c r="ICL23" s="137"/>
      <c r="ICM23" s="137"/>
      <c r="ICN23" s="137"/>
      <c r="ICO23" s="137"/>
      <c r="ICP23" s="137"/>
      <c r="ICQ23" s="137"/>
      <c r="ICR23" s="137"/>
      <c r="ICS23" s="137"/>
      <c r="ICT23" s="137"/>
      <c r="ICU23" s="137"/>
      <c r="ICV23" s="137"/>
      <c r="ICW23" s="137"/>
      <c r="ICX23" s="137"/>
      <c r="ICY23" s="137"/>
      <c r="ICZ23" s="137"/>
      <c r="IDA23" s="137"/>
      <c r="IDB23" s="137"/>
      <c r="IDC23" s="137"/>
      <c r="IDD23" s="137"/>
      <c r="IDE23" s="137"/>
      <c r="IDF23" s="137"/>
      <c r="IDG23" s="137"/>
      <c r="IDH23" s="137"/>
      <c r="IDI23" s="137"/>
      <c r="IDJ23" s="137"/>
      <c r="IDK23" s="137"/>
      <c r="IDL23" s="137"/>
      <c r="IDM23" s="137"/>
      <c r="IDN23" s="137"/>
      <c r="IDO23" s="137"/>
      <c r="IDP23" s="137"/>
      <c r="IDQ23" s="137"/>
      <c r="IDR23" s="137"/>
      <c r="IDS23" s="137"/>
      <c r="IDT23" s="137"/>
      <c r="IDU23" s="137"/>
      <c r="IDV23" s="137"/>
      <c r="IDW23" s="137"/>
      <c r="IDX23" s="137"/>
      <c r="IDY23" s="137"/>
      <c r="IDZ23" s="137"/>
      <c r="IEA23" s="137"/>
      <c r="IEB23" s="137"/>
      <c r="IEC23" s="137"/>
      <c r="IED23" s="137"/>
      <c r="IEE23" s="137"/>
      <c r="IEF23" s="137"/>
      <c r="IEG23" s="137"/>
      <c r="IEH23" s="137"/>
      <c r="IEI23" s="137"/>
      <c r="IEJ23" s="137"/>
      <c r="IEK23" s="137"/>
      <c r="IEL23" s="137"/>
      <c r="IEM23" s="137"/>
      <c r="IEN23" s="137"/>
      <c r="IEO23" s="137"/>
      <c r="IEP23" s="137"/>
      <c r="IEQ23" s="137"/>
      <c r="IER23" s="137"/>
      <c r="IES23" s="137"/>
      <c r="IET23" s="137"/>
      <c r="IEU23" s="137"/>
      <c r="IEV23" s="137"/>
      <c r="IEW23" s="137"/>
      <c r="IEX23" s="137"/>
      <c r="IEY23" s="137"/>
      <c r="IEZ23" s="137"/>
      <c r="IFA23" s="137"/>
      <c r="IFB23" s="137"/>
      <c r="IFC23" s="137"/>
      <c r="IFD23" s="137"/>
      <c r="IFE23" s="137"/>
      <c r="IFF23" s="137"/>
      <c r="IFG23" s="137"/>
      <c r="IFH23" s="137"/>
      <c r="IFI23" s="137"/>
      <c r="IFJ23" s="137"/>
      <c r="IFK23" s="137"/>
      <c r="IFL23" s="137"/>
      <c r="IFM23" s="137"/>
      <c r="IFN23" s="137"/>
      <c r="IFO23" s="137"/>
      <c r="IFP23" s="137"/>
      <c r="IFQ23" s="137"/>
      <c r="IFR23" s="137"/>
      <c r="IFS23" s="137"/>
      <c r="IFT23" s="137"/>
      <c r="IFU23" s="137"/>
      <c r="IFV23" s="137"/>
      <c r="IFW23" s="137"/>
      <c r="IFX23" s="137"/>
      <c r="IFY23" s="137"/>
      <c r="IFZ23" s="137"/>
      <c r="IGA23" s="137"/>
      <c r="IGB23" s="137"/>
      <c r="IGC23" s="137"/>
      <c r="IGD23" s="137"/>
      <c r="IGE23" s="137"/>
      <c r="IGF23" s="137"/>
      <c r="IGG23" s="137"/>
      <c r="IGH23" s="137"/>
      <c r="IGI23" s="137"/>
      <c r="IGJ23" s="137"/>
      <c r="IGK23" s="137"/>
      <c r="IGL23" s="137"/>
      <c r="IGM23" s="137"/>
      <c r="IGN23" s="137"/>
      <c r="IGO23" s="137"/>
      <c r="IGP23" s="137"/>
      <c r="IGQ23" s="137"/>
      <c r="IGR23" s="137"/>
      <c r="IGS23" s="137"/>
      <c r="IGT23" s="137"/>
      <c r="IGU23" s="137"/>
      <c r="IGV23" s="137"/>
      <c r="IGW23" s="137"/>
      <c r="IGX23" s="137"/>
      <c r="IGY23" s="137"/>
      <c r="IGZ23" s="137"/>
      <c r="IHA23" s="137"/>
      <c r="IHB23" s="137"/>
      <c r="IHC23" s="137"/>
      <c r="IHD23" s="137"/>
      <c r="IHE23" s="137"/>
      <c r="IHF23" s="137"/>
      <c r="IHG23" s="137"/>
      <c r="IHH23" s="137"/>
      <c r="IHI23" s="137"/>
      <c r="IHJ23" s="137"/>
      <c r="IHK23" s="137"/>
      <c r="IHL23" s="137"/>
      <c r="IHM23" s="137"/>
      <c r="IHN23" s="137"/>
      <c r="IHO23" s="137"/>
      <c r="IHP23" s="137"/>
      <c r="IHQ23" s="137"/>
      <c r="IHR23" s="137"/>
      <c r="IHS23" s="137"/>
      <c r="IHT23" s="137"/>
      <c r="IHU23" s="137"/>
      <c r="IHV23" s="137"/>
      <c r="IHW23" s="137"/>
      <c r="IHX23" s="137"/>
      <c r="IHY23" s="137"/>
      <c r="IHZ23" s="137"/>
      <c r="IIA23" s="137"/>
      <c r="IIB23" s="137"/>
      <c r="IIC23" s="137"/>
      <c r="IID23" s="137"/>
      <c r="IIE23" s="137"/>
      <c r="IIF23" s="137"/>
      <c r="IIG23" s="137"/>
      <c r="IIH23" s="137"/>
      <c r="III23" s="137"/>
      <c r="IIJ23" s="137"/>
      <c r="IIK23" s="137"/>
      <c r="IIL23" s="137"/>
      <c r="IIM23" s="137"/>
      <c r="IIN23" s="137"/>
      <c r="IIO23" s="137"/>
      <c r="IIP23" s="137"/>
      <c r="IIQ23" s="137"/>
      <c r="IIR23" s="137"/>
      <c r="IIS23" s="137"/>
      <c r="IIT23" s="137"/>
      <c r="IIU23" s="137"/>
      <c r="IIV23" s="137"/>
      <c r="IIW23" s="137"/>
      <c r="IIX23" s="137"/>
      <c r="IIY23" s="137"/>
      <c r="IIZ23" s="137"/>
      <c r="IJA23" s="137"/>
      <c r="IJB23" s="137"/>
      <c r="IJC23" s="137"/>
      <c r="IJD23" s="137"/>
      <c r="IJE23" s="137"/>
      <c r="IJF23" s="137"/>
      <c r="IJG23" s="137"/>
      <c r="IJH23" s="137"/>
      <c r="IJI23" s="137"/>
      <c r="IJJ23" s="137"/>
      <c r="IJK23" s="137"/>
      <c r="IJL23" s="137"/>
      <c r="IJM23" s="137"/>
      <c r="IJN23" s="137"/>
      <c r="IJO23" s="137"/>
      <c r="IJP23" s="137"/>
      <c r="IJQ23" s="137"/>
      <c r="IJR23" s="137"/>
      <c r="IJS23" s="137"/>
      <c r="IJT23" s="137"/>
      <c r="IJU23" s="137"/>
      <c r="IJV23" s="137"/>
      <c r="IJW23" s="137"/>
      <c r="IJX23" s="137"/>
      <c r="IJY23" s="137"/>
      <c r="IJZ23" s="137"/>
      <c r="IKA23" s="137"/>
      <c r="IKB23" s="137"/>
      <c r="IKC23" s="137"/>
      <c r="IKD23" s="137"/>
      <c r="IKE23" s="137"/>
      <c r="IKF23" s="137"/>
      <c r="IKG23" s="137"/>
      <c r="IKH23" s="137"/>
      <c r="IKI23" s="137"/>
      <c r="IKJ23" s="137"/>
      <c r="IKK23" s="137"/>
      <c r="IKL23" s="137"/>
      <c r="IKM23" s="137"/>
      <c r="IKN23" s="137"/>
      <c r="IKO23" s="137"/>
      <c r="IKP23" s="137"/>
      <c r="IKQ23" s="137"/>
      <c r="IKR23" s="137"/>
      <c r="IKS23" s="137"/>
      <c r="IKT23" s="137"/>
      <c r="IKU23" s="137"/>
      <c r="IKV23" s="137"/>
      <c r="IKW23" s="137"/>
      <c r="IKX23" s="137"/>
      <c r="IKY23" s="137"/>
      <c r="IKZ23" s="137"/>
      <c r="ILA23" s="137"/>
      <c r="ILB23" s="137"/>
      <c r="ILC23" s="137"/>
      <c r="ILD23" s="137"/>
      <c r="ILE23" s="137"/>
      <c r="ILF23" s="137"/>
      <c r="ILG23" s="137"/>
      <c r="ILH23" s="137"/>
      <c r="ILI23" s="137"/>
      <c r="ILJ23" s="137"/>
      <c r="ILK23" s="137"/>
      <c r="ILL23" s="137"/>
      <c r="ILM23" s="137"/>
      <c r="ILN23" s="137"/>
      <c r="ILO23" s="137"/>
      <c r="ILP23" s="137"/>
      <c r="ILQ23" s="137"/>
      <c r="ILR23" s="137"/>
      <c r="ILS23" s="137"/>
      <c r="ILT23" s="137"/>
      <c r="ILU23" s="137"/>
      <c r="ILV23" s="137"/>
      <c r="ILW23" s="137"/>
      <c r="ILX23" s="137"/>
      <c r="ILY23" s="137"/>
      <c r="ILZ23" s="137"/>
      <c r="IMA23" s="137"/>
      <c r="IMB23" s="137"/>
      <c r="IMC23" s="137"/>
      <c r="IMD23" s="137"/>
      <c r="IME23" s="137"/>
      <c r="IMF23" s="137"/>
      <c r="IMG23" s="137"/>
      <c r="IMH23" s="137"/>
      <c r="IMI23" s="137"/>
      <c r="IMJ23" s="137"/>
      <c r="IMK23" s="137"/>
      <c r="IML23" s="137"/>
      <c r="IMM23" s="137"/>
      <c r="IMN23" s="137"/>
      <c r="IMO23" s="137"/>
      <c r="IMP23" s="137"/>
      <c r="IMQ23" s="137"/>
      <c r="IMR23" s="137"/>
      <c r="IMS23" s="137"/>
      <c r="IMT23" s="137"/>
      <c r="IMU23" s="137"/>
      <c r="IMV23" s="137"/>
      <c r="IMW23" s="137"/>
      <c r="IMX23" s="137"/>
      <c r="IMY23" s="137"/>
      <c r="IMZ23" s="137"/>
      <c r="INA23" s="137"/>
      <c r="INB23" s="137"/>
      <c r="INC23" s="137"/>
      <c r="IND23" s="137"/>
      <c r="INE23" s="137"/>
      <c r="INF23" s="137"/>
      <c r="ING23" s="137"/>
      <c r="INH23" s="137"/>
      <c r="INI23" s="137"/>
      <c r="INJ23" s="137"/>
      <c r="INK23" s="137"/>
      <c r="INL23" s="137"/>
      <c r="INM23" s="137"/>
      <c r="INN23" s="137"/>
      <c r="INO23" s="137"/>
      <c r="INP23" s="137"/>
      <c r="INQ23" s="137"/>
      <c r="INR23" s="137"/>
      <c r="INS23" s="137"/>
      <c r="INT23" s="137"/>
      <c r="INU23" s="137"/>
      <c r="INV23" s="137"/>
      <c r="INW23" s="137"/>
      <c r="INX23" s="137"/>
      <c r="INY23" s="137"/>
      <c r="INZ23" s="137"/>
      <c r="IOA23" s="137"/>
      <c r="IOB23" s="137"/>
      <c r="IOC23" s="137"/>
      <c r="IOD23" s="137"/>
      <c r="IOE23" s="137"/>
      <c r="IOF23" s="137"/>
      <c r="IOG23" s="137"/>
      <c r="IOH23" s="137"/>
      <c r="IOI23" s="137"/>
      <c r="IOJ23" s="137"/>
      <c r="IOK23" s="137"/>
      <c r="IOL23" s="137"/>
      <c r="IOM23" s="137"/>
      <c r="ION23" s="137"/>
      <c r="IOO23" s="137"/>
      <c r="IOP23" s="137"/>
      <c r="IOQ23" s="137"/>
      <c r="IOR23" s="137"/>
      <c r="IOS23" s="137"/>
      <c r="IOT23" s="137"/>
      <c r="IOU23" s="137"/>
      <c r="IOV23" s="137"/>
      <c r="IOW23" s="137"/>
      <c r="IOX23" s="137"/>
      <c r="IOY23" s="137"/>
      <c r="IOZ23" s="137"/>
      <c r="IPA23" s="137"/>
      <c r="IPB23" s="137"/>
      <c r="IPC23" s="137"/>
      <c r="IPD23" s="137"/>
      <c r="IPE23" s="137"/>
      <c r="IPF23" s="137"/>
      <c r="IPG23" s="137"/>
      <c r="IPH23" s="137"/>
      <c r="IPI23" s="137"/>
      <c r="IPJ23" s="137"/>
      <c r="IPK23" s="137"/>
      <c r="IPL23" s="137"/>
      <c r="IPM23" s="137"/>
      <c r="IPN23" s="137"/>
      <c r="IPO23" s="137"/>
      <c r="IPP23" s="137"/>
      <c r="IPQ23" s="137"/>
      <c r="IPR23" s="137"/>
      <c r="IPS23" s="137"/>
      <c r="IPT23" s="137"/>
      <c r="IPU23" s="137"/>
      <c r="IPV23" s="137"/>
      <c r="IPW23" s="137"/>
      <c r="IPX23" s="137"/>
      <c r="IPY23" s="137"/>
      <c r="IPZ23" s="137"/>
      <c r="IQA23" s="137"/>
      <c r="IQB23" s="137"/>
      <c r="IQC23" s="137"/>
      <c r="IQD23" s="137"/>
      <c r="IQE23" s="137"/>
      <c r="IQF23" s="137"/>
      <c r="IQG23" s="137"/>
      <c r="IQH23" s="137"/>
      <c r="IQI23" s="137"/>
      <c r="IQJ23" s="137"/>
      <c r="IQK23" s="137"/>
      <c r="IQL23" s="137"/>
      <c r="IQM23" s="137"/>
      <c r="IQN23" s="137"/>
      <c r="IQO23" s="137"/>
      <c r="IQP23" s="137"/>
      <c r="IQQ23" s="137"/>
      <c r="IQR23" s="137"/>
      <c r="IQS23" s="137"/>
      <c r="IQT23" s="137"/>
      <c r="IQU23" s="137"/>
      <c r="IQV23" s="137"/>
      <c r="IQW23" s="137"/>
      <c r="IQX23" s="137"/>
      <c r="IQY23" s="137"/>
      <c r="IQZ23" s="137"/>
      <c r="IRA23" s="137"/>
      <c r="IRB23" s="137"/>
      <c r="IRC23" s="137"/>
      <c r="IRD23" s="137"/>
      <c r="IRE23" s="137"/>
      <c r="IRF23" s="137"/>
      <c r="IRG23" s="137"/>
      <c r="IRH23" s="137"/>
      <c r="IRI23" s="137"/>
      <c r="IRJ23" s="137"/>
      <c r="IRK23" s="137"/>
      <c r="IRL23" s="137"/>
      <c r="IRM23" s="137"/>
      <c r="IRN23" s="137"/>
      <c r="IRO23" s="137"/>
      <c r="IRP23" s="137"/>
      <c r="IRQ23" s="137"/>
      <c r="IRR23" s="137"/>
      <c r="IRS23" s="137"/>
      <c r="IRT23" s="137"/>
      <c r="IRU23" s="137"/>
      <c r="IRV23" s="137"/>
      <c r="IRW23" s="137"/>
      <c r="IRX23" s="137"/>
      <c r="IRY23" s="137"/>
      <c r="IRZ23" s="137"/>
      <c r="ISA23" s="137"/>
      <c r="ISB23" s="137"/>
      <c r="ISC23" s="137"/>
      <c r="ISD23" s="137"/>
      <c r="ISE23" s="137"/>
      <c r="ISF23" s="137"/>
      <c r="ISG23" s="137"/>
      <c r="ISH23" s="137"/>
      <c r="ISI23" s="137"/>
      <c r="ISJ23" s="137"/>
      <c r="ISK23" s="137"/>
      <c r="ISL23" s="137"/>
      <c r="ISM23" s="137"/>
      <c r="ISN23" s="137"/>
      <c r="ISO23" s="137"/>
      <c r="ISP23" s="137"/>
      <c r="ISQ23" s="137"/>
      <c r="ISR23" s="137"/>
      <c r="ISS23" s="137"/>
      <c r="IST23" s="137"/>
      <c r="ISU23" s="137"/>
      <c r="ISV23" s="137"/>
      <c r="ISW23" s="137"/>
      <c r="ISX23" s="137"/>
      <c r="ISY23" s="137"/>
      <c r="ISZ23" s="137"/>
      <c r="ITA23" s="137"/>
      <c r="ITB23" s="137"/>
      <c r="ITC23" s="137"/>
      <c r="ITD23" s="137"/>
      <c r="ITE23" s="137"/>
      <c r="ITF23" s="137"/>
      <c r="ITG23" s="137"/>
      <c r="ITH23" s="137"/>
      <c r="ITI23" s="137"/>
      <c r="ITJ23" s="137"/>
      <c r="ITK23" s="137"/>
      <c r="ITL23" s="137"/>
      <c r="ITM23" s="137"/>
      <c r="ITN23" s="137"/>
      <c r="ITO23" s="137"/>
      <c r="ITP23" s="137"/>
      <c r="ITQ23" s="137"/>
      <c r="ITR23" s="137"/>
      <c r="ITS23" s="137"/>
      <c r="ITT23" s="137"/>
      <c r="ITU23" s="137"/>
      <c r="ITV23" s="137"/>
      <c r="ITW23" s="137"/>
      <c r="ITX23" s="137"/>
      <c r="ITY23" s="137"/>
      <c r="ITZ23" s="137"/>
      <c r="IUA23" s="137"/>
      <c r="IUB23" s="137"/>
      <c r="IUC23" s="137"/>
      <c r="IUD23" s="137"/>
      <c r="IUE23" s="137"/>
      <c r="IUF23" s="137"/>
      <c r="IUG23" s="137"/>
      <c r="IUH23" s="137"/>
      <c r="IUI23" s="137"/>
      <c r="IUJ23" s="137"/>
      <c r="IUK23" s="137"/>
      <c r="IUL23" s="137"/>
      <c r="IUM23" s="137"/>
      <c r="IUN23" s="137"/>
      <c r="IUO23" s="137"/>
      <c r="IUP23" s="137"/>
      <c r="IUQ23" s="137"/>
      <c r="IUR23" s="137"/>
      <c r="IUS23" s="137"/>
      <c r="IUT23" s="137"/>
      <c r="IUU23" s="137"/>
      <c r="IUV23" s="137"/>
      <c r="IUW23" s="137"/>
      <c r="IUX23" s="137"/>
      <c r="IUY23" s="137"/>
      <c r="IUZ23" s="137"/>
      <c r="IVA23" s="137"/>
      <c r="IVB23" s="137"/>
      <c r="IVC23" s="137"/>
      <c r="IVD23" s="137"/>
      <c r="IVE23" s="137"/>
      <c r="IVF23" s="137"/>
      <c r="IVG23" s="137"/>
      <c r="IVH23" s="137"/>
      <c r="IVI23" s="137"/>
      <c r="IVJ23" s="137"/>
      <c r="IVK23" s="137"/>
      <c r="IVL23" s="137"/>
      <c r="IVM23" s="137"/>
      <c r="IVN23" s="137"/>
      <c r="IVO23" s="137"/>
      <c r="IVP23" s="137"/>
      <c r="IVQ23" s="137"/>
      <c r="IVR23" s="137"/>
      <c r="IVS23" s="137"/>
      <c r="IVT23" s="137"/>
      <c r="IVU23" s="137"/>
      <c r="IVV23" s="137"/>
      <c r="IVW23" s="137"/>
      <c r="IVX23" s="137"/>
      <c r="IVY23" s="137"/>
      <c r="IVZ23" s="137"/>
      <c r="IWA23" s="137"/>
      <c r="IWB23" s="137"/>
      <c r="IWC23" s="137"/>
      <c r="IWD23" s="137"/>
      <c r="IWE23" s="137"/>
      <c r="IWF23" s="137"/>
      <c r="IWG23" s="137"/>
      <c r="IWH23" s="137"/>
      <c r="IWI23" s="137"/>
      <c r="IWJ23" s="137"/>
      <c r="IWK23" s="137"/>
      <c r="IWL23" s="137"/>
      <c r="IWM23" s="137"/>
      <c r="IWN23" s="137"/>
      <c r="IWO23" s="137"/>
      <c r="IWP23" s="137"/>
      <c r="IWQ23" s="137"/>
      <c r="IWR23" s="137"/>
      <c r="IWS23" s="137"/>
      <c r="IWT23" s="137"/>
      <c r="IWU23" s="137"/>
      <c r="IWV23" s="137"/>
      <c r="IWW23" s="137"/>
      <c r="IWX23" s="137"/>
      <c r="IWY23" s="137"/>
      <c r="IWZ23" s="137"/>
      <c r="IXA23" s="137"/>
      <c r="IXB23" s="137"/>
      <c r="IXC23" s="137"/>
      <c r="IXD23" s="137"/>
      <c r="IXE23" s="137"/>
      <c r="IXF23" s="137"/>
      <c r="IXG23" s="137"/>
      <c r="IXH23" s="137"/>
      <c r="IXI23" s="137"/>
      <c r="IXJ23" s="137"/>
      <c r="IXK23" s="137"/>
      <c r="IXL23" s="137"/>
      <c r="IXM23" s="137"/>
      <c r="IXN23" s="137"/>
      <c r="IXO23" s="137"/>
      <c r="IXP23" s="137"/>
      <c r="IXQ23" s="137"/>
      <c r="IXR23" s="137"/>
      <c r="IXS23" s="137"/>
      <c r="IXT23" s="137"/>
      <c r="IXU23" s="137"/>
      <c r="IXV23" s="137"/>
      <c r="IXW23" s="137"/>
      <c r="IXX23" s="137"/>
      <c r="IXY23" s="137"/>
      <c r="IXZ23" s="137"/>
      <c r="IYA23" s="137"/>
      <c r="IYB23" s="137"/>
      <c r="IYC23" s="137"/>
      <c r="IYD23" s="137"/>
      <c r="IYE23" s="137"/>
      <c r="IYF23" s="137"/>
      <c r="IYG23" s="137"/>
      <c r="IYH23" s="137"/>
      <c r="IYI23" s="137"/>
      <c r="IYJ23" s="137"/>
      <c r="IYK23" s="137"/>
      <c r="IYL23" s="137"/>
      <c r="IYM23" s="137"/>
      <c r="IYN23" s="137"/>
      <c r="IYO23" s="137"/>
      <c r="IYP23" s="137"/>
      <c r="IYQ23" s="137"/>
      <c r="IYR23" s="137"/>
      <c r="IYS23" s="137"/>
      <c r="IYT23" s="137"/>
      <c r="IYU23" s="137"/>
      <c r="IYV23" s="137"/>
      <c r="IYW23" s="137"/>
      <c r="IYX23" s="137"/>
      <c r="IYY23" s="137"/>
      <c r="IYZ23" s="137"/>
      <c r="IZA23" s="137"/>
      <c r="IZB23" s="137"/>
      <c r="IZC23" s="137"/>
      <c r="IZD23" s="137"/>
      <c r="IZE23" s="137"/>
      <c r="IZF23" s="137"/>
      <c r="IZG23" s="137"/>
      <c r="IZH23" s="137"/>
      <c r="IZI23" s="137"/>
      <c r="IZJ23" s="137"/>
      <c r="IZK23" s="137"/>
      <c r="IZL23" s="137"/>
      <c r="IZM23" s="137"/>
      <c r="IZN23" s="137"/>
      <c r="IZO23" s="137"/>
      <c r="IZP23" s="137"/>
      <c r="IZQ23" s="137"/>
      <c r="IZR23" s="137"/>
      <c r="IZS23" s="137"/>
      <c r="IZT23" s="137"/>
      <c r="IZU23" s="137"/>
      <c r="IZV23" s="137"/>
      <c r="IZW23" s="137"/>
      <c r="IZX23" s="137"/>
      <c r="IZY23" s="137"/>
      <c r="IZZ23" s="137"/>
      <c r="JAA23" s="137"/>
      <c r="JAB23" s="137"/>
      <c r="JAC23" s="137"/>
      <c r="JAD23" s="137"/>
      <c r="JAE23" s="137"/>
      <c r="JAF23" s="137"/>
      <c r="JAG23" s="137"/>
      <c r="JAH23" s="137"/>
      <c r="JAI23" s="137"/>
      <c r="JAJ23" s="137"/>
      <c r="JAK23" s="137"/>
      <c r="JAL23" s="137"/>
      <c r="JAM23" s="137"/>
      <c r="JAN23" s="137"/>
      <c r="JAO23" s="137"/>
      <c r="JAP23" s="137"/>
      <c r="JAQ23" s="137"/>
      <c r="JAR23" s="137"/>
      <c r="JAS23" s="137"/>
      <c r="JAT23" s="137"/>
      <c r="JAU23" s="137"/>
      <c r="JAV23" s="137"/>
      <c r="JAW23" s="137"/>
      <c r="JAX23" s="137"/>
      <c r="JAY23" s="137"/>
      <c r="JAZ23" s="137"/>
      <c r="JBA23" s="137"/>
      <c r="JBB23" s="137"/>
      <c r="JBC23" s="137"/>
      <c r="JBD23" s="137"/>
      <c r="JBE23" s="137"/>
      <c r="JBF23" s="137"/>
      <c r="JBG23" s="137"/>
      <c r="JBH23" s="137"/>
      <c r="JBI23" s="137"/>
      <c r="JBJ23" s="137"/>
      <c r="JBK23" s="137"/>
      <c r="JBL23" s="137"/>
      <c r="JBM23" s="137"/>
      <c r="JBN23" s="137"/>
      <c r="JBO23" s="137"/>
      <c r="JBP23" s="137"/>
      <c r="JBQ23" s="137"/>
      <c r="JBR23" s="137"/>
      <c r="JBS23" s="137"/>
      <c r="JBT23" s="137"/>
      <c r="JBU23" s="137"/>
      <c r="JBV23" s="137"/>
      <c r="JBW23" s="137"/>
      <c r="JBX23" s="137"/>
      <c r="JBY23" s="137"/>
      <c r="JBZ23" s="137"/>
      <c r="JCA23" s="137"/>
      <c r="JCB23" s="137"/>
      <c r="JCC23" s="137"/>
      <c r="JCD23" s="137"/>
      <c r="JCE23" s="137"/>
      <c r="JCF23" s="137"/>
      <c r="JCG23" s="137"/>
      <c r="JCH23" s="137"/>
      <c r="JCI23" s="137"/>
      <c r="JCJ23" s="137"/>
      <c r="JCK23" s="137"/>
      <c r="JCL23" s="137"/>
      <c r="JCM23" s="137"/>
      <c r="JCN23" s="137"/>
      <c r="JCO23" s="137"/>
      <c r="JCP23" s="137"/>
      <c r="JCQ23" s="137"/>
      <c r="JCR23" s="137"/>
      <c r="JCS23" s="137"/>
      <c r="JCT23" s="137"/>
      <c r="JCU23" s="137"/>
      <c r="JCV23" s="137"/>
      <c r="JCW23" s="137"/>
      <c r="JCX23" s="137"/>
      <c r="JCY23" s="137"/>
      <c r="JCZ23" s="137"/>
      <c r="JDA23" s="137"/>
      <c r="JDB23" s="137"/>
      <c r="JDC23" s="137"/>
      <c r="JDD23" s="137"/>
      <c r="JDE23" s="137"/>
      <c r="JDF23" s="137"/>
      <c r="JDG23" s="137"/>
      <c r="JDH23" s="137"/>
      <c r="JDI23" s="137"/>
      <c r="JDJ23" s="137"/>
      <c r="JDK23" s="137"/>
      <c r="JDL23" s="137"/>
      <c r="JDM23" s="137"/>
      <c r="JDN23" s="137"/>
      <c r="JDO23" s="137"/>
      <c r="JDP23" s="137"/>
      <c r="JDQ23" s="137"/>
      <c r="JDR23" s="137"/>
      <c r="JDS23" s="137"/>
      <c r="JDT23" s="137"/>
      <c r="JDU23" s="137"/>
      <c r="JDV23" s="137"/>
      <c r="JDW23" s="137"/>
      <c r="JDX23" s="137"/>
      <c r="JDY23" s="137"/>
      <c r="JDZ23" s="137"/>
      <c r="JEA23" s="137"/>
      <c r="JEB23" s="137"/>
      <c r="JEC23" s="137"/>
      <c r="JED23" s="137"/>
      <c r="JEE23" s="137"/>
      <c r="JEF23" s="137"/>
      <c r="JEG23" s="137"/>
      <c r="JEH23" s="137"/>
      <c r="JEI23" s="137"/>
      <c r="JEJ23" s="137"/>
      <c r="JEK23" s="137"/>
      <c r="JEL23" s="137"/>
      <c r="JEM23" s="137"/>
      <c r="JEN23" s="137"/>
      <c r="JEO23" s="137"/>
      <c r="JEP23" s="137"/>
      <c r="JEQ23" s="137"/>
      <c r="JER23" s="137"/>
      <c r="JES23" s="137"/>
      <c r="JET23" s="137"/>
      <c r="JEU23" s="137"/>
      <c r="JEV23" s="137"/>
      <c r="JEW23" s="137"/>
      <c r="JEX23" s="137"/>
      <c r="JEY23" s="137"/>
      <c r="JEZ23" s="137"/>
      <c r="JFA23" s="137"/>
      <c r="JFB23" s="137"/>
      <c r="JFC23" s="137"/>
      <c r="JFD23" s="137"/>
      <c r="JFE23" s="137"/>
      <c r="JFF23" s="137"/>
      <c r="JFG23" s="137"/>
      <c r="JFH23" s="137"/>
      <c r="JFI23" s="137"/>
      <c r="JFJ23" s="137"/>
      <c r="JFK23" s="137"/>
      <c r="JFL23" s="137"/>
      <c r="JFM23" s="137"/>
      <c r="JFN23" s="137"/>
      <c r="JFO23" s="137"/>
      <c r="JFP23" s="137"/>
      <c r="JFQ23" s="137"/>
      <c r="JFR23" s="137"/>
      <c r="JFS23" s="137"/>
      <c r="JFT23" s="137"/>
      <c r="JFU23" s="137"/>
      <c r="JFV23" s="137"/>
      <c r="JFW23" s="137"/>
      <c r="JFX23" s="137"/>
      <c r="JFY23" s="137"/>
      <c r="JFZ23" s="137"/>
      <c r="JGA23" s="137"/>
      <c r="JGB23" s="137"/>
      <c r="JGC23" s="137"/>
      <c r="JGD23" s="137"/>
      <c r="JGE23" s="137"/>
      <c r="JGF23" s="137"/>
      <c r="JGG23" s="137"/>
      <c r="JGH23" s="137"/>
      <c r="JGI23" s="137"/>
      <c r="JGJ23" s="137"/>
      <c r="JGK23" s="137"/>
      <c r="JGL23" s="137"/>
      <c r="JGM23" s="137"/>
      <c r="JGN23" s="137"/>
      <c r="JGO23" s="137"/>
      <c r="JGP23" s="137"/>
      <c r="JGQ23" s="137"/>
      <c r="JGR23" s="137"/>
      <c r="JGS23" s="137"/>
      <c r="JGT23" s="137"/>
      <c r="JGU23" s="137"/>
      <c r="JGV23" s="137"/>
      <c r="JGW23" s="137"/>
      <c r="JGX23" s="137"/>
      <c r="JGY23" s="137"/>
      <c r="JGZ23" s="137"/>
      <c r="JHA23" s="137"/>
      <c r="JHB23" s="137"/>
      <c r="JHC23" s="137"/>
      <c r="JHD23" s="137"/>
      <c r="JHE23" s="137"/>
      <c r="JHF23" s="137"/>
      <c r="JHG23" s="137"/>
      <c r="JHH23" s="137"/>
      <c r="JHI23" s="137"/>
      <c r="JHJ23" s="137"/>
      <c r="JHK23" s="137"/>
      <c r="JHL23" s="137"/>
      <c r="JHM23" s="137"/>
      <c r="JHN23" s="137"/>
      <c r="JHO23" s="137"/>
      <c r="JHP23" s="137"/>
      <c r="JHQ23" s="137"/>
      <c r="JHR23" s="137"/>
      <c r="JHS23" s="137"/>
      <c r="JHT23" s="137"/>
      <c r="JHU23" s="137"/>
      <c r="JHV23" s="137"/>
      <c r="JHW23" s="137"/>
      <c r="JHX23" s="137"/>
      <c r="JHY23" s="137"/>
      <c r="JHZ23" s="137"/>
      <c r="JIA23" s="137"/>
      <c r="JIB23" s="137"/>
      <c r="JIC23" s="137"/>
      <c r="JID23" s="137"/>
      <c r="JIE23" s="137"/>
      <c r="JIF23" s="137"/>
      <c r="JIG23" s="137"/>
      <c r="JIH23" s="137"/>
      <c r="JII23" s="137"/>
      <c r="JIJ23" s="137"/>
      <c r="JIK23" s="137"/>
      <c r="JIL23" s="137"/>
      <c r="JIM23" s="137"/>
      <c r="JIN23" s="137"/>
      <c r="JIO23" s="137"/>
      <c r="JIP23" s="137"/>
      <c r="JIQ23" s="137"/>
      <c r="JIR23" s="137"/>
      <c r="JIS23" s="137"/>
      <c r="JIT23" s="137"/>
      <c r="JIU23" s="137"/>
      <c r="JIV23" s="137"/>
      <c r="JIW23" s="137"/>
      <c r="JIX23" s="137"/>
      <c r="JIY23" s="137"/>
      <c r="JIZ23" s="137"/>
      <c r="JJA23" s="137"/>
      <c r="JJB23" s="137"/>
      <c r="JJC23" s="137"/>
      <c r="JJD23" s="137"/>
      <c r="JJE23" s="137"/>
      <c r="JJF23" s="137"/>
      <c r="JJG23" s="137"/>
      <c r="JJH23" s="137"/>
      <c r="JJI23" s="137"/>
      <c r="JJJ23" s="137"/>
      <c r="JJK23" s="137"/>
      <c r="JJL23" s="137"/>
      <c r="JJM23" s="137"/>
      <c r="JJN23" s="137"/>
      <c r="JJO23" s="137"/>
      <c r="JJP23" s="137"/>
      <c r="JJQ23" s="137"/>
      <c r="JJR23" s="137"/>
      <c r="JJS23" s="137"/>
      <c r="JJT23" s="137"/>
      <c r="JJU23" s="137"/>
      <c r="JJV23" s="137"/>
      <c r="JJW23" s="137"/>
      <c r="JJX23" s="137"/>
      <c r="JJY23" s="137"/>
      <c r="JJZ23" s="137"/>
      <c r="JKA23" s="137"/>
      <c r="JKB23" s="137"/>
      <c r="JKC23" s="137"/>
      <c r="JKD23" s="137"/>
      <c r="JKE23" s="137"/>
      <c r="JKF23" s="137"/>
      <c r="JKG23" s="137"/>
      <c r="JKH23" s="137"/>
      <c r="JKI23" s="137"/>
      <c r="JKJ23" s="137"/>
      <c r="JKK23" s="137"/>
      <c r="JKL23" s="137"/>
      <c r="JKM23" s="137"/>
      <c r="JKN23" s="137"/>
      <c r="JKO23" s="137"/>
      <c r="JKP23" s="137"/>
      <c r="JKQ23" s="137"/>
      <c r="JKR23" s="137"/>
      <c r="JKS23" s="137"/>
      <c r="JKT23" s="137"/>
      <c r="JKU23" s="137"/>
      <c r="JKV23" s="137"/>
      <c r="JKW23" s="137"/>
      <c r="JKX23" s="137"/>
      <c r="JKY23" s="137"/>
      <c r="JKZ23" s="137"/>
      <c r="JLA23" s="137"/>
      <c r="JLB23" s="137"/>
      <c r="JLC23" s="137"/>
      <c r="JLD23" s="137"/>
      <c r="JLE23" s="137"/>
      <c r="JLF23" s="137"/>
      <c r="JLG23" s="137"/>
      <c r="JLH23" s="137"/>
      <c r="JLI23" s="137"/>
      <c r="JLJ23" s="137"/>
      <c r="JLK23" s="137"/>
      <c r="JLL23" s="137"/>
      <c r="JLM23" s="137"/>
      <c r="JLN23" s="137"/>
      <c r="JLO23" s="137"/>
      <c r="JLP23" s="137"/>
      <c r="JLQ23" s="137"/>
      <c r="JLR23" s="137"/>
      <c r="JLS23" s="137"/>
      <c r="JLT23" s="137"/>
      <c r="JLU23" s="137"/>
      <c r="JLV23" s="137"/>
      <c r="JLW23" s="137"/>
      <c r="JLX23" s="137"/>
      <c r="JLY23" s="137"/>
      <c r="JLZ23" s="137"/>
      <c r="JMA23" s="137"/>
      <c r="JMB23" s="137"/>
      <c r="JMC23" s="137"/>
      <c r="JMD23" s="137"/>
      <c r="JME23" s="137"/>
      <c r="JMF23" s="137"/>
      <c r="JMG23" s="137"/>
      <c r="JMH23" s="137"/>
      <c r="JMI23" s="137"/>
      <c r="JMJ23" s="137"/>
      <c r="JMK23" s="137"/>
      <c r="JML23" s="137"/>
      <c r="JMM23" s="137"/>
      <c r="JMN23" s="137"/>
      <c r="JMO23" s="137"/>
      <c r="JMP23" s="137"/>
      <c r="JMQ23" s="137"/>
      <c r="JMR23" s="137"/>
      <c r="JMS23" s="137"/>
      <c r="JMT23" s="137"/>
      <c r="JMU23" s="137"/>
      <c r="JMV23" s="137"/>
      <c r="JMW23" s="137"/>
      <c r="JMX23" s="137"/>
      <c r="JMY23" s="137"/>
      <c r="JMZ23" s="137"/>
      <c r="JNA23" s="137"/>
      <c r="JNB23" s="137"/>
      <c r="JNC23" s="137"/>
      <c r="JND23" s="137"/>
      <c r="JNE23" s="137"/>
      <c r="JNF23" s="137"/>
      <c r="JNG23" s="137"/>
      <c r="JNH23" s="137"/>
      <c r="JNI23" s="137"/>
      <c r="JNJ23" s="137"/>
      <c r="JNK23" s="137"/>
      <c r="JNL23" s="137"/>
      <c r="JNM23" s="137"/>
      <c r="JNN23" s="137"/>
      <c r="JNO23" s="137"/>
      <c r="JNP23" s="137"/>
      <c r="JNQ23" s="137"/>
      <c r="JNR23" s="137"/>
      <c r="JNS23" s="137"/>
      <c r="JNT23" s="137"/>
      <c r="JNU23" s="137"/>
      <c r="JNV23" s="137"/>
      <c r="JNW23" s="137"/>
      <c r="JNX23" s="137"/>
      <c r="JNY23" s="137"/>
      <c r="JNZ23" s="137"/>
      <c r="JOA23" s="137"/>
      <c r="JOB23" s="137"/>
      <c r="JOC23" s="137"/>
      <c r="JOD23" s="137"/>
      <c r="JOE23" s="137"/>
      <c r="JOF23" s="137"/>
      <c r="JOG23" s="137"/>
      <c r="JOH23" s="137"/>
      <c r="JOI23" s="137"/>
      <c r="JOJ23" s="137"/>
      <c r="JOK23" s="137"/>
      <c r="JOL23" s="137"/>
      <c r="JOM23" s="137"/>
      <c r="JON23" s="137"/>
      <c r="JOO23" s="137"/>
      <c r="JOP23" s="137"/>
      <c r="JOQ23" s="137"/>
      <c r="JOR23" s="137"/>
      <c r="JOS23" s="137"/>
      <c r="JOT23" s="137"/>
      <c r="JOU23" s="137"/>
      <c r="JOV23" s="137"/>
      <c r="JOW23" s="137"/>
      <c r="JOX23" s="137"/>
      <c r="JOY23" s="137"/>
      <c r="JOZ23" s="137"/>
      <c r="JPA23" s="137"/>
      <c r="JPB23" s="137"/>
      <c r="JPC23" s="137"/>
      <c r="JPD23" s="137"/>
      <c r="JPE23" s="137"/>
      <c r="JPF23" s="137"/>
      <c r="JPG23" s="137"/>
      <c r="JPH23" s="137"/>
      <c r="JPI23" s="137"/>
      <c r="JPJ23" s="137"/>
      <c r="JPK23" s="137"/>
      <c r="JPL23" s="137"/>
      <c r="JPM23" s="137"/>
      <c r="JPN23" s="137"/>
      <c r="JPO23" s="137"/>
      <c r="JPP23" s="137"/>
      <c r="JPQ23" s="137"/>
      <c r="JPR23" s="137"/>
      <c r="JPS23" s="137"/>
      <c r="JPT23" s="137"/>
      <c r="JPU23" s="137"/>
      <c r="JPV23" s="137"/>
      <c r="JPW23" s="137"/>
      <c r="JPX23" s="137"/>
      <c r="JPY23" s="137"/>
      <c r="JPZ23" s="137"/>
      <c r="JQA23" s="137"/>
      <c r="JQB23" s="137"/>
      <c r="JQC23" s="137"/>
      <c r="JQD23" s="137"/>
      <c r="JQE23" s="137"/>
      <c r="JQF23" s="137"/>
      <c r="JQG23" s="137"/>
      <c r="JQH23" s="137"/>
      <c r="JQI23" s="137"/>
      <c r="JQJ23" s="137"/>
      <c r="JQK23" s="137"/>
      <c r="JQL23" s="137"/>
      <c r="JQM23" s="137"/>
      <c r="JQN23" s="137"/>
      <c r="JQO23" s="137"/>
      <c r="JQP23" s="137"/>
      <c r="JQQ23" s="137"/>
      <c r="JQR23" s="137"/>
      <c r="JQS23" s="137"/>
      <c r="JQT23" s="137"/>
      <c r="JQU23" s="137"/>
      <c r="JQV23" s="137"/>
      <c r="JQW23" s="137"/>
      <c r="JQX23" s="137"/>
      <c r="JQY23" s="137"/>
      <c r="JQZ23" s="137"/>
      <c r="JRA23" s="137"/>
      <c r="JRB23" s="137"/>
      <c r="JRC23" s="137"/>
      <c r="JRD23" s="137"/>
      <c r="JRE23" s="137"/>
      <c r="JRF23" s="137"/>
      <c r="JRG23" s="137"/>
      <c r="JRH23" s="137"/>
      <c r="JRI23" s="137"/>
      <c r="JRJ23" s="137"/>
      <c r="JRK23" s="137"/>
      <c r="JRL23" s="137"/>
      <c r="JRM23" s="137"/>
      <c r="JRN23" s="137"/>
      <c r="JRO23" s="137"/>
      <c r="JRP23" s="137"/>
      <c r="JRQ23" s="137"/>
      <c r="JRR23" s="137"/>
      <c r="JRS23" s="137"/>
      <c r="JRT23" s="137"/>
      <c r="JRU23" s="137"/>
      <c r="JRV23" s="137"/>
      <c r="JRW23" s="137"/>
      <c r="JRX23" s="137"/>
      <c r="JRY23" s="137"/>
      <c r="JRZ23" s="137"/>
      <c r="JSA23" s="137"/>
      <c r="JSB23" s="137"/>
      <c r="JSC23" s="137"/>
      <c r="JSD23" s="137"/>
      <c r="JSE23" s="137"/>
      <c r="JSF23" s="137"/>
      <c r="JSG23" s="137"/>
      <c r="JSH23" s="137"/>
      <c r="JSI23" s="137"/>
      <c r="JSJ23" s="137"/>
      <c r="JSK23" s="137"/>
      <c r="JSL23" s="137"/>
      <c r="JSM23" s="137"/>
      <c r="JSN23" s="137"/>
      <c r="JSO23" s="137"/>
      <c r="JSP23" s="137"/>
      <c r="JSQ23" s="137"/>
      <c r="JSR23" s="137"/>
      <c r="JSS23" s="137"/>
      <c r="JST23" s="137"/>
      <c r="JSU23" s="137"/>
      <c r="JSV23" s="137"/>
      <c r="JSW23" s="137"/>
      <c r="JSX23" s="137"/>
      <c r="JSY23" s="137"/>
      <c r="JSZ23" s="137"/>
      <c r="JTA23" s="137"/>
      <c r="JTB23" s="137"/>
      <c r="JTC23" s="137"/>
      <c r="JTD23" s="137"/>
      <c r="JTE23" s="137"/>
      <c r="JTF23" s="137"/>
      <c r="JTG23" s="137"/>
      <c r="JTH23" s="137"/>
      <c r="JTI23" s="137"/>
      <c r="JTJ23" s="137"/>
      <c r="JTK23" s="137"/>
      <c r="JTL23" s="137"/>
      <c r="JTM23" s="137"/>
      <c r="JTN23" s="137"/>
      <c r="JTO23" s="137"/>
      <c r="JTP23" s="137"/>
      <c r="JTQ23" s="137"/>
      <c r="JTR23" s="137"/>
      <c r="JTS23" s="137"/>
      <c r="JTT23" s="137"/>
      <c r="JTU23" s="137"/>
      <c r="JTV23" s="137"/>
      <c r="JTW23" s="137"/>
      <c r="JTX23" s="137"/>
      <c r="JTY23" s="137"/>
      <c r="JTZ23" s="137"/>
      <c r="JUA23" s="137"/>
      <c r="JUB23" s="137"/>
      <c r="JUC23" s="137"/>
      <c r="JUD23" s="137"/>
      <c r="JUE23" s="137"/>
      <c r="JUF23" s="137"/>
      <c r="JUG23" s="137"/>
      <c r="JUH23" s="137"/>
      <c r="JUI23" s="137"/>
      <c r="JUJ23" s="137"/>
      <c r="JUK23" s="137"/>
      <c r="JUL23" s="137"/>
      <c r="JUM23" s="137"/>
      <c r="JUN23" s="137"/>
      <c r="JUO23" s="137"/>
      <c r="JUP23" s="137"/>
      <c r="JUQ23" s="137"/>
      <c r="JUR23" s="137"/>
      <c r="JUS23" s="137"/>
      <c r="JUT23" s="137"/>
      <c r="JUU23" s="137"/>
      <c r="JUV23" s="137"/>
      <c r="JUW23" s="137"/>
      <c r="JUX23" s="137"/>
      <c r="JUY23" s="137"/>
      <c r="JUZ23" s="137"/>
      <c r="JVA23" s="137"/>
      <c r="JVB23" s="137"/>
      <c r="JVC23" s="137"/>
      <c r="JVD23" s="137"/>
      <c r="JVE23" s="137"/>
      <c r="JVF23" s="137"/>
      <c r="JVG23" s="137"/>
      <c r="JVH23" s="137"/>
      <c r="JVI23" s="137"/>
      <c r="JVJ23" s="137"/>
      <c r="JVK23" s="137"/>
      <c r="JVL23" s="137"/>
      <c r="JVM23" s="137"/>
      <c r="JVN23" s="137"/>
      <c r="JVO23" s="137"/>
      <c r="JVP23" s="137"/>
      <c r="JVQ23" s="137"/>
      <c r="JVR23" s="137"/>
      <c r="JVS23" s="137"/>
      <c r="JVT23" s="137"/>
      <c r="JVU23" s="137"/>
      <c r="JVV23" s="137"/>
      <c r="JVW23" s="137"/>
      <c r="JVX23" s="137"/>
      <c r="JVY23" s="137"/>
      <c r="JVZ23" s="137"/>
      <c r="JWA23" s="137"/>
      <c r="JWB23" s="137"/>
      <c r="JWC23" s="137"/>
      <c r="JWD23" s="137"/>
      <c r="JWE23" s="137"/>
      <c r="JWF23" s="137"/>
      <c r="JWG23" s="137"/>
      <c r="JWH23" s="137"/>
      <c r="JWI23" s="137"/>
      <c r="JWJ23" s="137"/>
      <c r="JWK23" s="137"/>
      <c r="JWL23" s="137"/>
      <c r="JWM23" s="137"/>
      <c r="JWN23" s="137"/>
      <c r="JWO23" s="137"/>
      <c r="JWP23" s="137"/>
      <c r="JWQ23" s="137"/>
      <c r="JWR23" s="137"/>
      <c r="JWS23" s="137"/>
      <c r="JWT23" s="137"/>
      <c r="JWU23" s="137"/>
      <c r="JWV23" s="137"/>
      <c r="JWW23" s="137"/>
      <c r="JWX23" s="137"/>
      <c r="JWY23" s="137"/>
      <c r="JWZ23" s="137"/>
      <c r="JXA23" s="137"/>
      <c r="JXB23" s="137"/>
      <c r="JXC23" s="137"/>
      <c r="JXD23" s="137"/>
      <c r="JXE23" s="137"/>
      <c r="JXF23" s="137"/>
      <c r="JXG23" s="137"/>
      <c r="JXH23" s="137"/>
      <c r="JXI23" s="137"/>
      <c r="JXJ23" s="137"/>
      <c r="JXK23" s="137"/>
      <c r="JXL23" s="137"/>
      <c r="JXM23" s="137"/>
      <c r="JXN23" s="137"/>
      <c r="JXO23" s="137"/>
      <c r="JXP23" s="137"/>
      <c r="JXQ23" s="137"/>
      <c r="JXR23" s="137"/>
      <c r="JXS23" s="137"/>
      <c r="JXT23" s="137"/>
      <c r="JXU23" s="137"/>
      <c r="JXV23" s="137"/>
      <c r="JXW23" s="137"/>
      <c r="JXX23" s="137"/>
      <c r="JXY23" s="137"/>
      <c r="JXZ23" s="137"/>
      <c r="JYA23" s="137"/>
      <c r="JYB23" s="137"/>
      <c r="JYC23" s="137"/>
      <c r="JYD23" s="137"/>
      <c r="JYE23" s="137"/>
      <c r="JYF23" s="137"/>
      <c r="JYG23" s="137"/>
      <c r="JYH23" s="137"/>
      <c r="JYI23" s="137"/>
      <c r="JYJ23" s="137"/>
      <c r="JYK23" s="137"/>
      <c r="JYL23" s="137"/>
      <c r="JYM23" s="137"/>
      <c r="JYN23" s="137"/>
      <c r="JYO23" s="137"/>
      <c r="JYP23" s="137"/>
      <c r="JYQ23" s="137"/>
      <c r="JYR23" s="137"/>
      <c r="JYS23" s="137"/>
      <c r="JYT23" s="137"/>
      <c r="JYU23" s="137"/>
      <c r="JYV23" s="137"/>
      <c r="JYW23" s="137"/>
      <c r="JYX23" s="137"/>
      <c r="JYY23" s="137"/>
      <c r="JYZ23" s="137"/>
      <c r="JZA23" s="137"/>
      <c r="JZB23" s="137"/>
      <c r="JZC23" s="137"/>
      <c r="JZD23" s="137"/>
      <c r="JZE23" s="137"/>
      <c r="JZF23" s="137"/>
      <c r="JZG23" s="137"/>
      <c r="JZH23" s="137"/>
      <c r="JZI23" s="137"/>
      <c r="JZJ23" s="137"/>
      <c r="JZK23" s="137"/>
      <c r="JZL23" s="137"/>
      <c r="JZM23" s="137"/>
      <c r="JZN23" s="137"/>
      <c r="JZO23" s="137"/>
      <c r="JZP23" s="137"/>
      <c r="JZQ23" s="137"/>
      <c r="JZR23" s="137"/>
      <c r="JZS23" s="137"/>
      <c r="JZT23" s="137"/>
      <c r="JZU23" s="137"/>
      <c r="JZV23" s="137"/>
      <c r="JZW23" s="137"/>
      <c r="JZX23" s="137"/>
      <c r="JZY23" s="137"/>
      <c r="JZZ23" s="137"/>
      <c r="KAA23" s="137"/>
      <c r="KAB23" s="137"/>
      <c r="KAC23" s="137"/>
      <c r="KAD23" s="137"/>
      <c r="KAE23" s="137"/>
      <c r="KAF23" s="137"/>
      <c r="KAG23" s="137"/>
      <c r="KAH23" s="137"/>
      <c r="KAI23" s="137"/>
      <c r="KAJ23" s="137"/>
      <c r="KAK23" s="137"/>
      <c r="KAL23" s="137"/>
      <c r="KAM23" s="137"/>
      <c r="KAN23" s="137"/>
      <c r="KAO23" s="137"/>
      <c r="KAP23" s="137"/>
      <c r="KAQ23" s="137"/>
      <c r="KAR23" s="137"/>
      <c r="KAS23" s="137"/>
      <c r="KAT23" s="137"/>
      <c r="KAU23" s="137"/>
      <c r="KAV23" s="137"/>
      <c r="KAW23" s="137"/>
      <c r="KAX23" s="137"/>
      <c r="KAY23" s="137"/>
      <c r="KAZ23" s="137"/>
      <c r="KBA23" s="137"/>
      <c r="KBB23" s="137"/>
      <c r="KBC23" s="137"/>
      <c r="KBD23" s="137"/>
      <c r="KBE23" s="137"/>
      <c r="KBF23" s="137"/>
      <c r="KBG23" s="137"/>
      <c r="KBH23" s="137"/>
      <c r="KBI23" s="137"/>
      <c r="KBJ23" s="137"/>
      <c r="KBK23" s="137"/>
      <c r="KBL23" s="137"/>
      <c r="KBM23" s="137"/>
      <c r="KBN23" s="137"/>
      <c r="KBO23" s="137"/>
      <c r="KBP23" s="137"/>
      <c r="KBQ23" s="137"/>
      <c r="KBR23" s="137"/>
      <c r="KBS23" s="137"/>
      <c r="KBT23" s="137"/>
      <c r="KBU23" s="137"/>
      <c r="KBV23" s="137"/>
      <c r="KBW23" s="137"/>
      <c r="KBX23" s="137"/>
      <c r="KBY23" s="137"/>
      <c r="KBZ23" s="137"/>
      <c r="KCA23" s="137"/>
      <c r="KCB23" s="137"/>
      <c r="KCC23" s="137"/>
      <c r="KCD23" s="137"/>
      <c r="KCE23" s="137"/>
      <c r="KCF23" s="137"/>
      <c r="KCG23" s="137"/>
      <c r="KCH23" s="137"/>
      <c r="KCI23" s="137"/>
      <c r="KCJ23" s="137"/>
      <c r="KCK23" s="137"/>
      <c r="KCL23" s="137"/>
      <c r="KCM23" s="137"/>
      <c r="KCN23" s="137"/>
      <c r="KCO23" s="137"/>
      <c r="KCP23" s="137"/>
      <c r="KCQ23" s="137"/>
      <c r="KCR23" s="137"/>
      <c r="KCS23" s="137"/>
      <c r="KCT23" s="137"/>
      <c r="KCU23" s="137"/>
      <c r="KCV23" s="137"/>
      <c r="KCW23" s="137"/>
      <c r="KCX23" s="137"/>
      <c r="KCY23" s="137"/>
      <c r="KCZ23" s="137"/>
      <c r="KDA23" s="137"/>
      <c r="KDB23" s="137"/>
      <c r="KDC23" s="137"/>
      <c r="KDD23" s="137"/>
      <c r="KDE23" s="137"/>
      <c r="KDF23" s="137"/>
      <c r="KDG23" s="137"/>
      <c r="KDH23" s="137"/>
      <c r="KDI23" s="137"/>
      <c r="KDJ23" s="137"/>
      <c r="KDK23" s="137"/>
      <c r="KDL23" s="137"/>
      <c r="KDM23" s="137"/>
      <c r="KDN23" s="137"/>
      <c r="KDO23" s="137"/>
      <c r="KDP23" s="137"/>
      <c r="KDQ23" s="137"/>
      <c r="KDR23" s="137"/>
      <c r="KDS23" s="137"/>
      <c r="KDT23" s="137"/>
      <c r="KDU23" s="137"/>
      <c r="KDV23" s="137"/>
      <c r="KDW23" s="137"/>
      <c r="KDX23" s="137"/>
      <c r="KDY23" s="137"/>
      <c r="KDZ23" s="137"/>
      <c r="KEA23" s="137"/>
      <c r="KEB23" s="137"/>
      <c r="KEC23" s="137"/>
      <c r="KED23" s="137"/>
      <c r="KEE23" s="137"/>
      <c r="KEF23" s="137"/>
      <c r="KEG23" s="137"/>
      <c r="KEH23" s="137"/>
      <c r="KEI23" s="137"/>
      <c r="KEJ23" s="137"/>
      <c r="KEK23" s="137"/>
      <c r="KEL23" s="137"/>
      <c r="KEM23" s="137"/>
      <c r="KEN23" s="137"/>
      <c r="KEO23" s="137"/>
      <c r="KEP23" s="137"/>
      <c r="KEQ23" s="137"/>
      <c r="KER23" s="137"/>
      <c r="KES23" s="137"/>
      <c r="KET23" s="137"/>
      <c r="KEU23" s="137"/>
      <c r="KEV23" s="137"/>
      <c r="KEW23" s="137"/>
      <c r="KEX23" s="137"/>
      <c r="KEY23" s="137"/>
      <c r="KEZ23" s="137"/>
      <c r="KFA23" s="137"/>
      <c r="KFB23" s="137"/>
      <c r="KFC23" s="137"/>
      <c r="KFD23" s="137"/>
      <c r="KFE23" s="137"/>
      <c r="KFF23" s="137"/>
      <c r="KFG23" s="137"/>
      <c r="KFH23" s="137"/>
      <c r="KFI23" s="137"/>
      <c r="KFJ23" s="137"/>
      <c r="KFK23" s="137"/>
      <c r="KFL23" s="137"/>
      <c r="KFM23" s="137"/>
      <c r="KFN23" s="137"/>
      <c r="KFO23" s="137"/>
      <c r="KFP23" s="137"/>
      <c r="KFQ23" s="137"/>
      <c r="KFR23" s="137"/>
      <c r="KFS23" s="137"/>
      <c r="KFT23" s="137"/>
      <c r="KFU23" s="137"/>
      <c r="KFV23" s="137"/>
      <c r="KFW23" s="137"/>
      <c r="KFX23" s="137"/>
      <c r="KFY23" s="137"/>
      <c r="KFZ23" s="137"/>
      <c r="KGA23" s="137"/>
      <c r="KGB23" s="137"/>
      <c r="KGC23" s="137"/>
      <c r="KGD23" s="137"/>
      <c r="KGE23" s="137"/>
      <c r="KGF23" s="137"/>
      <c r="KGG23" s="137"/>
      <c r="KGH23" s="137"/>
      <c r="KGI23" s="137"/>
      <c r="KGJ23" s="137"/>
      <c r="KGK23" s="137"/>
      <c r="KGL23" s="137"/>
      <c r="KGM23" s="137"/>
      <c r="KGN23" s="137"/>
      <c r="KGO23" s="137"/>
      <c r="KGP23" s="137"/>
      <c r="KGQ23" s="137"/>
      <c r="KGR23" s="137"/>
      <c r="KGS23" s="137"/>
      <c r="KGT23" s="137"/>
      <c r="KGU23" s="137"/>
      <c r="KGV23" s="137"/>
      <c r="KGW23" s="137"/>
      <c r="KGX23" s="137"/>
      <c r="KGY23" s="137"/>
      <c r="KGZ23" s="137"/>
      <c r="KHA23" s="137"/>
      <c r="KHB23" s="137"/>
      <c r="KHC23" s="137"/>
      <c r="KHD23" s="137"/>
      <c r="KHE23" s="137"/>
      <c r="KHF23" s="137"/>
      <c r="KHG23" s="137"/>
      <c r="KHH23" s="137"/>
      <c r="KHI23" s="137"/>
      <c r="KHJ23" s="137"/>
      <c r="KHK23" s="137"/>
      <c r="KHL23" s="137"/>
      <c r="KHM23" s="137"/>
      <c r="KHN23" s="137"/>
      <c r="KHO23" s="137"/>
      <c r="KHP23" s="137"/>
      <c r="KHQ23" s="137"/>
      <c r="KHR23" s="137"/>
      <c r="KHS23" s="137"/>
      <c r="KHT23" s="137"/>
      <c r="KHU23" s="137"/>
      <c r="KHV23" s="137"/>
      <c r="KHW23" s="137"/>
      <c r="KHX23" s="137"/>
      <c r="KHY23" s="137"/>
      <c r="KHZ23" s="137"/>
      <c r="KIA23" s="137"/>
      <c r="KIB23" s="137"/>
      <c r="KIC23" s="137"/>
      <c r="KID23" s="137"/>
      <c r="KIE23" s="137"/>
      <c r="KIF23" s="137"/>
      <c r="KIG23" s="137"/>
      <c r="KIH23" s="137"/>
      <c r="KII23" s="137"/>
      <c r="KIJ23" s="137"/>
      <c r="KIK23" s="137"/>
      <c r="KIL23" s="137"/>
      <c r="KIM23" s="137"/>
      <c r="KIN23" s="137"/>
      <c r="KIO23" s="137"/>
      <c r="KIP23" s="137"/>
      <c r="KIQ23" s="137"/>
      <c r="KIR23" s="137"/>
      <c r="KIS23" s="137"/>
      <c r="KIT23" s="137"/>
      <c r="KIU23" s="137"/>
      <c r="KIV23" s="137"/>
      <c r="KIW23" s="137"/>
      <c r="KIX23" s="137"/>
      <c r="KIY23" s="137"/>
      <c r="KIZ23" s="137"/>
      <c r="KJA23" s="137"/>
      <c r="KJB23" s="137"/>
      <c r="KJC23" s="137"/>
      <c r="KJD23" s="137"/>
      <c r="KJE23" s="137"/>
      <c r="KJF23" s="137"/>
      <c r="KJG23" s="137"/>
      <c r="KJH23" s="137"/>
      <c r="KJI23" s="137"/>
      <c r="KJJ23" s="137"/>
      <c r="KJK23" s="137"/>
      <c r="KJL23" s="137"/>
      <c r="KJM23" s="137"/>
      <c r="KJN23" s="137"/>
      <c r="KJO23" s="137"/>
      <c r="KJP23" s="137"/>
      <c r="KJQ23" s="137"/>
      <c r="KJR23" s="137"/>
      <c r="KJS23" s="137"/>
      <c r="KJT23" s="137"/>
      <c r="KJU23" s="137"/>
      <c r="KJV23" s="137"/>
      <c r="KJW23" s="137"/>
      <c r="KJX23" s="137"/>
      <c r="KJY23" s="137"/>
      <c r="KJZ23" s="137"/>
      <c r="KKA23" s="137"/>
      <c r="KKB23" s="137"/>
      <c r="KKC23" s="137"/>
      <c r="KKD23" s="137"/>
      <c r="KKE23" s="137"/>
      <c r="KKF23" s="137"/>
      <c r="KKG23" s="137"/>
      <c r="KKH23" s="137"/>
      <c r="KKI23" s="137"/>
      <c r="KKJ23" s="137"/>
      <c r="KKK23" s="137"/>
      <c r="KKL23" s="137"/>
      <c r="KKM23" s="137"/>
      <c r="KKN23" s="137"/>
      <c r="KKO23" s="137"/>
      <c r="KKP23" s="137"/>
      <c r="KKQ23" s="137"/>
      <c r="KKR23" s="137"/>
      <c r="KKS23" s="137"/>
      <c r="KKT23" s="137"/>
      <c r="KKU23" s="137"/>
      <c r="KKV23" s="137"/>
      <c r="KKW23" s="137"/>
      <c r="KKX23" s="137"/>
      <c r="KKY23" s="137"/>
      <c r="KKZ23" s="137"/>
      <c r="KLA23" s="137"/>
      <c r="KLB23" s="137"/>
      <c r="KLC23" s="137"/>
      <c r="KLD23" s="137"/>
      <c r="KLE23" s="137"/>
      <c r="KLF23" s="137"/>
      <c r="KLG23" s="137"/>
      <c r="KLH23" s="137"/>
      <c r="KLI23" s="137"/>
      <c r="KLJ23" s="137"/>
      <c r="KLK23" s="137"/>
      <c r="KLL23" s="137"/>
      <c r="KLM23" s="137"/>
      <c r="KLN23" s="137"/>
      <c r="KLO23" s="137"/>
      <c r="KLP23" s="137"/>
      <c r="KLQ23" s="137"/>
      <c r="KLR23" s="137"/>
      <c r="KLS23" s="137"/>
      <c r="KLT23" s="137"/>
      <c r="KLU23" s="137"/>
      <c r="KLV23" s="137"/>
      <c r="KLW23" s="137"/>
      <c r="KLX23" s="137"/>
      <c r="KLY23" s="137"/>
      <c r="KLZ23" s="137"/>
      <c r="KMA23" s="137"/>
      <c r="KMB23" s="137"/>
      <c r="KMC23" s="137"/>
      <c r="KMD23" s="137"/>
      <c r="KME23" s="137"/>
      <c r="KMF23" s="137"/>
      <c r="KMG23" s="137"/>
      <c r="KMH23" s="137"/>
      <c r="KMI23" s="137"/>
      <c r="KMJ23" s="137"/>
      <c r="KMK23" s="137"/>
      <c r="KML23" s="137"/>
      <c r="KMM23" s="137"/>
      <c r="KMN23" s="137"/>
      <c r="KMO23" s="137"/>
      <c r="KMP23" s="137"/>
      <c r="KMQ23" s="137"/>
      <c r="KMR23" s="137"/>
      <c r="KMS23" s="137"/>
      <c r="KMT23" s="137"/>
      <c r="KMU23" s="137"/>
      <c r="KMV23" s="137"/>
      <c r="KMW23" s="137"/>
      <c r="KMX23" s="137"/>
      <c r="KMY23" s="137"/>
      <c r="KMZ23" s="137"/>
      <c r="KNA23" s="137"/>
      <c r="KNB23" s="137"/>
      <c r="KNC23" s="137"/>
      <c r="KND23" s="137"/>
      <c r="KNE23" s="137"/>
      <c r="KNF23" s="137"/>
      <c r="KNG23" s="137"/>
      <c r="KNH23" s="137"/>
      <c r="KNI23" s="137"/>
      <c r="KNJ23" s="137"/>
      <c r="KNK23" s="137"/>
      <c r="KNL23" s="137"/>
      <c r="KNM23" s="137"/>
      <c r="KNN23" s="137"/>
      <c r="KNO23" s="137"/>
      <c r="KNP23" s="137"/>
      <c r="KNQ23" s="137"/>
      <c r="KNR23" s="137"/>
      <c r="KNS23" s="137"/>
      <c r="KNT23" s="137"/>
      <c r="KNU23" s="137"/>
      <c r="KNV23" s="137"/>
      <c r="KNW23" s="137"/>
      <c r="KNX23" s="137"/>
      <c r="KNY23" s="137"/>
      <c r="KNZ23" s="137"/>
      <c r="KOA23" s="137"/>
      <c r="KOB23" s="137"/>
      <c r="KOC23" s="137"/>
      <c r="KOD23" s="137"/>
      <c r="KOE23" s="137"/>
      <c r="KOF23" s="137"/>
      <c r="KOG23" s="137"/>
      <c r="KOH23" s="137"/>
      <c r="KOI23" s="137"/>
      <c r="KOJ23" s="137"/>
      <c r="KOK23" s="137"/>
      <c r="KOL23" s="137"/>
      <c r="KOM23" s="137"/>
      <c r="KON23" s="137"/>
      <c r="KOO23" s="137"/>
      <c r="KOP23" s="137"/>
      <c r="KOQ23" s="137"/>
      <c r="KOR23" s="137"/>
      <c r="KOS23" s="137"/>
      <c r="KOT23" s="137"/>
      <c r="KOU23" s="137"/>
      <c r="KOV23" s="137"/>
      <c r="KOW23" s="137"/>
      <c r="KOX23" s="137"/>
      <c r="KOY23" s="137"/>
      <c r="KOZ23" s="137"/>
      <c r="KPA23" s="137"/>
      <c r="KPB23" s="137"/>
      <c r="KPC23" s="137"/>
      <c r="KPD23" s="137"/>
      <c r="KPE23" s="137"/>
      <c r="KPF23" s="137"/>
      <c r="KPG23" s="137"/>
      <c r="KPH23" s="137"/>
      <c r="KPI23" s="137"/>
      <c r="KPJ23" s="137"/>
      <c r="KPK23" s="137"/>
      <c r="KPL23" s="137"/>
      <c r="KPM23" s="137"/>
      <c r="KPN23" s="137"/>
      <c r="KPO23" s="137"/>
      <c r="KPP23" s="137"/>
      <c r="KPQ23" s="137"/>
      <c r="KPR23" s="137"/>
      <c r="KPS23" s="137"/>
      <c r="KPT23" s="137"/>
      <c r="KPU23" s="137"/>
      <c r="KPV23" s="137"/>
      <c r="KPW23" s="137"/>
      <c r="KPX23" s="137"/>
      <c r="KPY23" s="137"/>
      <c r="KPZ23" s="137"/>
      <c r="KQA23" s="137"/>
      <c r="KQB23" s="137"/>
      <c r="KQC23" s="137"/>
      <c r="KQD23" s="137"/>
      <c r="KQE23" s="137"/>
      <c r="KQF23" s="137"/>
      <c r="KQG23" s="137"/>
      <c r="KQH23" s="137"/>
      <c r="KQI23" s="137"/>
      <c r="KQJ23" s="137"/>
      <c r="KQK23" s="137"/>
      <c r="KQL23" s="137"/>
      <c r="KQM23" s="137"/>
      <c r="KQN23" s="137"/>
      <c r="KQO23" s="137"/>
      <c r="KQP23" s="137"/>
      <c r="KQQ23" s="137"/>
      <c r="KQR23" s="137"/>
      <c r="KQS23" s="137"/>
      <c r="KQT23" s="137"/>
      <c r="KQU23" s="137"/>
      <c r="KQV23" s="137"/>
      <c r="KQW23" s="137"/>
      <c r="KQX23" s="137"/>
      <c r="KQY23" s="137"/>
      <c r="KQZ23" s="137"/>
      <c r="KRA23" s="137"/>
      <c r="KRB23" s="137"/>
      <c r="KRC23" s="137"/>
      <c r="KRD23" s="137"/>
      <c r="KRE23" s="137"/>
      <c r="KRF23" s="137"/>
      <c r="KRG23" s="137"/>
      <c r="KRH23" s="137"/>
      <c r="KRI23" s="137"/>
      <c r="KRJ23" s="137"/>
      <c r="KRK23" s="137"/>
      <c r="KRL23" s="137"/>
      <c r="KRM23" s="137"/>
      <c r="KRN23" s="137"/>
      <c r="KRO23" s="137"/>
      <c r="KRP23" s="137"/>
      <c r="KRQ23" s="137"/>
      <c r="KRR23" s="137"/>
      <c r="KRS23" s="137"/>
      <c r="KRT23" s="137"/>
      <c r="KRU23" s="137"/>
      <c r="KRV23" s="137"/>
      <c r="KRW23" s="137"/>
      <c r="KRX23" s="137"/>
      <c r="KRY23" s="137"/>
      <c r="KRZ23" s="137"/>
      <c r="KSA23" s="137"/>
      <c r="KSB23" s="137"/>
      <c r="KSC23" s="137"/>
      <c r="KSD23" s="137"/>
      <c r="KSE23" s="137"/>
      <c r="KSF23" s="137"/>
      <c r="KSG23" s="137"/>
      <c r="KSH23" s="137"/>
      <c r="KSI23" s="137"/>
      <c r="KSJ23" s="137"/>
      <c r="KSK23" s="137"/>
      <c r="KSL23" s="137"/>
      <c r="KSM23" s="137"/>
      <c r="KSN23" s="137"/>
      <c r="KSO23" s="137"/>
      <c r="KSP23" s="137"/>
      <c r="KSQ23" s="137"/>
      <c r="KSR23" s="137"/>
      <c r="KSS23" s="137"/>
      <c r="KST23" s="137"/>
      <c r="KSU23" s="137"/>
      <c r="KSV23" s="137"/>
      <c r="KSW23" s="137"/>
      <c r="KSX23" s="137"/>
      <c r="KSY23" s="137"/>
      <c r="KSZ23" s="137"/>
      <c r="KTA23" s="137"/>
      <c r="KTB23" s="137"/>
      <c r="KTC23" s="137"/>
      <c r="KTD23" s="137"/>
      <c r="KTE23" s="137"/>
      <c r="KTF23" s="137"/>
      <c r="KTG23" s="137"/>
      <c r="KTH23" s="137"/>
      <c r="KTI23" s="137"/>
      <c r="KTJ23" s="137"/>
      <c r="KTK23" s="137"/>
      <c r="KTL23" s="137"/>
      <c r="KTM23" s="137"/>
      <c r="KTN23" s="137"/>
      <c r="KTO23" s="137"/>
      <c r="KTP23" s="137"/>
      <c r="KTQ23" s="137"/>
      <c r="KTR23" s="137"/>
      <c r="KTS23" s="137"/>
      <c r="KTT23" s="137"/>
      <c r="KTU23" s="137"/>
      <c r="KTV23" s="137"/>
      <c r="KTW23" s="137"/>
      <c r="KTX23" s="137"/>
      <c r="KTY23" s="137"/>
      <c r="KTZ23" s="137"/>
      <c r="KUA23" s="137"/>
      <c r="KUB23" s="137"/>
      <c r="KUC23" s="137"/>
      <c r="KUD23" s="137"/>
      <c r="KUE23" s="137"/>
      <c r="KUF23" s="137"/>
      <c r="KUG23" s="137"/>
      <c r="KUH23" s="137"/>
      <c r="KUI23" s="137"/>
      <c r="KUJ23" s="137"/>
      <c r="KUK23" s="137"/>
      <c r="KUL23" s="137"/>
      <c r="KUM23" s="137"/>
      <c r="KUN23" s="137"/>
      <c r="KUO23" s="137"/>
      <c r="KUP23" s="137"/>
      <c r="KUQ23" s="137"/>
      <c r="KUR23" s="137"/>
      <c r="KUS23" s="137"/>
      <c r="KUT23" s="137"/>
      <c r="KUU23" s="137"/>
      <c r="KUV23" s="137"/>
      <c r="KUW23" s="137"/>
      <c r="KUX23" s="137"/>
      <c r="KUY23" s="137"/>
      <c r="KUZ23" s="137"/>
      <c r="KVA23" s="137"/>
      <c r="KVB23" s="137"/>
      <c r="KVC23" s="137"/>
      <c r="KVD23" s="137"/>
      <c r="KVE23" s="137"/>
      <c r="KVF23" s="137"/>
      <c r="KVG23" s="137"/>
      <c r="KVH23" s="137"/>
      <c r="KVI23" s="137"/>
      <c r="KVJ23" s="137"/>
      <c r="KVK23" s="137"/>
      <c r="KVL23" s="137"/>
      <c r="KVM23" s="137"/>
      <c r="KVN23" s="137"/>
      <c r="KVO23" s="137"/>
      <c r="KVP23" s="137"/>
      <c r="KVQ23" s="137"/>
      <c r="KVR23" s="137"/>
      <c r="KVS23" s="137"/>
      <c r="KVT23" s="137"/>
      <c r="KVU23" s="137"/>
      <c r="KVV23" s="137"/>
      <c r="KVW23" s="137"/>
      <c r="KVX23" s="137"/>
      <c r="KVY23" s="137"/>
      <c r="KVZ23" s="137"/>
      <c r="KWA23" s="137"/>
      <c r="KWB23" s="137"/>
      <c r="KWC23" s="137"/>
      <c r="KWD23" s="137"/>
      <c r="KWE23" s="137"/>
      <c r="KWF23" s="137"/>
      <c r="KWG23" s="137"/>
      <c r="KWH23" s="137"/>
      <c r="KWI23" s="137"/>
      <c r="KWJ23" s="137"/>
      <c r="KWK23" s="137"/>
      <c r="KWL23" s="137"/>
      <c r="KWM23" s="137"/>
      <c r="KWN23" s="137"/>
      <c r="KWO23" s="137"/>
      <c r="KWP23" s="137"/>
      <c r="KWQ23" s="137"/>
      <c r="KWR23" s="137"/>
      <c r="KWS23" s="137"/>
      <c r="KWT23" s="137"/>
      <c r="KWU23" s="137"/>
      <c r="KWV23" s="137"/>
      <c r="KWW23" s="137"/>
      <c r="KWX23" s="137"/>
      <c r="KWY23" s="137"/>
      <c r="KWZ23" s="137"/>
      <c r="KXA23" s="137"/>
      <c r="KXB23" s="137"/>
      <c r="KXC23" s="137"/>
      <c r="KXD23" s="137"/>
      <c r="KXE23" s="137"/>
      <c r="KXF23" s="137"/>
      <c r="KXG23" s="137"/>
      <c r="KXH23" s="137"/>
      <c r="KXI23" s="137"/>
      <c r="KXJ23" s="137"/>
      <c r="KXK23" s="137"/>
      <c r="KXL23" s="137"/>
      <c r="KXM23" s="137"/>
      <c r="KXN23" s="137"/>
      <c r="KXO23" s="137"/>
      <c r="KXP23" s="137"/>
      <c r="KXQ23" s="137"/>
      <c r="KXR23" s="137"/>
      <c r="KXS23" s="137"/>
      <c r="KXT23" s="137"/>
      <c r="KXU23" s="137"/>
      <c r="KXV23" s="137"/>
      <c r="KXW23" s="137"/>
      <c r="KXX23" s="137"/>
      <c r="KXY23" s="137"/>
      <c r="KXZ23" s="137"/>
      <c r="KYA23" s="137"/>
      <c r="KYB23" s="137"/>
      <c r="KYC23" s="137"/>
      <c r="KYD23" s="137"/>
      <c r="KYE23" s="137"/>
      <c r="KYF23" s="137"/>
      <c r="KYG23" s="137"/>
      <c r="KYH23" s="137"/>
      <c r="KYI23" s="137"/>
      <c r="KYJ23" s="137"/>
      <c r="KYK23" s="137"/>
      <c r="KYL23" s="137"/>
      <c r="KYM23" s="137"/>
      <c r="KYN23" s="137"/>
      <c r="KYO23" s="137"/>
      <c r="KYP23" s="137"/>
      <c r="KYQ23" s="137"/>
      <c r="KYR23" s="137"/>
      <c r="KYS23" s="137"/>
      <c r="KYT23" s="137"/>
      <c r="KYU23" s="137"/>
      <c r="KYV23" s="137"/>
      <c r="KYW23" s="137"/>
      <c r="KYX23" s="137"/>
      <c r="KYY23" s="137"/>
      <c r="KYZ23" s="137"/>
      <c r="KZA23" s="137"/>
      <c r="KZB23" s="137"/>
      <c r="KZC23" s="137"/>
      <c r="KZD23" s="137"/>
      <c r="KZE23" s="137"/>
      <c r="KZF23" s="137"/>
      <c r="KZG23" s="137"/>
      <c r="KZH23" s="137"/>
      <c r="KZI23" s="137"/>
      <c r="KZJ23" s="137"/>
      <c r="KZK23" s="137"/>
      <c r="KZL23" s="137"/>
      <c r="KZM23" s="137"/>
      <c r="KZN23" s="137"/>
      <c r="KZO23" s="137"/>
      <c r="KZP23" s="137"/>
      <c r="KZQ23" s="137"/>
      <c r="KZR23" s="137"/>
      <c r="KZS23" s="137"/>
      <c r="KZT23" s="137"/>
      <c r="KZU23" s="137"/>
      <c r="KZV23" s="137"/>
      <c r="KZW23" s="137"/>
      <c r="KZX23" s="137"/>
      <c r="KZY23" s="137"/>
      <c r="KZZ23" s="137"/>
      <c r="LAA23" s="137"/>
      <c r="LAB23" s="137"/>
      <c r="LAC23" s="137"/>
      <c r="LAD23" s="137"/>
      <c r="LAE23" s="137"/>
      <c r="LAF23" s="137"/>
      <c r="LAG23" s="137"/>
      <c r="LAH23" s="137"/>
      <c r="LAI23" s="137"/>
      <c r="LAJ23" s="137"/>
      <c r="LAK23" s="137"/>
      <c r="LAL23" s="137"/>
      <c r="LAM23" s="137"/>
      <c r="LAN23" s="137"/>
      <c r="LAO23" s="137"/>
      <c r="LAP23" s="137"/>
      <c r="LAQ23" s="137"/>
      <c r="LAR23" s="137"/>
      <c r="LAS23" s="137"/>
      <c r="LAT23" s="137"/>
      <c r="LAU23" s="137"/>
      <c r="LAV23" s="137"/>
      <c r="LAW23" s="137"/>
      <c r="LAX23" s="137"/>
      <c r="LAY23" s="137"/>
      <c r="LAZ23" s="137"/>
      <c r="LBA23" s="137"/>
      <c r="LBB23" s="137"/>
      <c r="LBC23" s="137"/>
      <c r="LBD23" s="137"/>
      <c r="LBE23" s="137"/>
      <c r="LBF23" s="137"/>
      <c r="LBG23" s="137"/>
      <c r="LBH23" s="137"/>
      <c r="LBI23" s="137"/>
      <c r="LBJ23" s="137"/>
      <c r="LBK23" s="137"/>
      <c r="LBL23" s="137"/>
      <c r="LBM23" s="137"/>
      <c r="LBN23" s="137"/>
      <c r="LBO23" s="137"/>
      <c r="LBP23" s="137"/>
      <c r="LBQ23" s="137"/>
      <c r="LBR23" s="137"/>
      <c r="LBS23" s="137"/>
      <c r="LBT23" s="137"/>
      <c r="LBU23" s="137"/>
      <c r="LBV23" s="137"/>
      <c r="LBW23" s="137"/>
      <c r="LBX23" s="137"/>
      <c r="LBY23" s="137"/>
      <c r="LBZ23" s="137"/>
      <c r="LCA23" s="137"/>
      <c r="LCB23" s="137"/>
      <c r="LCC23" s="137"/>
      <c r="LCD23" s="137"/>
      <c r="LCE23" s="137"/>
      <c r="LCF23" s="137"/>
      <c r="LCG23" s="137"/>
      <c r="LCH23" s="137"/>
      <c r="LCI23" s="137"/>
      <c r="LCJ23" s="137"/>
      <c r="LCK23" s="137"/>
      <c r="LCL23" s="137"/>
      <c r="LCM23" s="137"/>
      <c r="LCN23" s="137"/>
      <c r="LCO23" s="137"/>
      <c r="LCP23" s="137"/>
      <c r="LCQ23" s="137"/>
      <c r="LCR23" s="137"/>
      <c r="LCS23" s="137"/>
      <c r="LCT23" s="137"/>
      <c r="LCU23" s="137"/>
      <c r="LCV23" s="137"/>
      <c r="LCW23" s="137"/>
      <c r="LCX23" s="137"/>
      <c r="LCY23" s="137"/>
      <c r="LCZ23" s="137"/>
      <c r="LDA23" s="137"/>
      <c r="LDB23" s="137"/>
      <c r="LDC23" s="137"/>
      <c r="LDD23" s="137"/>
      <c r="LDE23" s="137"/>
      <c r="LDF23" s="137"/>
      <c r="LDG23" s="137"/>
      <c r="LDH23" s="137"/>
      <c r="LDI23" s="137"/>
      <c r="LDJ23" s="137"/>
      <c r="LDK23" s="137"/>
      <c r="LDL23" s="137"/>
      <c r="LDM23" s="137"/>
      <c r="LDN23" s="137"/>
      <c r="LDO23" s="137"/>
      <c r="LDP23" s="137"/>
      <c r="LDQ23" s="137"/>
      <c r="LDR23" s="137"/>
      <c r="LDS23" s="137"/>
      <c r="LDT23" s="137"/>
      <c r="LDU23" s="137"/>
      <c r="LDV23" s="137"/>
      <c r="LDW23" s="137"/>
      <c r="LDX23" s="137"/>
      <c r="LDY23" s="137"/>
      <c r="LDZ23" s="137"/>
      <c r="LEA23" s="137"/>
      <c r="LEB23" s="137"/>
      <c r="LEC23" s="137"/>
      <c r="LED23" s="137"/>
      <c r="LEE23" s="137"/>
      <c r="LEF23" s="137"/>
      <c r="LEG23" s="137"/>
      <c r="LEH23" s="137"/>
      <c r="LEI23" s="137"/>
      <c r="LEJ23" s="137"/>
      <c r="LEK23" s="137"/>
      <c r="LEL23" s="137"/>
      <c r="LEM23" s="137"/>
      <c r="LEN23" s="137"/>
      <c r="LEO23" s="137"/>
      <c r="LEP23" s="137"/>
      <c r="LEQ23" s="137"/>
      <c r="LER23" s="137"/>
      <c r="LES23" s="137"/>
      <c r="LET23" s="137"/>
      <c r="LEU23" s="137"/>
      <c r="LEV23" s="137"/>
      <c r="LEW23" s="137"/>
      <c r="LEX23" s="137"/>
      <c r="LEY23" s="137"/>
      <c r="LEZ23" s="137"/>
      <c r="LFA23" s="137"/>
      <c r="LFB23" s="137"/>
      <c r="LFC23" s="137"/>
      <c r="LFD23" s="137"/>
      <c r="LFE23" s="137"/>
      <c r="LFF23" s="137"/>
      <c r="LFG23" s="137"/>
      <c r="LFH23" s="137"/>
      <c r="LFI23" s="137"/>
      <c r="LFJ23" s="137"/>
      <c r="LFK23" s="137"/>
      <c r="LFL23" s="137"/>
      <c r="LFM23" s="137"/>
      <c r="LFN23" s="137"/>
      <c r="LFO23" s="137"/>
      <c r="LFP23" s="137"/>
      <c r="LFQ23" s="137"/>
      <c r="LFR23" s="137"/>
      <c r="LFS23" s="137"/>
      <c r="LFT23" s="137"/>
      <c r="LFU23" s="137"/>
      <c r="LFV23" s="137"/>
      <c r="LFW23" s="137"/>
      <c r="LFX23" s="137"/>
      <c r="LFY23" s="137"/>
      <c r="LFZ23" s="137"/>
      <c r="LGA23" s="137"/>
      <c r="LGB23" s="137"/>
      <c r="LGC23" s="137"/>
      <c r="LGD23" s="137"/>
      <c r="LGE23" s="137"/>
      <c r="LGF23" s="137"/>
      <c r="LGG23" s="137"/>
      <c r="LGH23" s="137"/>
      <c r="LGI23" s="137"/>
      <c r="LGJ23" s="137"/>
      <c r="LGK23" s="137"/>
      <c r="LGL23" s="137"/>
      <c r="LGM23" s="137"/>
      <c r="LGN23" s="137"/>
      <c r="LGO23" s="137"/>
      <c r="LGP23" s="137"/>
      <c r="LGQ23" s="137"/>
      <c r="LGR23" s="137"/>
      <c r="LGS23" s="137"/>
      <c r="LGT23" s="137"/>
      <c r="LGU23" s="137"/>
      <c r="LGV23" s="137"/>
      <c r="LGW23" s="137"/>
      <c r="LGX23" s="137"/>
      <c r="LGY23" s="137"/>
      <c r="LGZ23" s="137"/>
      <c r="LHA23" s="137"/>
      <c r="LHB23" s="137"/>
      <c r="LHC23" s="137"/>
      <c r="LHD23" s="137"/>
      <c r="LHE23" s="137"/>
      <c r="LHF23" s="137"/>
      <c r="LHG23" s="137"/>
      <c r="LHH23" s="137"/>
      <c r="LHI23" s="137"/>
      <c r="LHJ23" s="137"/>
      <c r="LHK23" s="137"/>
      <c r="LHL23" s="137"/>
      <c r="LHM23" s="137"/>
      <c r="LHN23" s="137"/>
      <c r="LHO23" s="137"/>
      <c r="LHP23" s="137"/>
      <c r="LHQ23" s="137"/>
      <c r="LHR23" s="137"/>
      <c r="LHS23" s="137"/>
      <c r="LHT23" s="137"/>
      <c r="LHU23" s="137"/>
      <c r="LHV23" s="137"/>
      <c r="LHW23" s="137"/>
      <c r="LHX23" s="137"/>
      <c r="LHY23" s="137"/>
      <c r="LHZ23" s="137"/>
      <c r="LIA23" s="137"/>
      <c r="LIB23" s="137"/>
      <c r="LIC23" s="137"/>
      <c r="LID23" s="137"/>
      <c r="LIE23" s="137"/>
      <c r="LIF23" s="137"/>
      <c r="LIG23" s="137"/>
      <c r="LIH23" s="137"/>
      <c r="LII23" s="137"/>
      <c r="LIJ23" s="137"/>
      <c r="LIK23" s="137"/>
      <c r="LIL23" s="137"/>
      <c r="LIM23" s="137"/>
      <c r="LIN23" s="137"/>
      <c r="LIO23" s="137"/>
      <c r="LIP23" s="137"/>
      <c r="LIQ23" s="137"/>
      <c r="LIR23" s="137"/>
      <c r="LIS23" s="137"/>
      <c r="LIT23" s="137"/>
      <c r="LIU23" s="137"/>
      <c r="LIV23" s="137"/>
      <c r="LIW23" s="137"/>
      <c r="LIX23" s="137"/>
      <c r="LIY23" s="137"/>
      <c r="LIZ23" s="137"/>
      <c r="LJA23" s="137"/>
      <c r="LJB23" s="137"/>
      <c r="LJC23" s="137"/>
      <c r="LJD23" s="137"/>
      <c r="LJE23" s="137"/>
      <c r="LJF23" s="137"/>
      <c r="LJG23" s="137"/>
      <c r="LJH23" s="137"/>
      <c r="LJI23" s="137"/>
      <c r="LJJ23" s="137"/>
      <c r="LJK23" s="137"/>
      <c r="LJL23" s="137"/>
      <c r="LJM23" s="137"/>
      <c r="LJN23" s="137"/>
      <c r="LJO23" s="137"/>
      <c r="LJP23" s="137"/>
      <c r="LJQ23" s="137"/>
      <c r="LJR23" s="137"/>
      <c r="LJS23" s="137"/>
      <c r="LJT23" s="137"/>
      <c r="LJU23" s="137"/>
      <c r="LJV23" s="137"/>
      <c r="LJW23" s="137"/>
      <c r="LJX23" s="137"/>
      <c r="LJY23" s="137"/>
      <c r="LJZ23" s="137"/>
      <c r="LKA23" s="137"/>
      <c r="LKB23" s="137"/>
      <c r="LKC23" s="137"/>
      <c r="LKD23" s="137"/>
      <c r="LKE23" s="137"/>
      <c r="LKF23" s="137"/>
      <c r="LKG23" s="137"/>
      <c r="LKH23" s="137"/>
      <c r="LKI23" s="137"/>
      <c r="LKJ23" s="137"/>
      <c r="LKK23" s="137"/>
      <c r="LKL23" s="137"/>
      <c r="LKM23" s="137"/>
      <c r="LKN23" s="137"/>
      <c r="LKO23" s="137"/>
      <c r="LKP23" s="137"/>
      <c r="LKQ23" s="137"/>
      <c r="LKR23" s="137"/>
      <c r="LKS23" s="137"/>
      <c r="LKT23" s="137"/>
      <c r="LKU23" s="137"/>
      <c r="LKV23" s="137"/>
      <c r="LKW23" s="137"/>
      <c r="LKX23" s="137"/>
      <c r="LKY23" s="137"/>
      <c r="LKZ23" s="137"/>
      <c r="LLA23" s="137"/>
      <c r="LLB23" s="137"/>
      <c r="LLC23" s="137"/>
      <c r="LLD23" s="137"/>
      <c r="LLE23" s="137"/>
      <c r="LLF23" s="137"/>
      <c r="LLG23" s="137"/>
      <c r="LLH23" s="137"/>
      <c r="LLI23" s="137"/>
      <c r="LLJ23" s="137"/>
      <c r="LLK23" s="137"/>
      <c r="LLL23" s="137"/>
      <c r="LLM23" s="137"/>
      <c r="LLN23" s="137"/>
      <c r="LLO23" s="137"/>
      <c r="LLP23" s="137"/>
      <c r="LLQ23" s="137"/>
      <c r="LLR23" s="137"/>
      <c r="LLS23" s="137"/>
      <c r="LLT23" s="137"/>
      <c r="LLU23" s="137"/>
      <c r="LLV23" s="137"/>
      <c r="LLW23" s="137"/>
      <c r="LLX23" s="137"/>
      <c r="LLY23" s="137"/>
      <c r="LLZ23" s="137"/>
      <c r="LMA23" s="137"/>
      <c r="LMB23" s="137"/>
      <c r="LMC23" s="137"/>
      <c r="LMD23" s="137"/>
      <c r="LME23" s="137"/>
      <c r="LMF23" s="137"/>
      <c r="LMG23" s="137"/>
      <c r="LMH23" s="137"/>
      <c r="LMI23" s="137"/>
      <c r="LMJ23" s="137"/>
      <c r="LMK23" s="137"/>
      <c r="LML23" s="137"/>
      <c r="LMM23" s="137"/>
      <c r="LMN23" s="137"/>
      <c r="LMO23" s="137"/>
      <c r="LMP23" s="137"/>
      <c r="LMQ23" s="137"/>
      <c r="LMR23" s="137"/>
      <c r="LMS23" s="137"/>
      <c r="LMT23" s="137"/>
      <c r="LMU23" s="137"/>
      <c r="LMV23" s="137"/>
      <c r="LMW23" s="137"/>
      <c r="LMX23" s="137"/>
      <c r="LMY23" s="137"/>
      <c r="LMZ23" s="137"/>
      <c r="LNA23" s="137"/>
      <c r="LNB23" s="137"/>
      <c r="LNC23" s="137"/>
      <c r="LND23" s="137"/>
      <c r="LNE23" s="137"/>
      <c r="LNF23" s="137"/>
      <c r="LNG23" s="137"/>
      <c r="LNH23" s="137"/>
      <c r="LNI23" s="137"/>
      <c r="LNJ23" s="137"/>
      <c r="LNK23" s="137"/>
      <c r="LNL23" s="137"/>
      <c r="LNM23" s="137"/>
      <c r="LNN23" s="137"/>
      <c r="LNO23" s="137"/>
      <c r="LNP23" s="137"/>
      <c r="LNQ23" s="137"/>
      <c r="LNR23" s="137"/>
      <c r="LNS23" s="137"/>
      <c r="LNT23" s="137"/>
      <c r="LNU23" s="137"/>
      <c r="LNV23" s="137"/>
      <c r="LNW23" s="137"/>
      <c r="LNX23" s="137"/>
      <c r="LNY23" s="137"/>
      <c r="LNZ23" s="137"/>
      <c r="LOA23" s="137"/>
      <c r="LOB23" s="137"/>
      <c r="LOC23" s="137"/>
      <c r="LOD23" s="137"/>
      <c r="LOE23" s="137"/>
      <c r="LOF23" s="137"/>
      <c r="LOG23" s="137"/>
      <c r="LOH23" s="137"/>
      <c r="LOI23" s="137"/>
      <c r="LOJ23" s="137"/>
      <c r="LOK23" s="137"/>
      <c r="LOL23" s="137"/>
      <c r="LOM23" s="137"/>
      <c r="LON23" s="137"/>
      <c r="LOO23" s="137"/>
      <c r="LOP23" s="137"/>
      <c r="LOQ23" s="137"/>
      <c r="LOR23" s="137"/>
      <c r="LOS23" s="137"/>
      <c r="LOT23" s="137"/>
      <c r="LOU23" s="137"/>
      <c r="LOV23" s="137"/>
      <c r="LOW23" s="137"/>
      <c r="LOX23" s="137"/>
      <c r="LOY23" s="137"/>
      <c r="LOZ23" s="137"/>
      <c r="LPA23" s="137"/>
      <c r="LPB23" s="137"/>
      <c r="LPC23" s="137"/>
      <c r="LPD23" s="137"/>
      <c r="LPE23" s="137"/>
      <c r="LPF23" s="137"/>
      <c r="LPG23" s="137"/>
      <c r="LPH23" s="137"/>
      <c r="LPI23" s="137"/>
      <c r="LPJ23" s="137"/>
      <c r="LPK23" s="137"/>
      <c r="LPL23" s="137"/>
      <c r="LPM23" s="137"/>
      <c r="LPN23" s="137"/>
      <c r="LPO23" s="137"/>
      <c r="LPP23" s="137"/>
      <c r="LPQ23" s="137"/>
      <c r="LPR23" s="137"/>
      <c r="LPS23" s="137"/>
      <c r="LPT23" s="137"/>
      <c r="LPU23" s="137"/>
      <c r="LPV23" s="137"/>
      <c r="LPW23" s="137"/>
      <c r="LPX23" s="137"/>
      <c r="LPY23" s="137"/>
      <c r="LPZ23" s="137"/>
      <c r="LQA23" s="137"/>
      <c r="LQB23" s="137"/>
      <c r="LQC23" s="137"/>
      <c r="LQD23" s="137"/>
      <c r="LQE23" s="137"/>
      <c r="LQF23" s="137"/>
      <c r="LQG23" s="137"/>
      <c r="LQH23" s="137"/>
      <c r="LQI23" s="137"/>
      <c r="LQJ23" s="137"/>
      <c r="LQK23" s="137"/>
      <c r="LQL23" s="137"/>
      <c r="LQM23" s="137"/>
      <c r="LQN23" s="137"/>
      <c r="LQO23" s="137"/>
      <c r="LQP23" s="137"/>
      <c r="LQQ23" s="137"/>
      <c r="LQR23" s="137"/>
      <c r="LQS23" s="137"/>
      <c r="LQT23" s="137"/>
      <c r="LQU23" s="137"/>
      <c r="LQV23" s="137"/>
      <c r="LQW23" s="137"/>
      <c r="LQX23" s="137"/>
      <c r="LQY23" s="137"/>
      <c r="LQZ23" s="137"/>
      <c r="LRA23" s="137"/>
      <c r="LRB23" s="137"/>
      <c r="LRC23" s="137"/>
      <c r="LRD23" s="137"/>
      <c r="LRE23" s="137"/>
      <c r="LRF23" s="137"/>
      <c r="LRG23" s="137"/>
      <c r="LRH23" s="137"/>
      <c r="LRI23" s="137"/>
      <c r="LRJ23" s="137"/>
      <c r="LRK23" s="137"/>
      <c r="LRL23" s="137"/>
      <c r="LRM23" s="137"/>
      <c r="LRN23" s="137"/>
      <c r="LRO23" s="137"/>
      <c r="LRP23" s="137"/>
      <c r="LRQ23" s="137"/>
      <c r="LRR23" s="137"/>
      <c r="LRS23" s="137"/>
      <c r="LRT23" s="137"/>
      <c r="LRU23" s="137"/>
      <c r="LRV23" s="137"/>
      <c r="LRW23" s="137"/>
      <c r="LRX23" s="137"/>
      <c r="LRY23" s="137"/>
      <c r="LRZ23" s="137"/>
      <c r="LSA23" s="137"/>
      <c r="LSB23" s="137"/>
      <c r="LSC23" s="137"/>
      <c r="LSD23" s="137"/>
      <c r="LSE23" s="137"/>
      <c r="LSF23" s="137"/>
      <c r="LSG23" s="137"/>
      <c r="LSH23" s="137"/>
      <c r="LSI23" s="137"/>
      <c r="LSJ23" s="137"/>
      <c r="LSK23" s="137"/>
      <c r="LSL23" s="137"/>
      <c r="LSM23" s="137"/>
      <c r="LSN23" s="137"/>
      <c r="LSO23" s="137"/>
      <c r="LSP23" s="137"/>
      <c r="LSQ23" s="137"/>
      <c r="LSR23" s="137"/>
      <c r="LSS23" s="137"/>
      <c r="LST23" s="137"/>
      <c r="LSU23" s="137"/>
      <c r="LSV23" s="137"/>
      <c r="LSW23" s="137"/>
      <c r="LSX23" s="137"/>
      <c r="LSY23" s="137"/>
      <c r="LSZ23" s="137"/>
      <c r="LTA23" s="137"/>
      <c r="LTB23" s="137"/>
      <c r="LTC23" s="137"/>
      <c r="LTD23" s="137"/>
      <c r="LTE23" s="137"/>
      <c r="LTF23" s="137"/>
      <c r="LTG23" s="137"/>
      <c r="LTH23" s="137"/>
      <c r="LTI23" s="137"/>
      <c r="LTJ23" s="137"/>
      <c r="LTK23" s="137"/>
      <c r="LTL23" s="137"/>
      <c r="LTM23" s="137"/>
      <c r="LTN23" s="137"/>
      <c r="LTO23" s="137"/>
      <c r="LTP23" s="137"/>
      <c r="LTQ23" s="137"/>
      <c r="LTR23" s="137"/>
      <c r="LTS23" s="137"/>
      <c r="LTT23" s="137"/>
      <c r="LTU23" s="137"/>
      <c r="LTV23" s="137"/>
      <c r="LTW23" s="137"/>
      <c r="LTX23" s="137"/>
      <c r="LTY23" s="137"/>
      <c r="LTZ23" s="137"/>
      <c r="LUA23" s="137"/>
      <c r="LUB23" s="137"/>
      <c r="LUC23" s="137"/>
      <c r="LUD23" s="137"/>
      <c r="LUE23" s="137"/>
      <c r="LUF23" s="137"/>
      <c r="LUG23" s="137"/>
      <c r="LUH23" s="137"/>
      <c r="LUI23" s="137"/>
      <c r="LUJ23" s="137"/>
      <c r="LUK23" s="137"/>
      <c r="LUL23" s="137"/>
      <c r="LUM23" s="137"/>
      <c r="LUN23" s="137"/>
      <c r="LUO23" s="137"/>
      <c r="LUP23" s="137"/>
      <c r="LUQ23" s="137"/>
      <c r="LUR23" s="137"/>
      <c r="LUS23" s="137"/>
      <c r="LUT23" s="137"/>
      <c r="LUU23" s="137"/>
      <c r="LUV23" s="137"/>
      <c r="LUW23" s="137"/>
      <c r="LUX23" s="137"/>
      <c r="LUY23" s="137"/>
      <c r="LUZ23" s="137"/>
      <c r="LVA23" s="137"/>
      <c r="LVB23" s="137"/>
      <c r="LVC23" s="137"/>
      <c r="LVD23" s="137"/>
      <c r="LVE23" s="137"/>
      <c r="LVF23" s="137"/>
      <c r="LVG23" s="137"/>
      <c r="LVH23" s="137"/>
      <c r="LVI23" s="137"/>
      <c r="LVJ23" s="137"/>
      <c r="LVK23" s="137"/>
      <c r="LVL23" s="137"/>
      <c r="LVM23" s="137"/>
      <c r="LVN23" s="137"/>
      <c r="LVO23" s="137"/>
      <c r="LVP23" s="137"/>
      <c r="LVQ23" s="137"/>
      <c r="LVR23" s="137"/>
      <c r="LVS23" s="137"/>
      <c r="LVT23" s="137"/>
      <c r="LVU23" s="137"/>
      <c r="LVV23" s="137"/>
      <c r="LVW23" s="137"/>
      <c r="LVX23" s="137"/>
      <c r="LVY23" s="137"/>
      <c r="LVZ23" s="137"/>
      <c r="LWA23" s="137"/>
      <c r="LWB23" s="137"/>
      <c r="LWC23" s="137"/>
      <c r="LWD23" s="137"/>
      <c r="LWE23" s="137"/>
      <c r="LWF23" s="137"/>
      <c r="LWG23" s="137"/>
      <c r="LWH23" s="137"/>
      <c r="LWI23" s="137"/>
      <c r="LWJ23" s="137"/>
      <c r="LWK23" s="137"/>
      <c r="LWL23" s="137"/>
      <c r="LWM23" s="137"/>
      <c r="LWN23" s="137"/>
      <c r="LWO23" s="137"/>
      <c r="LWP23" s="137"/>
      <c r="LWQ23" s="137"/>
      <c r="LWR23" s="137"/>
      <c r="LWS23" s="137"/>
      <c r="LWT23" s="137"/>
      <c r="LWU23" s="137"/>
      <c r="LWV23" s="137"/>
      <c r="LWW23" s="137"/>
      <c r="LWX23" s="137"/>
      <c r="LWY23" s="137"/>
      <c r="LWZ23" s="137"/>
      <c r="LXA23" s="137"/>
      <c r="LXB23" s="137"/>
      <c r="LXC23" s="137"/>
      <c r="LXD23" s="137"/>
      <c r="LXE23" s="137"/>
      <c r="LXF23" s="137"/>
      <c r="LXG23" s="137"/>
      <c r="LXH23" s="137"/>
      <c r="LXI23" s="137"/>
      <c r="LXJ23" s="137"/>
      <c r="LXK23" s="137"/>
      <c r="LXL23" s="137"/>
      <c r="LXM23" s="137"/>
      <c r="LXN23" s="137"/>
      <c r="LXO23" s="137"/>
      <c r="LXP23" s="137"/>
      <c r="LXQ23" s="137"/>
      <c r="LXR23" s="137"/>
      <c r="LXS23" s="137"/>
      <c r="LXT23" s="137"/>
      <c r="LXU23" s="137"/>
      <c r="LXV23" s="137"/>
      <c r="LXW23" s="137"/>
      <c r="LXX23" s="137"/>
      <c r="LXY23" s="137"/>
      <c r="LXZ23" s="137"/>
      <c r="LYA23" s="137"/>
      <c r="LYB23" s="137"/>
      <c r="LYC23" s="137"/>
      <c r="LYD23" s="137"/>
      <c r="LYE23" s="137"/>
      <c r="LYF23" s="137"/>
      <c r="LYG23" s="137"/>
      <c r="LYH23" s="137"/>
      <c r="LYI23" s="137"/>
      <c r="LYJ23" s="137"/>
      <c r="LYK23" s="137"/>
      <c r="LYL23" s="137"/>
      <c r="LYM23" s="137"/>
      <c r="LYN23" s="137"/>
      <c r="LYO23" s="137"/>
      <c r="LYP23" s="137"/>
      <c r="LYQ23" s="137"/>
      <c r="LYR23" s="137"/>
      <c r="LYS23" s="137"/>
      <c r="LYT23" s="137"/>
      <c r="LYU23" s="137"/>
      <c r="LYV23" s="137"/>
      <c r="LYW23" s="137"/>
      <c r="LYX23" s="137"/>
      <c r="LYY23" s="137"/>
      <c r="LYZ23" s="137"/>
      <c r="LZA23" s="137"/>
      <c r="LZB23" s="137"/>
      <c r="LZC23" s="137"/>
      <c r="LZD23" s="137"/>
      <c r="LZE23" s="137"/>
      <c r="LZF23" s="137"/>
      <c r="LZG23" s="137"/>
      <c r="LZH23" s="137"/>
      <c r="LZI23" s="137"/>
      <c r="LZJ23" s="137"/>
      <c r="LZK23" s="137"/>
      <c r="LZL23" s="137"/>
      <c r="LZM23" s="137"/>
      <c r="LZN23" s="137"/>
      <c r="LZO23" s="137"/>
      <c r="LZP23" s="137"/>
      <c r="LZQ23" s="137"/>
      <c r="LZR23" s="137"/>
      <c r="LZS23" s="137"/>
      <c r="LZT23" s="137"/>
      <c r="LZU23" s="137"/>
      <c r="LZV23" s="137"/>
      <c r="LZW23" s="137"/>
      <c r="LZX23" s="137"/>
      <c r="LZY23" s="137"/>
      <c r="LZZ23" s="137"/>
      <c r="MAA23" s="137"/>
      <c r="MAB23" s="137"/>
      <c r="MAC23" s="137"/>
      <c r="MAD23" s="137"/>
      <c r="MAE23" s="137"/>
      <c r="MAF23" s="137"/>
      <c r="MAG23" s="137"/>
      <c r="MAH23" s="137"/>
      <c r="MAI23" s="137"/>
      <c r="MAJ23" s="137"/>
      <c r="MAK23" s="137"/>
      <c r="MAL23" s="137"/>
      <c r="MAM23" s="137"/>
      <c r="MAN23" s="137"/>
      <c r="MAO23" s="137"/>
      <c r="MAP23" s="137"/>
      <c r="MAQ23" s="137"/>
      <c r="MAR23" s="137"/>
      <c r="MAS23" s="137"/>
      <c r="MAT23" s="137"/>
      <c r="MAU23" s="137"/>
      <c r="MAV23" s="137"/>
      <c r="MAW23" s="137"/>
      <c r="MAX23" s="137"/>
      <c r="MAY23" s="137"/>
      <c r="MAZ23" s="137"/>
      <c r="MBA23" s="137"/>
      <c r="MBB23" s="137"/>
      <c r="MBC23" s="137"/>
      <c r="MBD23" s="137"/>
      <c r="MBE23" s="137"/>
      <c r="MBF23" s="137"/>
      <c r="MBG23" s="137"/>
      <c r="MBH23" s="137"/>
      <c r="MBI23" s="137"/>
      <c r="MBJ23" s="137"/>
      <c r="MBK23" s="137"/>
      <c r="MBL23" s="137"/>
      <c r="MBM23" s="137"/>
      <c r="MBN23" s="137"/>
      <c r="MBO23" s="137"/>
      <c r="MBP23" s="137"/>
      <c r="MBQ23" s="137"/>
      <c r="MBR23" s="137"/>
      <c r="MBS23" s="137"/>
      <c r="MBT23" s="137"/>
      <c r="MBU23" s="137"/>
      <c r="MBV23" s="137"/>
      <c r="MBW23" s="137"/>
      <c r="MBX23" s="137"/>
      <c r="MBY23" s="137"/>
      <c r="MBZ23" s="137"/>
      <c r="MCA23" s="137"/>
      <c r="MCB23" s="137"/>
      <c r="MCC23" s="137"/>
      <c r="MCD23" s="137"/>
      <c r="MCE23" s="137"/>
      <c r="MCF23" s="137"/>
      <c r="MCG23" s="137"/>
      <c r="MCH23" s="137"/>
      <c r="MCI23" s="137"/>
      <c r="MCJ23" s="137"/>
      <c r="MCK23" s="137"/>
      <c r="MCL23" s="137"/>
      <c r="MCM23" s="137"/>
      <c r="MCN23" s="137"/>
      <c r="MCO23" s="137"/>
      <c r="MCP23" s="137"/>
      <c r="MCQ23" s="137"/>
      <c r="MCR23" s="137"/>
      <c r="MCS23" s="137"/>
      <c r="MCT23" s="137"/>
      <c r="MCU23" s="137"/>
      <c r="MCV23" s="137"/>
      <c r="MCW23" s="137"/>
      <c r="MCX23" s="137"/>
      <c r="MCY23" s="137"/>
      <c r="MCZ23" s="137"/>
      <c r="MDA23" s="137"/>
      <c r="MDB23" s="137"/>
      <c r="MDC23" s="137"/>
      <c r="MDD23" s="137"/>
      <c r="MDE23" s="137"/>
      <c r="MDF23" s="137"/>
      <c r="MDG23" s="137"/>
      <c r="MDH23" s="137"/>
      <c r="MDI23" s="137"/>
      <c r="MDJ23" s="137"/>
      <c r="MDK23" s="137"/>
      <c r="MDL23" s="137"/>
      <c r="MDM23" s="137"/>
      <c r="MDN23" s="137"/>
      <c r="MDO23" s="137"/>
      <c r="MDP23" s="137"/>
      <c r="MDQ23" s="137"/>
      <c r="MDR23" s="137"/>
      <c r="MDS23" s="137"/>
      <c r="MDT23" s="137"/>
      <c r="MDU23" s="137"/>
      <c r="MDV23" s="137"/>
      <c r="MDW23" s="137"/>
      <c r="MDX23" s="137"/>
      <c r="MDY23" s="137"/>
      <c r="MDZ23" s="137"/>
      <c r="MEA23" s="137"/>
      <c r="MEB23" s="137"/>
      <c r="MEC23" s="137"/>
      <c r="MED23" s="137"/>
      <c r="MEE23" s="137"/>
      <c r="MEF23" s="137"/>
      <c r="MEG23" s="137"/>
      <c r="MEH23" s="137"/>
      <c r="MEI23" s="137"/>
      <c r="MEJ23" s="137"/>
      <c r="MEK23" s="137"/>
      <c r="MEL23" s="137"/>
      <c r="MEM23" s="137"/>
      <c r="MEN23" s="137"/>
      <c r="MEO23" s="137"/>
      <c r="MEP23" s="137"/>
      <c r="MEQ23" s="137"/>
      <c r="MER23" s="137"/>
      <c r="MES23" s="137"/>
      <c r="MET23" s="137"/>
      <c r="MEU23" s="137"/>
      <c r="MEV23" s="137"/>
      <c r="MEW23" s="137"/>
      <c r="MEX23" s="137"/>
      <c r="MEY23" s="137"/>
      <c r="MEZ23" s="137"/>
      <c r="MFA23" s="137"/>
      <c r="MFB23" s="137"/>
      <c r="MFC23" s="137"/>
      <c r="MFD23" s="137"/>
      <c r="MFE23" s="137"/>
      <c r="MFF23" s="137"/>
      <c r="MFG23" s="137"/>
      <c r="MFH23" s="137"/>
      <c r="MFI23" s="137"/>
      <c r="MFJ23" s="137"/>
      <c r="MFK23" s="137"/>
      <c r="MFL23" s="137"/>
      <c r="MFM23" s="137"/>
      <c r="MFN23" s="137"/>
      <c r="MFO23" s="137"/>
      <c r="MFP23" s="137"/>
      <c r="MFQ23" s="137"/>
      <c r="MFR23" s="137"/>
      <c r="MFS23" s="137"/>
      <c r="MFT23" s="137"/>
      <c r="MFU23" s="137"/>
      <c r="MFV23" s="137"/>
      <c r="MFW23" s="137"/>
      <c r="MFX23" s="137"/>
      <c r="MFY23" s="137"/>
      <c r="MFZ23" s="137"/>
      <c r="MGA23" s="137"/>
      <c r="MGB23" s="137"/>
      <c r="MGC23" s="137"/>
      <c r="MGD23" s="137"/>
      <c r="MGE23" s="137"/>
      <c r="MGF23" s="137"/>
      <c r="MGG23" s="137"/>
      <c r="MGH23" s="137"/>
      <c r="MGI23" s="137"/>
      <c r="MGJ23" s="137"/>
      <c r="MGK23" s="137"/>
      <c r="MGL23" s="137"/>
      <c r="MGM23" s="137"/>
      <c r="MGN23" s="137"/>
      <c r="MGO23" s="137"/>
      <c r="MGP23" s="137"/>
      <c r="MGQ23" s="137"/>
      <c r="MGR23" s="137"/>
      <c r="MGS23" s="137"/>
      <c r="MGT23" s="137"/>
      <c r="MGU23" s="137"/>
      <c r="MGV23" s="137"/>
      <c r="MGW23" s="137"/>
      <c r="MGX23" s="137"/>
      <c r="MGY23" s="137"/>
      <c r="MGZ23" s="137"/>
      <c r="MHA23" s="137"/>
      <c r="MHB23" s="137"/>
      <c r="MHC23" s="137"/>
      <c r="MHD23" s="137"/>
      <c r="MHE23" s="137"/>
      <c r="MHF23" s="137"/>
      <c r="MHG23" s="137"/>
      <c r="MHH23" s="137"/>
      <c r="MHI23" s="137"/>
      <c r="MHJ23" s="137"/>
      <c r="MHK23" s="137"/>
      <c r="MHL23" s="137"/>
      <c r="MHM23" s="137"/>
      <c r="MHN23" s="137"/>
      <c r="MHO23" s="137"/>
      <c r="MHP23" s="137"/>
      <c r="MHQ23" s="137"/>
      <c r="MHR23" s="137"/>
      <c r="MHS23" s="137"/>
      <c r="MHT23" s="137"/>
      <c r="MHU23" s="137"/>
      <c r="MHV23" s="137"/>
      <c r="MHW23" s="137"/>
      <c r="MHX23" s="137"/>
      <c r="MHY23" s="137"/>
      <c r="MHZ23" s="137"/>
      <c r="MIA23" s="137"/>
      <c r="MIB23" s="137"/>
      <c r="MIC23" s="137"/>
      <c r="MID23" s="137"/>
      <c r="MIE23" s="137"/>
      <c r="MIF23" s="137"/>
      <c r="MIG23" s="137"/>
      <c r="MIH23" s="137"/>
      <c r="MII23" s="137"/>
      <c r="MIJ23" s="137"/>
      <c r="MIK23" s="137"/>
      <c r="MIL23" s="137"/>
      <c r="MIM23" s="137"/>
      <c r="MIN23" s="137"/>
      <c r="MIO23" s="137"/>
      <c r="MIP23" s="137"/>
      <c r="MIQ23" s="137"/>
      <c r="MIR23" s="137"/>
      <c r="MIS23" s="137"/>
      <c r="MIT23" s="137"/>
      <c r="MIU23" s="137"/>
      <c r="MIV23" s="137"/>
      <c r="MIW23" s="137"/>
      <c r="MIX23" s="137"/>
      <c r="MIY23" s="137"/>
      <c r="MIZ23" s="137"/>
      <c r="MJA23" s="137"/>
      <c r="MJB23" s="137"/>
      <c r="MJC23" s="137"/>
      <c r="MJD23" s="137"/>
      <c r="MJE23" s="137"/>
      <c r="MJF23" s="137"/>
      <c r="MJG23" s="137"/>
      <c r="MJH23" s="137"/>
      <c r="MJI23" s="137"/>
      <c r="MJJ23" s="137"/>
      <c r="MJK23" s="137"/>
      <c r="MJL23" s="137"/>
      <c r="MJM23" s="137"/>
      <c r="MJN23" s="137"/>
      <c r="MJO23" s="137"/>
      <c r="MJP23" s="137"/>
      <c r="MJQ23" s="137"/>
      <c r="MJR23" s="137"/>
      <c r="MJS23" s="137"/>
      <c r="MJT23" s="137"/>
      <c r="MJU23" s="137"/>
      <c r="MJV23" s="137"/>
      <c r="MJW23" s="137"/>
      <c r="MJX23" s="137"/>
      <c r="MJY23" s="137"/>
      <c r="MJZ23" s="137"/>
      <c r="MKA23" s="137"/>
      <c r="MKB23" s="137"/>
      <c r="MKC23" s="137"/>
      <c r="MKD23" s="137"/>
      <c r="MKE23" s="137"/>
      <c r="MKF23" s="137"/>
      <c r="MKG23" s="137"/>
      <c r="MKH23" s="137"/>
      <c r="MKI23" s="137"/>
      <c r="MKJ23" s="137"/>
      <c r="MKK23" s="137"/>
      <c r="MKL23" s="137"/>
      <c r="MKM23" s="137"/>
      <c r="MKN23" s="137"/>
      <c r="MKO23" s="137"/>
      <c r="MKP23" s="137"/>
      <c r="MKQ23" s="137"/>
      <c r="MKR23" s="137"/>
      <c r="MKS23" s="137"/>
      <c r="MKT23" s="137"/>
      <c r="MKU23" s="137"/>
      <c r="MKV23" s="137"/>
      <c r="MKW23" s="137"/>
      <c r="MKX23" s="137"/>
      <c r="MKY23" s="137"/>
      <c r="MKZ23" s="137"/>
      <c r="MLA23" s="137"/>
      <c r="MLB23" s="137"/>
      <c r="MLC23" s="137"/>
      <c r="MLD23" s="137"/>
      <c r="MLE23" s="137"/>
      <c r="MLF23" s="137"/>
      <c r="MLG23" s="137"/>
      <c r="MLH23" s="137"/>
      <c r="MLI23" s="137"/>
      <c r="MLJ23" s="137"/>
      <c r="MLK23" s="137"/>
      <c r="MLL23" s="137"/>
      <c r="MLM23" s="137"/>
      <c r="MLN23" s="137"/>
      <c r="MLO23" s="137"/>
      <c r="MLP23" s="137"/>
      <c r="MLQ23" s="137"/>
      <c r="MLR23" s="137"/>
      <c r="MLS23" s="137"/>
      <c r="MLT23" s="137"/>
      <c r="MLU23" s="137"/>
      <c r="MLV23" s="137"/>
      <c r="MLW23" s="137"/>
      <c r="MLX23" s="137"/>
      <c r="MLY23" s="137"/>
      <c r="MLZ23" s="137"/>
      <c r="MMA23" s="137"/>
      <c r="MMB23" s="137"/>
      <c r="MMC23" s="137"/>
      <c r="MMD23" s="137"/>
      <c r="MME23" s="137"/>
      <c r="MMF23" s="137"/>
      <c r="MMG23" s="137"/>
      <c r="MMH23" s="137"/>
      <c r="MMI23" s="137"/>
      <c r="MMJ23" s="137"/>
      <c r="MMK23" s="137"/>
      <c r="MML23" s="137"/>
      <c r="MMM23" s="137"/>
      <c r="MMN23" s="137"/>
      <c r="MMO23" s="137"/>
      <c r="MMP23" s="137"/>
      <c r="MMQ23" s="137"/>
      <c r="MMR23" s="137"/>
      <c r="MMS23" s="137"/>
      <c r="MMT23" s="137"/>
      <c r="MMU23" s="137"/>
      <c r="MMV23" s="137"/>
      <c r="MMW23" s="137"/>
      <c r="MMX23" s="137"/>
      <c r="MMY23" s="137"/>
      <c r="MMZ23" s="137"/>
      <c r="MNA23" s="137"/>
      <c r="MNB23" s="137"/>
      <c r="MNC23" s="137"/>
      <c r="MND23" s="137"/>
      <c r="MNE23" s="137"/>
      <c r="MNF23" s="137"/>
      <c r="MNG23" s="137"/>
      <c r="MNH23" s="137"/>
      <c r="MNI23" s="137"/>
      <c r="MNJ23" s="137"/>
      <c r="MNK23" s="137"/>
      <c r="MNL23" s="137"/>
      <c r="MNM23" s="137"/>
      <c r="MNN23" s="137"/>
      <c r="MNO23" s="137"/>
      <c r="MNP23" s="137"/>
      <c r="MNQ23" s="137"/>
      <c r="MNR23" s="137"/>
      <c r="MNS23" s="137"/>
      <c r="MNT23" s="137"/>
      <c r="MNU23" s="137"/>
      <c r="MNV23" s="137"/>
      <c r="MNW23" s="137"/>
      <c r="MNX23" s="137"/>
      <c r="MNY23" s="137"/>
      <c r="MNZ23" s="137"/>
      <c r="MOA23" s="137"/>
      <c r="MOB23" s="137"/>
      <c r="MOC23" s="137"/>
      <c r="MOD23" s="137"/>
      <c r="MOE23" s="137"/>
      <c r="MOF23" s="137"/>
      <c r="MOG23" s="137"/>
      <c r="MOH23" s="137"/>
      <c r="MOI23" s="137"/>
      <c r="MOJ23" s="137"/>
      <c r="MOK23" s="137"/>
      <c r="MOL23" s="137"/>
      <c r="MOM23" s="137"/>
      <c r="MON23" s="137"/>
      <c r="MOO23" s="137"/>
      <c r="MOP23" s="137"/>
      <c r="MOQ23" s="137"/>
      <c r="MOR23" s="137"/>
      <c r="MOS23" s="137"/>
      <c r="MOT23" s="137"/>
      <c r="MOU23" s="137"/>
      <c r="MOV23" s="137"/>
      <c r="MOW23" s="137"/>
      <c r="MOX23" s="137"/>
      <c r="MOY23" s="137"/>
      <c r="MOZ23" s="137"/>
      <c r="MPA23" s="137"/>
      <c r="MPB23" s="137"/>
      <c r="MPC23" s="137"/>
      <c r="MPD23" s="137"/>
      <c r="MPE23" s="137"/>
      <c r="MPF23" s="137"/>
      <c r="MPG23" s="137"/>
      <c r="MPH23" s="137"/>
      <c r="MPI23" s="137"/>
      <c r="MPJ23" s="137"/>
      <c r="MPK23" s="137"/>
      <c r="MPL23" s="137"/>
      <c r="MPM23" s="137"/>
      <c r="MPN23" s="137"/>
      <c r="MPO23" s="137"/>
      <c r="MPP23" s="137"/>
      <c r="MPQ23" s="137"/>
      <c r="MPR23" s="137"/>
      <c r="MPS23" s="137"/>
      <c r="MPT23" s="137"/>
      <c r="MPU23" s="137"/>
      <c r="MPV23" s="137"/>
      <c r="MPW23" s="137"/>
      <c r="MPX23" s="137"/>
      <c r="MPY23" s="137"/>
      <c r="MPZ23" s="137"/>
      <c r="MQA23" s="137"/>
      <c r="MQB23" s="137"/>
      <c r="MQC23" s="137"/>
      <c r="MQD23" s="137"/>
      <c r="MQE23" s="137"/>
      <c r="MQF23" s="137"/>
      <c r="MQG23" s="137"/>
      <c r="MQH23" s="137"/>
      <c r="MQI23" s="137"/>
      <c r="MQJ23" s="137"/>
      <c r="MQK23" s="137"/>
      <c r="MQL23" s="137"/>
      <c r="MQM23" s="137"/>
      <c r="MQN23" s="137"/>
      <c r="MQO23" s="137"/>
      <c r="MQP23" s="137"/>
      <c r="MQQ23" s="137"/>
      <c r="MQR23" s="137"/>
      <c r="MQS23" s="137"/>
      <c r="MQT23" s="137"/>
      <c r="MQU23" s="137"/>
      <c r="MQV23" s="137"/>
      <c r="MQW23" s="137"/>
      <c r="MQX23" s="137"/>
      <c r="MQY23" s="137"/>
      <c r="MQZ23" s="137"/>
      <c r="MRA23" s="137"/>
      <c r="MRB23" s="137"/>
      <c r="MRC23" s="137"/>
      <c r="MRD23" s="137"/>
      <c r="MRE23" s="137"/>
      <c r="MRF23" s="137"/>
      <c r="MRG23" s="137"/>
      <c r="MRH23" s="137"/>
      <c r="MRI23" s="137"/>
      <c r="MRJ23" s="137"/>
      <c r="MRK23" s="137"/>
      <c r="MRL23" s="137"/>
      <c r="MRM23" s="137"/>
      <c r="MRN23" s="137"/>
      <c r="MRO23" s="137"/>
      <c r="MRP23" s="137"/>
      <c r="MRQ23" s="137"/>
      <c r="MRR23" s="137"/>
      <c r="MRS23" s="137"/>
      <c r="MRT23" s="137"/>
      <c r="MRU23" s="137"/>
      <c r="MRV23" s="137"/>
      <c r="MRW23" s="137"/>
      <c r="MRX23" s="137"/>
      <c r="MRY23" s="137"/>
      <c r="MRZ23" s="137"/>
      <c r="MSA23" s="137"/>
      <c r="MSB23" s="137"/>
      <c r="MSC23" s="137"/>
      <c r="MSD23" s="137"/>
      <c r="MSE23" s="137"/>
      <c r="MSF23" s="137"/>
      <c r="MSG23" s="137"/>
      <c r="MSH23" s="137"/>
      <c r="MSI23" s="137"/>
      <c r="MSJ23" s="137"/>
      <c r="MSK23" s="137"/>
      <c r="MSL23" s="137"/>
      <c r="MSM23" s="137"/>
      <c r="MSN23" s="137"/>
      <c r="MSO23" s="137"/>
      <c r="MSP23" s="137"/>
      <c r="MSQ23" s="137"/>
      <c r="MSR23" s="137"/>
      <c r="MSS23" s="137"/>
      <c r="MST23" s="137"/>
      <c r="MSU23" s="137"/>
      <c r="MSV23" s="137"/>
      <c r="MSW23" s="137"/>
      <c r="MSX23" s="137"/>
      <c r="MSY23" s="137"/>
      <c r="MSZ23" s="137"/>
      <c r="MTA23" s="137"/>
      <c r="MTB23" s="137"/>
      <c r="MTC23" s="137"/>
      <c r="MTD23" s="137"/>
      <c r="MTE23" s="137"/>
      <c r="MTF23" s="137"/>
      <c r="MTG23" s="137"/>
      <c r="MTH23" s="137"/>
      <c r="MTI23" s="137"/>
      <c r="MTJ23" s="137"/>
      <c r="MTK23" s="137"/>
      <c r="MTL23" s="137"/>
      <c r="MTM23" s="137"/>
      <c r="MTN23" s="137"/>
      <c r="MTO23" s="137"/>
      <c r="MTP23" s="137"/>
      <c r="MTQ23" s="137"/>
      <c r="MTR23" s="137"/>
      <c r="MTS23" s="137"/>
      <c r="MTT23" s="137"/>
      <c r="MTU23" s="137"/>
      <c r="MTV23" s="137"/>
      <c r="MTW23" s="137"/>
      <c r="MTX23" s="137"/>
      <c r="MTY23" s="137"/>
      <c r="MTZ23" s="137"/>
      <c r="MUA23" s="137"/>
      <c r="MUB23" s="137"/>
      <c r="MUC23" s="137"/>
      <c r="MUD23" s="137"/>
      <c r="MUE23" s="137"/>
      <c r="MUF23" s="137"/>
      <c r="MUG23" s="137"/>
      <c r="MUH23" s="137"/>
      <c r="MUI23" s="137"/>
      <c r="MUJ23" s="137"/>
      <c r="MUK23" s="137"/>
      <c r="MUL23" s="137"/>
      <c r="MUM23" s="137"/>
      <c r="MUN23" s="137"/>
      <c r="MUO23" s="137"/>
      <c r="MUP23" s="137"/>
      <c r="MUQ23" s="137"/>
      <c r="MUR23" s="137"/>
      <c r="MUS23" s="137"/>
      <c r="MUT23" s="137"/>
      <c r="MUU23" s="137"/>
      <c r="MUV23" s="137"/>
      <c r="MUW23" s="137"/>
      <c r="MUX23" s="137"/>
      <c r="MUY23" s="137"/>
      <c r="MUZ23" s="137"/>
      <c r="MVA23" s="137"/>
      <c r="MVB23" s="137"/>
      <c r="MVC23" s="137"/>
      <c r="MVD23" s="137"/>
      <c r="MVE23" s="137"/>
      <c r="MVF23" s="137"/>
      <c r="MVG23" s="137"/>
      <c r="MVH23" s="137"/>
      <c r="MVI23" s="137"/>
      <c r="MVJ23" s="137"/>
      <c r="MVK23" s="137"/>
      <c r="MVL23" s="137"/>
      <c r="MVM23" s="137"/>
      <c r="MVN23" s="137"/>
      <c r="MVO23" s="137"/>
      <c r="MVP23" s="137"/>
      <c r="MVQ23" s="137"/>
      <c r="MVR23" s="137"/>
      <c r="MVS23" s="137"/>
      <c r="MVT23" s="137"/>
      <c r="MVU23" s="137"/>
      <c r="MVV23" s="137"/>
      <c r="MVW23" s="137"/>
      <c r="MVX23" s="137"/>
      <c r="MVY23" s="137"/>
      <c r="MVZ23" s="137"/>
      <c r="MWA23" s="137"/>
      <c r="MWB23" s="137"/>
      <c r="MWC23" s="137"/>
      <c r="MWD23" s="137"/>
      <c r="MWE23" s="137"/>
      <c r="MWF23" s="137"/>
      <c r="MWG23" s="137"/>
      <c r="MWH23" s="137"/>
      <c r="MWI23" s="137"/>
      <c r="MWJ23" s="137"/>
      <c r="MWK23" s="137"/>
      <c r="MWL23" s="137"/>
      <c r="MWM23" s="137"/>
      <c r="MWN23" s="137"/>
      <c r="MWO23" s="137"/>
      <c r="MWP23" s="137"/>
      <c r="MWQ23" s="137"/>
      <c r="MWR23" s="137"/>
      <c r="MWS23" s="137"/>
      <c r="MWT23" s="137"/>
      <c r="MWU23" s="137"/>
      <c r="MWV23" s="137"/>
      <c r="MWW23" s="137"/>
      <c r="MWX23" s="137"/>
      <c r="MWY23" s="137"/>
      <c r="MWZ23" s="137"/>
      <c r="MXA23" s="137"/>
      <c r="MXB23" s="137"/>
      <c r="MXC23" s="137"/>
      <c r="MXD23" s="137"/>
      <c r="MXE23" s="137"/>
      <c r="MXF23" s="137"/>
      <c r="MXG23" s="137"/>
      <c r="MXH23" s="137"/>
      <c r="MXI23" s="137"/>
      <c r="MXJ23" s="137"/>
      <c r="MXK23" s="137"/>
      <c r="MXL23" s="137"/>
      <c r="MXM23" s="137"/>
      <c r="MXN23" s="137"/>
      <c r="MXO23" s="137"/>
      <c r="MXP23" s="137"/>
      <c r="MXQ23" s="137"/>
      <c r="MXR23" s="137"/>
      <c r="MXS23" s="137"/>
      <c r="MXT23" s="137"/>
      <c r="MXU23" s="137"/>
      <c r="MXV23" s="137"/>
      <c r="MXW23" s="137"/>
      <c r="MXX23" s="137"/>
      <c r="MXY23" s="137"/>
      <c r="MXZ23" s="137"/>
      <c r="MYA23" s="137"/>
      <c r="MYB23" s="137"/>
      <c r="MYC23" s="137"/>
      <c r="MYD23" s="137"/>
      <c r="MYE23" s="137"/>
      <c r="MYF23" s="137"/>
      <c r="MYG23" s="137"/>
      <c r="MYH23" s="137"/>
      <c r="MYI23" s="137"/>
      <c r="MYJ23" s="137"/>
      <c r="MYK23" s="137"/>
      <c r="MYL23" s="137"/>
      <c r="MYM23" s="137"/>
      <c r="MYN23" s="137"/>
      <c r="MYO23" s="137"/>
      <c r="MYP23" s="137"/>
      <c r="MYQ23" s="137"/>
      <c r="MYR23" s="137"/>
      <c r="MYS23" s="137"/>
      <c r="MYT23" s="137"/>
      <c r="MYU23" s="137"/>
      <c r="MYV23" s="137"/>
      <c r="MYW23" s="137"/>
      <c r="MYX23" s="137"/>
      <c r="MYY23" s="137"/>
      <c r="MYZ23" s="137"/>
      <c r="MZA23" s="137"/>
      <c r="MZB23" s="137"/>
      <c r="MZC23" s="137"/>
      <c r="MZD23" s="137"/>
      <c r="MZE23" s="137"/>
      <c r="MZF23" s="137"/>
      <c r="MZG23" s="137"/>
      <c r="MZH23" s="137"/>
      <c r="MZI23" s="137"/>
      <c r="MZJ23" s="137"/>
      <c r="MZK23" s="137"/>
      <c r="MZL23" s="137"/>
      <c r="MZM23" s="137"/>
      <c r="MZN23" s="137"/>
      <c r="MZO23" s="137"/>
      <c r="MZP23" s="137"/>
      <c r="MZQ23" s="137"/>
      <c r="MZR23" s="137"/>
      <c r="MZS23" s="137"/>
      <c r="MZT23" s="137"/>
      <c r="MZU23" s="137"/>
      <c r="MZV23" s="137"/>
      <c r="MZW23" s="137"/>
      <c r="MZX23" s="137"/>
      <c r="MZY23" s="137"/>
      <c r="MZZ23" s="137"/>
      <c r="NAA23" s="137"/>
      <c r="NAB23" s="137"/>
      <c r="NAC23" s="137"/>
      <c r="NAD23" s="137"/>
      <c r="NAE23" s="137"/>
      <c r="NAF23" s="137"/>
      <c r="NAG23" s="137"/>
      <c r="NAH23" s="137"/>
      <c r="NAI23" s="137"/>
      <c r="NAJ23" s="137"/>
      <c r="NAK23" s="137"/>
      <c r="NAL23" s="137"/>
      <c r="NAM23" s="137"/>
      <c r="NAN23" s="137"/>
      <c r="NAO23" s="137"/>
      <c r="NAP23" s="137"/>
      <c r="NAQ23" s="137"/>
      <c r="NAR23" s="137"/>
      <c r="NAS23" s="137"/>
      <c r="NAT23" s="137"/>
      <c r="NAU23" s="137"/>
      <c r="NAV23" s="137"/>
      <c r="NAW23" s="137"/>
      <c r="NAX23" s="137"/>
      <c r="NAY23" s="137"/>
      <c r="NAZ23" s="137"/>
      <c r="NBA23" s="137"/>
      <c r="NBB23" s="137"/>
      <c r="NBC23" s="137"/>
      <c r="NBD23" s="137"/>
      <c r="NBE23" s="137"/>
      <c r="NBF23" s="137"/>
      <c r="NBG23" s="137"/>
      <c r="NBH23" s="137"/>
      <c r="NBI23" s="137"/>
      <c r="NBJ23" s="137"/>
      <c r="NBK23" s="137"/>
      <c r="NBL23" s="137"/>
      <c r="NBM23" s="137"/>
      <c r="NBN23" s="137"/>
      <c r="NBO23" s="137"/>
      <c r="NBP23" s="137"/>
      <c r="NBQ23" s="137"/>
      <c r="NBR23" s="137"/>
      <c r="NBS23" s="137"/>
      <c r="NBT23" s="137"/>
      <c r="NBU23" s="137"/>
      <c r="NBV23" s="137"/>
      <c r="NBW23" s="137"/>
      <c r="NBX23" s="137"/>
      <c r="NBY23" s="137"/>
      <c r="NBZ23" s="137"/>
      <c r="NCA23" s="137"/>
      <c r="NCB23" s="137"/>
      <c r="NCC23" s="137"/>
      <c r="NCD23" s="137"/>
      <c r="NCE23" s="137"/>
      <c r="NCF23" s="137"/>
      <c r="NCG23" s="137"/>
      <c r="NCH23" s="137"/>
      <c r="NCI23" s="137"/>
      <c r="NCJ23" s="137"/>
      <c r="NCK23" s="137"/>
      <c r="NCL23" s="137"/>
      <c r="NCM23" s="137"/>
      <c r="NCN23" s="137"/>
      <c r="NCO23" s="137"/>
      <c r="NCP23" s="137"/>
      <c r="NCQ23" s="137"/>
      <c r="NCR23" s="137"/>
      <c r="NCS23" s="137"/>
      <c r="NCT23" s="137"/>
      <c r="NCU23" s="137"/>
      <c r="NCV23" s="137"/>
      <c r="NCW23" s="137"/>
      <c r="NCX23" s="137"/>
      <c r="NCY23" s="137"/>
      <c r="NCZ23" s="137"/>
      <c r="NDA23" s="137"/>
      <c r="NDB23" s="137"/>
      <c r="NDC23" s="137"/>
      <c r="NDD23" s="137"/>
      <c r="NDE23" s="137"/>
      <c r="NDF23" s="137"/>
      <c r="NDG23" s="137"/>
      <c r="NDH23" s="137"/>
      <c r="NDI23" s="137"/>
      <c r="NDJ23" s="137"/>
      <c r="NDK23" s="137"/>
      <c r="NDL23" s="137"/>
      <c r="NDM23" s="137"/>
      <c r="NDN23" s="137"/>
      <c r="NDO23" s="137"/>
      <c r="NDP23" s="137"/>
      <c r="NDQ23" s="137"/>
      <c r="NDR23" s="137"/>
      <c r="NDS23" s="137"/>
      <c r="NDT23" s="137"/>
      <c r="NDU23" s="137"/>
      <c r="NDV23" s="137"/>
      <c r="NDW23" s="137"/>
      <c r="NDX23" s="137"/>
      <c r="NDY23" s="137"/>
      <c r="NDZ23" s="137"/>
      <c r="NEA23" s="137"/>
      <c r="NEB23" s="137"/>
      <c r="NEC23" s="137"/>
      <c r="NED23" s="137"/>
      <c r="NEE23" s="137"/>
      <c r="NEF23" s="137"/>
      <c r="NEG23" s="137"/>
      <c r="NEH23" s="137"/>
      <c r="NEI23" s="137"/>
      <c r="NEJ23" s="137"/>
      <c r="NEK23" s="137"/>
      <c r="NEL23" s="137"/>
      <c r="NEM23" s="137"/>
      <c r="NEN23" s="137"/>
      <c r="NEO23" s="137"/>
      <c r="NEP23" s="137"/>
      <c r="NEQ23" s="137"/>
      <c r="NER23" s="137"/>
      <c r="NES23" s="137"/>
      <c r="NET23" s="137"/>
      <c r="NEU23" s="137"/>
      <c r="NEV23" s="137"/>
      <c r="NEW23" s="137"/>
      <c r="NEX23" s="137"/>
      <c r="NEY23" s="137"/>
      <c r="NEZ23" s="137"/>
      <c r="NFA23" s="137"/>
      <c r="NFB23" s="137"/>
      <c r="NFC23" s="137"/>
      <c r="NFD23" s="137"/>
      <c r="NFE23" s="137"/>
      <c r="NFF23" s="137"/>
      <c r="NFG23" s="137"/>
      <c r="NFH23" s="137"/>
      <c r="NFI23" s="137"/>
      <c r="NFJ23" s="137"/>
      <c r="NFK23" s="137"/>
      <c r="NFL23" s="137"/>
      <c r="NFM23" s="137"/>
      <c r="NFN23" s="137"/>
      <c r="NFO23" s="137"/>
      <c r="NFP23" s="137"/>
      <c r="NFQ23" s="137"/>
      <c r="NFR23" s="137"/>
      <c r="NFS23" s="137"/>
      <c r="NFT23" s="137"/>
      <c r="NFU23" s="137"/>
      <c r="NFV23" s="137"/>
      <c r="NFW23" s="137"/>
      <c r="NFX23" s="137"/>
      <c r="NFY23" s="137"/>
      <c r="NFZ23" s="137"/>
      <c r="NGA23" s="137"/>
      <c r="NGB23" s="137"/>
      <c r="NGC23" s="137"/>
      <c r="NGD23" s="137"/>
      <c r="NGE23" s="137"/>
      <c r="NGF23" s="137"/>
      <c r="NGG23" s="137"/>
      <c r="NGH23" s="137"/>
      <c r="NGI23" s="137"/>
      <c r="NGJ23" s="137"/>
      <c r="NGK23" s="137"/>
      <c r="NGL23" s="137"/>
      <c r="NGM23" s="137"/>
      <c r="NGN23" s="137"/>
      <c r="NGO23" s="137"/>
      <c r="NGP23" s="137"/>
      <c r="NGQ23" s="137"/>
      <c r="NGR23" s="137"/>
      <c r="NGS23" s="137"/>
      <c r="NGT23" s="137"/>
      <c r="NGU23" s="137"/>
      <c r="NGV23" s="137"/>
      <c r="NGW23" s="137"/>
      <c r="NGX23" s="137"/>
      <c r="NGY23" s="137"/>
      <c r="NGZ23" s="137"/>
      <c r="NHA23" s="137"/>
      <c r="NHB23" s="137"/>
      <c r="NHC23" s="137"/>
      <c r="NHD23" s="137"/>
      <c r="NHE23" s="137"/>
      <c r="NHF23" s="137"/>
      <c r="NHG23" s="137"/>
      <c r="NHH23" s="137"/>
      <c r="NHI23" s="137"/>
      <c r="NHJ23" s="137"/>
      <c r="NHK23" s="137"/>
      <c r="NHL23" s="137"/>
      <c r="NHM23" s="137"/>
      <c r="NHN23" s="137"/>
      <c r="NHO23" s="137"/>
      <c r="NHP23" s="137"/>
      <c r="NHQ23" s="137"/>
      <c r="NHR23" s="137"/>
      <c r="NHS23" s="137"/>
      <c r="NHT23" s="137"/>
      <c r="NHU23" s="137"/>
      <c r="NHV23" s="137"/>
      <c r="NHW23" s="137"/>
      <c r="NHX23" s="137"/>
      <c r="NHY23" s="137"/>
      <c r="NHZ23" s="137"/>
      <c r="NIA23" s="137"/>
      <c r="NIB23" s="137"/>
      <c r="NIC23" s="137"/>
      <c r="NID23" s="137"/>
      <c r="NIE23" s="137"/>
      <c r="NIF23" s="137"/>
      <c r="NIG23" s="137"/>
      <c r="NIH23" s="137"/>
      <c r="NII23" s="137"/>
      <c r="NIJ23" s="137"/>
      <c r="NIK23" s="137"/>
      <c r="NIL23" s="137"/>
      <c r="NIM23" s="137"/>
      <c r="NIN23" s="137"/>
      <c r="NIO23" s="137"/>
      <c r="NIP23" s="137"/>
      <c r="NIQ23" s="137"/>
      <c r="NIR23" s="137"/>
      <c r="NIS23" s="137"/>
      <c r="NIT23" s="137"/>
      <c r="NIU23" s="137"/>
      <c r="NIV23" s="137"/>
      <c r="NIW23" s="137"/>
      <c r="NIX23" s="137"/>
      <c r="NIY23" s="137"/>
      <c r="NIZ23" s="137"/>
      <c r="NJA23" s="137"/>
      <c r="NJB23" s="137"/>
      <c r="NJC23" s="137"/>
      <c r="NJD23" s="137"/>
      <c r="NJE23" s="137"/>
      <c r="NJF23" s="137"/>
      <c r="NJG23" s="137"/>
      <c r="NJH23" s="137"/>
      <c r="NJI23" s="137"/>
      <c r="NJJ23" s="137"/>
      <c r="NJK23" s="137"/>
      <c r="NJL23" s="137"/>
      <c r="NJM23" s="137"/>
      <c r="NJN23" s="137"/>
      <c r="NJO23" s="137"/>
      <c r="NJP23" s="137"/>
      <c r="NJQ23" s="137"/>
      <c r="NJR23" s="137"/>
      <c r="NJS23" s="137"/>
      <c r="NJT23" s="137"/>
      <c r="NJU23" s="137"/>
      <c r="NJV23" s="137"/>
      <c r="NJW23" s="137"/>
      <c r="NJX23" s="137"/>
      <c r="NJY23" s="137"/>
      <c r="NJZ23" s="137"/>
      <c r="NKA23" s="137"/>
      <c r="NKB23" s="137"/>
      <c r="NKC23" s="137"/>
      <c r="NKD23" s="137"/>
      <c r="NKE23" s="137"/>
      <c r="NKF23" s="137"/>
      <c r="NKG23" s="137"/>
      <c r="NKH23" s="137"/>
      <c r="NKI23" s="137"/>
      <c r="NKJ23" s="137"/>
      <c r="NKK23" s="137"/>
      <c r="NKL23" s="137"/>
      <c r="NKM23" s="137"/>
      <c r="NKN23" s="137"/>
      <c r="NKO23" s="137"/>
      <c r="NKP23" s="137"/>
      <c r="NKQ23" s="137"/>
      <c r="NKR23" s="137"/>
      <c r="NKS23" s="137"/>
      <c r="NKT23" s="137"/>
      <c r="NKU23" s="137"/>
      <c r="NKV23" s="137"/>
      <c r="NKW23" s="137"/>
      <c r="NKX23" s="137"/>
      <c r="NKY23" s="137"/>
      <c r="NKZ23" s="137"/>
      <c r="NLA23" s="137"/>
      <c r="NLB23" s="137"/>
      <c r="NLC23" s="137"/>
      <c r="NLD23" s="137"/>
      <c r="NLE23" s="137"/>
      <c r="NLF23" s="137"/>
      <c r="NLG23" s="137"/>
      <c r="NLH23" s="137"/>
      <c r="NLI23" s="137"/>
      <c r="NLJ23" s="137"/>
      <c r="NLK23" s="137"/>
      <c r="NLL23" s="137"/>
      <c r="NLM23" s="137"/>
      <c r="NLN23" s="137"/>
      <c r="NLO23" s="137"/>
      <c r="NLP23" s="137"/>
      <c r="NLQ23" s="137"/>
      <c r="NLR23" s="137"/>
      <c r="NLS23" s="137"/>
      <c r="NLT23" s="137"/>
      <c r="NLU23" s="137"/>
      <c r="NLV23" s="137"/>
      <c r="NLW23" s="137"/>
      <c r="NLX23" s="137"/>
      <c r="NLY23" s="137"/>
      <c r="NLZ23" s="137"/>
      <c r="NMA23" s="137"/>
      <c r="NMB23" s="137"/>
      <c r="NMC23" s="137"/>
      <c r="NMD23" s="137"/>
      <c r="NME23" s="137"/>
      <c r="NMF23" s="137"/>
      <c r="NMG23" s="137"/>
      <c r="NMH23" s="137"/>
      <c r="NMI23" s="137"/>
      <c r="NMJ23" s="137"/>
      <c r="NMK23" s="137"/>
      <c r="NML23" s="137"/>
      <c r="NMM23" s="137"/>
      <c r="NMN23" s="137"/>
      <c r="NMO23" s="137"/>
      <c r="NMP23" s="137"/>
      <c r="NMQ23" s="137"/>
      <c r="NMR23" s="137"/>
      <c r="NMS23" s="137"/>
      <c r="NMT23" s="137"/>
      <c r="NMU23" s="137"/>
      <c r="NMV23" s="137"/>
      <c r="NMW23" s="137"/>
      <c r="NMX23" s="137"/>
      <c r="NMY23" s="137"/>
      <c r="NMZ23" s="137"/>
      <c r="NNA23" s="137"/>
      <c r="NNB23" s="137"/>
      <c r="NNC23" s="137"/>
      <c r="NND23" s="137"/>
      <c r="NNE23" s="137"/>
      <c r="NNF23" s="137"/>
      <c r="NNG23" s="137"/>
      <c r="NNH23" s="137"/>
      <c r="NNI23" s="137"/>
      <c r="NNJ23" s="137"/>
      <c r="NNK23" s="137"/>
      <c r="NNL23" s="137"/>
      <c r="NNM23" s="137"/>
      <c r="NNN23" s="137"/>
      <c r="NNO23" s="137"/>
      <c r="NNP23" s="137"/>
      <c r="NNQ23" s="137"/>
      <c r="NNR23" s="137"/>
      <c r="NNS23" s="137"/>
      <c r="NNT23" s="137"/>
      <c r="NNU23" s="137"/>
      <c r="NNV23" s="137"/>
      <c r="NNW23" s="137"/>
      <c r="NNX23" s="137"/>
      <c r="NNY23" s="137"/>
      <c r="NNZ23" s="137"/>
      <c r="NOA23" s="137"/>
      <c r="NOB23" s="137"/>
      <c r="NOC23" s="137"/>
      <c r="NOD23" s="137"/>
      <c r="NOE23" s="137"/>
      <c r="NOF23" s="137"/>
      <c r="NOG23" s="137"/>
      <c r="NOH23" s="137"/>
      <c r="NOI23" s="137"/>
      <c r="NOJ23" s="137"/>
      <c r="NOK23" s="137"/>
      <c r="NOL23" s="137"/>
      <c r="NOM23" s="137"/>
      <c r="NON23" s="137"/>
      <c r="NOO23" s="137"/>
      <c r="NOP23" s="137"/>
      <c r="NOQ23" s="137"/>
      <c r="NOR23" s="137"/>
      <c r="NOS23" s="137"/>
      <c r="NOT23" s="137"/>
      <c r="NOU23" s="137"/>
      <c r="NOV23" s="137"/>
      <c r="NOW23" s="137"/>
      <c r="NOX23" s="137"/>
      <c r="NOY23" s="137"/>
      <c r="NOZ23" s="137"/>
      <c r="NPA23" s="137"/>
      <c r="NPB23" s="137"/>
      <c r="NPC23" s="137"/>
      <c r="NPD23" s="137"/>
      <c r="NPE23" s="137"/>
      <c r="NPF23" s="137"/>
      <c r="NPG23" s="137"/>
      <c r="NPH23" s="137"/>
      <c r="NPI23" s="137"/>
      <c r="NPJ23" s="137"/>
      <c r="NPK23" s="137"/>
      <c r="NPL23" s="137"/>
      <c r="NPM23" s="137"/>
      <c r="NPN23" s="137"/>
      <c r="NPO23" s="137"/>
      <c r="NPP23" s="137"/>
      <c r="NPQ23" s="137"/>
      <c r="NPR23" s="137"/>
      <c r="NPS23" s="137"/>
      <c r="NPT23" s="137"/>
      <c r="NPU23" s="137"/>
      <c r="NPV23" s="137"/>
      <c r="NPW23" s="137"/>
      <c r="NPX23" s="137"/>
      <c r="NPY23" s="137"/>
      <c r="NPZ23" s="137"/>
      <c r="NQA23" s="137"/>
      <c r="NQB23" s="137"/>
      <c r="NQC23" s="137"/>
      <c r="NQD23" s="137"/>
      <c r="NQE23" s="137"/>
      <c r="NQF23" s="137"/>
      <c r="NQG23" s="137"/>
      <c r="NQH23" s="137"/>
      <c r="NQI23" s="137"/>
      <c r="NQJ23" s="137"/>
      <c r="NQK23" s="137"/>
      <c r="NQL23" s="137"/>
      <c r="NQM23" s="137"/>
      <c r="NQN23" s="137"/>
      <c r="NQO23" s="137"/>
      <c r="NQP23" s="137"/>
      <c r="NQQ23" s="137"/>
      <c r="NQR23" s="137"/>
      <c r="NQS23" s="137"/>
      <c r="NQT23" s="137"/>
      <c r="NQU23" s="137"/>
      <c r="NQV23" s="137"/>
      <c r="NQW23" s="137"/>
      <c r="NQX23" s="137"/>
      <c r="NQY23" s="137"/>
      <c r="NQZ23" s="137"/>
      <c r="NRA23" s="137"/>
      <c r="NRB23" s="137"/>
      <c r="NRC23" s="137"/>
      <c r="NRD23" s="137"/>
      <c r="NRE23" s="137"/>
      <c r="NRF23" s="137"/>
      <c r="NRG23" s="137"/>
      <c r="NRH23" s="137"/>
      <c r="NRI23" s="137"/>
      <c r="NRJ23" s="137"/>
      <c r="NRK23" s="137"/>
      <c r="NRL23" s="137"/>
      <c r="NRM23" s="137"/>
      <c r="NRN23" s="137"/>
      <c r="NRO23" s="137"/>
      <c r="NRP23" s="137"/>
      <c r="NRQ23" s="137"/>
      <c r="NRR23" s="137"/>
      <c r="NRS23" s="137"/>
      <c r="NRT23" s="137"/>
      <c r="NRU23" s="137"/>
      <c r="NRV23" s="137"/>
      <c r="NRW23" s="137"/>
      <c r="NRX23" s="137"/>
      <c r="NRY23" s="137"/>
      <c r="NRZ23" s="137"/>
      <c r="NSA23" s="137"/>
      <c r="NSB23" s="137"/>
      <c r="NSC23" s="137"/>
      <c r="NSD23" s="137"/>
      <c r="NSE23" s="137"/>
      <c r="NSF23" s="137"/>
      <c r="NSG23" s="137"/>
      <c r="NSH23" s="137"/>
      <c r="NSI23" s="137"/>
      <c r="NSJ23" s="137"/>
      <c r="NSK23" s="137"/>
      <c r="NSL23" s="137"/>
      <c r="NSM23" s="137"/>
      <c r="NSN23" s="137"/>
      <c r="NSO23" s="137"/>
      <c r="NSP23" s="137"/>
      <c r="NSQ23" s="137"/>
      <c r="NSR23" s="137"/>
      <c r="NSS23" s="137"/>
      <c r="NST23" s="137"/>
      <c r="NSU23" s="137"/>
      <c r="NSV23" s="137"/>
      <c r="NSW23" s="137"/>
      <c r="NSX23" s="137"/>
      <c r="NSY23" s="137"/>
      <c r="NSZ23" s="137"/>
      <c r="NTA23" s="137"/>
      <c r="NTB23" s="137"/>
      <c r="NTC23" s="137"/>
      <c r="NTD23" s="137"/>
      <c r="NTE23" s="137"/>
      <c r="NTF23" s="137"/>
      <c r="NTG23" s="137"/>
      <c r="NTH23" s="137"/>
      <c r="NTI23" s="137"/>
      <c r="NTJ23" s="137"/>
      <c r="NTK23" s="137"/>
      <c r="NTL23" s="137"/>
      <c r="NTM23" s="137"/>
      <c r="NTN23" s="137"/>
      <c r="NTO23" s="137"/>
      <c r="NTP23" s="137"/>
      <c r="NTQ23" s="137"/>
      <c r="NTR23" s="137"/>
      <c r="NTS23" s="137"/>
      <c r="NTT23" s="137"/>
      <c r="NTU23" s="137"/>
      <c r="NTV23" s="137"/>
      <c r="NTW23" s="137"/>
      <c r="NTX23" s="137"/>
      <c r="NTY23" s="137"/>
      <c r="NTZ23" s="137"/>
      <c r="NUA23" s="137"/>
      <c r="NUB23" s="137"/>
      <c r="NUC23" s="137"/>
      <c r="NUD23" s="137"/>
      <c r="NUE23" s="137"/>
      <c r="NUF23" s="137"/>
      <c r="NUG23" s="137"/>
      <c r="NUH23" s="137"/>
      <c r="NUI23" s="137"/>
      <c r="NUJ23" s="137"/>
      <c r="NUK23" s="137"/>
      <c r="NUL23" s="137"/>
      <c r="NUM23" s="137"/>
      <c r="NUN23" s="137"/>
      <c r="NUO23" s="137"/>
      <c r="NUP23" s="137"/>
      <c r="NUQ23" s="137"/>
      <c r="NUR23" s="137"/>
      <c r="NUS23" s="137"/>
      <c r="NUT23" s="137"/>
      <c r="NUU23" s="137"/>
      <c r="NUV23" s="137"/>
      <c r="NUW23" s="137"/>
      <c r="NUX23" s="137"/>
      <c r="NUY23" s="137"/>
      <c r="NUZ23" s="137"/>
      <c r="NVA23" s="137"/>
      <c r="NVB23" s="137"/>
      <c r="NVC23" s="137"/>
      <c r="NVD23" s="137"/>
      <c r="NVE23" s="137"/>
      <c r="NVF23" s="137"/>
      <c r="NVG23" s="137"/>
      <c r="NVH23" s="137"/>
      <c r="NVI23" s="137"/>
      <c r="NVJ23" s="137"/>
      <c r="NVK23" s="137"/>
      <c r="NVL23" s="137"/>
      <c r="NVM23" s="137"/>
      <c r="NVN23" s="137"/>
      <c r="NVO23" s="137"/>
      <c r="NVP23" s="137"/>
      <c r="NVQ23" s="137"/>
      <c r="NVR23" s="137"/>
      <c r="NVS23" s="137"/>
      <c r="NVT23" s="137"/>
      <c r="NVU23" s="137"/>
      <c r="NVV23" s="137"/>
      <c r="NVW23" s="137"/>
      <c r="NVX23" s="137"/>
      <c r="NVY23" s="137"/>
      <c r="NVZ23" s="137"/>
      <c r="NWA23" s="137"/>
      <c r="NWB23" s="137"/>
      <c r="NWC23" s="137"/>
      <c r="NWD23" s="137"/>
      <c r="NWE23" s="137"/>
      <c r="NWF23" s="137"/>
      <c r="NWG23" s="137"/>
      <c r="NWH23" s="137"/>
      <c r="NWI23" s="137"/>
      <c r="NWJ23" s="137"/>
      <c r="NWK23" s="137"/>
      <c r="NWL23" s="137"/>
      <c r="NWM23" s="137"/>
      <c r="NWN23" s="137"/>
      <c r="NWO23" s="137"/>
      <c r="NWP23" s="137"/>
      <c r="NWQ23" s="137"/>
      <c r="NWR23" s="137"/>
      <c r="NWS23" s="137"/>
      <c r="NWT23" s="137"/>
      <c r="NWU23" s="137"/>
      <c r="NWV23" s="137"/>
      <c r="NWW23" s="137"/>
      <c r="NWX23" s="137"/>
      <c r="NWY23" s="137"/>
      <c r="NWZ23" s="137"/>
      <c r="NXA23" s="137"/>
      <c r="NXB23" s="137"/>
      <c r="NXC23" s="137"/>
      <c r="NXD23" s="137"/>
      <c r="NXE23" s="137"/>
      <c r="NXF23" s="137"/>
      <c r="NXG23" s="137"/>
      <c r="NXH23" s="137"/>
      <c r="NXI23" s="137"/>
      <c r="NXJ23" s="137"/>
      <c r="NXK23" s="137"/>
      <c r="NXL23" s="137"/>
      <c r="NXM23" s="137"/>
      <c r="NXN23" s="137"/>
      <c r="NXO23" s="137"/>
      <c r="NXP23" s="137"/>
      <c r="NXQ23" s="137"/>
      <c r="NXR23" s="137"/>
      <c r="NXS23" s="137"/>
      <c r="NXT23" s="137"/>
      <c r="NXU23" s="137"/>
      <c r="NXV23" s="137"/>
      <c r="NXW23" s="137"/>
      <c r="NXX23" s="137"/>
      <c r="NXY23" s="137"/>
      <c r="NXZ23" s="137"/>
      <c r="NYA23" s="137"/>
      <c r="NYB23" s="137"/>
      <c r="NYC23" s="137"/>
      <c r="NYD23" s="137"/>
      <c r="NYE23" s="137"/>
      <c r="NYF23" s="137"/>
      <c r="NYG23" s="137"/>
      <c r="NYH23" s="137"/>
      <c r="NYI23" s="137"/>
      <c r="NYJ23" s="137"/>
      <c r="NYK23" s="137"/>
      <c r="NYL23" s="137"/>
      <c r="NYM23" s="137"/>
      <c r="NYN23" s="137"/>
      <c r="NYO23" s="137"/>
      <c r="NYP23" s="137"/>
      <c r="NYQ23" s="137"/>
      <c r="NYR23" s="137"/>
      <c r="NYS23" s="137"/>
      <c r="NYT23" s="137"/>
      <c r="NYU23" s="137"/>
      <c r="NYV23" s="137"/>
      <c r="NYW23" s="137"/>
      <c r="NYX23" s="137"/>
      <c r="NYY23" s="137"/>
      <c r="NYZ23" s="137"/>
      <c r="NZA23" s="137"/>
      <c r="NZB23" s="137"/>
      <c r="NZC23" s="137"/>
      <c r="NZD23" s="137"/>
      <c r="NZE23" s="137"/>
      <c r="NZF23" s="137"/>
      <c r="NZG23" s="137"/>
      <c r="NZH23" s="137"/>
      <c r="NZI23" s="137"/>
      <c r="NZJ23" s="137"/>
      <c r="NZK23" s="137"/>
      <c r="NZL23" s="137"/>
      <c r="NZM23" s="137"/>
      <c r="NZN23" s="137"/>
      <c r="NZO23" s="137"/>
      <c r="NZP23" s="137"/>
      <c r="NZQ23" s="137"/>
      <c r="NZR23" s="137"/>
      <c r="NZS23" s="137"/>
      <c r="NZT23" s="137"/>
      <c r="NZU23" s="137"/>
      <c r="NZV23" s="137"/>
      <c r="NZW23" s="137"/>
      <c r="NZX23" s="137"/>
      <c r="NZY23" s="137"/>
      <c r="NZZ23" s="137"/>
      <c r="OAA23" s="137"/>
      <c r="OAB23" s="137"/>
      <c r="OAC23" s="137"/>
      <c r="OAD23" s="137"/>
      <c r="OAE23" s="137"/>
      <c r="OAF23" s="137"/>
      <c r="OAG23" s="137"/>
      <c r="OAH23" s="137"/>
      <c r="OAI23" s="137"/>
      <c r="OAJ23" s="137"/>
      <c r="OAK23" s="137"/>
      <c r="OAL23" s="137"/>
      <c r="OAM23" s="137"/>
      <c r="OAN23" s="137"/>
      <c r="OAO23" s="137"/>
      <c r="OAP23" s="137"/>
      <c r="OAQ23" s="137"/>
      <c r="OAR23" s="137"/>
      <c r="OAS23" s="137"/>
      <c r="OAT23" s="137"/>
      <c r="OAU23" s="137"/>
      <c r="OAV23" s="137"/>
      <c r="OAW23" s="137"/>
      <c r="OAX23" s="137"/>
      <c r="OAY23" s="137"/>
      <c r="OAZ23" s="137"/>
      <c r="OBA23" s="137"/>
      <c r="OBB23" s="137"/>
      <c r="OBC23" s="137"/>
      <c r="OBD23" s="137"/>
      <c r="OBE23" s="137"/>
      <c r="OBF23" s="137"/>
      <c r="OBG23" s="137"/>
      <c r="OBH23" s="137"/>
      <c r="OBI23" s="137"/>
      <c r="OBJ23" s="137"/>
      <c r="OBK23" s="137"/>
      <c r="OBL23" s="137"/>
      <c r="OBM23" s="137"/>
      <c r="OBN23" s="137"/>
      <c r="OBO23" s="137"/>
      <c r="OBP23" s="137"/>
      <c r="OBQ23" s="137"/>
      <c r="OBR23" s="137"/>
      <c r="OBS23" s="137"/>
      <c r="OBT23" s="137"/>
      <c r="OBU23" s="137"/>
      <c r="OBV23" s="137"/>
      <c r="OBW23" s="137"/>
      <c r="OBX23" s="137"/>
      <c r="OBY23" s="137"/>
      <c r="OBZ23" s="137"/>
      <c r="OCA23" s="137"/>
      <c r="OCB23" s="137"/>
      <c r="OCC23" s="137"/>
      <c r="OCD23" s="137"/>
      <c r="OCE23" s="137"/>
      <c r="OCF23" s="137"/>
      <c r="OCG23" s="137"/>
      <c r="OCH23" s="137"/>
      <c r="OCI23" s="137"/>
      <c r="OCJ23" s="137"/>
      <c r="OCK23" s="137"/>
      <c r="OCL23" s="137"/>
      <c r="OCM23" s="137"/>
      <c r="OCN23" s="137"/>
      <c r="OCO23" s="137"/>
      <c r="OCP23" s="137"/>
      <c r="OCQ23" s="137"/>
      <c r="OCR23" s="137"/>
      <c r="OCS23" s="137"/>
      <c r="OCT23" s="137"/>
      <c r="OCU23" s="137"/>
      <c r="OCV23" s="137"/>
      <c r="OCW23" s="137"/>
      <c r="OCX23" s="137"/>
      <c r="OCY23" s="137"/>
      <c r="OCZ23" s="137"/>
      <c r="ODA23" s="137"/>
      <c r="ODB23" s="137"/>
      <c r="ODC23" s="137"/>
      <c r="ODD23" s="137"/>
      <c r="ODE23" s="137"/>
      <c r="ODF23" s="137"/>
      <c r="ODG23" s="137"/>
      <c r="ODH23" s="137"/>
      <c r="ODI23" s="137"/>
      <c r="ODJ23" s="137"/>
      <c r="ODK23" s="137"/>
      <c r="ODL23" s="137"/>
      <c r="ODM23" s="137"/>
      <c r="ODN23" s="137"/>
      <c r="ODO23" s="137"/>
      <c r="ODP23" s="137"/>
      <c r="ODQ23" s="137"/>
      <c r="ODR23" s="137"/>
      <c r="ODS23" s="137"/>
      <c r="ODT23" s="137"/>
      <c r="ODU23" s="137"/>
      <c r="ODV23" s="137"/>
      <c r="ODW23" s="137"/>
      <c r="ODX23" s="137"/>
      <c r="ODY23" s="137"/>
      <c r="ODZ23" s="137"/>
      <c r="OEA23" s="137"/>
      <c r="OEB23" s="137"/>
      <c r="OEC23" s="137"/>
      <c r="OED23" s="137"/>
      <c r="OEE23" s="137"/>
      <c r="OEF23" s="137"/>
      <c r="OEG23" s="137"/>
      <c r="OEH23" s="137"/>
      <c r="OEI23" s="137"/>
      <c r="OEJ23" s="137"/>
      <c r="OEK23" s="137"/>
      <c r="OEL23" s="137"/>
      <c r="OEM23" s="137"/>
      <c r="OEN23" s="137"/>
      <c r="OEO23" s="137"/>
      <c r="OEP23" s="137"/>
      <c r="OEQ23" s="137"/>
      <c r="OER23" s="137"/>
      <c r="OES23" s="137"/>
      <c r="OET23" s="137"/>
      <c r="OEU23" s="137"/>
      <c r="OEV23" s="137"/>
      <c r="OEW23" s="137"/>
      <c r="OEX23" s="137"/>
      <c r="OEY23" s="137"/>
      <c r="OEZ23" s="137"/>
      <c r="OFA23" s="137"/>
      <c r="OFB23" s="137"/>
      <c r="OFC23" s="137"/>
      <c r="OFD23" s="137"/>
      <c r="OFE23" s="137"/>
      <c r="OFF23" s="137"/>
      <c r="OFG23" s="137"/>
      <c r="OFH23" s="137"/>
      <c r="OFI23" s="137"/>
      <c r="OFJ23" s="137"/>
      <c r="OFK23" s="137"/>
      <c r="OFL23" s="137"/>
      <c r="OFM23" s="137"/>
      <c r="OFN23" s="137"/>
      <c r="OFO23" s="137"/>
      <c r="OFP23" s="137"/>
      <c r="OFQ23" s="137"/>
      <c r="OFR23" s="137"/>
      <c r="OFS23" s="137"/>
      <c r="OFT23" s="137"/>
      <c r="OFU23" s="137"/>
      <c r="OFV23" s="137"/>
      <c r="OFW23" s="137"/>
      <c r="OFX23" s="137"/>
      <c r="OFY23" s="137"/>
      <c r="OFZ23" s="137"/>
      <c r="OGA23" s="137"/>
      <c r="OGB23" s="137"/>
      <c r="OGC23" s="137"/>
      <c r="OGD23" s="137"/>
      <c r="OGE23" s="137"/>
      <c r="OGF23" s="137"/>
      <c r="OGG23" s="137"/>
      <c r="OGH23" s="137"/>
      <c r="OGI23" s="137"/>
      <c r="OGJ23" s="137"/>
      <c r="OGK23" s="137"/>
      <c r="OGL23" s="137"/>
      <c r="OGM23" s="137"/>
      <c r="OGN23" s="137"/>
      <c r="OGO23" s="137"/>
      <c r="OGP23" s="137"/>
      <c r="OGQ23" s="137"/>
      <c r="OGR23" s="137"/>
      <c r="OGS23" s="137"/>
      <c r="OGT23" s="137"/>
      <c r="OGU23" s="137"/>
      <c r="OGV23" s="137"/>
      <c r="OGW23" s="137"/>
      <c r="OGX23" s="137"/>
      <c r="OGY23" s="137"/>
      <c r="OGZ23" s="137"/>
      <c r="OHA23" s="137"/>
      <c r="OHB23" s="137"/>
      <c r="OHC23" s="137"/>
      <c r="OHD23" s="137"/>
      <c r="OHE23" s="137"/>
      <c r="OHF23" s="137"/>
      <c r="OHG23" s="137"/>
      <c r="OHH23" s="137"/>
      <c r="OHI23" s="137"/>
      <c r="OHJ23" s="137"/>
      <c r="OHK23" s="137"/>
      <c r="OHL23" s="137"/>
      <c r="OHM23" s="137"/>
      <c r="OHN23" s="137"/>
      <c r="OHO23" s="137"/>
      <c r="OHP23" s="137"/>
      <c r="OHQ23" s="137"/>
      <c r="OHR23" s="137"/>
      <c r="OHS23" s="137"/>
      <c r="OHT23" s="137"/>
      <c r="OHU23" s="137"/>
      <c r="OHV23" s="137"/>
      <c r="OHW23" s="137"/>
      <c r="OHX23" s="137"/>
      <c r="OHY23" s="137"/>
      <c r="OHZ23" s="137"/>
      <c r="OIA23" s="137"/>
      <c r="OIB23" s="137"/>
      <c r="OIC23" s="137"/>
      <c r="OID23" s="137"/>
      <c r="OIE23" s="137"/>
      <c r="OIF23" s="137"/>
      <c r="OIG23" s="137"/>
      <c r="OIH23" s="137"/>
      <c r="OII23" s="137"/>
      <c r="OIJ23" s="137"/>
      <c r="OIK23" s="137"/>
      <c r="OIL23" s="137"/>
      <c r="OIM23" s="137"/>
      <c r="OIN23" s="137"/>
      <c r="OIO23" s="137"/>
      <c r="OIP23" s="137"/>
      <c r="OIQ23" s="137"/>
      <c r="OIR23" s="137"/>
      <c r="OIS23" s="137"/>
      <c r="OIT23" s="137"/>
      <c r="OIU23" s="137"/>
      <c r="OIV23" s="137"/>
      <c r="OIW23" s="137"/>
      <c r="OIX23" s="137"/>
      <c r="OIY23" s="137"/>
      <c r="OIZ23" s="137"/>
      <c r="OJA23" s="137"/>
      <c r="OJB23" s="137"/>
      <c r="OJC23" s="137"/>
      <c r="OJD23" s="137"/>
      <c r="OJE23" s="137"/>
      <c r="OJF23" s="137"/>
      <c r="OJG23" s="137"/>
      <c r="OJH23" s="137"/>
      <c r="OJI23" s="137"/>
      <c r="OJJ23" s="137"/>
      <c r="OJK23" s="137"/>
      <c r="OJL23" s="137"/>
      <c r="OJM23" s="137"/>
      <c r="OJN23" s="137"/>
      <c r="OJO23" s="137"/>
      <c r="OJP23" s="137"/>
      <c r="OJQ23" s="137"/>
      <c r="OJR23" s="137"/>
      <c r="OJS23" s="137"/>
      <c r="OJT23" s="137"/>
      <c r="OJU23" s="137"/>
      <c r="OJV23" s="137"/>
      <c r="OJW23" s="137"/>
      <c r="OJX23" s="137"/>
      <c r="OJY23" s="137"/>
      <c r="OJZ23" s="137"/>
      <c r="OKA23" s="137"/>
      <c r="OKB23" s="137"/>
      <c r="OKC23" s="137"/>
      <c r="OKD23" s="137"/>
      <c r="OKE23" s="137"/>
      <c r="OKF23" s="137"/>
      <c r="OKG23" s="137"/>
      <c r="OKH23" s="137"/>
      <c r="OKI23" s="137"/>
      <c r="OKJ23" s="137"/>
      <c r="OKK23" s="137"/>
      <c r="OKL23" s="137"/>
      <c r="OKM23" s="137"/>
      <c r="OKN23" s="137"/>
      <c r="OKO23" s="137"/>
      <c r="OKP23" s="137"/>
      <c r="OKQ23" s="137"/>
      <c r="OKR23" s="137"/>
      <c r="OKS23" s="137"/>
      <c r="OKT23" s="137"/>
      <c r="OKU23" s="137"/>
      <c r="OKV23" s="137"/>
      <c r="OKW23" s="137"/>
      <c r="OKX23" s="137"/>
      <c r="OKY23" s="137"/>
      <c r="OKZ23" s="137"/>
      <c r="OLA23" s="137"/>
      <c r="OLB23" s="137"/>
      <c r="OLC23" s="137"/>
      <c r="OLD23" s="137"/>
      <c r="OLE23" s="137"/>
      <c r="OLF23" s="137"/>
      <c r="OLG23" s="137"/>
      <c r="OLH23" s="137"/>
      <c r="OLI23" s="137"/>
      <c r="OLJ23" s="137"/>
      <c r="OLK23" s="137"/>
      <c r="OLL23" s="137"/>
      <c r="OLM23" s="137"/>
      <c r="OLN23" s="137"/>
      <c r="OLO23" s="137"/>
      <c r="OLP23" s="137"/>
      <c r="OLQ23" s="137"/>
      <c r="OLR23" s="137"/>
      <c r="OLS23" s="137"/>
      <c r="OLT23" s="137"/>
      <c r="OLU23" s="137"/>
      <c r="OLV23" s="137"/>
      <c r="OLW23" s="137"/>
      <c r="OLX23" s="137"/>
      <c r="OLY23" s="137"/>
      <c r="OLZ23" s="137"/>
      <c r="OMA23" s="137"/>
      <c r="OMB23" s="137"/>
      <c r="OMC23" s="137"/>
      <c r="OMD23" s="137"/>
      <c r="OME23" s="137"/>
      <c r="OMF23" s="137"/>
      <c r="OMG23" s="137"/>
      <c r="OMH23" s="137"/>
      <c r="OMI23" s="137"/>
      <c r="OMJ23" s="137"/>
      <c r="OMK23" s="137"/>
      <c r="OML23" s="137"/>
      <c r="OMM23" s="137"/>
      <c r="OMN23" s="137"/>
      <c r="OMO23" s="137"/>
      <c r="OMP23" s="137"/>
      <c r="OMQ23" s="137"/>
      <c r="OMR23" s="137"/>
      <c r="OMS23" s="137"/>
      <c r="OMT23" s="137"/>
      <c r="OMU23" s="137"/>
      <c r="OMV23" s="137"/>
      <c r="OMW23" s="137"/>
      <c r="OMX23" s="137"/>
      <c r="OMY23" s="137"/>
      <c r="OMZ23" s="137"/>
      <c r="ONA23" s="137"/>
      <c r="ONB23" s="137"/>
      <c r="ONC23" s="137"/>
      <c r="OND23" s="137"/>
      <c r="ONE23" s="137"/>
      <c r="ONF23" s="137"/>
      <c r="ONG23" s="137"/>
      <c r="ONH23" s="137"/>
      <c r="ONI23" s="137"/>
      <c r="ONJ23" s="137"/>
      <c r="ONK23" s="137"/>
      <c r="ONL23" s="137"/>
      <c r="ONM23" s="137"/>
      <c r="ONN23" s="137"/>
      <c r="ONO23" s="137"/>
      <c r="ONP23" s="137"/>
      <c r="ONQ23" s="137"/>
      <c r="ONR23" s="137"/>
      <c r="ONS23" s="137"/>
      <c r="ONT23" s="137"/>
      <c r="ONU23" s="137"/>
      <c r="ONV23" s="137"/>
      <c r="ONW23" s="137"/>
      <c r="ONX23" s="137"/>
      <c r="ONY23" s="137"/>
      <c r="ONZ23" s="137"/>
      <c r="OOA23" s="137"/>
      <c r="OOB23" s="137"/>
      <c r="OOC23" s="137"/>
      <c r="OOD23" s="137"/>
      <c r="OOE23" s="137"/>
      <c r="OOF23" s="137"/>
      <c r="OOG23" s="137"/>
      <c r="OOH23" s="137"/>
      <c r="OOI23" s="137"/>
      <c r="OOJ23" s="137"/>
      <c r="OOK23" s="137"/>
      <c r="OOL23" s="137"/>
      <c r="OOM23" s="137"/>
      <c r="OON23" s="137"/>
      <c r="OOO23" s="137"/>
      <c r="OOP23" s="137"/>
      <c r="OOQ23" s="137"/>
      <c r="OOR23" s="137"/>
      <c r="OOS23" s="137"/>
      <c r="OOT23" s="137"/>
      <c r="OOU23" s="137"/>
      <c r="OOV23" s="137"/>
      <c r="OOW23" s="137"/>
      <c r="OOX23" s="137"/>
      <c r="OOY23" s="137"/>
      <c r="OOZ23" s="137"/>
      <c r="OPA23" s="137"/>
      <c r="OPB23" s="137"/>
      <c r="OPC23" s="137"/>
      <c r="OPD23" s="137"/>
      <c r="OPE23" s="137"/>
      <c r="OPF23" s="137"/>
      <c r="OPG23" s="137"/>
      <c r="OPH23" s="137"/>
      <c r="OPI23" s="137"/>
      <c r="OPJ23" s="137"/>
      <c r="OPK23" s="137"/>
      <c r="OPL23" s="137"/>
      <c r="OPM23" s="137"/>
      <c r="OPN23" s="137"/>
      <c r="OPO23" s="137"/>
      <c r="OPP23" s="137"/>
      <c r="OPQ23" s="137"/>
      <c r="OPR23" s="137"/>
      <c r="OPS23" s="137"/>
      <c r="OPT23" s="137"/>
      <c r="OPU23" s="137"/>
      <c r="OPV23" s="137"/>
      <c r="OPW23" s="137"/>
      <c r="OPX23" s="137"/>
      <c r="OPY23" s="137"/>
      <c r="OPZ23" s="137"/>
      <c r="OQA23" s="137"/>
      <c r="OQB23" s="137"/>
      <c r="OQC23" s="137"/>
      <c r="OQD23" s="137"/>
      <c r="OQE23" s="137"/>
      <c r="OQF23" s="137"/>
      <c r="OQG23" s="137"/>
      <c r="OQH23" s="137"/>
      <c r="OQI23" s="137"/>
      <c r="OQJ23" s="137"/>
      <c r="OQK23" s="137"/>
      <c r="OQL23" s="137"/>
      <c r="OQM23" s="137"/>
      <c r="OQN23" s="137"/>
      <c r="OQO23" s="137"/>
      <c r="OQP23" s="137"/>
      <c r="OQQ23" s="137"/>
      <c r="OQR23" s="137"/>
      <c r="OQS23" s="137"/>
      <c r="OQT23" s="137"/>
      <c r="OQU23" s="137"/>
      <c r="OQV23" s="137"/>
      <c r="OQW23" s="137"/>
      <c r="OQX23" s="137"/>
      <c r="OQY23" s="137"/>
      <c r="OQZ23" s="137"/>
      <c r="ORA23" s="137"/>
      <c r="ORB23" s="137"/>
      <c r="ORC23" s="137"/>
      <c r="ORD23" s="137"/>
      <c r="ORE23" s="137"/>
      <c r="ORF23" s="137"/>
      <c r="ORG23" s="137"/>
      <c r="ORH23" s="137"/>
      <c r="ORI23" s="137"/>
      <c r="ORJ23" s="137"/>
      <c r="ORK23" s="137"/>
      <c r="ORL23" s="137"/>
      <c r="ORM23" s="137"/>
      <c r="ORN23" s="137"/>
      <c r="ORO23" s="137"/>
      <c r="ORP23" s="137"/>
      <c r="ORQ23" s="137"/>
      <c r="ORR23" s="137"/>
      <c r="ORS23" s="137"/>
      <c r="ORT23" s="137"/>
      <c r="ORU23" s="137"/>
      <c r="ORV23" s="137"/>
      <c r="ORW23" s="137"/>
      <c r="ORX23" s="137"/>
      <c r="ORY23" s="137"/>
      <c r="ORZ23" s="137"/>
      <c r="OSA23" s="137"/>
      <c r="OSB23" s="137"/>
      <c r="OSC23" s="137"/>
      <c r="OSD23" s="137"/>
      <c r="OSE23" s="137"/>
      <c r="OSF23" s="137"/>
      <c r="OSG23" s="137"/>
      <c r="OSH23" s="137"/>
      <c r="OSI23" s="137"/>
      <c r="OSJ23" s="137"/>
      <c r="OSK23" s="137"/>
      <c r="OSL23" s="137"/>
      <c r="OSM23" s="137"/>
      <c r="OSN23" s="137"/>
      <c r="OSO23" s="137"/>
      <c r="OSP23" s="137"/>
      <c r="OSQ23" s="137"/>
      <c r="OSR23" s="137"/>
      <c r="OSS23" s="137"/>
      <c r="OST23" s="137"/>
      <c r="OSU23" s="137"/>
      <c r="OSV23" s="137"/>
      <c r="OSW23" s="137"/>
      <c r="OSX23" s="137"/>
      <c r="OSY23" s="137"/>
      <c r="OSZ23" s="137"/>
      <c r="OTA23" s="137"/>
      <c r="OTB23" s="137"/>
      <c r="OTC23" s="137"/>
      <c r="OTD23" s="137"/>
      <c r="OTE23" s="137"/>
      <c r="OTF23" s="137"/>
      <c r="OTG23" s="137"/>
      <c r="OTH23" s="137"/>
      <c r="OTI23" s="137"/>
      <c r="OTJ23" s="137"/>
      <c r="OTK23" s="137"/>
      <c r="OTL23" s="137"/>
      <c r="OTM23" s="137"/>
      <c r="OTN23" s="137"/>
      <c r="OTO23" s="137"/>
      <c r="OTP23" s="137"/>
      <c r="OTQ23" s="137"/>
      <c r="OTR23" s="137"/>
      <c r="OTS23" s="137"/>
      <c r="OTT23" s="137"/>
      <c r="OTU23" s="137"/>
      <c r="OTV23" s="137"/>
      <c r="OTW23" s="137"/>
      <c r="OTX23" s="137"/>
      <c r="OTY23" s="137"/>
      <c r="OTZ23" s="137"/>
      <c r="OUA23" s="137"/>
      <c r="OUB23" s="137"/>
      <c r="OUC23" s="137"/>
      <c r="OUD23" s="137"/>
      <c r="OUE23" s="137"/>
      <c r="OUF23" s="137"/>
      <c r="OUG23" s="137"/>
      <c r="OUH23" s="137"/>
      <c r="OUI23" s="137"/>
      <c r="OUJ23" s="137"/>
      <c r="OUK23" s="137"/>
      <c r="OUL23" s="137"/>
      <c r="OUM23" s="137"/>
      <c r="OUN23" s="137"/>
      <c r="OUO23" s="137"/>
      <c r="OUP23" s="137"/>
      <c r="OUQ23" s="137"/>
      <c r="OUR23" s="137"/>
      <c r="OUS23" s="137"/>
      <c r="OUT23" s="137"/>
      <c r="OUU23" s="137"/>
      <c r="OUV23" s="137"/>
      <c r="OUW23" s="137"/>
      <c r="OUX23" s="137"/>
      <c r="OUY23" s="137"/>
      <c r="OUZ23" s="137"/>
      <c r="OVA23" s="137"/>
      <c r="OVB23" s="137"/>
      <c r="OVC23" s="137"/>
      <c r="OVD23" s="137"/>
      <c r="OVE23" s="137"/>
      <c r="OVF23" s="137"/>
      <c r="OVG23" s="137"/>
      <c r="OVH23" s="137"/>
      <c r="OVI23" s="137"/>
      <c r="OVJ23" s="137"/>
      <c r="OVK23" s="137"/>
      <c r="OVL23" s="137"/>
      <c r="OVM23" s="137"/>
      <c r="OVN23" s="137"/>
      <c r="OVO23" s="137"/>
      <c r="OVP23" s="137"/>
      <c r="OVQ23" s="137"/>
      <c r="OVR23" s="137"/>
      <c r="OVS23" s="137"/>
      <c r="OVT23" s="137"/>
      <c r="OVU23" s="137"/>
      <c r="OVV23" s="137"/>
      <c r="OVW23" s="137"/>
      <c r="OVX23" s="137"/>
      <c r="OVY23" s="137"/>
      <c r="OVZ23" s="137"/>
      <c r="OWA23" s="137"/>
      <c r="OWB23" s="137"/>
      <c r="OWC23" s="137"/>
      <c r="OWD23" s="137"/>
      <c r="OWE23" s="137"/>
      <c r="OWF23" s="137"/>
      <c r="OWG23" s="137"/>
      <c r="OWH23" s="137"/>
      <c r="OWI23" s="137"/>
      <c r="OWJ23" s="137"/>
      <c r="OWK23" s="137"/>
      <c r="OWL23" s="137"/>
      <c r="OWM23" s="137"/>
      <c r="OWN23" s="137"/>
      <c r="OWO23" s="137"/>
      <c r="OWP23" s="137"/>
      <c r="OWQ23" s="137"/>
      <c r="OWR23" s="137"/>
      <c r="OWS23" s="137"/>
      <c r="OWT23" s="137"/>
      <c r="OWU23" s="137"/>
      <c r="OWV23" s="137"/>
      <c r="OWW23" s="137"/>
      <c r="OWX23" s="137"/>
      <c r="OWY23" s="137"/>
      <c r="OWZ23" s="137"/>
      <c r="OXA23" s="137"/>
      <c r="OXB23" s="137"/>
      <c r="OXC23" s="137"/>
      <c r="OXD23" s="137"/>
      <c r="OXE23" s="137"/>
      <c r="OXF23" s="137"/>
      <c r="OXG23" s="137"/>
      <c r="OXH23" s="137"/>
      <c r="OXI23" s="137"/>
      <c r="OXJ23" s="137"/>
      <c r="OXK23" s="137"/>
      <c r="OXL23" s="137"/>
      <c r="OXM23" s="137"/>
      <c r="OXN23" s="137"/>
      <c r="OXO23" s="137"/>
      <c r="OXP23" s="137"/>
      <c r="OXQ23" s="137"/>
      <c r="OXR23" s="137"/>
      <c r="OXS23" s="137"/>
      <c r="OXT23" s="137"/>
      <c r="OXU23" s="137"/>
      <c r="OXV23" s="137"/>
      <c r="OXW23" s="137"/>
      <c r="OXX23" s="137"/>
      <c r="OXY23" s="137"/>
      <c r="OXZ23" s="137"/>
      <c r="OYA23" s="137"/>
      <c r="OYB23" s="137"/>
      <c r="OYC23" s="137"/>
      <c r="OYD23" s="137"/>
      <c r="OYE23" s="137"/>
      <c r="OYF23" s="137"/>
      <c r="OYG23" s="137"/>
      <c r="OYH23" s="137"/>
      <c r="OYI23" s="137"/>
      <c r="OYJ23" s="137"/>
      <c r="OYK23" s="137"/>
      <c r="OYL23" s="137"/>
      <c r="OYM23" s="137"/>
      <c r="OYN23" s="137"/>
      <c r="OYO23" s="137"/>
      <c r="OYP23" s="137"/>
      <c r="OYQ23" s="137"/>
      <c r="OYR23" s="137"/>
      <c r="OYS23" s="137"/>
      <c r="OYT23" s="137"/>
      <c r="OYU23" s="137"/>
      <c r="OYV23" s="137"/>
      <c r="OYW23" s="137"/>
      <c r="OYX23" s="137"/>
      <c r="OYY23" s="137"/>
      <c r="OYZ23" s="137"/>
      <c r="OZA23" s="137"/>
      <c r="OZB23" s="137"/>
      <c r="OZC23" s="137"/>
      <c r="OZD23" s="137"/>
      <c r="OZE23" s="137"/>
      <c r="OZF23" s="137"/>
      <c r="OZG23" s="137"/>
      <c r="OZH23" s="137"/>
      <c r="OZI23" s="137"/>
      <c r="OZJ23" s="137"/>
      <c r="OZK23" s="137"/>
      <c r="OZL23" s="137"/>
      <c r="OZM23" s="137"/>
      <c r="OZN23" s="137"/>
      <c r="OZO23" s="137"/>
      <c r="OZP23" s="137"/>
      <c r="OZQ23" s="137"/>
      <c r="OZR23" s="137"/>
      <c r="OZS23" s="137"/>
      <c r="OZT23" s="137"/>
      <c r="OZU23" s="137"/>
      <c r="OZV23" s="137"/>
      <c r="OZW23" s="137"/>
      <c r="OZX23" s="137"/>
      <c r="OZY23" s="137"/>
      <c r="OZZ23" s="137"/>
      <c r="PAA23" s="137"/>
      <c r="PAB23" s="137"/>
      <c r="PAC23" s="137"/>
      <c r="PAD23" s="137"/>
      <c r="PAE23" s="137"/>
      <c r="PAF23" s="137"/>
      <c r="PAG23" s="137"/>
      <c r="PAH23" s="137"/>
      <c r="PAI23" s="137"/>
      <c r="PAJ23" s="137"/>
      <c r="PAK23" s="137"/>
      <c r="PAL23" s="137"/>
      <c r="PAM23" s="137"/>
      <c r="PAN23" s="137"/>
      <c r="PAO23" s="137"/>
      <c r="PAP23" s="137"/>
      <c r="PAQ23" s="137"/>
      <c r="PAR23" s="137"/>
      <c r="PAS23" s="137"/>
      <c r="PAT23" s="137"/>
      <c r="PAU23" s="137"/>
      <c r="PAV23" s="137"/>
      <c r="PAW23" s="137"/>
      <c r="PAX23" s="137"/>
      <c r="PAY23" s="137"/>
      <c r="PAZ23" s="137"/>
      <c r="PBA23" s="137"/>
      <c r="PBB23" s="137"/>
      <c r="PBC23" s="137"/>
      <c r="PBD23" s="137"/>
      <c r="PBE23" s="137"/>
      <c r="PBF23" s="137"/>
      <c r="PBG23" s="137"/>
      <c r="PBH23" s="137"/>
      <c r="PBI23" s="137"/>
      <c r="PBJ23" s="137"/>
      <c r="PBK23" s="137"/>
      <c r="PBL23" s="137"/>
      <c r="PBM23" s="137"/>
      <c r="PBN23" s="137"/>
      <c r="PBO23" s="137"/>
      <c r="PBP23" s="137"/>
      <c r="PBQ23" s="137"/>
      <c r="PBR23" s="137"/>
      <c r="PBS23" s="137"/>
      <c r="PBT23" s="137"/>
      <c r="PBU23" s="137"/>
      <c r="PBV23" s="137"/>
      <c r="PBW23" s="137"/>
      <c r="PBX23" s="137"/>
      <c r="PBY23" s="137"/>
      <c r="PBZ23" s="137"/>
      <c r="PCA23" s="137"/>
      <c r="PCB23" s="137"/>
      <c r="PCC23" s="137"/>
      <c r="PCD23" s="137"/>
      <c r="PCE23" s="137"/>
      <c r="PCF23" s="137"/>
      <c r="PCG23" s="137"/>
      <c r="PCH23" s="137"/>
      <c r="PCI23" s="137"/>
      <c r="PCJ23" s="137"/>
      <c r="PCK23" s="137"/>
      <c r="PCL23" s="137"/>
      <c r="PCM23" s="137"/>
      <c r="PCN23" s="137"/>
      <c r="PCO23" s="137"/>
      <c r="PCP23" s="137"/>
      <c r="PCQ23" s="137"/>
      <c r="PCR23" s="137"/>
      <c r="PCS23" s="137"/>
      <c r="PCT23" s="137"/>
      <c r="PCU23" s="137"/>
      <c r="PCV23" s="137"/>
      <c r="PCW23" s="137"/>
      <c r="PCX23" s="137"/>
      <c r="PCY23" s="137"/>
      <c r="PCZ23" s="137"/>
      <c r="PDA23" s="137"/>
      <c r="PDB23" s="137"/>
      <c r="PDC23" s="137"/>
      <c r="PDD23" s="137"/>
      <c r="PDE23" s="137"/>
      <c r="PDF23" s="137"/>
      <c r="PDG23" s="137"/>
      <c r="PDH23" s="137"/>
      <c r="PDI23" s="137"/>
      <c r="PDJ23" s="137"/>
      <c r="PDK23" s="137"/>
      <c r="PDL23" s="137"/>
      <c r="PDM23" s="137"/>
      <c r="PDN23" s="137"/>
      <c r="PDO23" s="137"/>
      <c r="PDP23" s="137"/>
      <c r="PDQ23" s="137"/>
      <c r="PDR23" s="137"/>
      <c r="PDS23" s="137"/>
      <c r="PDT23" s="137"/>
      <c r="PDU23" s="137"/>
      <c r="PDV23" s="137"/>
      <c r="PDW23" s="137"/>
      <c r="PDX23" s="137"/>
      <c r="PDY23" s="137"/>
      <c r="PDZ23" s="137"/>
      <c r="PEA23" s="137"/>
      <c r="PEB23" s="137"/>
      <c r="PEC23" s="137"/>
      <c r="PED23" s="137"/>
      <c r="PEE23" s="137"/>
      <c r="PEF23" s="137"/>
      <c r="PEG23" s="137"/>
      <c r="PEH23" s="137"/>
      <c r="PEI23" s="137"/>
      <c r="PEJ23" s="137"/>
      <c r="PEK23" s="137"/>
      <c r="PEL23" s="137"/>
      <c r="PEM23" s="137"/>
      <c r="PEN23" s="137"/>
      <c r="PEO23" s="137"/>
      <c r="PEP23" s="137"/>
      <c r="PEQ23" s="137"/>
      <c r="PER23" s="137"/>
      <c r="PES23" s="137"/>
      <c r="PET23" s="137"/>
      <c r="PEU23" s="137"/>
      <c r="PEV23" s="137"/>
      <c r="PEW23" s="137"/>
      <c r="PEX23" s="137"/>
      <c r="PEY23" s="137"/>
      <c r="PEZ23" s="137"/>
      <c r="PFA23" s="137"/>
      <c r="PFB23" s="137"/>
      <c r="PFC23" s="137"/>
      <c r="PFD23" s="137"/>
      <c r="PFE23" s="137"/>
      <c r="PFF23" s="137"/>
      <c r="PFG23" s="137"/>
      <c r="PFH23" s="137"/>
      <c r="PFI23" s="137"/>
      <c r="PFJ23" s="137"/>
      <c r="PFK23" s="137"/>
      <c r="PFL23" s="137"/>
      <c r="PFM23" s="137"/>
      <c r="PFN23" s="137"/>
      <c r="PFO23" s="137"/>
      <c r="PFP23" s="137"/>
      <c r="PFQ23" s="137"/>
      <c r="PFR23" s="137"/>
      <c r="PFS23" s="137"/>
      <c r="PFT23" s="137"/>
      <c r="PFU23" s="137"/>
      <c r="PFV23" s="137"/>
      <c r="PFW23" s="137"/>
      <c r="PFX23" s="137"/>
      <c r="PFY23" s="137"/>
      <c r="PFZ23" s="137"/>
      <c r="PGA23" s="137"/>
      <c r="PGB23" s="137"/>
      <c r="PGC23" s="137"/>
      <c r="PGD23" s="137"/>
      <c r="PGE23" s="137"/>
      <c r="PGF23" s="137"/>
      <c r="PGG23" s="137"/>
      <c r="PGH23" s="137"/>
      <c r="PGI23" s="137"/>
      <c r="PGJ23" s="137"/>
      <c r="PGK23" s="137"/>
      <c r="PGL23" s="137"/>
      <c r="PGM23" s="137"/>
      <c r="PGN23" s="137"/>
      <c r="PGO23" s="137"/>
      <c r="PGP23" s="137"/>
      <c r="PGQ23" s="137"/>
      <c r="PGR23" s="137"/>
      <c r="PGS23" s="137"/>
      <c r="PGT23" s="137"/>
      <c r="PGU23" s="137"/>
      <c r="PGV23" s="137"/>
      <c r="PGW23" s="137"/>
      <c r="PGX23" s="137"/>
      <c r="PGY23" s="137"/>
      <c r="PGZ23" s="137"/>
      <c r="PHA23" s="137"/>
      <c r="PHB23" s="137"/>
      <c r="PHC23" s="137"/>
      <c r="PHD23" s="137"/>
      <c r="PHE23" s="137"/>
      <c r="PHF23" s="137"/>
      <c r="PHG23" s="137"/>
      <c r="PHH23" s="137"/>
      <c r="PHI23" s="137"/>
      <c r="PHJ23" s="137"/>
      <c r="PHK23" s="137"/>
      <c r="PHL23" s="137"/>
      <c r="PHM23" s="137"/>
      <c r="PHN23" s="137"/>
      <c r="PHO23" s="137"/>
      <c r="PHP23" s="137"/>
      <c r="PHQ23" s="137"/>
      <c r="PHR23" s="137"/>
      <c r="PHS23" s="137"/>
      <c r="PHT23" s="137"/>
      <c r="PHU23" s="137"/>
      <c r="PHV23" s="137"/>
      <c r="PHW23" s="137"/>
      <c r="PHX23" s="137"/>
      <c r="PHY23" s="137"/>
      <c r="PHZ23" s="137"/>
      <c r="PIA23" s="137"/>
      <c r="PIB23" s="137"/>
      <c r="PIC23" s="137"/>
      <c r="PID23" s="137"/>
      <c r="PIE23" s="137"/>
      <c r="PIF23" s="137"/>
      <c r="PIG23" s="137"/>
      <c r="PIH23" s="137"/>
      <c r="PII23" s="137"/>
      <c r="PIJ23" s="137"/>
      <c r="PIK23" s="137"/>
      <c r="PIL23" s="137"/>
      <c r="PIM23" s="137"/>
      <c r="PIN23" s="137"/>
      <c r="PIO23" s="137"/>
      <c r="PIP23" s="137"/>
      <c r="PIQ23" s="137"/>
      <c r="PIR23" s="137"/>
      <c r="PIS23" s="137"/>
      <c r="PIT23" s="137"/>
      <c r="PIU23" s="137"/>
      <c r="PIV23" s="137"/>
      <c r="PIW23" s="137"/>
      <c r="PIX23" s="137"/>
      <c r="PIY23" s="137"/>
      <c r="PIZ23" s="137"/>
      <c r="PJA23" s="137"/>
      <c r="PJB23" s="137"/>
      <c r="PJC23" s="137"/>
      <c r="PJD23" s="137"/>
      <c r="PJE23" s="137"/>
      <c r="PJF23" s="137"/>
      <c r="PJG23" s="137"/>
      <c r="PJH23" s="137"/>
      <c r="PJI23" s="137"/>
      <c r="PJJ23" s="137"/>
      <c r="PJK23" s="137"/>
      <c r="PJL23" s="137"/>
      <c r="PJM23" s="137"/>
      <c r="PJN23" s="137"/>
      <c r="PJO23" s="137"/>
      <c r="PJP23" s="137"/>
      <c r="PJQ23" s="137"/>
      <c r="PJR23" s="137"/>
      <c r="PJS23" s="137"/>
      <c r="PJT23" s="137"/>
      <c r="PJU23" s="137"/>
      <c r="PJV23" s="137"/>
      <c r="PJW23" s="137"/>
      <c r="PJX23" s="137"/>
      <c r="PJY23" s="137"/>
      <c r="PJZ23" s="137"/>
      <c r="PKA23" s="137"/>
      <c r="PKB23" s="137"/>
      <c r="PKC23" s="137"/>
      <c r="PKD23" s="137"/>
      <c r="PKE23" s="137"/>
      <c r="PKF23" s="137"/>
      <c r="PKG23" s="137"/>
      <c r="PKH23" s="137"/>
      <c r="PKI23" s="137"/>
      <c r="PKJ23" s="137"/>
      <c r="PKK23" s="137"/>
      <c r="PKL23" s="137"/>
      <c r="PKM23" s="137"/>
      <c r="PKN23" s="137"/>
      <c r="PKO23" s="137"/>
      <c r="PKP23" s="137"/>
      <c r="PKQ23" s="137"/>
      <c r="PKR23" s="137"/>
      <c r="PKS23" s="137"/>
      <c r="PKT23" s="137"/>
      <c r="PKU23" s="137"/>
      <c r="PKV23" s="137"/>
      <c r="PKW23" s="137"/>
      <c r="PKX23" s="137"/>
      <c r="PKY23" s="137"/>
      <c r="PKZ23" s="137"/>
      <c r="PLA23" s="137"/>
      <c r="PLB23" s="137"/>
      <c r="PLC23" s="137"/>
      <c r="PLD23" s="137"/>
      <c r="PLE23" s="137"/>
      <c r="PLF23" s="137"/>
      <c r="PLG23" s="137"/>
      <c r="PLH23" s="137"/>
      <c r="PLI23" s="137"/>
      <c r="PLJ23" s="137"/>
      <c r="PLK23" s="137"/>
      <c r="PLL23" s="137"/>
      <c r="PLM23" s="137"/>
      <c r="PLN23" s="137"/>
      <c r="PLO23" s="137"/>
      <c r="PLP23" s="137"/>
      <c r="PLQ23" s="137"/>
      <c r="PLR23" s="137"/>
      <c r="PLS23" s="137"/>
      <c r="PLT23" s="137"/>
      <c r="PLU23" s="137"/>
      <c r="PLV23" s="137"/>
      <c r="PLW23" s="137"/>
      <c r="PLX23" s="137"/>
      <c r="PLY23" s="137"/>
      <c r="PLZ23" s="137"/>
      <c r="PMA23" s="137"/>
      <c r="PMB23" s="137"/>
      <c r="PMC23" s="137"/>
      <c r="PMD23" s="137"/>
      <c r="PME23" s="137"/>
      <c r="PMF23" s="137"/>
      <c r="PMG23" s="137"/>
      <c r="PMH23" s="137"/>
      <c r="PMI23" s="137"/>
      <c r="PMJ23" s="137"/>
      <c r="PMK23" s="137"/>
      <c r="PML23" s="137"/>
      <c r="PMM23" s="137"/>
      <c r="PMN23" s="137"/>
      <c r="PMO23" s="137"/>
      <c r="PMP23" s="137"/>
      <c r="PMQ23" s="137"/>
      <c r="PMR23" s="137"/>
      <c r="PMS23" s="137"/>
      <c r="PMT23" s="137"/>
      <c r="PMU23" s="137"/>
      <c r="PMV23" s="137"/>
      <c r="PMW23" s="137"/>
      <c r="PMX23" s="137"/>
      <c r="PMY23" s="137"/>
      <c r="PMZ23" s="137"/>
      <c r="PNA23" s="137"/>
      <c r="PNB23" s="137"/>
      <c r="PNC23" s="137"/>
      <c r="PND23" s="137"/>
      <c r="PNE23" s="137"/>
      <c r="PNF23" s="137"/>
      <c r="PNG23" s="137"/>
      <c r="PNH23" s="137"/>
      <c r="PNI23" s="137"/>
      <c r="PNJ23" s="137"/>
      <c r="PNK23" s="137"/>
      <c r="PNL23" s="137"/>
      <c r="PNM23" s="137"/>
      <c r="PNN23" s="137"/>
      <c r="PNO23" s="137"/>
      <c r="PNP23" s="137"/>
      <c r="PNQ23" s="137"/>
      <c r="PNR23" s="137"/>
      <c r="PNS23" s="137"/>
      <c r="PNT23" s="137"/>
      <c r="PNU23" s="137"/>
      <c r="PNV23" s="137"/>
      <c r="PNW23" s="137"/>
      <c r="PNX23" s="137"/>
      <c r="PNY23" s="137"/>
      <c r="PNZ23" s="137"/>
      <c r="POA23" s="137"/>
      <c r="POB23" s="137"/>
      <c r="POC23" s="137"/>
      <c r="POD23" s="137"/>
      <c r="POE23" s="137"/>
      <c r="POF23" s="137"/>
      <c r="POG23" s="137"/>
      <c r="POH23" s="137"/>
      <c r="POI23" s="137"/>
      <c r="POJ23" s="137"/>
      <c r="POK23" s="137"/>
      <c r="POL23" s="137"/>
      <c r="POM23" s="137"/>
      <c r="PON23" s="137"/>
      <c r="POO23" s="137"/>
      <c r="POP23" s="137"/>
      <c r="POQ23" s="137"/>
      <c r="POR23" s="137"/>
      <c r="POS23" s="137"/>
      <c r="POT23" s="137"/>
      <c r="POU23" s="137"/>
      <c r="POV23" s="137"/>
      <c r="POW23" s="137"/>
      <c r="POX23" s="137"/>
      <c r="POY23" s="137"/>
      <c r="POZ23" s="137"/>
      <c r="PPA23" s="137"/>
      <c r="PPB23" s="137"/>
      <c r="PPC23" s="137"/>
      <c r="PPD23" s="137"/>
      <c r="PPE23" s="137"/>
      <c r="PPF23" s="137"/>
      <c r="PPG23" s="137"/>
      <c r="PPH23" s="137"/>
      <c r="PPI23" s="137"/>
      <c r="PPJ23" s="137"/>
      <c r="PPK23" s="137"/>
      <c r="PPL23" s="137"/>
      <c r="PPM23" s="137"/>
      <c r="PPN23" s="137"/>
      <c r="PPO23" s="137"/>
      <c r="PPP23" s="137"/>
      <c r="PPQ23" s="137"/>
      <c r="PPR23" s="137"/>
      <c r="PPS23" s="137"/>
      <c r="PPT23" s="137"/>
      <c r="PPU23" s="137"/>
      <c r="PPV23" s="137"/>
      <c r="PPW23" s="137"/>
      <c r="PPX23" s="137"/>
      <c r="PPY23" s="137"/>
      <c r="PPZ23" s="137"/>
      <c r="PQA23" s="137"/>
      <c r="PQB23" s="137"/>
      <c r="PQC23" s="137"/>
      <c r="PQD23" s="137"/>
      <c r="PQE23" s="137"/>
      <c r="PQF23" s="137"/>
      <c r="PQG23" s="137"/>
      <c r="PQH23" s="137"/>
      <c r="PQI23" s="137"/>
      <c r="PQJ23" s="137"/>
      <c r="PQK23" s="137"/>
      <c r="PQL23" s="137"/>
      <c r="PQM23" s="137"/>
      <c r="PQN23" s="137"/>
      <c r="PQO23" s="137"/>
      <c r="PQP23" s="137"/>
      <c r="PQQ23" s="137"/>
      <c r="PQR23" s="137"/>
      <c r="PQS23" s="137"/>
      <c r="PQT23" s="137"/>
      <c r="PQU23" s="137"/>
      <c r="PQV23" s="137"/>
      <c r="PQW23" s="137"/>
      <c r="PQX23" s="137"/>
      <c r="PQY23" s="137"/>
      <c r="PQZ23" s="137"/>
      <c r="PRA23" s="137"/>
      <c r="PRB23" s="137"/>
      <c r="PRC23" s="137"/>
      <c r="PRD23" s="137"/>
      <c r="PRE23" s="137"/>
      <c r="PRF23" s="137"/>
      <c r="PRG23" s="137"/>
      <c r="PRH23" s="137"/>
      <c r="PRI23" s="137"/>
      <c r="PRJ23" s="137"/>
      <c r="PRK23" s="137"/>
      <c r="PRL23" s="137"/>
      <c r="PRM23" s="137"/>
      <c r="PRN23" s="137"/>
      <c r="PRO23" s="137"/>
      <c r="PRP23" s="137"/>
      <c r="PRQ23" s="137"/>
      <c r="PRR23" s="137"/>
      <c r="PRS23" s="137"/>
      <c r="PRT23" s="137"/>
      <c r="PRU23" s="137"/>
      <c r="PRV23" s="137"/>
      <c r="PRW23" s="137"/>
      <c r="PRX23" s="137"/>
      <c r="PRY23" s="137"/>
      <c r="PRZ23" s="137"/>
      <c r="PSA23" s="137"/>
      <c r="PSB23" s="137"/>
      <c r="PSC23" s="137"/>
      <c r="PSD23" s="137"/>
      <c r="PSE23" s="137"/>
      <c r="PSF23" s="137"/>
      <c r="PSG23" s="137"/>
      <c r="PSH23" s="137"/>
      <c r="PSI23" s="137"/>
      <c r="PSJ23" s="137"/>
      <c r="PSK23" s="137"/>
      <c r="PSL23" s="137"/>
      <c r="PSM23" s="137"/>
      <c r="PSN23" s="137"/>
      <c r="PSO23" s="137"/>
      <c r="PSP23" s="137"/>
      <c r="PSQ23" s="137"/>
      <c r="PSR23" s="137"/>
      <c r="PSS23" s="137"/>
      <c r="PST23" s="137"/>
      <c r="PSU23" s="137"/>
      <c r="PSV23" s="137"/>
      <c r="PSW23" s="137"/>
      <c r="PSX23" s="137"/>
      <c r="PSY23" s="137"/>
      <c r="PSZ23" s="137"/>
      <c r="PTA23" s="137"/>
      <c r="PTB23" s="137"/>
      <c r="PTC23" s="137"/>
      <c r="PTD23" s="137"/>
      <c r="PTE23" s="137"/>
      <c r="PTF23" s="137"/>
      <c r="PTG23" s="137"/>
      <c r="PTH23" s="137"/>
      <c r="PTI23" s="137"/>
      <c r="PTJ23" s="137"/>
      <c r="PTK23" s="137"/>
      <c r="PTL23" s="137"/>
      <c r="PTM23" s="137"/>
      <c r="PTN23" s="137"/>
      <c r="PTO23" s="137"/>
      <c r="PTP23" s="137"/>
      <c r="PTQ23" s="137"/>
      <c r="PTR23" s="137"/>
      <c r="PTS23" s="137"/>
      <c r="PTT23" s="137"/>
      <c r="PTU23" s="137"/>
      <c r="PTV23" s="137"/>
      <c r="PTW23" s="137"/>
      <c r="PTX23" s="137"/>
      <c r="PTY23" s="137"/>
      <c r="PTZ23" s="137"/>
      <c r="PUA23" s="137"/>
      <c r="PUB23" s="137"/>
      <c r="PUC23" s="137"/>
      <c r="PUD23" s="137"/>
      <c r="PUE23" s="137"/>
      <c r="PUF23" s="137"/>
      <c r="PUG23" s="137"/>
      <c r="PUH23" s="137"/>
      <c r="PUI23" s="137"/>
      <c r="PUJ23" s="137"/>
      <c r="PUK23" s="137"/>
      <c r="PUL23" s="137"/>
      <c r="PUM23" s="137"/>
      <c r="PUN23" s="137"/>
      <c r="PUO23" s="137"/>
      <c r="PUP23" s="137"/>
      <c r="PUQ23" s="137"/>
      <c r="PUR23" s="137"/>
      <c r="PUS23" s="137"/>
      <c r="PUT23" s="137"/>
      <c r="PUU23" s="137"/>
      <c r="PUV23" s="137"/>
      <c r="PUW23" s="137"/>
      <c r="PUX23" s="137"/>
      <c r="PUY23" s="137"/>
      <c r="PUZ23" s="137"/>
      <c r="PVA23" s="137"/>
      <c r="PVB23" s="137"/>
      <c r="PVC23" s="137"/>
      <c r="PVD23" s="137"/>
      <c r="PVE23" s="137"/>
      <c r="PVF23" s="137"/>
      <c r="PVG23" s="137"/>
      <c r="PVH23" s="137"/>
      <c r="PVI23" s="137"/>
      <c r="PVJ23" s="137"/>
      <c r="PVK23" s="137"/>
      <c r="PVL23" s="137"/>
      <c r="PVM23" s="137"/>
      <c r="PVN23" s="137"/>
      <c r="PVO23" s="137"/>
      <c r="PVP23" s="137"/>
      <c r="PVQ23" s="137"/>
      <c r="PVR23" s="137"/>
      <c r="PVS23" s="137"/>
      <c r="PVT23" s="137"/>
      <c r="PVU23" s="137"/>
      <c r="PVV23" s="137"/>
      <c r="PVW23" s="137"/>
      <c r="PVX23" s="137"/>
      <c r="PVY23" s="137"/>
      <c r="PVZ23" s="137"/>
      <c r="PWA23" s="137"/>
      <c r="PWB23" s="137"/>
      <c r="PWC23" s="137"/>
      <c r="PWD23" s="137"/>
      <c r="PWE23" s="137"/>
      <c r="PWF23" s="137"/>
      <c r="PWG23" s="137"/>
      <c r="PWH23" s="137"/>
      <c r="PWI23" s="137"/>
      <c r="PWJ23" s="137"/>
      <c r="PWK23" s="137"/>
      <c r="PWL23" s="137"/>
      <c r="PWM23" s="137"/>
      <c r="PWN23" s="137"/>
      <c r="PWO23" s="137"/>
      <c r="PWP23" s="137"/>
      <c r="PWQ23" s="137"/>
      <c r="PWR23" s="137"/>
      <c r="PWS23" s="137"/>
      <c r="PWT23" s="137"/>
      <c r="PWU23" s="137"/>
      <c r="PWV23" s="137"/>
      <c r="PWW23" s="137"/>
      <c r="PWX23" s="137"/>
      <c r="PWY23" s="137"/>
      <c r="PWZ23" s="137"/>
      <c r="PXA23" s="137"/>
      <c r="PXB23" s="137"/>
      <c r="PXC23" s="137"/>
      <c r="PXD23" s="137"/>
      <c r="PXE23" s="137"/>
      <c r="PXF23" s="137"/>
      <c r="PXG23" s="137"/>
      <c r="PXH23" s="137"/>
      <c r="PXI23" s="137"/>
      <c r="PXJ23" s="137"/>
      <c r="PXK23" s="137"/>
      <c r="PXL23" s="137"/>
      <c r="PXM23" s="137"/>
      <c r="PXN23" s="137"/>
      <c r="PXO23" s="137"/>
      <c r="PXP23" s="137"/>
      <c r="PXQ23" s="137"/>
      <c r="PXR23" s="137"/>
      <c r="PXS23" s="137"/>
      <c r="PXT23" s="137"/>
      <c r="PXU23" s="137"/>
      <c r="PXV23" s="137"/>
      <c r="PXW23" s="137"/>
      <c r="PXX23" s="137"/>
      <c r="PXY23" s="137"/>
      <c r="PXZ23" s="137"/>
      <c r="PYA23" s="137"/>
      <c r="PYB23" s="137"/>
      <c r="PYC23" s="137"/>
      <c r="PYD23" s="137"/>
      <c r="PYE23" s="137"/>
      <c r="PYF23" s="137"/>
      <c r="PYG23" s="137"/>
      <c r="PYH23" s="137"/>
      <c r="PYI23" s="137"/>
      <c r="PYJ23" s="137"/>
      <c r="PYK23" s="137"/>
      <c r="PYL23" s="137"/>
      <c r="PYM23" s="137"/>
      <c r="PYN23" s="137"/>
      <c r="PYO23" s="137"/>
      <c r="PYP23" s="137"/>
      <c r="PYQ23" s="137"/>
      <c r="PYR23" s="137"/>
      <c r="PYS23" s="137"/>
      <c r="PYT23" s="137"/>
      <c r="PYU23" s="137"/>
      <c r="PYV23" s="137"/>
      <c r="PYW23" s="137"/>
      <c r="PYX23" s="137"/>
      <c r="PYY23" s="137"/>
      <c r="PYZ23" s="137"/>
      <c r="PZA23" s="137"/>
      <c r="PZB23" s="137"/>
      <c r="PZC23" s="137"/>
      <c r="PZD23" s="137"/>
      <c r="PZE23" s="137"/>
      <c r="PZF23" s="137"/>
      <c r="PZG23" s="137"/>
      <c r="PZH23" s="137"/>
      <c r="PZI23" s="137"/>
      <c r="PZJ23" s="137"/>
      <c r="PZK23" s="137"/>
      <c r="PZL23" s="137"/>
      <c r="PZM23" s="137"/>
      <c r="PZN23" s="137"/>
      <c r="PZO23" s="137"/>
      <c r="PZP23" s="137"/>
      <c r="PZQ23" s="137"/>
      <c r="PZR23" s="137"/>
      <c r="PZS23" s="137"/>
      <c r="PZT23" s="137"/>
      <c r="PZU23" s="137"/>
      <c r="PZV23" s="137"/>
      <c r="PZW23" s="137"/>
      <c r="PZX23" s="137"/>
      <c r="PZY23" s="137"/>
      <c r="PZZ23" s="137"/>
      <c r="QAA23" s="137"/>
      <c r="QAB23" s="137"/>
      <c r="QAC23" s="137"/>
      <c r="QAD23" s="137"/>
      <c r="QAE23" s="137"/>
      <c r="QAF23" s="137"/>
      <c r="QAG23" s="137"/>
      <c r="QAH23" s="137"/>
      <c r="QAI23" s="137"/>
      <c r="QAJ23" s="137"/>
      <c r="QAK23" s="137"/>
      <c r="QAL23" s="137"/>
      <c r="QAM23" s="137"/>
      <c r="QAN23" s="137"/>
      <c r="QAO23" s="137"/>
      <c r="QAP23" s="137"/>
      <c r="QAQ23" s="137"/>
      <c r="QAR23" s="137"/>
      <c r="QAS23" s="137"/>
      <c r="QAT23" s="137"/>
      <c r="QAU23" s="137"/>
      <c r="QAV23" s="137"/>
      <c r="QAW23" s="137"/>
      <c r="QAX23" s="137"/>
      <c r="QAY23" s="137"/>
      <c r="QAZ23" s="137"/>
      <c r="QBA23" s="137"/>
      <c r="QBB23" s="137"/>
      <c r="QBC23" s="137"/>
      <c r="QBD23" s="137"/>
      <c r="QBE23" s="137"/>
      <c r="QBF23" s="137"/>
      <c r="QBG23" s="137"/>
      <c r="QBH23" s="137"/>
      <c r="QBI23" s="137"/>
      <c r="QBJ23" s="137"/>
      <c r="QBK23" s="137"/>
      <c r="QBL23" s="137"/>
      <c r="QBM23" s="137"/>
      <c r="QBN23" s="137"/>
      <c r="QBO23" s="137"/>
      <c r="QBP23" s="137"/>
      <c r="QBQ23" s="137"/>
      <c r="QBR23" s="137"/>
      <c r="QBS23" s="137"/>
      <c r="QBT23" s="137"/>
      <c r="QBU23" s="137"/>
      <c r="QBV23" s="137"/>
      <c r="QBW23" s="137"/>
      <c r="QBX23" s="137"/>
      <c r="QBY23" s="137"/>
      <c r="QBZ23" s="137"/>
      <c r="QCA23" s="137"/>
      <c r="QCB23" s="137"/>
      <c r="QCC23" s="137"/>
      <c r="QCD23" s="137"/>
      <c r="QCE23" s="137"/>
      <c r="QCF23" s="137"/>
      <c r="QCG23" s="137"/>
      <c r="QCH23" s="137"/>
      <c r="QCI23" s="137"/>
      <c r="QCJ23" s="137"/>
      <c r="QCK23" s="137"/>
      <c r="QCL23" s="137"/>
      <c r="QCM23" s="137"/>
      <c r="QCN23" s="137"/>
      <c r="QCO23" s="137"/>
      <c r="QCP23" s="137"/>
      <c r="QCQ23" s="137"/>
      <c r="QCR23" s="137"/>
      <c r="QCS23" s="137"/>
      <c r="QCT23" s="137"/>
      <c r="QCU23" s="137"/>
      <c r="QCV23" s="137"/>
      <c r="QCW23" s="137"/>
      <c r="QCX23" s="137"/>
      <c r="QCY23" s="137"/>
      <c r="QCZ23" s="137"/>
      <c r="QDA23" s="137"/>
      <c r="QDB23" s="137"/>
      <c r="QDC23" s="137"/>
      <c r="QDD23" s="137"/>
      <c r="QDE23" s="137"/>
      <c r="QDF23" s="137"/>
      <c r="QDG23" s="137"/>
      <c r="QDH23" s="137"/>
      <c r="QDI23" s="137"/>
      <c r="QDJ23" s="137"/>
      <c r="QDK23" s="137"/>
      <c r="QDL23" s="137"/>
      <c r="QDM23" s="137"/>
      <c r="QDN23" s="137"/>
      <c r="QDO23" s="137"/>
      <c r="QDP23" s="137"/>
      <c r="QDQ23" s="137"/>
      <c r="QDR23" s="137"/>
      <c r="QDS23" s="137"/>
      <c r="QDT23" s="137"/>
      <c r="QDU23" s="137"/>
      <c r="QDV23" s="137"/>
      <c r="QDW23" s="137"/>
      <c r="QDX23" s="137"/>
      <c r="QDY23" s="137"/>
      <c r="QDZ23" s="137"/>
      <c r="QEA23" s="137"/>
      <c r="QEB23" s="137"/>
      <c r="QEC23" s="137"/>
      <c r="QED23" s="137"/>
      <c r="QEE23" s="137"/>
      <c r="QEF23" s="137"/>
      <c r="QEG23" s="137"/>
      <c r="QEH23" s="137"/>
      <c r="QEI23" s="137"/>
      <c r="QEJ23" s="137"/>
      <c r="QEK23" s="137"/>
      <c r="QEL23" s="137"/>
      <c r="QEM23" s="137"/>
      <c r="QEN23" s="137"/>
      <c r="QEO23" s="137"/>
      <c r="QEP23" s="137"/>
      <c r="QEQ23" s="137"/>
      <c r="QER23" s="137"/>
      <c r="QES23" s="137"/>
      <c r="QET23" s="137"/>
      <c r="QEU23" s="137"/>
      <c r="QEV23" s="137"/>
      <c r="QEW23" s="137"/>
      <c r="QEX23" s="137"/>
      <c r="QEY23" s="137"/>
      <c r="QEZ23" s="137"/>
      <c r="QFA23" s="137"/>
      <c r="QFB23" s="137"/>
      <c r="QFC23" s="137"/>
      <c r="QFD23" s="137"/>
      <c r="QFE23" s="137"/>
      <c r="QFF23" s="137"/>
      <c r="QFG23" s="137"/>
      <c r="QFH23" s="137"/>
      <c r="QFI23" s="137"/>
      <c r="QFJ23" s="137"/>
      <c r="QFK23" s="137"/>
      <c r="QFL23" s="137"/>
      <c r="QFM23" s="137"/>
      <c r="QFN23" s="137"/>
      <c r="QFO23" s="137"/>
      <c r="QFP23" s="137"/>
      <c r="QFQ23" s="137"/>
      <c r="QFR23" s="137"/>
      <c r="QFS23" s="137"/>
      <c r="QFT23" s="137"/>
      <c r="QFU23" s="137"/>
      <c r="QFV23" s="137"/>
      <c r="QFW23" s="137"/>
      <c r="QFX23" s="137"/>
      <c r="QFY23" s="137"/>
      <c r="QFZ23" s="137"/>
      <c r="QGA23" s="137"/>
      <c r="QGB23" s="137"/>
      <c r="QGC23" s="137"/>
      <c r="QGD23" s="137"/>
      <c r="QGE23" s="137"/>
      <c r="QGF23" s="137"/>
      <c r="QGG23" s="137"/>
      <c r="QGH23" s="137"/>
      <c r="QGI23" s="137"/>
      <c r="QGJ23" s="137"/>
      <c r="QGK23" s="137"/>
      <c r="QGL23" s="137"/>
      <c r="QGM23" s="137"/>
      <c r="QGN23" s="137"/>
      <c r="QGO23" s="137"/>
      <c r="QGP23" s="137"/>
      <c r="QGQ23" s="137"/>
      <c r="QGR23" s="137"/>
      <c r="QGS23" s="137"/>
      <c r="QGT23" s="137"/>
      <c r="QGU23" s="137"/>
      <c r="QGV23" s="137"/>
      <c r="QGW23" s="137"/>
      <c r="QGX23" s="137"/>
      <c r="QGY23" s="137"/>
      <c r="QGZ23" s="137"/>
      <c r="QHA23" s="137"/>
      <c r="QHB23" s="137"/>
      <c r="QHC23" s="137"/>
      <c r="QHD23" s="137"/>
      <c r="QHE23" s="137"/>
      <c r="QHF23" s="137"/>
      <c r="QHG23" s="137"/>
      <c r="QHH23" s="137"/>
      <c r="QHI23" s="137"/>
      <c r="QHJ23" s="137"/>
      <c r="QHK23" s="137"/>
      <c r="QHL23" s="137"/>
      <c r="QHM23" s="137"/>
      <c r="QHN23" s="137"/>
      <c r="QHO23" s="137"/>
      <c r="QHP23" s="137"/>
      <c r="QHQ23" s="137"/>
      <c r="QHR23" s="137"/>
      <c r="QHS23" s="137"/>
      <c r="QHT23" s="137"/>
      <c r="QHU23" s="137"/>
      <c r="QHV23" s="137"/>
      <c r="QHW23" s="137"/>
      <c r="QHX23" s="137"/>
      <c r="QHY23" s="137"/>
      <c r="QHZ23" s="137"/>
      <c r="QIA23" s="137"/>
      <c r="QIB23" s="137"/>
      <c r="QIC23" s="137"/>
      <c r="QID23" s="137"/>
      <c r="QIE23" s="137"/>
      <c r="QIF23" s="137"/>
      <c r="QIG23" s="137"/>
      <c r="QIH23" s="137"/>
      <c r="QII23" s="137"/>
      <c r="QIJ23" s="137"/>
      <c r="QIK23" s="137"/>
      <c r="QIL23" s="137"/>
      <c r="QIM23" s="137"/>
      <c r="QIN23" s="137"/>
      <c r="QIO23" s="137"/>
      <c r="QIP23" s="137"/>
      <c r="QIQ23" s="137"/>
      <c r="QIR23" s="137"/>
      <c r="QIS23" s="137"/>
      <c r="QIT23" s="137"/>
      <c r="QIU23" s="137"/>
      <c r="QIV23" s="137"/>
      <c r="QIW23" s="137"/>
      <c r="QIX23" s="137"/>
      <c r="QIY23" s="137"/>
      <c r="QIZ23" s="137"/>
      <c r="QJA23" s="137"/>
      <c r="QJB23" s="137"/>
      <c r="QJC23" s="137"/>
      <c r="QJD23" s="137"/>
      <c r="QJE23" s="137"/>
      <c r="QJF23" s="137"/>
      <c r="QJG23" s="137"/>
      <c r="QJH23" s="137"/>
      <c r="QJI23" s="137"/>
      <c r="QJJ23" s="137"/>
      <c r="QJK23" s="137"/>
      <c r="QJL23" s="137"/>
      <c r="QJM23" s="137"/>
      <c r="QJN23" s="137"/>
      <c r="QJO23" s="137"/>
      <c r="QJP23" s="137"/>
      <c r="QJQ23" s="137"/>
      <c r="QJR23" s="137"/>
      <c r="QJS23" s="137"/>
      <c r="QJT23" s="137"/>
      <c r="QJU23" s="137"/>
      <c r="QJV23" s="137"/>
      <c r="QJW23" s="137"/>
      <c r="QJX23" s="137"/>
      <c r="QJY23" s="137"/>
      <c r="QJZ23" s="137"/>
      <c r="QKA23" s="137"/>
      <c r="QKB23" s="137"/>
      <c r="QKC23" s="137"/>
      <c r="QKD23" s="137"/>
      <c r="QKE23" s="137"/>
      <c r="QKF23" s="137"/>
      <c r="QKG23" s="137"/>
      <c r="QKH23" s="137"/>
      <c r="QKI23" s="137"/>
      <c r="QKJ23" s="137"/>
      <c r="QKK23" s="137"/>
      <c r="QKL23" s="137"/>
      <c r="QKM23" s="137"/>
      <c r="QKN23" s="137"/>
      <c r="QKO23" s="137"/>
      <c r="QKP23" s="137"/>
      <c r="QKQ23" s="137"/>
      <c r="QKR23" s="137"/>
      <c r="QKS23" s="137"/>
      <c r="QKT23" s="137"/>
      <c r="QKU23" s="137"/>
      <c r="QKV23" s="137"/>
      <c r="QKW23" s="137"/>
      <c r="QKX23" s="137"/>
      <c r="QKY23" s="137"/>
      <c r="QKZ23" s="137"/>
      <c r="QLA23" s="137"/>
      <c r="QLB23" s="137"/>
      <c r="QLC23" s="137"/>
      <c r="QLD23" s="137"/>
      <c r="QLE23" s="137"/>
      <c r="QLF23" s="137"/>
      <c r="QLG23" s="137"/>
      <c r="QLH23" s="137"/>
      <c r="QLI23" s="137"/>
      <c r="QLJ23" s="137"/>
      <c r="QLK23" s="137"/>
      <c r="QLL23" s="137"/>
      <c r="QLM23" s="137"/>
      <c r="QLN23" s="137"/>
      <c r="QLO23" s="137"/>
      <c r="QLP23" s="137"/>
      <c r="QLQ23" s="137"/>
      <c r="QLR23" s="137"/>
      <c r="QLS23" s="137"/>
      <c r="QLT23" s="137"/>
      <c r="QLU23" s="137"/>
      <c r="QLV23" s="137"/>
      <c r="QLW23" s="137"/>
      <c r="QLX23" s="137"/>
      <c r="QLY23" s="137"/>
      <c r="QLZ23" s="137"/>
      <c r="QMA23" s="137"/>
      <c r="QMB23" s="137"/>
      <c r="QMC23" s="137"/>
      <c r="QMD23" s="137"/>
      <c r="QME23" s="137"/>
      <c r="QMF23" s="137"/>
      <c r="QMG23" s="137"/>
      <c r="QMH23" s="137"/>
      <c r="QMI23" s="137"/>
      <c r="QMJ23" s="137"/>
      <c r="QMK23" s="137"/>
      <c r="QML23" s="137"/>
      <c r="QMM23" s="137"/>
      <c r="QMN23" s="137"/>
      <c r="QMO23" s="137"/>
      <c r="QMP23" s="137"/>
      <c r="QMQ23" s="137"/>
      <c r="QMR23" s="137"/>
      <c r="QMS23" s="137"/>
      <c r="QMT23" s="137"/>
      <c r="QMU23" s="137"/>
      <c r="QMV23" s="137"/>
      <c r="QMW23" s="137"/>
      <c r="QMX23" s="137"/>
      <c r="QMY23" s="137"/>
      <c r="QMZ23" s="137"/>
      <c r="QNA23" s="137"/>
      <c r="QNB23" s="137"/>
      <c r="QNC23" s="137"/>
      <c r="QND23" s="137"/>
      <c r="QNE23" s="137"/>
      <c r="QNF23" s="137"/>
      <c r="QNG23" s="137"/>
      <c r="QNH23" s="137"/>
      <c r="QNI23" s="137"/>
      <c r="QNJ23" s="137"/>
      <c r="QNK23" s="137"/>
      <c r="QNL23" s="137"/>
      <c r="QNM23" s="137"/>
      <c r="QNN23" s="137"/>
      <c r="QNO23" s="137"/>
      <c r="QNP23" s="137"/>
      <c r="QNQ23" s="137"/>
      <c r="QNR23" s="137"/>
      <c r="QNS23" s="137"/>
      <c r="QNT23" s="137"/>
      <c r="QNU23" s="137"/>
      <c r="QNV23" s="137"/>
      <c r="QNW23" s="137"/>
      <c r="QNX23" s="137"/>
      <c r="QNY23" s="137"/>
      <c r="QNZ23" s="137"/>
      <c r="QOA23" s="137"/>
      <c r="QOB23" s="137"/>
      <c r="QOC23" s="137"/>
      <c r="QOD23" s="137"/>
      <c r="QOE23" s="137"/>
      <c r="QOF23" s="137"/>
      <c r="QOG23" s="137"/>
      <c r="QOH23" s="137"/>
      <c r="QOI23" s="137"/>
      <c r="QOJ23" s="137"/>
      <c r="QOK23" s="137"/>
      <c r="QOL23" s="137"/>
      <c r="QOM23" s="137"/>
      <c r="QON23" s="137"/>
      <c r="QOO23" s="137"/>
      <c r="QOP23" s="137"/>
      <c r="QOQ23" s="137"/>
      <c r="QOR23" s="137"/>
      <c r="QOS23" s="137"/>
      <c r="QOT23" s="137"/>
      <c r="QOU23" s="137"/>
      <c r="QOV23" s="137"/>
      <c r="QOW23" s="137"/>
      <c r="QOX23" s="137"/>
      <c r="QOY23" s="137"/>
      <c r="QOZ23" s="137"/>
      <c r="QPA23" s="137"/>
      <c r="QPB23" s="137"/>
      <c r="QPC23" s="137"/>
      <c r="QPD23" s="137"/>
      <c r="QPE23" s="137"/>
      <c r="QPF23" s="137"/>
      <c r="QPG23" s="137"/>
      <c r="QPH23" s="137"/>
      <c r="QPI23" s="137"/>
      <c r="QPJ23" s="137"/>
      <c r="QPK23" s="137"/>
      <c r="QPL23" s="137"/>
      <c r="QPM23" s="137"/>
      <c r="QPN23" s="137"/>
      <c r="QPO23" s="137"/>
      <c r="QPP23" s="137"/>
      <c r="QPQ23" s="137"/>
      <c r="QPR23" s="137"/>
      <c r="QPS23" s="137"/>
      <c r="QPT23" s="137"/>
      <c r="QPU23" s="137"/>
      <c r="QPV23" s="137"/>
      <c r="QPW23" s="137"/>
      <c r="QPX23" s="137"/>
      <c r="QPY23" s="137"/>
      <c r="QPZ23" s="137"/>
      <c r="QQA23" s="137"/>
      <c r="QQB23" s="137"/>
      <c r="QQC23" s="137"/>
      <c r="QQD23" s="137"/>
      <c r="QQE23" s="137"/>
      <c r="QQF23" s="137"/>
      <c r="QQG23" s="137"/>
      <c r="QQH23" s="137"/>
      <c r="QQI23" s="137"/>
      <c r="QQJ23" s="137"/>
      <c r="QQK23" s="137"/>
      <c r="QQL23" s="137"/>
      <c r="QQM23" s="137"/>
      <c r="QQN23" s="137"/>
      <c r="QQO23" s="137"/>
      <c r="QQP23" s="137"/>
      <c r="QQQ23" s="137"/>
      <c r="QQR23" s="137"/>
      <c r="QQS23" s="137"/>
      <c r="QQT23" s="137"/>
      <c r="QQU23" s="137"/>
      <c r="QQV23" s="137"/>
      <c r="QQW23" s="137"/>
      <c r="QQX23" s="137"/>
      <c r="QQY23" s="137"/>
      <c r="QQZ23" s="137"/>
      <c r="QRA23" s="137"/>
      <c r="QRB23" s="137"/>
      <c r="QRC23" s="137"/>
      <c r="QRD23" s="137"/>
      <c r="QRE23" s="137"/>
      <c r="QRF23" s="137"/>
      <c r="QRG23" s="137"/>
      <c r="QRH23" s="137"/>
      <c r="QRI23" s="137"/>
      <c r="QRJ23" s="137"/>
      <c r="QRK23" s="137"/>
      <c r="QRL23" s="137"/>
      <c r="QRM23" s="137"/>
      <c r="QRN23" s="137"/>
      <c r="QRO23" s="137"/>
      <c r="QRP23" s="137"/>
      <c r="QRQ23" s="137"/>
      <c r="QRR23" s="137"/>
      <c r="QRS23" s="137"/>
      <c r="QRT23" s="137"/>
      <c r="QRU23" s="137"/>
      <c r="QRV23" s="137"/>
      <c r="QRW23" s="137"/>
      <c r="QRX23" s="137"/>
      <c r="QRY23" s="137"/>
      <c r="QRZ23" s="137"/>
      <c r="QSA23" s="137"/>
      <c r="QSB23" s="137"/>
      <c r="QSC23" s="137"/>
      <c r="QSD23" s="137"/>
      <c r="QSE23" s="137"/>
      <c r="QSF23" s="137"/>
      <c r="QSG23" s="137"/>
      <c r="QSH23" s="137"/>
      <c r="QSI23" s="137"/>
      <c r="QSJ23" s="137"/>
      <c r="QSK23" s="137"/>
      <c r="QSL23" s="137"/>
      <c r="QSM23" s="137"/>
      <c r="QSN23" s="137"/>
      <c r="QSO23" s="137"/>
      <c r="QSP23" s="137"/>
      <c r="QSQ23" s="137"/>
      <c r="QSR23" s="137"/>
      <c r="QSS23" s="137"/>
      <c r="QST23" s="137"/>
      <c r="QSU23" s="137"/>
      <c r="QSV23" s="137"/>
      <c r="QSW23" s="137"/>
      <c r="QSX23" s="137"/>
      <c r="QSY23" s="137"/>
      <c r="QSZ23" s="137"/>
      <c r="QTA23" s="137"/>
      <c r="QTB23" s="137"/>
      <c r="QTC23" s="137"/>
      <c r="QTD23" s="137"/>
      <c r="QTE23" s="137"/>
      <c r="QTF23" s="137"/>
      <c r="QTG23" s="137"/>
      <c r="QTH23" s="137"/>
      <c r="QTI23" s="137"/>
      <c r="QTJ23" s="137"/>
      <c r="QTK23" s="137"/>
      <c r="QTL23" s="137"/>
      <c r="QTM23" s="137"/>
      <c r="QTN23" s="137"/>
      <c r="QTO23" s="137"/>
      <c r="QTP23" s="137"/>
      <c r="QTQ23" s="137"/>
      <c r="QTR23" s="137"/>
      <c r="QTS23" s="137"/>
      <c r="QTT23" s="137"/>
      <c r="QTU23" s="137"/>
      <c r="QTV23" s="137"/>
      <c r="QTW23" s="137"/>
      <c r="QTX23" s="137"/>
      <c r="QTY23" s="137"/>
      <c r="QTZ23" s="137"/>
      <c r="QUA23" s="137"/>
      <c r="QUB23" s="137"/>
      <c r="QUC23" s="137"/>
      <c r="QUD23" s="137"/>
      <c r="QUE23" s="137"/>
      <c r="QUF23" s="137"/>
      <c r="QUG23" s="137"/>
      <c r="QUH23" s="137"/>
      <c r="QUI23" s="137"/>
      <c r="QUJ23" s="137"/>
      <c r="QUK23" s="137"/>
      <c r="QUL23" s="137"/>
      <c r="QUM23" s="137"/>
      <c r="QUN23" s="137"/>
      <c r="QUO23" s="137"/>
      <c r="QUP23" s="137"/>
      <c r="QUQ23" s="137"/>
      <c r="QUR23" s="137"/>
      <c r="QUS23" s="137"/>
      <c r="QUT23" s="137"/>
      <c r="QUU23" s="137"/>
      <c r="QUV23" s="137"/>
      <c r="QUW23" s="137"/>
      <c r="QUX23" s="137"/>
      <c r="QUY23" s="137"/>
      <c r="QUZ23" s="137"/>
      <c r="QVA23" s="137"/>
      <c r="QVB23" s="137"/>
      <c r="QVC23" s="137"/>
      <c r="QVD23" s="137"/>
      <c r="QVE23" s="137"/>
      <c r="QVF23" s="137"/>
      <c r="QVG23" s="137"/>
      <c r="QVH23" s="137"/>
      <c r="QVI23" s="137"/>
      <c r="QVJ23" s="137"/>
      <c r="QVK23" s="137"/>
      <c r="QVL23" s="137"/>
      <c r="QVM23" s="137"/>
      <c r="QVN23" s="137"/>
      <c r="QVO23" s="137"/>
      <c r="QVP23" s="137"/>
      <c r="QVQ23" s="137"/>
      <c r="QVR23" s="137"/>
      <c r="QVS23" s="137"/>
      <c r="QVT23" s="137"/>
      <c r="QVU23" s="137"/>
      <c r="QVV23" s="137"/>
      <c r="QVW23" s="137"/>
      <c r="QVX23" s="137"/>
      <c r="QVY23" s="137"/>
      <c r="QVZ23" s="137"/>
      <c r="QWA23" s="137"/>
      <c r="QWB23" s="137"/>
      <c r="QWC23" s="137"/>
      <c r="QWD23" s="137"/>
      <c r="QWE23" s="137"/>
      <c r="QWF23" s="137"/>
      <c r="QWG23" s="137"/>
      <c r="QWH23" s="137"/>
      <c r="QWI23" s="137"/>
      <c r="QWJ23" s="137"/>
      <c r="QWK23" s="137"/>
      <c r="QWL23" s="137"/>
      <c r="QWM23" s="137"/>
      <c r="QWN23" s="137"/>
      <c r="QWO23" s="137"/>
      <c r="QWP23" s="137"/>
      <c r="QWQ23" s="137"/>
      <c r="QWR23" s="137"/>
      <c r="QWS23" s="137"/>
      <c r="QWT23" s="137"/>
      <c r="QWU23" s="137"/>
      <c r="QWV23" s="137"/>
      <c r="QWW23" s="137"/>
      <c r="QWX23" s="137"/>
      <c r="QWY23" s="137"/>
      <c r="QWZ23" s="137"/>
      <c r="QXA23" s="137"/>
      <c r="QXB23" s="137"/>
      <c r="QXC23" s="137"/>
      <c r="QXD23" s="137"/>
      <c r="QXE23" s="137"/>
      <c r="QXF23" s="137"/>
      <c r="QXG23" s="137"/>
      <c r="QXH23" s="137"/>
      <c r="QXI23" s="137"/>
      <c r="QXJ23" s="137"/>
      <c r="QXK23" s="137"/>
      <c r="QXL23" s="137"/>
      <c r="QXM23" s="137"/>
      <c r="QXN23" s="137"/>
      <c r="QXO23" s="137"/>
      <c r="QXP23" s="137"/>
      <c r="QXQ23" s="137"/>
      <c r="QXR23" s="137"/>
      <c r="QXS23" s="137"/>
      <c r="QXT23" s="137"/>
      <c r="QXU23" s="137"/>
      <c r="QXV23" s="137"/>
      <c r="QXW23" s="137"/>
      <c r="QXX23" s="137"/>
      <c r="QXY23" s="137"/>
      <c r="QXZ23" s="137"/>
      <c r="QYA23" s="137"/>
      <c r="QYB23" s="137"/>
      <c r="QYC23" s="137"/>
      <c r="QYD23" s="137"/>
      <c r="QYE23" s="137"/>
      <c r="QYF23" s="137"/>
      <c r="QYG23" s="137"/>
      <c r="QYH23" s="137"/>
      <c r="QYI23" s="137"/>
      <c r="QYJ23" s="137"/>
      <c r="QYK23" s="137"/>
      <c r="QYL23" s="137"/>
      <c r="QYM23" s="137"/>
      <c r="QYN23" s="137"/>
      <c r="QYO23" s="137"/>
      <c r="QYP23" s="137"/>
      <c r="QYQ23" s="137"/>
      <c r="QYR23" s="137"/>
      <c r="QYS23" s="137"/>
      <c r="QYT23" s="137"/>
      <c r="QYU23" s="137"/>
      <c r="QYV23" s="137"/>
      <c r="QYW23" s="137"/>
      <c r="QYX23" s="137"/>
      <c r="QYY23" s="137"/>
      <c r="QYZ23" s="137"/>
      <c r="QZA23" s="137"/>
      <c r="QZB23" s="137"/>
      <c r="QZC23" s="137"/>
      <c r="QZD23" s="137"/>
      <c r="QZE23" s="137"/>
      <c r="QZF23" s="137"/>
      <c r="QZG23" s="137"/>
      <c r="QZH23" s="137"/>
      <c r="QZI23" s="137"/>
      <c r="QZJ23" s="137"/>
      <c r="QZK23" s="137"/>
      <c r="QZL23" s="137"/>
      <c r="QZM23" s="137"/>
      <c r="QZN23" s="137"/>
      <c r="QZO23" s="137"/>
      <c r="QZP23" s="137"/>
      <c r="QZQ23" s="137"/>
      <c r="QZR23" s="137"/>
      <c r="QZS23" s="137"/>
      <c r="QZT23" s="137"/>
      <c r="QZU23" s="137"/>
      <c r="QZV23" s="137"/>
      <c r="QZW23" s="137"/>
      <c r="QZX23" s="137"/>
      <c r="QZY23" s="137"/>
      <c r="QZZ23" s="137"/>
      <c r="RAA23" s="137"/>
      <c r="RAB23" s="137"/>
      <c r="RAC23" s="137"/>
      <c r="RAD23" s="137"/>
      <c r="RAE23" s="137"/>
      <c r="RAF23" s="137"/>
      <c r="RAG23" s="137"/>
      <c r="RAH23" s="137"/>
      <c r="RAI23" s="137"/>
      <c r="RAJ23" s="137"/>
      <c r="RAK23" s="137"/>
      <c r="RAL23" s="137"/>
      <c r="RAM23" s="137"/>
      <c r="RAN23" s="137"/>
      <c r="RAO23" s="137"/>
      <c r="RAP23" s="137"/>
      <c r="RAQ23" s="137"/>
      <c r="RAR23" s="137"/>
      <c r="RAS23" s="137"/>
      <c r="RAT23" s="137"/>
      <c r="RAU23" s="137"/>
      <c r="RAV23" s="137"/>
      <c r="RAW23" s="137"/>
      <c r="RAX23" s="137"/>
      <c r="RAY23" s="137"/>
      <c r="RAZ23" s="137"/>
      <c r="RBA23" s="137"/>
      <c r="RBB23" s="137"/>
      <c r="RBC23" s="137"/>
      <c r="RBD23" s="137"/>
      <c r="RBE23" s="137"/>
      <c r="RBF23" s="137"/>
      <c r="RBG23" s="137"/>
      <c r="RBH23" s="137"/>
      <c r="RBI23" s="137"/>
      <c r="RBJ23" s="137"/>
      <c r="RBK23" s="137"/>
      <c r="RBL23" s="137"/>
      <c r="RBM23" s="137"/>
      <c r="RBN23" s="137"/>
      <c r="RBO23" s="137"/>
      <c r="RBP23" s="137"/>
      <c r="RBQ23" s="137"/>
      <c r="RBR23" s="137"/>
      <c r="RBS23" s="137"/>
      <c r="RBT23" s="137"/>
      <c r="RBU23" s="137"/>
      <c r="RBV23" s="137"/>
      <c r="RBW23" s="137"/>
      <c r="RBX23" s="137"/>
      <c r="RBY23" s="137"/>
      <c r="RBZ23" s="137"/>
      <c r="RCA23" s="137"/>
      <c r="RCB23" s="137"/>
      <c r="RCC23" s="137"/>
      <c r="RCD23" s="137"/>
      <c r="RCE23" s="137"/>
      <c r="RCF23" s="137"/>
      <c r="RCG23" s="137"/>
      <c r="RCH23" s="137"/>
      <c r="RCI23" s="137"/>
      <c r="RCJ23" s="137"/>
      <c r="RCK23" s="137"/>
      <c r="RCL23" s="137"/>
      <c r="RCM23" s="137"/>
      <c r="RCN23" s="137"/>
      <c r="RCO23" s="137"/>
      <c r="RCP23" s="137"/>
      <c r="RCQ23" s="137"/>
      <c r="RCR23" s="137"/>
      <c r="RCS23" s="137"/>
      <c r="RCT23" s="137"/>
      <c r="RCU23" s="137"/>
      <c r="RCV23" s="137"/>
      <c r="RCW23" s="137"/>
      <c r="RCX23" s="137"/>
      <c r="RCY23" s="137"/>
      <c r="RCZ23" s="137"/>
      <c r="RDA23" s="137"/>
      <c r="RDB23" s="137"/>
      <c r="RDC23" s="137"/>
      <c r="RDD23" s="137"/>
      <c r="RDE23" s="137"/>
      <c r="RDF23" s="137"/>
      <c r="RDG23" s="137"/>
      <c r="RDH23" s="137"/>
      <c r="RDI23" s="137"/>
      <c r="RDJ23" s="137"/>
      <c r="RDK23" s="137"/>
      <c r="RDL23" s="137"/>
      <c r="RDM23" s="137"/>
      <c r="RDN23" s="137"/>
      <c r="RDO23" s="137"/>
      <c r="RDP23" s="137"/>
      <c r="RDQ23" s="137"/>
      <c r="RDR23" s="137"/>
      <c r="RDS23" s="137"/>
      <c r="RDT23" s="137"/>
      <c r="RDU23" s="137"/>
      <c r="RDV23" s="137"/>
      <c r="RDW23" s="137"/>
      <c r="RDX23" s="137"/>
      <c r="RDY23" s="137"/>
      <c r="RDZ23" s="137"/>
      <c r="REA23" s="137"/>
      <c r="REB23" s="137"/>
      <c r="REC23" s="137"/>
      <c r="RED23" s="137"/>
      <c r="REE23" s="137"/>
      <c r="REF23" s="137"/>
      <c r="REG23" s="137"/>
      <c r="REH23" s="137"/>
      <c r="REI23" s="137"/>
      <c r="REJ23" s="137"/>
      <c r="REK23" s="137"/>
      <c r="REL23" s="137"/>
      <c r="REM23" s="137"/>
      <c r="REN23" s="137"/>
      <c r="REO23" s="137"/>
      <c r="REP23" s="137"/>
      <c r="REQ23" s="137"/>
      <c r="RER23" s="137"/>
      <c r="RES23" s="137"/>
      <c r="RET23" s="137"/>
      <c r="REU23" s="137"/>
      <c r="REV23" s="137"/>
      <c r="REW23" s="137"/>
      <c r="REX23" s="137"/>
      <c r="REY23" s="137"/>
      <c r="REZ23" s="137"/>
      <c r="RFA23" s="137"/>
      <c r="RFB23" s="137"/>
      <c r="RFC23" s="137"/>
      <c r="RFD23" s="137"/>
      <c r="RFE23" s="137"/>
      <c r="RFF23" s="137"/>
      <c r="RFG23" s="137"/>
      <c r="RFH23" s="137"/>
      <c r="RFI23" s="137"/>
      <c r="RFJ23" s="137"/>
      <c r="RFK23" s="137"/>
      <c r="RFL23" s="137"/>
      <c r="RFM23" s="137"/>
      <c r="RFN23" s="137"/>
      <c r="RFO23" s="137"/>
      <c r="RFP23" s="137"/>
      <c r="RFQ23" s="137"/>
      <c r="RFR23" s="137"/>
      <c r="RFS23" s="137"/>
      <c r="RFT23" s="137"/>
      <c r="RFU23" s="137"/>
      <c r="RFV23" s="137"/>
      <c r="RFW23" s="137"/>
      <c r="RFX23" s="137"/>
      <c r="RFY23" s="137"/>
      <c r="RFZ23" s="137"/>
      <c r="RGA23" s="137"/>
      <c r="RGB23" s="137"/>
      <c r="RGC23" s="137"/>
      <c r="RGD23" s="137"/>
      <c r="RGE23" s="137"/>
      <c r="RGF23" s="137"/>
      <c r="RGG23" s="137"/>
      <c r="RGH23" s="137"/>
      <c r="RGI23" s="137"/>
      <c r="RGJ23" s="137"/>
      <c r="RGK23" s="137"/>
      <c r="RGL23" s="137"/>
      <c r="RGM23" s="137"/>
      <c r="RGN23" s="137"/>
      <c r="RGO23" s="137"/>
      <c r="RGP23" s="137"/>
      <c r="RGQ23" s="137"/>
      <c r="RGR23" s="137"/>
      <c r="RGS23" s="137"/>
      <c r="RGT23" s="137"/>
      <c r="RGU23" s="137"/>
      <c r="RGV23" s="137"/>
      <c r="RGW23" s="137"/>
      <c r="RGX23" s="137"/>
      <c r="RGY23" s="137"/>
      <c r="RGZ23" s="137"/>
      <c r="RHA23" s="137"/>
      <c r="RHB23" s="137"/>
      <c r="RHC23" s="137"/>
      <c r="RHD23" s="137"/>
      <c r="RHE23" s="137"/>
      <c r="RHF23" s="137"/>
      <c r="RHG23" s="137"/>
      <c r="RHH23" s="137"/>
      <c r="RHI23" s="137"/>
      <c r="RHJ23" s="137"/>
      <c r="RHK23" s="137"/>
      <c r="RHL23" s="137"/>
      <c r="RHM23" s="137"/>
      <c r="RHN23" s="137"/>
      <c r="RHO23" s="137"/>
      <c r="RHP23" s="137"/>
      <c r="RHQ23" s="137"/>
      <c r="RHR23" s="137"/>
      <c r="RHS23" s="137"/>
      <c r="RHT23" s="137"/>
      <c r="RHU23" s="137"/>
      <c r="RHV23" s="137"/>
      <c r="RHW23" s="137"/>
      <c r="RHX23" s="137"/>
      <c r="RHY23" s="137"/>
      <c r="RHZ23" s="137"/>
      <c r="RIA23" s="137"/>
      <c r="RIB23" s="137"/>
      <c r="RIC23" s="137"/>
      <c r="RID23" s="137"/>
      <c r="RIE23" s="137"/>
      <c r="RIF23" s="137"/>
      <c r="RIG23" s="137"/>
      <c r="RIH23" s="137"/>
      <c r="RII23" s="137"/>
      <c r="RIJ23" s="137"/>
      <c r="RIK23" s="137"/>
      <c r="RIL23" s="137"/>
      <c r="RIM23" s="137"/>
      <c r="RIN23" s="137"/>
      <c r="RIO23" s="137"/>
      <c r="RIP23" s="137"/>
      <c r="RIQ23" s="137"/>
      <c r="RIR23" s="137"/>
      <c r="RIS23" s="137"/>
      <c r="RIT23" s="137"/>
      <c r="RIU23" s="137"/>
      <c r="RIV23" s="137"/>
      <c r="RIW23" s="137"/>
      <c r="RIX23" s="137"/>
      <c r="RIY23" s="137"/>
      <c r="RIZ23" s="137"/>
      <c r="RJA23" s="137"/>
      <c r="RJB23" s="137"/>
      <c r="RJC23" s="137"/>
      <c r="RJD23" s="137"/>
      <c r="RJE23" s="137"/>
      <c r="RJF23" s="137"/>
      <c r="RJG23" s="137"/>
      <c r="RJH23" s="137"/>
      <c r="RJI23" s="137"/>
      <c r="RJJ23" s="137"/>
      <c r="RJK23" s="137"/>
      <c r="RJL23" s="137"/>
      <c r="RJM23" s="137"/>
      <c r="RJN23" s="137"/>
      <c r="RJO23" s="137"/>
      <c r="RJP23" s="137"/>
      <c r="RJQ23" s="137"/>
      <c r="RJR23" s="137"/>
      <c r="RJS23" s="137"/>
      <c r="RJT23" s="137"/>
      <c r="RJU23" s="137"/>
      <c r="RJV23" s="137"/>
      <c r="RJW23" s="137"/>
      <c r="RJX23" s="137"/>
      <c r="RJY23" s="137"/>
      <c r="RJZ23" s="137"/>
      <c r="RKA23" s="137"/>
      <c r="RKB23" s="137"/>
      <c r="RKC23" s="137"/>
      <c r="RKD23" s="137"/>
      <c r="RKE23" s="137"/>
      <c r="RKF23" s="137"/>
      <c r="RKG23" s="137"/>
      <c r="RKH23" s="137"/>
      <c r="RKI23" s="137"/>
      <c r="RKJ23" s="137"/>
      <c r="RKK23" s="137"/>
      <c r="RKL23" s="137"/>
      <c r="RKM23" s="137"/>
      <c r="RKN23" s="137"/>
      <c r="RKO23" s="137"/>
      <c r="RKP23" s="137"/>
      <c r="RKQ23" s="137"/>
      <c r="RKR23" s="137"/>
      <c r="RKS23" s="137"/>
      <c r="RKT23" s="137"/>
      <c r="RKU23" s="137"/>
      <c r="RKV23" s="137"/>
      <c r="RKW23" s="137"/>
      <c r="RKX23" s="137"/>
      <c r="RKY23" s="137"/>
      <c r="RKZ23" s="137"/>
      <c r="RLA23" s="137"/>
      <c r="RLB23" s="137"/>
      <c r="RLC23" s="137"/>
      <c r="RLD23" s="137"/>
      <c r="RLE23" s="137"/>
      <c r="RLF23" s="137"/>
      <c r="RLG23" s="137"/>
      <c r="RLH23" s="137"/>
      <c r="RLI23" s="137"/>
      <c r="RLJ23" s="137"/>
      <c r="RLK23" s="137"/>
      <c r="RLL23" s="137"/>
      <c r="RLM23" s="137"/>
      <c r="RLN23" s="137"/>
      <c r="RLO23" s="137"/>
      <c r="RLP23" s="137"/>
      <c r="RLQ23" s="137"/>
      <c r="RLR23" s="137"/>
      <c r="RLS23" s="137"/>
      <c r="RLT23" s="137"/>
      <c r="RLU23" s="137"/>
      <c r="RLV23" s="137"/>
      <c r="RLW23" s="137"/>
      <c r="RLX23" s="137"/>
      <c r="RLY23" s="137"/>
      <c r="RLZ23" s="137"/>
      <c r="RMA23" s="137"/>
      <c r="RMB23" s="137"/>
      <c r="RMC23" s="137"/>
      <c r="RMD23" s="137"/>
      <c r="RME23" s="137"/>
      <c r="RMF23" s="137"/>
      <c r="RMG23" s="137"/>
      <c r="RMH23" s="137"/>
      <c r="RMI23" s="137"/>
      <c r="RMJ23" s="137"/>
      <c r="RMK23" s="137"/>
      <c r="RML23" s="137"/>
      <c r="RMM23" s="137"/>
      <c r="RMN23" s="137"/>
      <c r="RMO23" s="137"/>
      <c r="RMP23" s="137"/>
      <c r="RMQ23" s="137"/>
      <c r="RMR23" s="137"/>
      <c r="RMS23" s="137"/>
      <c r="RMT23" s="137"/>
      <c r="RMU23" s="137"/>
      <c r="RMV23" s="137"/>
      <c r="RMW23" s="137"/>
      <c r="RMX23" s="137"/>
      <c r="RMY23" s="137"/>
      <c r="RMZ23" s="137"/>
      <c r="RNA23" s="137"/>
      <c r="RNB23" s="137"/>
      <c r="RNC23" s="137"/>
      <c r="RND23" s="137"/>
      <c r="RNE23" s="137"/>
      <c r="RNF23" s="137"/>
      <c r="RNG23" s="137"/>
      <c r="RNH23" s="137"/>
      <c r="RNI23" s="137"/>
      <c r="RNJ23" s="137"/>
      <c r="RNK23" s="137"/>
      <c r="RNL23" s="137"/>
      <c r="RNM23" s="137"/>
      <c r="RNN23" s="137"/>
      <c r="RNO23" s="137"/>
      <c r="RNP23" s="137"/>
      <c r="RNQ23" s="137"/>
      <c r="RNR23" s="137"/>
      <c r="RNS23" s="137"/>
      <c r="RNT23" s="137"/>
      <c r="RNU23" s="137"/>
      <c r="RNV23" s="137"/>
      <c r="RNW23" s="137"/>
      <c r="RNX23" s="137"/>
      <c r="RNY23" s="137"/>
      <c r="RNZ23" s="137"/>
      <c r="ROA23" s="137"/>
      <c r="ROB23" s="137"/>
      <c r="ROC23" s="137"/>
      <c r="ROD23" s="137"/>
      <c r="ROE23" s="137"/>
      <c r="ROF23" s="137"/>
      <c r="ROG23" s="137"/>
      <c r="ROH23" s="137"/>
      <c r="ROI23" s="137"/>
      <c r="ROJ23" s="137"/>
      <c r="ROK23" s="137"/>
      <c r="ROL23" s="137"/>
      <c r="ROM23" s="137"/>
      <c r="RON23" s="137"/>
      <c r="ROO23" s="137"/>
      <c r="ROP23" s="137"/>
      <c r="ROQ23" s="137"/>
      <c r="ROR23" s="137"/>
      <c r="ROS23" s="137"/>
      <c r="ROT23" s="137"/>
      <c r="ROU23" s="137"/>
      <c r="ROV23" s="137"/>
      <c r="ROW23" s="137"/>
      <c r="ROX23" s="137"/>
      <c r="ROY23" s="137"/>
      <c r="ROZ23" s="137"/>
      <c r="RPA23" s="137"/>
      <c r="RPB23" s="137"/>
      <c r="RPC23" s="137"/>
      <c r="RPD23" s="137"/>
      <c r="RPE23" s="137"/>
      <c r="RPF23" s="137"/>
      <c r="RPG23" s="137"/>
      <c r="RPH23" s="137"/>
      <c r="RPI23" s="137"/>
      <c r="RPJ23" s="137"/>
      <c r="RPK23" s="137"/>
      <c r="RPL23" s="137"/>
      <c r="RPM23" s="137"/>
      <c r="RPN23" s="137"/>
      <c r="RPO23" s="137"/>
      <c r="RPP23" s="137"/>
      <c r="RPQ23" s="137"/>
      <c r="RPR23" s="137"/>
      <c r="RPS23" s="137"/>
      <c r="RPT23" s="137"/>
      <c r="RPU23" s="137"/>
      <c r="RPV23" s="137"/>
      <c r="RPW23" s="137"/>
      <c r="RPX23" s="137"/>
      <c r="RPY23" s="137"/>
      <c r="RPZ23" s="137"/>
      <c r="RQA23" s="137"/>
      <c r="RQB23" s="137"/>
      <c r="RQC23" s="137"/>
      <c r="RQD23" s="137"/>
      <c r="RQE23" s="137"/>
      <c r="RQF23" s="137"/>
      <c r="RQG23" s="137"/>
      <c r="RQH23" s="137"/>
      <c r="RQI23" s="137"/>
      <c r="RQJ23" s="137"/>
      <c r="RQK23" s="137"/>
      <c r="RQL23" s="137"/>
      <c r="RQM23" s="137"/>
      <c r="RQN23" s="137"/>
      <c r="RQO23" s="137"/>
      <c r="RQP23" s="137"/>
      <c r="RQQ23" s="137"/>
      <c r="RQR23" s="137"/>
      <c r="RQS23" s="137"/>
      <c r="RQT23" s="137"/>
      <c r="RQU23" s="137"/>
      <c r="RQV23" s="137"/>
      <c r="RQW23" s="137"/>
      <c r="RQX23" s="137"/>
      <c r="RQY23" s="137"/>
      <c r="RQZ23" s="137"/>
      <c r="RRA23" s="137"/>
      <c r="RRB23" s="137"/>
      <c r="RRC23" s="137"/>
      <c r="RRD23" s="137"/>
      <c r="RRE23" s="137"/>
      <c r="RRF23" s="137"/>
      <c r="RRG23" s="137"/>
      <c r="RRH23" s="137"/>
      <c r="RRI23" s="137"/>
      <c r="RRJ23" s="137"/>
      <c r="RRK23" s="137"/>
      <c r="RRL23" s="137"/>
      <c r="RRM23" s="137"/>
      <c r="RRN23" s="137"/>
      <c r="RRO23" s="137"/>
      <c r="RRP23" s="137"/>
      <c r="RRQ23" s="137"/>
      <c r="RRR23" s="137"/>
      <c r="RRS23" s="137"/>
      <c r="RRT23" s="137"/>
      <c r="RRU23" s="137"/>
      <c r="RRV23" s="137"/>
      <c r="RRW23" s="137"/>
      <c r="RRX23" s="137"/>
      <c r="RRY23" s="137"/>
      <c r="RRZ23" s="137"/>
      <c r="RSA23" s="137"/>
      <c r="RSB23" s="137"/>
      <c r="RSC23" s="137"/>
      <c r="RSD23" s="137"/>
      <c r="RSE23" s="137"/>
      <c r="RSF23" s="137"/>
      <c r="RSG23" s="137"/>
      <c r="RSH23" s="137"/>
      <c r="RSI23" s="137"/>
      <c r="RSJ23" s="137"/>
      <c r="RSK23" s="137"/>
      <c r="RSL23" s="137"/>
      <c r="RSM23" s="137"/>
      <c r="RSN23" s="137"/>
      <c r="RSO23" s="137"/>
      <c r="RSP23" s="137"/>
      <c r="RSQ23" s="137"/>
      <c r="RSR23" s="137"/>
      <c r="RSS23" s="137"/>
      <c r="RST23" s="137"/>
      <c r="RSU23" s="137"/>
      <c r="RSV23" s="137"/>
      <c r="RSW23" s="137"/>
      <c r="RSX23" s="137"/>
      <c r="RSY23" s="137"/>
      <c r="RSZ23" s="137"/>
      <c r="RTA23" s="137"/>
      <c r="RTB23" s="137"/>
      <c r="RTC23" s="137"/>
      <c r="RTD23" s="137"/>
      <c r="RTE23" s="137"/>
      <c r="RTF23" s="137"/>
      <c r="RTG23" s="137"/>
      <c r="RTH23" s="137"/>
      <c r="RTI23" s="137"/>
      <c r="RTJ23" s="137"/>
      <c r="RTK23" s="137"/>
      <c r="RTL23" s="137"/>
      <c r="RTM23" s="137"/>
      <c r="RTN23" s="137"/>
      <c r="RTO23" s="137"/>
      <c r="RTP23" s="137"/>
      <c r="RTQ23" s="137"/>
      <c r="RTR23" s="137"/>
      <c r="RTS23" s="137"/>
      <c r="RTT23" s="137"/>
      <c r="RTU23" s="137"/>
      <c r="RTV23" s="137"/>
      <c r="RTW23" s="137"/>
      <c r="RTX23" s="137"/>
      <c r="RTY23" s="137"/>
      <c r="RTZ23" s="137"/>
      <c r="RUA23" s="137"/>
      <c r="RUB23" s="137"/>
      <c r="RUC23" s="137"/>
      <c r="RUD23" s="137"/>
      <c r="RUE23" s="137"/>
      <c r="RUF23" s="137"/>
      <c r="RUG23" s="137"/>
      <c r="RUH23" s="137"/>
      <c r="RUI23" s="137"/>
      <c r="RUJ23" s="137"/>
      <c r="RUK23" s="137"/>
      <c r="RUL23" s="137"/>
      <c r="RUM23" s="137"/>
      <c r="RUN23" s="137"/>
      <c r="RUO23" s="137"/>
      <c r="RUP23" s="137"/>
      <c r="RUQ23" s="137"/>
      <c r="RUR23" s="137"/>
      <c r="RUS23" s="137"/>
      <c r="RUT23" s="137"/>
      <c r="RUU23" s="137"/>
      <c r="RUV23" s="137"/>
      <c r="RUW23" s="137"/>
      <c r="RUX23" s="137"/>
      <c r="RUY23" s="137"/>
      <c r="RUZ23" s="137"/>
      <c r="RVA23" s="137"/>
      <c r="RVB23" s="137"/>
      <c r="RVC23" s="137"/>
      <c r="RVD23" s="137"/>
      <c r="RVE23" s="137"/>
      <c r="RVF23" s="137"/>
      <c r="RVG23" s="137"/>
      <c r="RVH23" s="137"/>
      <c r="RVI23" s="137"/>
      <c r="RVJ23" s="137"/>
      <c r="RVK23" s="137"/>
      <c r="RVL23" s="137"/>
      <c r="RVM23" s="137"/>
      <c r="RVN23" s="137"/>
      <c r="RVO23" s="137"/>
      <c r="RVP23" s="137"/>
      <c r="RVQ23" s="137"/>
      <c r="RVR23" s="137"/>
      <c r="RVS23" s="137"/>
      <c r="RVT23" s="137"/>
      <c r="RVU23" s="137"/>
      <c r="RVV23" s="137"/>
      <c r="RVW23" s="137"/>
      <c r="RVX23" s="137"/>
      <c r="RVY23" s="137"/>
      <c r="RVZ23" s="137"/>
      <c r="RWA23" s="137"/>
      <c r="RWB23" s="137"/>
      <c r="RWC23" s="137"/>
      <c r="RWD23" s="137"/>
      <c r="RWE23" s="137"/>
      <c r="RWF23" s="137"/>
      <c r="RWG23" s="137"/>
      <c r="RWH23" s="137"/>
      <c r="RWI23" s="137"/>
      <c r="RWJ23" s="137"/>
      <c r="RWK23" s="137"/>
      <c r="RWL23" s="137"/>
      <c r="RWM23" s="137"/>
      <c r="RWN23" s="137"/>
      <c r="RWO23" s="137"/>
      <c r="RWP23" s="137"/>
      <c r="RWQ23" s="137"/>
      <c r="RWR23" s="137"/>
      <c r="RWS23" s="137"/>
      <c r="RWT23" s="137"/>
      <c r="RWU23" s="137"/>
      <c r="RWV23" s="137"/>
      <c r="RWW23" s="137"/>
      <c r="RWX23" s="137"/>
      <c r="RWY23" s="137"/>
      <c r="RWZ23" s="137"/>
      <c r="RXA23" s="137"/>
      <c r="RXB23" s="137"/>
      <c r="RXC23" s="137"/>
      <c r="RXD23" s="137"/>
      <c r="RXE23" s="137"/>
      <c r="RXF23" s="137"/>
      <c r="RXG23" s="137"/>
      <c r="RXH23" s="137"/>
      <c r="RXI23" s="137"/>
      <c r="RXJ23" s="137"/>
      <c r="RXK23" s="137"/>
      <c r="RXL23" s="137"/>
      <c r="RXM23" s="137"/>
      <c r="RXN23" s="137"/>
      <c r="RXO23" s="137"/>
      <c r="RXP23" s="137"/>
      <c r="RXQ23" s="137"/>
      <c r="RXR23" s="137"/>
      <c r="RXS23" s="137"/>
      <c r="RXT23" s="137"/>
      <c r="RXU23" s="137"/>
      <c r="RXV23" s="137"/>
      <c r="RXW23" s="137"/>
      <c r="RXX23" s="137"/>
      <c r="RXY23" s="137"/>
      <c r="RXZ23" s="137"/>
      <c r="RYA23" s="137"/>
      <c r="RYB23" s="137"/>
      <c r="RYC23" s="137"/>
      <c r="RYD23" s="137"/>
      <c r="RYE23" s="137"/>
      <c r="RYF23" s="137"/>
      <c r="RYG23" s="137"/>
      <c r="RYH23" s="137"/>
      <c r="RYI23" s="137"/>
      <c r="RYJ23" s="137"/>
      <c r="RYK23" s="137"/>
      <c r="RYL23" s="137"/>
      <c r="RYM23" s="137"/>
      <c r="RYN23" s="137"/>
      <c r="RYO23" s="137"/>
      <c r="RYP23" s="137"/>
      <c r="RYQ23" s="137"/>
      <c r="RYR23" s="137"/>
      <c r="RYS23" s="137"/>
      <c r="RYT23" s="137"/>
      <c r="RYU23" s="137"/>
      <c r="RYV23" s="137"/>
      <c r="RYW23" s="137"/>
      <c r="RYX23" s="137"/>
      <c r="RYY23" s="137"/>
      <c r="RYZ23" s="137"/>
      <c r="RZA23" s="137"/>
      <c r="RZB23" s="137"/>
      <c r="RZC23" s="137"/>
      <c r="RZD23" s="137"/>
      <c r="RZE23" s="137"/>
      <c r="RZF23" s="137"/>
      <c r="RZG23" s="137"/>
      <c r="RZH23" s="137"/>
      <c r="RZI23" s="137"/>
      <c r="RZJ23" s="137"/>
      <c r="RZK23" s="137"/>
      <c r="RZL23" s="137"/>
      <c r="RZM23" s="137"/>
      <c r="RZN23" s="137"/>
      <c r="RZO23" s="137"/>
      <c r="RZP23" s="137"/>
      <c r="RZQ23" s="137"/>
      <c r="RZR23" s="137"/>
      <c r="RZS23" s="137"/>
      <c r="RZT23" s="137"/>
      <c r="RZU23" s="137"/>
      <c r="RZV23" s="137"/>
      <c r="RZW23" s="137"/>
      <c r="RZX23" s="137"/>
      <c r="RZY23" s="137"/>
      <c r="RZZ23" s="137"/>
      <c r="SAA23" s="137"/>
      <c r="SAB23" s="137"/>
      <c r="SAC23" s="137"/>
      <c r="SAD23" s="137"/>
      <c r="SAE23" s="137"/>
      <c r="SAF23" s="137"/>
      <c r="SAG23" s="137"/>
      <c r="SAH23" s="137"/>
      <c r="SAI23" s="137"/>
      <c r="SAJ23" s="137"/>
      <c r="SAK23" s="137"/>
      <c r="SAL23" s="137"/>
      <c r="SAM23" s="137"/>
      <c r="SAN23" s="137"/>
      <c r="SAO23" s="137"/>
      <c r="SAP23" s="137"/>
      <c r="SAQ23" s="137"/>
      <c r="SAR23" s="137"/>
      <c r="SAS23" s="137"/>
      <c r="SAT23" s="137"/>
      <c r="SAU23" s="137"/>
      <c r="SAV23" s="137"/>
      <c r="SAW23" s="137"/>
      <c r="SAX23" s="137"/>
      <c r="SAY23" s="137"/>
      <c r="SAZ23" s="137"/>
      <c r="SBA23" s="137"/>
      <c r="SBB23" s="137"/>
      <c r="SBC23" s="137"/>
      <c r="SBD23" s="137"/>
      <c r="SBE23" s="137"/>
      <c r="SBF23" s="137"/>
      <c r="SBG23" s="137"/>
      <c r="SBH23" s="137"/>
      <c r="SBI23" s="137"/>
      <c r="SBJ23" s="137"/>
      <c r="SBK23" s="137"/>
      <c r="SBL23" s="137"/>
      <c r="SBM23" s="137"/>
      <c r="SBN23" s="137"/>
      <c r="SBO23" s="137"/>
      <c r="SBP23" s="137"/>
      <c r="SBQ23" s="137"/>
      <c r="SBR23" s="137"/>
      <c r="SBS23" s="137"/>
      <c r="SBT23" s="137"/>
      <c r="SBU23" s="137"/>
      <c r="SBV23" s="137"/>
      <c r="SBW23" s="137"/>
      <c r="SBX23" s="137"/>
      <c r="SBY23" s="137"/>
      <c r="SBZ23" s="137"/>
      <c r="SCA23" s="137"/>
      <c r="SCB23" s="137"/>
      <c r="SCC23" s="137"/>
      <c r="SCD23" s="137"/>
      <c r="SCE23" s="137"/>
      <c r="SCF23" s="137"/>
      <c r="SCG23" s="137"/>
      <c r="SCH23" s="137"/>
      <c r="SCI23" s="137"/>
      <c r="SCJ23" s="137"/>
      <c r="SCK23" s="137"/>
      <c r="SCL23" s="137"/>
      <c r="SCM23" s="137"/>
      <c r="SCN23" s="137"/>
      <c r="SCO23" s="137"/>
      <c r="SCP23" s="137"/>
      <c r="SCQ23" s="137"/>
      <c r="SCR23" s="137"/>
      <c r="SCS23" s="137"/>
      <c r="SCT23" s="137"/>
      <c r="SCU23" s="137"/>
      <c r="SCV23" s="137"/>
      <c r="SCW23" s="137"/>
      <c r="SCX23" s="137"/>
      <c r="SCY23" s="137"/>
      <c r="SCZ23" s="137"/>
      <c r="SDA23" s="137"/>
      <c r="SDB23" s="137"/>
      <c r="SDC23" s="137"/>
      <c r="SDD23" s="137"/>
      <c r="SDE23" s="137"/>
      <c r="SDF23" s="137"/>
      <c r="SDG23" s="137"/>
      <c r="SDH23" s="137"/>
      <c r="SDI23" s="137"/>
      <c r="SDJ23" s="137"/>
      <c r="SDK23" s="137"/>
      <c r="SDL23" s="137"/>
      <c r="SDM23" s="137"/>
      <c r="SDN23" s="137"/>
      <c r="SDO23" s="137"/>
      <c r="SDP23" s="137"/>
      <c r="SDQ23" s="137"/>
      <c r="SDR23" s="137"/>
      <c r="SDS23" s="137"/>
      <c r="SDT23" s="137"/>
      <c r="SDU23" s="137"/>
      <c r="SDV23" s="137"/>
      <c r="SDW23" s="137"/>
      <c r="SDX23" s="137"/>
      <c r="SDY23" s="137"/>
      <c r="SDZ23" s="137"/>
      <c r="SEA23" s="137"/>
      <c r="SEB23" s="137"/>
      <c r="SEC23" s="137"/>
      <c r="SED23" s="137"/>
      <c r="SEE23" s="137"/>
      <c r="SEF23" s="137"/>
      <c r="SEG23" s="137"/>
      <c r="SEH23" s="137"/>
      <c r="SEI23" s="137"/>
      <c r="SEJ23" s="137"/>
      <c r="SEK23" s="137"/>
      <c r="SEL23" s="137"/>
      <c r="SEM23" s="137"/>
      <c r="SEN23" s="137"/>
      <c r="SEO23" s="137"/>
      <c r="SEP23" s="137"/>
      <c r="SEQ23" s="137"/>
      <c r="SER23" s="137"/>
      <c r="SES23" s="137"/>
      <c r="SET23" s="137"/>
      <c r="SEU23" s="137"/>
      <c r="SEV23" s="137"/>
      <c r="SEW23" s="137"/>
      <c r="SEX23" s="137"/>
      <c r="SEY23" s="137"/>
      <c r="SEZ23" s="137"/>
      <c r="SFA23" s="137"/>
      <c r="SFB23" s="137"/>
      <c r="SFC23" s="137"/>
      <c r="SFD23" s="137"/>
      <c r="SFE23" s="137"/>
      <c r="SFF23" s="137"/>
      <c r="SFG23" s="137"/>
      <c r="SFH23" s="137"/>
      <c r="SFI23" s="137"/>
      <c r="SFJ23" s="137"/>
      <c r="SFK23" s="137"/>
      <c r="SFL23" s="137"/>
      <c r="SFM23" s="137"/>
      <c r="SFN23" s="137"/>
      <c r="SFO23" s="137"/>
      <c r="SFP23" s="137"/>
      <c r="SFQ23" s="137"/>
      <c r="SFR23" s="137"/>
      <c r="SFS23" s="137"/>
      <c r="SFT23" s="137"/>
      <c r="SFU23" s="137"/>
      <c r="SFV23" s="137"/>
      <c r="SFW23" s="137"/>
      <c r="SFX23" s="137"/>
      <c r="SFY23" s="137"/>
      <c r="SFZ23" s="137"/>
      <c r="SGA23" s="137"/>
      <c r="SGB23" s="137"/>
      <c r="SGC23" s="137"/>
      <c r="SGD23" s="137"/>
      <c r="SGE23" s="137"/>
      <c r="SGF23" s="137"/>
      <c r="SGG23" s="137"/>
      <c r="SGH23" s="137"/>
      <c r="SGI23" s="137"/>
      <c r="SGJ23" s="137"/>
      <c r="SGK23" s="137"/>
      <c r="SGL23" s="137"/>
      <c r="SGM23" s="137"/>
      <c r="SGN23" s="137"/>
      <c r="SGO23" s="137"/>
      <c r="SGP23" s="137"/>
      <c r="SGQ23" s="137"/>
      <c r="SGR23" s="137"/>
      <c r="SGS23" s="137"/>
      <c r="SGT23" s="137"/>
      <c r="SGU23" s="137"/>
      <c r="SGV23" s="137"/>
      <c r="SGW23" s="137"/>
      <c r="SGX23" s="137"/>
      <c r="SGY23" s="137"/>
      <c r="SGZ23" s="137"/>
      <c r="SHA23" s="137"/>
      <c r="SHB23" s="137"/>
      <c r="SHC23" s="137"/>
      <c r="SHD23" s="137"/>
      <c r="SHE23" s="137"/>
      <c r="SHF23" s="137"/>
      <c r="SHG23" s="137"/>
      <c r="SHH23" s="137"/>
      <c r="SHI23" s="137"/>
      <c r="SHJ23" s="137"/>
      <c r="SHK23" s="137"/>
      <c r="SHL23" s="137"/>
      <c r="SHM23" s="137"/>
      <c r="SHN23" s="137"/>
      <c r="SHO23" s="137"/>
      <c r="SHP23" s="137"/>
      <c r="SHQ23" s="137"/>
      <c r="SHR23" s="137"/>
      <c r="SHS23" s="137"/>
      <c r="SHT23" s="137"/>
      <c r="SHU23" s="137"/>
      <c r="SHV23" s="137"/>
      <c r="SHW23" s="137"/>
      <c r="SHX23" s="137"/>
      <c r="SHY23" s="137"/>
      <c r="SHZ23" s="137"/>
      <c r="SIA23" s="137"/>
      <c r="SIB23" s="137"/>
      <c r="SIC23" s="137"/>
      <c r="SID23" s="137"/>
      <c r="SIE23" s="137"/>
      <c r="SIF23" s="137"/>
      <c r="SIG23" s="137"/>
      <c r="SIH23" s="137"/>
      <c r="SII23" s="137"/>
      <c r="SIJ23" s="137"/>
      <c r="SIK23" s="137"/>
      <c r="SIL23" s="137"/>
      <c r="SIM23" s="137"/>
      <c r="SIN23" s="137"/>
      <c r="SIO23" s="137"/>
      <c r="SIP23" s="137"/>
      <c r="SIQ23" s="137"/>
      <c r="SIR23" s="137"/>
      <c r="SIS23" s="137"/>
      <c r="SIT23" s="137"/>
      <c r="SIU23" s="137"/>
      <c r="SIV23" s="137"/>
      <c r="SIW23" s="137"/>
      <c r="SIX23" s="137"/>
      <c r="SIY23" s="137"/>
      <c r="SIZ23" s="137"/>
      <c r="SJA23" s="137"/>
      <c r="SJB23" s="137"/>
      <c r="SJC23" s="137"/>
      <c r="SJD23" s="137"/>
      <c r="SJE23" s="137"/>
      <c r="SJF23" s="137"/>
      <c r="SJG23" s="137"/>
      <c r="SJH23" s="137"/>
      <c r="SJI23" s="137"/>
      <c r="SJJ23" s="137"/>
      <c r="SJK23" s="137"/>
      <c r="SJL23" s="137"/>
      <c r="SJM23" s="137"/>
      <c r="SJN23" s="137"/>
      <c r="SJO23" s="137"/>
      <c r="SJP23" s="137"/>
      <c r="SJQ23" s="137"/>
      <c r="SJR23" s="137"/>
      <c r="SJS23" s="137"/>
      <c r="SJT23" s="137"/>
      <c r="SJU23" s="137"/>
      <c r="SJV23" s="137"/>
      <c r="SJW23" s="137"/>
      <c r="SJX23" s="137"/>
      <c r="SJY23" s="137"/>
      <c r="SJZ23" s="137"/>
      <c r="SKA23" s="137"/>
      <c r="SKB23" s="137"/>
      <c r="SKC23" s="137"/>
      <c r="SKD23" s="137"/>
      <c r="SKE23" s="137"/>
      <c r="SKF23" s="137"/>
      <c r="SKG23" s="137"/>
      <c r="SKH23" s="137"/>
      <c r="SKI23" s="137"/>
      <c r="SKJ23" s="137"/>
      <c r="SKK23" s="137"/>
      <c r="SKL23" s="137"/>
      <c r="SKM23" s="137"/>
      <c r="SKN23" s="137"/>
      <c r="SKO23" s="137"/>
      <c r="SKP23" s="137"/>
      <c r="SKQ23" s="137"/>
      <c r="SKR23" s="137"/>
      <c r="SKS23" s="137"/>
      <c r="SKT23" s="137"/>
      <c r="SKU23" s="137"/>
      <c r="SKV23" s="137"/>
      <c r="SKW23" s="137"/>
      <c r="SKX23" s="137"/>
      <c r="SKY23" s="137"/>
      <c r="SKZ23" s="137"/>
      <c r="SLA23" s="137"/>
      <c r="SLB23" s="137"/>
      <c r="SLC23" s="137"/>
      <c r="SLD23" s="137"/>
      <c r="SLE23" s="137"/>
      <c r="SLF23" s="137"/>
      <c r="SLG23" s="137"/>
      <c r="SLH23" s="137"/>
      <c r="SLI23" s="137"/>
      <c r="SLJ23" s="137"/>
      <c r="SLK23" s="137"/>
      <c r="SLL23" s="137"/>
      <c r="SLM23" s="137"/>
      <c r="SLN23" s="137"/>
      <c r="SLO23" s="137"/>
      <c r="SLP23" s="137"/>
      <c r="SLQ23" s="137"/>
      <c r="SLR23" s="137"/>
      <c r="SLS23" s="137"/>
      <c r="SLT23" s="137"/>
      <c r="SLU23" s="137"/>
      <c r="SLV23" s="137"/>
      <c r="SLW23" s="137"/>
      <c r="SLX23" s="137"/>
      <c r="SLY23" s="137"/>
      <c r="SLZ23" s="137"/>
      <c r="SMA23" s="137"/>
      <c r="SMB23" s="137"/>
      <c r="SMC23" s="137"/>
      <c r="SMD23" s="137"/>
      <c r="SME23" s="137"/>
      <c r="SMF23" s="137"/>
      <c r="SMG23" s="137"/>
      <c r="SMH23" s="137"/>
      <c r="SMI23" s="137"/>
      <c r="SMJ23" s="137"/>
      <c r="SMK23" s="137"/>
      <c r="SML23" s="137"/>
      <c r="SMM23" s="137"/>
      <c r="SMN23" s="137"/>
      <c r="SMO23" s="137"/>
      <c r="SMP23" s="137"/>
      <c r="SMQ23" s="137"/>
      <c r="SMR23" s="137"/>
      <c r="SMS23" s="137"/>
      <c r="SMT23" s="137"/>
      <c r="SMU23" s="137"/>
      <c r="SMV23" s="137"/>
      <c r="SMW23" s="137"/>
      <c r="SMX23" s="137"/>
      <c r="SMY23" s="137"/>
      <c r="SMZ23" s="137"/>
      <c r="SNA23" s="137"/>
      <c r="SNB23" s="137"/>
      <c r="SNC23" s="137"/>
      <c r="SND23" s="137"/>
      <c r="SNE23" s="137"/>
      <c r="SNF23" s="137"/>
      <c r="SNG23" s="137"/>
      <c r="SNH23" s="137"/>
      <c r="SNI23" s="137"/>
      <c r="SNJ23" s="137"/>
      <c r="SNK23" s="137"/>
      <c r="SNL23" s="137"/>
      <c r="SNM23" s="137"/>
      <c r="SNN23" s="137"/>
      <c r="SNO23" s="137"/>
      <c r="SNP23" s="137"/>
      <c r="SNQ23" s="137"/>
      <c r="SNR23" s="137"/>
      <c r="SNS23" s="137"/>
      <c r="SNT23" s="137"/>
      <c r="SNU23" s="137"/>
      <c r="SNV23" s="137"/>
      <c r="SNW23" s="137"/>
      <c r="SNX23" s="137"/>
      <c r="SNY23" s="137"/>
      <c r="SNZ23" s="137"/>
      <c r="SOA23" s="137"/>
      <c r="SOB23" s="137"/>
      <c r="SOC23" s="137"/>
      <c r="SOD23" s="137"/>
      <c r="SOE23" s="137"/>
      <c r="SOF23" s="137"/>
      <c r="SOG23" s="137"/>
      <c r="SOH23" s="137"/>
      <c r="SOI23" s="137"/>
      <c r="SOJ23" s="137"/>
      <c r="SOK23" s="137"/>
      <c r="SOL23" s="137"/>
      <c r="SOM23" s="137"/>
      <c r="SON23" s="137"/>
      <c r="SOO23" s="137"/>
      <c r="SOP23" s="137"/>
      <c r="SOQ23" s="137"/>
      <c r="SOR23" s="137"/>
      <c r="SOS23" s="137"/>
      <c r="SOT23" s="137"/>
      <c r="SOU23" s="137"/>
      <c r="SOV23" s="137"/>
      <c r="SOW23" s="137"/>
      <c r="SOX23" s="137"/>
      <c r="SOY23" s="137"/>
      <c r="SOZ23" s="137"/>
      <c r="SPA23" s="137"/>
      <c r="SPB23" s="137"/>
      <c r="SPC23" s="137"/>
      <c r="SPD23" s="137"/>
      <c r="SPE23" s="137"/>
      <c r="SPF23" s="137"/>
      <c r="SPG23" s="137"/>
      <c r="SPH23" s="137"/>
      <c r="SPI23" s="137"/>
      <c r="SPJ23" s="137"/>
      <c r="SPK23" s="137"/>
      <c r="SPL23" s="137"/>
      <c r="SPM23" s="137"/>
      <c r="SPN23" s="137"/>
      <c r="SPO23" s="137"/>
      <c r="SPP23" s="137"/>
      <c r="SPQ23" s="137"/>
      <c r="SPR23" s="137"/>
      <c r="SPS23" s="137"/>
      <c r="SPT23" s="137"/>
      <c r="SPU23" s="137"/>
      <c r="SPV23" s="137"/>
      <c r="SPW23" s="137"/>
      <c r="SPX23" s="137"/>
      <c r="SPY23" s="137"/>
      <c r="SPZ23" s="137"/>
      <c r="SQA23" s="137"/>
      <c r="SQB23" s="137"/>
      <c r="SQC23" s="137"/>
      <c r="SQD23" s="137"/>
      <c r="SQE23" s="137"/>
      <c r="SQF23" s="137"/>
      <c r="SQG23" s="137"/>
      <c r="SQH23" s="137"/>
      <c r="SQI23" s="137"/>
      <c r="SQJ23" s="137"/>
      <c r="SQK23" s="137"/>
      <c r="SQL23" s="137"/>
      <c r="SQM23" s="137"/>
      <c r="SQN23" s="137"/>
      <c r="SQO23" s="137"/>
      <c r="SQP23" s="137"/>
      <c r="SQQ23" s="137"/>
      <c r="SQR23" s="137"/>
      <c r="SQS23" s="137"/>
      <c r="SQT23" s="137"/>
      <c r="SQU23" s="137"/>
      <c r="SQV23" s="137"/>
      <c r="SQW23" s="137"/>
      <c r="SQX23" s="137"/>
      <c r="SQY23" s="137"/>
      <c r="SQZ23" s="137"/>
      <c r="SRA23" s="137"/>
      <c r="SRB23" s="137"/>
      <c r="SRC23" s="137"/>
      <c r="SRD23" s="137"/>
      <c r="SRE23" s="137"/>
      <c r="SRF23" s="137"/>
      <c r="SRG23" s="137"/>
      <c r="SRH23" s="137"/>
      <c r="SRI23" s="137"/>
      <c r="SRJ23" s="137"/>
      <c r="SRK23" s="137"/>
      <c r="SRL23" s="137"/>
      <c r="SRM23" s="137"/>
      <c r="SRN23" s="137"/>
      <c r="SRO23" s="137"/>
      <c r="SRP23" s="137"/>
      <c r="SRQ23" s="137"/>
      <c r="SRR23" s="137"/>
      <c r="SRS23" s="137"/>
      <c r="SRT23" s="137"/>
      <c r="SRU23" s="137"/>
      <c r="SRV23" s="137"/>
      <c r="SRW23" s="137"/>
      <c r="SRX23" s="137"/>
      <c r="SRY23" s="137"/>
      <c r="SRZ23" s="137"/>
      <c r="SSA23" s="137"/>
      <c r="SSB23" s="137"/>
      <c r="SSC23" s="137"/>
      <c r="SSD23" s="137"/>
      <c r="SSE23" s="137"/>
      <c r="SSF23" s="137"/>
      <c r="SSG23" s="137"/>
      <c r="SSH23" s="137"/>
      <c r="SSI23" s="137"/>
      <c r="SSJ23" s="137"/>
      <c r="SSK23" s="137"/>
      <c r="SSL23" s="137"/>
      <c r="SSM23" s="137"/>
      <c r="SSN23" s="137"/>
      <c r="SSO23" s="137"/>
      <c r="SSP23" s="137"/>
      <c r="SSQ23" s="137"/>
      <c r="SSR23" s="137"/>
      <c r="SSS23" s="137"/>
      <c r="SST23" s="137"/>
      <c r="SSU23" s="137"/>
      <c r="SSV23" s="137"/>
      <c r="SSW23" s="137"/>
      <c r="SSX23" s="137"/>
      <c r="SSY23" s="137"/>
      <c r="SSZ23" s="137"/>
      <c r="STA23" s="137"/>
      <c r="STB23" s="137"/>
      <c r="STC23" s="137"/>
      <c r="STD23" s="137"/>
      <c r="STE23" s="137"/>
      <c r="STF23" s="137"/>
      <c r="STG23" s="137"/>
      <c r="STH23" s="137"/>
      <c r="STI23" s="137"/>
      <c r="STJ23" s="137"/>
      <c r="STK23" s="137"/>
      <c r="STL23" s="137"/>
      <c r="STM23" s="137"/>
      <c r="STN23" s="137"/>
      <c r="STO23" s="137"/>
      <c r="STP23" s="137"/>
      <c r="STQ23" s="137"/>
      <c r="STR23" s="137"/>
      <c r="STS23" s="137"/>
      <c r="STT23" s="137"/>
      <c r="STU23" s="137"/>
      <c r="STV23" s="137"/>
      <c r="STW23" s="137"/>
      <c r="STX23" s="137"/>
      <c r="STY23" s="137"/>
      <c r="STZ23" s="137"/>
      <c r="SUA23" s="137"/>
      <c r="SUB23" s="137"/>
      <c r="SUC23" s="137"/>
      <c r="SUD23" s="137"/>
      <c r="SUE23" s="137"/>
      <c r="SUF23" s="137"/>
      <c r="SUG23" s="137"/>
      <c r="SUH23" s="137"/>
      <c r="SUI23" s="137"/>
      <c r="SUJ23" s="137"/>
      <c r="SUK23" s="137"/>
      <c r="SUL23" s="137"/>
      <c r="SUM23" s="137"/>
      <c r="SUN23" s="137"/>
      <c r="SUO23" s="137"/>
      <c r="SUP23" s="137"/>
      <c r="SUQ23" s="137"/>
      <c r="SUR23" s="137"/>
      <c r="SUS23" s="137"/>
      <c r="SUT23" s="137"/>
      <c r="SUU23" s="137"/>
      <c r="SUV23" s="137"/>
      <c r="SUW23" s="137"/>
      <c r="SUX23" s="137"/>
      <c r="SUY23" s="137"/>
      <c r="SUZ23" s="137"/>
      <c r="SVA23" s="137"/>
      <c r="SVB23" s="137"/>
      <c r="SVC23" s="137"/>
      <c r="SVD23" s="137"/>
      <c r="SVE23" s="137"/>
      <c r="SVF23" s="137"/>
      <c r="SVG23" s="137"/>
      <c r="SVH23" s="137"/>
      <c r="SVI23" s="137"/>
      <c r="SVJ23" s="137"/>
      <c r="SVK23" s="137"/>
      <c r="SVL23" s="137"/>
      <c r="SVM23" s="137"/>
      <c r="SVN23" s="137"/>
      <c r="SVO23" s="137"/>
      <c r="SVP23" s="137"/>
      <c r="SVQ23" s="137"/>
      <c r="SVR23" s="137"/>
      <c r="SVS23" s="137"/>
      <c r="SVT23" s="137"/>
      <c r="SVU23" s="137"/>
      <c r="SVV23" s="137"/>
      <c r="SVW23" s="137"/>
      <c r="SVX23" s="137"/>
      <c r="SVY23" s="137"/>
      <c r="SVZ23" s="137"/>
      <c r="SWA23" s="137"/>
      <c r="SWB23" s="137"/>
      <c r="SWC23" s="137"/>
      <c r="SWD23" s="137"/>
      <c r="SWE23" s="137"/>
      <c r="SWF23" s="137"/>
      <c r="SWG23" s="137"/>
      <c r="SWH23" s="137"/>
      <c r="SWI23" s="137"/>
      <c r="SWJ23" s="137"/>
      <c r="SWK23" s="137"/>
      <c r="SWL23" s="137"/>
      <c r="SWM23" s="137"/>
      <c r="SWN23" s="137"/>
      <c r="SWO23" s="137"/>
      <c r="SWP23" s="137"/>
      <c r="SWQ23" s="137"/>
      <c r="SWR23" s="137"/>
      <c r="SWS23" s="137"/>
      <c r="SWT23" s="137"/>
      <c r="SWU23" s="137"/>
      <c r="SWV23" s="137"/>
      <c r="SWW23" s="137"/>
      <c r="SWX23" s="137"/>
      <c r="SWY23" s="137"/>
      <c r="SWZ23" s="137"/>
      <c r="SXA23" s="137"/>
      <c r="SXB23" s="137"/>
      <c r="SXC23" s="137"/>
      <c r="SXD23" s="137"/>
      <c r="SXE23" s="137"/>
      <c r="SXF23" s="137"/>
      <c r="SXG23" s="137"/>
      <c r="SXH23" s="137"/>
      <c r="SXI23" s="137"/>
      <c r="SXJ23" s="137"/>
      <c r="SXK23" s="137"/>
      <c r="SXL23" s="137"/>
      <c r="SXM23" s="137"/>
      <c r="SXN23" s="137"/>
      <c r="SXO23" s="137"/>
      <c r="SXP23" s="137"/>
      <c r="SXQ23" s="137"/>
      <c r="SXR23" s="137"/>
      <c r="SXS23" s="137"/>
      <c r="SXT23" s="137"/>
      <c r="SXU23" s="137"/>
      <c r="SXV23" s="137"/>
      <c r="SXW23" s="137"/>
      <c r="SXX23" s="137"/>
      <c r="SXY23" s="137"/>
      <c r="SXZ23" s="137"/>
      <c r="SYA23" s="137"/>
      <c r="SYB23" s="137"/>
      <c r="SYC23" s="137"/>
      <c r="SYD23" s="137"/>
      <c r="SYE23" s="137"/>
      <c r="SYF23" s="137"/>
      <c r="SYG23" s="137"/>
      <c r="SYH23" s="137"/>
      <c r="SYI23" s="137"/>
      <c r="SYJ23" s="137"/>
      <c r="SYK23" s="137"/>
      <c r="SYL23" s="137"/>
      <c r="SYM23" s="137"/>
      <c r="SYN23" s="137"/>
      <c r="SYO23" s="137"/>
      <c r="SYP23" s="137"/>
      <c r="SYQ23" s="137"/>
      <c r="SYR23" s="137"/>
      <c r="SYS23" s="137"/>
      <c r="SYT23" s="137"/>
      <c r="SYU23" s="137"/>
      <c r="SYV23" s="137"/>
      <c r="SYW23" s="137"/>
      <c r="SYX23" s="137"/>
      <c r="SYY23" s="137"/>
      <c r="SYZ23" s="137"/>
      <c r="SZA23" s="137"/>
      <c r="SZB23" s="137"/>
      <c r="SZC23" s="137"/>
      <c r="SZD23" s="137"/>
      <c r="SZE23" s="137"/>
      <c r="SZF23" s="137"/>
      <c r="SZG23" s="137"/>
      <c r="SZH23" s="137"/>
      <c r="SZI23" s="137"/>
      <c r="SZJ23" s="137"/>
      <c r="SZK23" s="137"/>
      <c r="SZL23" s="137"/>
      <c r="SZM23" s="137"/>
      <c r="SZN23" s="137"/>
      <c r="SZO23" s="137"/>
      <c r="SZP23" s="137"/>
      <c r="SZQ23" s="137"/>
      <c r="SZR23" s="137"/>
      <c r="SZS23" s="137"/>
      <c r="SZT23" s="137"/>
      <c r="SZU23" s="137"/>
      <c r="SZV23" s="137"/>
      <c r="SZW23" s="137"/>
      <c r="SZX23" s="137"/>
      <c r="SZY23" s="137"/>
      <c r="SZZ23" s="137"/>
      <c r="TAA23" s="137"/>
      <c r="TAB23" s="137"/>
      <c r="TAC23" s="137"/>
      <c r="TAD23" s="137"/>
      <c r="TAE23" s="137"/>
      <c r="TAF23" s="137"/>
      <c r="TAG23" s="137"/>
      <c r="TAH23" s="137"/>
      <c r="TAI23" s="137"/>
      <c r="TAJ23" s="137"/>
      <c r="TAK23" s="137"/>
      <c r="TAL23" s="137"/>
      <c r="TAM23" s="137"/>
      <c r="TAN23" s="137"/>
      <c r="TAO23" s="137"/>
      <c r="TAP23" s="137"/>
      <c r="TAQ23" s="137"/>
      <c r="TAR23" s="137"/>
      <c r="TAS23" s="137"/>
      <c r="TAT23" s="137"/>
      <c r="TAU23" s="137"/>
      <c r="TAV23" s="137"/>
      <c r="TAW23" s="137"/>
      <c r="TAX23" s="137"/>
      <c r="TAY23" s="137"/>
      <c r="TAZ23" s="137"/>
      <c r="TBA23" s="137"/>
      <c r="TBB23" s="137"/>
      <c r="TBC23" s="137"/>
      <c r="TBD23" s="137"/>
      <c r="TBE23" s="137"/>
      <c r="TBF23" s="137"/>
      <c r="TBG23" s="137"/>
      <c r="TBH23" s="137"/>
      <c r="TBI23" s="137"/>
      <c r="TBJ23" s="137"/>
      <c r="TBK23" s="137"/>
      <c r="TBL23" s="137"/>
      <c r="TBM23" s="137"/>
      <c r="TBN23" s="137"/>
      <c r="TBO23" s="137"/>
      <c r="TBP23" s="137"/>
      <c r="TBQ23" s="137"/>
      <c r="TBR23" s="137"/>
      <c r="TBS23" s="137"/>
      <c r="TBT23" s="137"/>
      <c r="TBU23" s="137"/>
      <c r="TBV23" s="137"/>
      <c r="TBW23" s="137"/>
      <c r="TBX23" s="137"/>
      <c r="TBY23" s="137"/>
      <c r="TBZ23" s="137"/>
      <c r="TCA23" s="137"/>
      <c r="TCB23" s="137"/>
      <c r="TCC23" s="137"/>
      <c r="TCD23" s="137"/>
      <c r="TCE23" s="137"/>
      <c r="TCF23" s="137"/>
      <c r="TCG23" s="137"/>
      <c r="TCH23" s="137"/>
      <c r="TCI23" s="137"/>
      <c r="TCJ23" s="137"/>
      <c r="TCK23" s="137"/>
      <c r="TCL23" s="137"/>
      <c r="TCM23" s="137"/>
      <c r="TCN23" s="137"/>
      <c r="TCO23" s="137"/>
      <c r="TCP23" s="137"/>
      <c r="TCQ23" s="137"/>
      <c r="TCR23" s="137"/>
      <c r="TCS23" s="137"/>
      <c r="TCT23" s="137"/>
      <c r="TCU23" s="137"/>
      <c r="TCV23" s="137"/>
      <c r="TCW23" s="137"/>
      <c r="TCX23" s="137"/>
      <c r="TCY23" s="137"/>
      <c r="TCZ23" s="137"/>
      <c r="TDA23" s="137"/>
      <c r="TDB23" s="137"/>
      <c r="TDC23" s="137"/>
      <c r="TDD23" s="137"/>
      <c r="TDE23" s="137"/>
      <c r="TDF23" s="137"/>
      <c r="TDG23" s="137"/>
      <c r="TDH23" s="137"/>
      <c r="TDI23" s="137"/>
      <c r="TDJ23" s="137"/>
      <c r="TDK23" s="137"/>
      <c r="TDL23" s="137"/>
      <c r="TDM23" s="137"/>
      <c r="TDN23" s="137"/>
      <c r="TDO23" s="137"/>
      <c r="TDP23" s="137"/>
      <c r="TDQ23" s="137"/>
      <c r="TDR23" s="137"/>
      <c r="TDS23" s="137"/>
      <c r="TDT23" s="137"/>
      <c r="TDU23" s="137"/>
      <c r="TDV23" s="137"/>
      <c r="TDW23" s="137"/>
      <c r="TDX23" s="137"/>
      <c r="TDY23" s="137"/>
      <c r="TDZ23" s="137"/>
      <c r="TEA23" s="137"/>
      <c r="TEB23" s="137"/>
      <c r="TEC23" s="137"/>
      <c r="TED23" s="137"/>
      <c r="TEE23" s="137"/>
      <c r="TEF23" s="137"/>
      <c r="TEG23" s="137"/>
      <c r="TEH23" s="137"/>
      <c r="TEI23" s="137"/>
      <c r="TEJ23" s="137"/>
      <c r="TEK23" s="137"/>
      <c r="TEL23" s="137"/>
      <c r="TEM23" s="137"/>
      <c r="TEN23" s="137"/>
      <c r="TEO23" s="137"/>
      <c r="TEP23" s="137"/>
      <c r="TEQ23" s="137"/>
      <c r="TER23" s="137"/>
      <c r="TES23" s="137"/>
      <c r="TET23" s="137"/>
      <c r="TEU23" s="137"/>
      <c r="TEV23" s="137"/>
      <c r="TEW23" s="137"/>
      <c r="TEX23" s="137"/>
      <c r="TEY23" s="137"/>
      <c r="TEZ23" s="137"/>
      <c r="TFA23" s="137"/>
      <c r="TFB23" s="137"/>
      <c r="TFC23" s="137"/>
      <c r="TFD23" s="137"/>
      <c r="TFE23" s="137"/>
      <c r="TFF23" s="137"/>
      <c r="TFG23" s="137"/>
      <c r="TFH23" s="137"/>
      <c r="TFI23" s="137"/>
      <c r="TFJ23" s="137"/>
      <c r="TFK23" s="137"/>
      <c r="TFL23" s="137"/>
      <c r="TFM23" s="137"/>
      <c r="TFN23" s="137"/>
      <c r="TFO23" s="137"/>
      <c r="TFP23" s="137"/>
      <c r="TFQ23" s="137"/>
      <c r="TFR23" s="137"/>
      <c r="TFS23" s="137"/>
      <c r="TFT23" s="137"/>
      <c r="TFU23" s="137"/>
      <c r="TFV23" s="137"/>
      <c r="TFW23" s="137"/>
      <c r="TFX23" s="137"/>
      <c r="TFY23" s="137"/>
      <c r="TFZ23" s="137"/>
      <c r="TGA23" s="137"/>
      <c r="TGB23" s="137"/>
      <c r="TGC23" s="137"/>
      <c r="TGD23" s="137"/>
      <c r="TGE23" s="137"/>
      <c r="TGF23" s="137"/>
      <c r="TGG23" s="137"/>
      <c r="TGH23" s="137"/>
      <c r="TGI23" s="137"/>
      <c r="TGJ23" s="137"/>
      <c r="TGK23" s="137"/>
      <c r="TGL23" s="137"/>
      <c r="TGM23" s="137"/>
      <c r="TGN23" s="137"/>
      <c r="TGO23" s="137"/>
      <c r="TGP23" s="137"/>
      <c r="TGQ23" s="137"/>
      <c r="TGR23" s="137"/>
      <c r="TGS23" s="137"/>
      <c r="TGT23" s="137"/>
      <c r="TGU23" s="137"/>
      <c r="TGV23" s="137"/>
      <c r="TGW23" s="137"/>
      <c r="TGX23" s="137"/>
      <c r="TGY23" s="137"/>
      <c r="TGZ23" s="137"/>
      <c r="THA23" s="137"/>
      <c r="THB23" s="137"/>
      <c r="THC23" s="137"/>
      <c r="THD23" s="137"/>
      <c r="THE23" s="137"/>
      <c r="THF23" s="137"/>
      <c r="THG23" s="137"/>
      <c r="THH23" s="137"/>
      <c r="THI23" s="137"/>
      <c r="THJ23" s="137"/>
      <c r="THK23" s="137"/>
      <c r="THL23" s="137"/>
      <c r="THM23" s="137"/>
      <c r="THN23" s="137"/>
      <c r="THO23" s="137"/>
      <c r="THP23" s="137"/>
      <c r="THQ23" s="137"/>
      <c r="THR23" s="137"/>
      <c r="THS23" s="137"/>
      <c r="THT23" s="137"/>
      <c r="THU23" s="137"/>
      <c r="THV23" s="137"/>
      <c r="THW23" s="137"/>
      <c r="THX23" s="137"/>
      <c r="THY23" s="137"/>
      <c r="THZ23" s="137"/>
      <c r="TIA23" s="137"/>
      <c r="TIB23" s="137"/>
      <c r="TIC23" s="137"/>
      <c r="TID23" s="137"/>
      <c r="TIE23" s="137"/>
      <c r="TIF23" s="137"/>
      <c r="TIG23" s="137"/>
      <c r="TIH23" s="137"/>
      <c r="TII23" s="137"/>
      <c r="TIJ23" s="137"/>
      <c r="TIK23" s="137"/>
      <c r="TIL23" s="137"/>
      <c r="TIM23" s="137"/>
      <c r="TIN23" s="137"/>
      <c r="TIO23" s="137"/>
      <c r="TIP23" s="137"/>
      <c r="TIQ23" s="137"/>
      <c r="TIR23" s="137"/>
      <c r="TIS23" s="137"/>
      <c r="TIT23" s="137"/>
      <c r="TIU23" s="137"/>
      <c r="TIV23" s="137"/>
      <c r="TIW23" s="137"/>
      <c r="TIX23" s="137"/>
      <c r="TIY23" s="137"/>
      <c r="TIZ23" s="137"/>
      <c r="TJA23" s="137"/>
      <c r="TJB23" s="137"/>
      <c r="TJC23" s="137"/>
      <c r="TJD23" s="137"/>
      <c r="TJE23" s="137"/>
      <c r="TJF23" s="137"/>
      <c r="TJG23" s="137"/>
      <c r="TJH23" s="137"/>
      <c r="TJI23" s="137"/>
      <c r="TJJ23" s="137"/>
      <c r="TJK23" s="137"/>
      <c r="TJL23" s="137"/>
      <c r="TJM23" s="137"/>
      <c r="TJN23" s="137"/>
      <c r="TJO23" s="137"/>
      <c r="TJP23" s="137"/>
      <c r="TJQ23" s="137"/>
      <c r="TJR23" s="137"/>
      <c r="TJS23" s="137"/>
      <c r="TJT23" s="137"/>
      <c r="TJU23" s="137"/>
      <c r="TJV23" s="137"/>
      <c r="TJW23" s="137"/>
      <c r="TJX23" s="137"/>
      <c r="TJY23" s="137"/>
      <c r="TJZ23" s="137"/>
      <c r="TKA23" s="137"/>
      <c r="TKB23" s="137"/>
      <c r="TKC23" s="137"/>
      <c r="TKD23" s="137"/>
      <c r="TKE23" s="137"/>
      <c r="TKF23" s="137"/>
      <c r="TKG23" s="137"/>
      <c r="TKH23" s="137"/>
      <c r="TKI23" s="137"/>
      <c r="TKJ23" s="137"/>
      <c r="TKK23" s="137"/>
      <c r="TKL23" s="137"/>
      <c r="TKM23" s="137"/>
      <c r="TKN23" s="137"/>
      <c r="TKO23" s="137"/>
      <c r="TKP23" s="137"/>
      <c r="TKQ23" s="137"/>
      <c r="TKR23" s="137"/>
      <c r="TKS23" s="137"/>
      <c r="TKT23" s="137"/>
      <c r="TKU23" s="137"/>
      <c r="TKV23" s="137"/>
      <c r="TKW23" s="137"/>
      <c r="TKX23" s="137"/>
      <c r="TKY23" s="137"/>
      <c r="TKZ23" s="137"/>
      <c r="TLA23" s="137"/>
      <c r="TLB23" s="137"/>
      <c r="TLC23" s="137"/>
      <c r="TLD23" s="137"/>
      <c r="TLE23" s="137"/>
      <c r="TLF23" s="137"/>
      <c r="TLG23" s="137"/>
      <c r="TLH23" s="137"/>
      <c r="TLI23" s="137"/>
      <c r="TLJ23" s="137"/>
      <c r="TLK23" s="137"/>
      <c r="TLL23" s="137"/>
      <c r="TLM23" s="137"/>
      <c r="TLN23" s="137"/>
      <c r="TLO23" s="137"/>
      <c r="TLP23" s="137"/>
      <c r="TLQ23" s="137"/>
      <c r="TLR23" s="137"/>
      <c r="TLS23" s="137"/>
      <c r="TLT23" s="137"/>
      <c r="TLU23" s="137"/>
      <c r="TLV23" s="137"/>
      <c r="TLW23" s="137"/>
      <c r="TLX23" s="137"/>
      <c r="TLY23" s="137"/>
      <c r="TLZ23" s="137"/>
      <c r="TMA23" s="137"/>
      <c r="TMB23" s="137"/>
      <c r="TMC23" s="137"/>
      <c r="TMD23" s="137"/>
      <c r="TME23" s="137"/>
      <c r="TMF23" s="137"/>
      <c r="TMG23" s="137"/>
      <c r="TMH23" s="137"/>
      <c r="TMI23" s="137"/>
      <c r="TMJ23" s="137"/>
      <c r="TMK23" s="137"/>
      <c r="TML23" s="137"/>
      <c r="TMM23" s="137"/>
      <c r="TMN23" s="137"/>
      <c r="TMO23" s="137"/>
      <c r="TMP23" s="137"/>
      <c r="TMQ23" s="137"/>
      <c r="TMR23" s="137"/>
      <c r="TMS23" s="137"/>
      <c r="TMT23" s="137"/>
      <c r="TMU23" s="137"/>
      <c r="TMV23" s="137"/>
      <c r="TMW23" s="137"/>
      <c r="TMX23" s="137"/>
      <c r="TMY23" s="137"/>
      <c r="TMZ23" s="137"/>
      <c r="TNA23" s="137"/>
      <c r="TNB23" s="137"/>
      <c r="TNC23" s="137"/>
      <c r="TND23" s="137"/>
      <c r="TNE23" s="137"/>
      <c r="TNF23" s="137"/>
      <c r="TNG23" s="137"/>
      <c r="TNH23" s="137"/>
      <c r="TNI23" s="137"/>
      <c r="TNJ23" s="137"/>
      <c r="TNK23" s="137"/>
      <c r="TNL23" s="137"/>
      <c r="TNM23" s="137"/>
      <c r="TNN23" s="137"/>
      <c r="TNO23" s="137"/>
      <c r="TNP23" s="137"/>
      <c r="TNQ23" s="137"/>
      <c r="TNR23" s="137"/>
      <c r="TNS23" s="137"/>
      <c r="TNT23" s="137"/>
      <c r="TNU23" s="137"/>
      <c r="TNV23" s="137"/>
      <c r="TNW23" s="137"/>
      <c r="TNX23" s="137"/>
      <c r="TNY23" s="137"/>
      <c r="TNZ23" s="137"/>
      <c r="TOA23" s="137"/>
      <c r="TOB23" s="137"/>
      <c r="TOC23" s="137"/>
      <c r="TOD23" s="137"/>
      <c r="TOE23" s="137"/>
      <c r="TOF23" s="137"/>
      <c r="TOG23" s="137"/>
      <c r="TOH23" s="137"/>
      <c r="TOI23" s="137"/>
      <c r="TOJ23" s="137"/>
      <c r="TOK23" s="137"/>
      <c r="TOL23" s="137"/>
      <c r="TOM23" s="137"/>
      <c r="TON23" s="137"/>
      <c r="TOO23" s="137"/>
      <c r="TOP23" s="137"/>
      <c r="TOQ23" s="137"/>
      <c r="TOR23" s="137"/>
      <c r="TOS23" s="137"/>
      <c r="TOT23" s="137"/>
      <c r="TOU23" s="137"/>
      <c r="TOV23" s="137"/>
      <c r="TOW23" s="137"/>
      <c r="TOX23" s="137"/>
      <c r="TOY23" s="137"/>
      <c r="TOZ23" s="137"/>
      <c r="TPA23" s="137"/>
      <c r="TPB23" s="137"/>
      <c r="TPC23" s="137"/>
      <c r="TPD23" s="137"/>
      <c r="TPE23" s="137"/>
      <c r="TPF23" s="137"/>
      <c r="TPG23" s="137"/>
      <c r="TPH23" s="137"/>
      <c r="TPI23" s="137"/>
      <c r="TPJ23" s="137"/>
      <c r="TPK23" s="137"/>
      <c r="TPL23" s="137"/>
      <c r="TPM23" s="137"/>
      <c r="TPN23" s="137"/>
      <c r="TPO23" s="137"/>
      <c r="TPP23" s="137"/>
      <c r="TPQ23" s="137"/>
      <c r="TPR23" s="137"/>
      <c r="TPS23" s="137"/>
      <c r="TPT23" s="137"/>
      <c r="TPU23" s="137"/>
      <c r="TPV23" s="137"/>
      <c r="TPW23" s="137"/>
      <c r="TPX23" s="137"/>
      <c r="TPY23" s="137"/>
      <c r="TPZ23" s="137"/>
      <c r="TQA23" s="137"/>
      <c r="TQB23" s="137"/>
      <c r="TQC23" s="137"/>
      <c r="TQD23" s="137"/>
      <c r="TQE23" s="137"/>
      <c r="TQF23" s="137"/>
      <c r="TQG23" s="137"/>
      <c r="TQH23" s="137"/>
      <c r="TQI23" s="137"/>
      <c r="TQJ23" s="137"/>
      <c r="TQK23" s="137"/>
      <c r="TQL23" s="137"/>
      <c r="TQM23" s="137"/>
      <c r="TQN23" s="137"/>
      <c r="TQO23" s="137"/>
      <c r="TQP23" s="137"/>
      <c r="TQQ23" s="137"/>
      <c r="TQR23" s="137"/>
      <c r="TQS23" s="137"/>
      <c r="TQT23" s="137"/>
      <c r="TQU23" s="137"/>
      <c r="TQV23" s="137"/>
      <c r="TQW23" s="137"/>
      <c r="TQX23" s="137"/>
      <c r="TQY23" s="137"/>
      <c r="TQZ23" s="137"/>
      <c r="TRA23" s="137"/>
      <c r="TRB23" s="137"/>
      <c r="TRC23" s="137"/>
      <c r="TRD23" s="137"/>
      <c r="TRE23" s="137"/>
      <c r="TRF23" s="137"/>
      <c r="TRG23" s="137"/>
      <c r="TRH23" s="137"/>
      <c r="TRI23" s="137"/>
      <c r="TRJ23" s="137"/>
      <c r="TRK23" s="137"/>
      <c r="TRL23" s="137"/>
      <c r="TRM23" s="137"/>
      <c r="TRN23" s="137"/>
      <c r="TRO23" s="137"/>
      <c r="TRP23" s="137"/>
      <c r="TRQ23" s="137"/>
      <c r="TRR23" s="137"/>
      <c r="TRS23" s="137"/>
      <c r="TRT23" s="137"/>
      <c r="TRU23" s="137"/>
      <c r="TRV23" s="137"/>
      <c r="TRW23" s="137"/>
      <c r="TRX23" s="137"/>
      <c r="TRY23" s="137"/>
      <c r="TRZ23" s="137"/>
      <c r="TSA23" s="137"/>
      <c r="TSB23" s="137"/>
      <c r="TSC23" s="137"/>
      <c r="TSD23" s="137"/>
      <c r="TSE23" s="137"/>
      <c r="TSF23" s="137"/>
      <c r="TSG23" s="137"/>
      <c r="TSH23" s="137"/>
      <c r="TSI23" s="137"/>
      <c r="TSJ23" s="137"/>
      <c r="TSK23" s="137"/>
      <c r="TSL23" s="137"/>
      <c r="TSM23" s="137"/>
      <c r="TSN23" s="137"/>
      <c r="TSO23" s="137"/>
      <c r="TSP23" s="137"/>
      <c r="TSQ23" s="137"/>
      <c r="TSR23" s="137"/>
      <c r="TSS23" s="137"/>
      <c r="TST23" s="137"/>
      <c r="TSU23" s="137"/>
      <c r="TSV23" s="137"/>
      <c r="TSW23" s="137"/>
      <c r="TSX23" s="137"/>
      <c r="TSY23" s="137"/>
      <c r="TSZ23" s="137"/>
      <c r="TTA23" s="137"/>
      <c r="TTB23" s="137"/>
      <c r="TTC23" s="137"/>
      <c r="TTD23" s="137"/>
      <c r="TTE23" s="137"/>
      <c r="TTF23" s="137"/>
      <c r="TTG23" s="137"/>
      <c r="TTH23" s="137"/>
      <c r="TTI23" s="137"/>
      <c r="TTJ23" s="137"/>
      <c r="TTK23" s="137"/>
      <c r="TTL23" s="137"/>
      <c r="TTM23" s="137"/>
      <c r="TTN23" s="137"/>
      <c r="TTO23" s="137"/>
      <c r="TTP23" s="137"/>
      <c r="TTQ23" s="137"/>
      <c r="TTR23" s="137"/>
      <c r="TTS23" s="137"/>
      <c r="TTT23" s="137"/>
      <c r="TTU23" s="137"/>
      <c r="TTV23" s="137"/>
      <c r="TTW23" s="137"/>
      <c r="TTX23" s="137"/>
      <c r="TTY23" s="137"/>
      <c r="TTZ23" s="137"/>
      <c r="TUA23" s="137"/>
      <c r="TUB23" s="137"/>
      <c r="TUC23" s="137"/>
      <c r="TUD23" s="137"/>
      <c r="TUE23" s="137"/>
      <c r="TUF23" s="137"/>
      <c r="TUG23" s="137"/>
      <c r="TUH23" s="137"/>
      <c r="TUI23" s="137"/>
      <c r="TUJ23" s="137"/>
      <c r="TUK23" s="137"/>
      <c r="TUL23" s="137"/>
      <c r="TUM23" s="137"/>
      <c r="TUN23" s="137"/>
      <c r="TUO23" s="137"/>
      <c r="TUP23" s="137"/>
      <c r="TUQ23" s="137"/>
      <c r="TUR23" s="137"/>
      <c r="TUS23" s="137"/>
      <c r="TUT23" s="137"/>
      <c r="TUU23" s="137"/>
      <c r="TUV23" s="137"/>
      <c r="TUW23" s="137"/>
      <c r="TUX23" s="137"/>
      <c r="TUY23" s="137"/>
      <c r="TUZ23" s="137"/>
      <c r="TVA23" s="137"/>
      <c r="TVB23" s="137"/>
      <c r="TVC23" s="137"/>
      <c r="TVD23" s="137"/>
      <c r="TVE23" s="137"/>
      <c r="TVF23" s="137"/>
      <c r="TVG23" s="137"/>
      <c r="TVH23" s="137"/>
      <c r="TVI23" s="137"/>
      <c r="TVJ23" s="137"/>
      <c r="TVK23" s="137"/>
      <c r="TVL23" s="137"/>
      <c r="TVM23" s="137"/>
      <c r="TVN23" s="137"/>
      <c r="TVO23" s="137"/>
      <c r="TVP23" s="137"/>
      <c r="TVQ23" s="137"/>
      <c r="TVR23" s="137"/>
      <c r="TVS23" s="137"/>
      <c r="TVT23" s="137"/>
      <c r="TVU23" s="137"/>
      <c r="TVV23" s="137"/>
      <c r="TVW23" s="137"/>
      <c r="TVX23" s="137"/>
      <c r="TVY23" s="137"/>
      <c r="TVZ23" s="137"/>
      <c r="TWA23" s="137"/>
      <c r="TWB23" s="137"/>
      <c r="TWC23" s="137"/>
      <c r="TWD23" s="137"/>
      <c r="TWE23" s="137"/>
      <c r="TWF23" s="137"/>
      <c r="TWG23" s="137"/>
      <c r="TWH23" s="137"/>
      <c r="TWI23" s="137"/>
      <c r="TWJ23" s="137"/>
      <c r="TWK23" s="137"/>
      <c r="TWL23" s="137"/>
      <c r="TWM23" s="137"/>
      <c r="TWN23" s="137"/>
      <c r="TWO23" s="137"/>
      <c r="TWP23" s="137"/>
      <c r="TWQ23" s="137"/>
      <c r="TWR23" s="137"/>
      <c r="TWS23" s="137"/>
      <c r="TWT23" s="137"/>
      <c r="TWU23" s="137"/>
      <c r="TWV23" s="137"/>
      <c r="TWW23" s="137"/>
      <c r="TWX23" s="137"/>
      <c r="TWY23" s="137"/>
      <c r="TWZ23" s="137"/>
      <c r="TXA23" s="137"/>
      <c r="TXB23" s="137"/>
      <c r="TXC23" s="137"/>
      <c r="TXD23" s="137"/>
      <c r="TXE23" s="137"/>
      <c r="TXF23" s="137"/>
      <c r="TXG23" s="137"/>
      <c r="TXH23" s="137"/>
      <c r="TXI23" s="137"/>
      <c r="TXJ23" s="137"/>
      <c r="TXK23" s="137"/>
      <c r="TXL23" s="137"/>
      <c r="TXM23" s="137"/>
      <c r="TXN23" s="137"/>
      <c r="TXO23" s="137"/>
      <c r="TXP23" s="137"/>
      <c r="TXQ23" s="137"/>
      <c r="TXR23" s="137"/>
      <c r="TXS23" s="137"/>
      <c r="TXT23" s="137"/>
      <c r="TXU23" s="137"/>
      <c r="TXV23" s="137"/>
      <c r="TXW23" s="137"/>
      <c r="TXX23" s="137"/>
      <c r="TXY23" s="137"/>
      <c r="TXZ23" s="137"/>
      <c r="TYA23" s="137"/>
      <c r="TYB23" s="137"/>
      <c r="TYC23" s="137"/>
      <c r="TYD23" s="137"/>
      <c r="TYE23" s="137"/>
      <c r="TYF23" s="137"/>
      <c r="TYG23" s="137"/>
      <c r="TYH23" s="137"/>
      <c r="TYI23" s="137"/>
      <c r="TYJ23" s="137"/>
      <c r="TYK23" s="137"/>
      <c r="TYL23" s="137"/>
      <c r="TYM23" s="137"/>
      <c r="TYN23" s="137"/>
      <c r="TYO23" s="137"/>
      <c r="TYP23" s="137"/>
      <c r="TYQ23" s="137"/>
      <c r="TYR23" s="137"/>
      <c r="TYS23" s="137"/>
      <c r="TYT23" s="137"/>
      <c r="TYU23" s="137"/>
      <c r="TYV23" s="137"/>
      <c r="TYW23" s="137"/>
      <c r="TYX23" s="137"/>
      <c r="TYY23" s="137"/>
      <c r="TYZ23" s="137"/>
      <c r="TZA23" s="137"/>
      <c r="TZB23" s="137"/>
      <c r="TZC23" s="137"/>
      <c r="TZD23" s="137"/>
      <c r="TZE23" s="137"/>
      <c r="TZF23" s="137"/>
      <c r="TZG23" s="137"/>
      <c r="TZH23" s="137"/>
      <c r="TZI23" s="137"/>
      <c r="TZJ23" s="137"/>
      <c r="TZK23" s="137"/>
      <c r="TZL23" s="137"/>
      <c r="TZM23" s="137"/>
      <c r="TZN23" s="137"/>
      <c r="TZO23" s="137"/>
      <c r="TZP23" s="137"/>
      <c r="TZQ23" s="137"/>
      <c r="TZR23" s="137"/>
      <c r="TZS23" s="137"/>
      <c r="TZT23" s="137"/>
      <c r="TZU23" s="137"/>
      <c r="TZV23" s="137"/>
      <c r="TZW23" s="137"/>
      <c r="TZX23" s="137"/>
      <c r="TZY23" s="137"/>
      <c r="TZZ23" s="137"/>
      <c r="UAA23" s="137"/>
      <c r="UAB23" s="137"/>
      <c r="UAC23" s="137"/>
      <c r="UAD23" s="137"/>
      <c r="UAE23" s="137"/>
      <c r="UAF23" s="137"/>
      <c r="UAG23" s="137"/>
      <c r="UAH23" s="137"/>
      <c r="UAI23" s="137"/>
      <c r="UAJ23" s="137"/>
      <c r="UAK23" s="137"/>
      <c r="UAL23" s="137"/>
      <c r="UAM23" s="137"/>
      <c r="UAN23" s="137"/>
      <c r="UAO23" s="137"/>
      <c r="UAP23" s="137"/>
      <c r="UAQ23" s="137"/>
      <c r="UAR23" s="137"/>
      <c r="UAS23" s="137"/>
      <c r="UAT23" s="137"/>
      <c r="UAU23" s="137"/>
      <c r="UAV23" s="137"/>
      <c r="UAW23" s="137"/>
      <c r="UAX23" s="137"/>
      <c r="UAY23" s="137"/>
      <c r="UAZ23" s="137"/>
      <c r="UBA23" s="137"/>
      <c r="UBB23" s="137"/>
      <c r="UBC23" s="137"/>
      <c r="UBD23" s="137"/>
      <c r="UBE23" s="137"/>
      <c r="UBF23" s="137"/>
      <c r="UBG23" s="137"/>
      <c r="UBH23" s="137"/>
      <c r="UBI23" s="137"/>
      <c r="UBJ23" s="137"/>
      <c r="UBK23" s="137"/>
      <c r="UBL23" s="137"/>
      <c r="UBM23" s="137"/>
      <c r="UBN23" s="137"/>
      <c r="UBO23" s="137"/>
      <c r="UBP23" s="137"/>
      <c r="UBQ23" s="137"/>
      <c r="UBR23" s="137"/>
      <c r="UBS23" s="137"/>
      <c r="UBT23" s="137"/>
      <c r="UBU23" s="137"/>
      <c r="UBV23" s="137"/>
      <c r="UBW23" s="137"/>
      <c r="UBX23" s="137"/>
      <c r="UBY23" s="137"/>
      <c r="UBZ23" s="137"/>
      <c r="UCA23" s="137"/>
      <c r="UCB23" s="137"/>
      <c r="UCC23" s="137"/>
      <c r="UCD23" s="137"/>
      <c r="UCE23" s="137"/>
      <c r="UCF23" s="137"/>
      <c r="UCG23" s="137"/>
      <c r="UCH23" s="137"/>
      <c r="UCI23" s="137"/>
      <c r="UCJ23" s="137"/>
      <c r="UCK23" s="137"/>
      <c r="UCL23" s="137"/>
      <c r="UCM23" s="137"/>
      <c r="UCN23" s="137"/>
      <c r="UCO23" s="137"/>
      <c r="UCP23" s="137"/>
      <c r="UCQ23" s="137"/>
      <c r="UCR23" s="137"/>
      <c r="UCS23" s="137"/>
      <c r="UCT23" s="137"/>
      <c r="UCU23" s="137"/>
      <c r="UCV23" s="137"/>
      <c r="UCW23" s="137"/>
      <c r="UCX23" s="137"/>
      <c r="UCY23" s="137"/>
      <c r="UCZ23" s="137"/>
      <c r="UDA23" s="137"/>
      <c r="UDB23" s="137"/>
      <c r="UDC23" s="137"/>
      <c r="UDD23" s="137"/>
      <c r="UDE23" s="137"/>
      <c r="UDF23" s="137"/>
      <c r="UDG23" s="137"/>
      <c r="UDH23" s="137"/>
      <c r="UDI23" s="137"/>
      <c r="UDJ23" s="137"/>
      <c r="UDK23" s="137"/>
      <c r="UDL23" s="137"/>
      <c r="UDM23" s="137"/>
      <c r="UDN23" s="137"/>
      <c r="UDO23" s="137"/>
      <c r="UDP23" s="137"/>
      <c r="UDQ23" s="137"/>
      <c r="UDR23" s="137"/>
      <c r="UDS23" s="137"/>
      <c r="UDT23" s="137"/>
      <c r="UDU23" s="137"/>
      <c r="UDV23" s="137"/>
      <c r="UDW23" s="137"/>
      <c r="UDX23" s="137"/>
      <c r="UDY23" s="137"/>
      <c r="UDZ23" s="137"/>
      <c r="UEA23" s="137"/>
      <c r="UEB23" s="137"/>
      <c r="UEC23" s="137"/>
      <c r="UED23" s="137"/>
      <c r="UEE23" s="137"/>
      <c r="UEF23" s="137"/>
      <c r="UEG23" s="137"/>
      <c r="UEH23" s="137"/>
      <c r="UEI23" s="137"/>
      <c r="UEJ23" s="137"/>
      <c r="UEK23" s="137"/>
      <c r="UEL23" s="137"/>
      <c r="UEM23" s="137"/>
      <c r="UEN23" s="137"/>
      <c r="UEO23" s="137"/>
      <c r="UEP23" s="137"/>
      <c r="UEQ23" s="137"/>
      <c r="UER23" s="137"/>
      <c r="UES23" s="137"/>
      <c r="UET23" s="137"/>
      <c r="UEU23" s="137"/>
      <c r="UEV23" s="137"/>
      <c r="UEW23" s="137"/>
      <c r="UEX23" s="137"/>
      <c r="UEY23" s="137"/>
      <c r="UEZ23" s="137"/>
      <c r="UFA23" s="137"/>
      <c r="UFB23" s="137"/>
      <c r="UFC23" s="137"/>
      <c r="UFD23" s="137"/>
      <c r="UFE23" s="137"/>
      <c r="UFF23" s="137"/>
      <c r="UFG23" s="137"/>
      <c r="UFH23" s="137"/>
      <c r="UFI23" s="137"/>
      <c r="UFJ23" s="137"/>
      <c r="UFK23" s="137"/>
      <c r="UFL23" s="137"/>
      <c r="UFM23" s="137"/>
      <c r="UFN23" s="137"/>
      <c r="UFO23" s="137"/>
      <c r="UFP23" s="137"/>
      <c r="UFQ23" s="137"/>
      <c r="UFR23" s="137"/>
      <c r="UFS23" s="137"/>
      <c r="UFT23" s="137"/>
      <c r="UFU23" s="137"/>
      <c r="UFV23" s="137"/>
      <c r="UFW23" s="137"/>
      <c r="UFX23" s="137"/>
      <c r="UFY23" s="137"/>
      <c r="UFZ23" s="137"/>
      <c r="UGA23" s="137"/>
      <c r="UGB23" s="137"/>
      <c r="UGC23" s="137"/>
      <c r="UGD23" s="137"/>
      <c r="UGE23" s="137"/>
      <c r="UGF23" s="137"/>
      <c r="UGG23" s="137"/>
      <c r="UGH23" s="137"/>
      <c r="UGI23" s="137"/>
      <c r="UGJ23" s="137"/>
      <c r="UGK23" s="137"/>
      <c r="UGL23" s="137"/>
      <c r="UGM23" s="137"/>
      <c r="UGN23" s="137"/>
      <c r="UGO23" s="137"/>
      <c r="UGP23" s="137"/>
      <c r="UGQ23" s="137"/>
      <c r="UGR23" s="137"/>
      <c r="UGS23" s="137"/>
      <c r="UGT23" s="137"/>
      <c r="UGU23" s="137"/>
      <c r="UGV23" s="137"/>
      <c r="UGW23" s="137"/>
      <c r="UGX23" s="137"/>
      <c r="UGY23" s="137"/>
      <c r="UGZ23" s="137"/>
      <c r="UHA23" s="137"/>
      <c r="UHB23" s="137"/>
      <c r="UHC23" s="137"/>
      <c r="UHD23" s="137"/>
      <c r="UHE23" s="137"/>
      <c r="UHF23" s="137"/>
      <c r="UHG23" s="137"/>
      <c r="UHH23" s="137"/>
      <c r="UHI23" s="137"/>
      <c r="UHJ23" s="137"/>
      <c r="UHK23" s="137"/>
      <c r="UHL23" s="137"/>
      <c r="UHM23" s="137"/>
      <c r="UHN23" s="137"/>
      <c r="UHO23" s="137"/>
      <c r="UHP23" s="137"/>
      <c r="UHQ23" s="137"/>
      <c r="UHR23" s="137"/>
      <c r="UHS23" s="137"/>
      <c r="UHT23" s="137"/>
      <c r="UHU23" s="137"/>
      <c r="UHV23" s="137"/>
      <c r="UHW23" s="137"/>
      <c r="UHX23" s="137"/>
      <c r="UHY23" s="137"/>
      <c r="UHZ23" s="137"/>
      <c r="UIA23" s="137"/>
      <c r="UIB23" s="137"/>
      <c r="UIC23" s="137"/>
      <c r="UID23" s="137"/>
      <c r="UIE23" s="137"/>
      <c r="UIF23" s="137"/>
      <c r="UIG23" s="137"/>
      <c r="UIH23" s="137"/>
      <c r="UII23" s="137"/>
      <c r="UIJ23" s="137"/>
      <c r="UIK23" s="137"/>
      <c r="UIL23" s="137"/>
      <c r="UIM23" s="137"/>
      <c r="UIN23" s="137"/>
      <c r="UIO23" s="137"/>
      <c r="UIP23" s="137"/>
      <c r="UIQ23" s="137"/>
      <c r="UIR23" s="137"/>
      <c r="UIS23" s="137"/>
      <c r="UIT23" s="137"/>
      <c r="UIU23" s="137"/>
      <c r="UIV23" s="137"/>
      <c r="UIW23" s="137"/>
      <c r="UIX23" s="137"/>
      <c r="UIY23" s="137"/>
      <c r="UIZ23" s="137"/>
      <c r="UJA23" s="137"/>
      <c r="UJB23" s="137"/>
      <c r="UJC23" s="137"/>
      <c r="UJD23" s="137"/>
      <c r="UJE23" s="137"/>
      <c r="UJF23" s="137"/>
      <c r="UJG23" s="137"/>
      <c r="UJH23" s="137"/>
      <c r="UJI23" s="137"/>
      <c r="UJJ23" s="137"/>
      <c r="UJK23" s="137"/>
      <c r="UJL23" s="137"/>
      <c r="UJM23" s="137"/>
      <c r="UJN23" s="137"/>
      <c r="UJO23" s="137"/>
      <c r="UJP23" s="137"/>
      <c r="UJQ23" s="137"/>
      <c r="UJR23" s="137"/>
      <c r="UJS23" s="137"/>
      <c r="UJT23" s="137"/>
      <c r="UJU23" s="137"/>
      <c r="UJV23" s="137"/>
      <c r="UJW23" s="137"/>
      <c r="UJX23" s="137"/>
      <c r="UJY23" s="137"/>
      <c r="UJZ23" s="137"/>
      <c r="UKA23" s="137"/>
      <c r="UKB23" s="137"/>
      <c r="UKC23" s="137"/>
      <c r="UKD23" s="137"/>
      <c r="UKE23" s="137"/>
      <c r="UKF23" s="137"/>
      <c r="UKG23" s="137"/>
      <c r="UKH23" s="137"/>
      <c r="UKI23" s="137"/>
      <c r="UKJ23" s="137"/>
      <c r="UKK23" s="137"/>
      <c r="UKL23" s="137"/>
      <c r="UKM23" s="137"/>
      <c r="UKN23" s="137"/>
      <c r="UKO23" s="137"/>
      <c r="UKP23" s="137"/>
      <c r="UKQ23" s="137"/>
      <c r="UKR23" s="137"/>
      <c r="UKS23" s="137"/>
      <c r="UKT23" s="137"/>
      <c r="UKU23" s="137"/>
      <c r="UKV23" s="137"/>
      <c r="UKW23" s="137"/>
      <c r="UKX23" s="137"/>
      <c r="UKY23" s="137"/>
      <c r="UKZ23" s="137"/>
      <c r="ULA23" s="137"/>
      <c r="ULB23" s="137"/>
      <c r="ULC23" s="137"/>
      <c r="ULD23" s="137"/>
      <c r="ULE23" s="137"/>
      <c r="ULF23" s="137"/>
      <c r="ULG23" s="137"/>
      <c r="ULH23" s="137"/>
      <c r="ULI23" s="137"/>
      <c r="ULJ23" s="137"/>
      <c r="ULK23" s="137"/>
      <c r="ULL23" s="137"/>
      <c r="ULM23" s="137"/>
      <c r="ULN23" s="137"/>
      <c r="ULO23" s="137"/>
      <c r="ULP23" s="137"/>
      <c r="ULQ23" s="137"/>
      <c r="ULR23" s="137"/>
      <c r="ULS23" s="137"/>
      <c r="ULT23" s="137"/>
      <c r="ULU23" s="137"/>
      <c r="ULV23" s="137"/>
      <c r="ULW23" s="137"/>
      <c r="ULX23" s="137"/>
      <c r="ULY23" s="137"/>
      <c r="ULZ23" s="137"/>
      <c r="UMA23" s="137"/>
      <c r="UMB23" s="137"/>
      <c r="UMC23" s="137"/>
      <c r="UMD23" s="137"/>
      <c r="UME23" s="137"/>
      <c r="UMF23" s="137"/>
      <c r="UMG23" s="137"/>
      <c r="UMH23" s="137"/>
      <c r="UMI23" s="137"/>
      <c r="UMJ23" s="137"/>
      <c r="UMK23" s="137"/>
      <c r="UML23" s="137"/>
      <c r="UMM23" s="137"/>
      <c r="UMN23" s="137"/>
      <c r="UMO23" s="137"/>
      <c r="UMP23" s="137"/>
      <c r="UMQ23" s="137"/>
      <c r="UMR23" s="137"/>
      <c r="UMS23" s="137"/>
      <c r="UMT23" s="137"/>
      <c r="UMU23" s="137"/>
      <c r="UMV23" s="137"/>
      <c r="UMW23" s="137"/>
      <c r="UMX23" s="137"/>
      <c r="UMY23" s="137"/>
      <c r="UMZ23" s="137"/>
      <c r="UNA23" s="137"/>
      <c r="UNB23" s="137"/>
      <c r="UNC23" s="137"/>
      <c r="UND23" s="137"/>
      <c r="UNE23" s="137"/>
      <c r="UNF23" s="137"/>
      <c r="UNG23" s="137"/>
      <c r="UNH23" s="137"/>
      <c r="UNI23" s="137"/>
      <c r="UNJ23" s="137"/>
      <c r="UNK23" s="137"/>
      <c r="UNL23" s="137"/>
      <c r="UNM23" s="137"/>
      <c r="UNN23" s="137"/>
      <c r="UNO23" s="137"/>
      <c r="UNP23" s="137"/>
      <c r="UNQ23" s="137"/>
      <c r="UNR23" s="137"/>
      <c r="UNS23" s="137"/>
      <c r="UNT23" s="137"/>
      <c r="UNU23" s="137"/>
      <c r="UNV23" s="137"/>
      <c r="UNW23" s="137"/>
      <c r="UNX23" s="137"/>
      <c r="UNY23" s="137"/>
      <c r="UNZ23" s="137"/>
      <c r="UOA23" s="137"/>
      <c r="UOB23" s="137"/>
      <c r="UOC23" s="137"/>
      <c r="UOD23" s="137"/>
      <c r="UOE23" s="137"/>
      <c r="UOF23" s="137"/>
      <c r="UOG23" s="137"/>
      <c r="UOH23" s="137"/>
      <c r="UOI23" s="137"/>
      <c r="UOJ23" s="137"/>
      <c r="UOK23" s="137"/>
      <c r="UOL23" s="137"/>
      <c r="UOM23" s="137"/>
      <c r="UON23" s="137"/>
      <c r="UOO23" s="137"/>
      <c r="UOP23" s="137"/>
      <c r="UOQ23" s="137"/>
      <c r="UOR23" s="137"/>
      <c r="UOS23" s="137"/>
      <c r="UOT23" s="137"/>
      <c r="UOU23" s="137"/>
      <c r="UOV23" s="137"/>
      <c r="UOW23" s="137"/>
      <c r="UOX23" s="137"/>
      <c r="UOY23" s="137"/>
      <c r="UOZ23" s="137"/>
      <c r="UPA23" s="137"/>
      <c r="UPB23" s="137"/>
      <c r="UPC23" s="137"/>
      <c r="UPD23" s="137"/>
      <c r="UPE23" s="137"/>
      <c r="UPF23" s="137"/>
      <c r="UPG23" s="137"/>
      <c r="UPH23" s="137"/>
      <c r="UPI23" s="137"/>
      <c r="UPJ23" s="137"/>
      <c r="UPK23" s="137"/>
      <c r="UPL23" s="137"/>
      <c r="UPM23" s="137"/>
      <c r="UPN23" s="137"/>
      <c r="UPO23" s="137"/>
      <c r="UPP23" s="137"/>
      <c r="UPQ23" s="137"/>
      <c r="UPR23" s="137"/>
      <c r="UPS23" s="137"/>
      <c r="UPT23" s="137"/>
      <c r="UPU23" s="137"/>
      <c r="UPV23" s="137"/>
      <c r="UPW23" s="137"/>
      <c r="UPX23" s="137"/>
      <c r="UPY23" s="137"/>
      <c r="UPZ23" s="137"/>
      <c r="UQA23" s="137"/>
      <c r="UQB23" s="137"/>
      <c r="UQC23" s="137"/>
      <c r="UQD23" s="137"/>
      <c r="UQE23" s="137"/>
      <c r="UQF23" s="137"/>
      <c r="UQG23" s="137"/>
      <c r="UQH23" s="137"/>
      <c r="UQI23" s="137"/>
      <c r="UQJ23" s="137"/>
      <c r="UQK23" s="137"/>
      <c r="UQL23" s="137"/>
      <c r="UQM23" s="137"/>
      <c r="UQN23" s="137"/>
      <c r="UQO23" s="137"/>
      <c r="UQP23" s="137"/>
      <c r="UQQ23" s="137"/>
      <c r="UQR23" s="137"/>
      <c r="UQS23" s="137"/>
      <c r="UQT23" s="137"/>
      <c r="UQU23" s="137"/>
      <c r="UQV23" s="137"/>
      <c r="UQW23" s="137"/>
      <c r="UQX23" s="137"/>
      <c r="UQY23" s="137"/>
      <c r="UQZ23" s="137"/>
      <c r="URA23" s="137"/>
      <c r="URB23" s="137"/>
      <c r="URC23" s="137"/>
      <c r="URD23" s="137"/>
      <c r="URE23" s="137"/>
      <c r="URF23" s="137"/>
      <c r="URG23" s="137"/>
      <c r="URH23" s="137"/>
      <c r="URI23" s="137"/>
      <c r="URJ23" s="137"/>
      <c r="URK23" s="137"/>
      <c r="URL23" s="137"/>
      <c r="URM23" s="137"/>
      <c r="URN23" s="137"/>
      <c r="URO23" s="137"/>
      <c r="URP23" s="137"/>
      <c r="URQ23" s="137"/>
      <c r="URR23" s="137"/>
      <c r="URS23" s="137"/>
      <c r="URT23" s="137"/>
      <c r="URU23" s="137"/>
      <c r="URV23" s="137"/>
      <c r="URW23" s="137"/>
      <c r="URX23" s="137"/>
      <c r="URY23" s="137"/>
      <c r="URZ23" s="137"/>
      <c r="USA23" s="137"/>
      <c r="USB23" s="137"/>
      <c r="USC23" s="137"/>
      <c r="USD23" s="137"/>
      <c r="USE23" s="137"/>
      <c r="USF23" s="137"/>
      <c r="USG23" s="137"/>
      <c r="USH23" s="137"/>
      <c r="USI23" s="137"/>
      <c r="USJ23" s="137"/>
      <c r="USK23" s="137"/>
      <c r="USL23" s="137"/>
      <c r="USM23" s="137"/>
      <c r="USN23" s="137"/>
      <c r="USO23" s="137"/>
      <c r="USP23" s="137"/>
      <c r="USQ23" s="137"/>
      <c r="USR23" s="137"/>
      <c r="USS23" s="137"/>
      <c r="UST23" s="137"/>
      <c r="USU23" s="137"/>
      <c r="USV23" s="137"/>
      <c r="USW23" s="137"/>
      <c r="USX23" s="137"/>
      <c r="USY23" s="137"/>
      <c r="USZ23" s="137"/>
      <c r="UTA23" s="137"/>
      <c r="UTB23" s="137"/>
      <c r="UTC23" s="137"/>
      <c r="UTD23" s="137"/>
      <c r="UTE23" s="137"/>
      <c r="UTF23" s="137"/>
      <c r="UTG23" s="137"/>
      <c r="UTH23" s="137"/>
      <c r="UTI23" s="137"/>
      <c r="UTJ23" s="137"/>
      <c r="UTK23" s="137"/>
      <c r="UTL23" s="137"/>
      <c r="UTM23" s="137"/>
      <c r="UTN23" s="137"/>
      <c r="UTO23" s="137"/>
      <c r="UTP23" s="137"/>
      <c r="UTQ23" s="137"/>
      <c r="UTR23" s="137"/>
      <c r="UTS23" s="137"/>
      <c r="UTT23" s="137"/>
      <c r="UTU23" s="137"/>
      <c r="UTV23" s="137"/>
      <c r="UTW23" s="137"/>
      <c r="UTX23" s="137"/>
      <c r="UTY23" s="137"/>
      <c r="UTZ23" s="137"/>
      <c r="UUA23" s="137"/>
      <c r="UUB23" s="137"/>
      <c r="UUC23" s="137"/>
      <c r="UUD23" s="137"/>
      <c r="UUE23" s="137"/>
      <c r="UUF23" s="137"/>
      <c r="UUG23" s="137"/>
      <c r="UUH23" s="137"/>
      <c r="UUI23" s="137"/>
      <c r="UUJ23" s="137"/>
      <c r="UUK23" s="137"/>
      <c r="UUL23" s="137"/>
      <c r="UUM23" s="137"/>
      <c r="UUN23" s="137"/>
      <c r="UUO23" s="137"/>
      <c r="UUP23" s="137"/>
      <c r="UUQ23" s="137"/>
      <c r="UUR23" s="137"/>
      <c r="UUS23" s="137"/>
      <c r="UUT23" s="137"/>
      <c r="UUU23" s="137"/>
      <c r="UUV23" s="137"/>
      <c r="UUW23" s="137"/>
      <c r="UUX23" s="137"/>
      <c r="UUY23" s="137"/>
      <c r="UUZ23" s="137"/>
      <c r="UVA23" s="137"/>
      <c r="UVB23" s="137"/>
      <c r="UVC23" s="137"/>
      <c r="UVD23" s="137"/>
      <c r="UVE23" s="137"/>
      <c r="UVF23" s="137"/>
      <c r="UVG23" s="137"/>
      <c r="UVH23" s="137"/>
      <c r="UVI23" s="137"/>
      <c r="UVJ23" s="137"/>
      <c r="UVK23" s="137"/>
      <c r="UVL23" s="137"/>
      <c r="UVM23" s="137"/>
      <c r="UVN23" s="137"/>
      <c r="UVO23" s="137"/>
      <c r="UVP23" s="137"/>
      <c r="UVQ23" s="137"/>
      <c r="UVR23" s="137"/>
      <c r="UVS23" s="137"/>
      <c r="UVT23" s="137"/>
      <c r="UVU23" s="137"/>
      <c r="UVV23" s="137"/>
      <c r="UVW23" s="137"/>
      <c r="UVX23" s="137"/>
      <c r="UVY23" s="137"/>
      <c r="UVZ23" s="137"/>
      <c r="UWA23" s="137"/>
      <c r="UWB23" s="137"/>
      <c r="UWC23" s="137"/>
      <c r="UWD23" s="137"/>
      <c r="UWE23" s="137"/>
      <c r="UWF23" s="137"/>
      <c r="UWG23" s="137"/>
      <c r="UWH23" s="137"/>
      <c r="UWI23" s="137"/>
      <c r="UWJ23" s="137"/>
      <c r="UWK23" s="137"/>
      <c r="UWL23" s="137"/>
      <c r="UWM23" s="137"/>
      <c r="UWN23" s="137"/>
      <c r="UWO23" s="137"/>
      <c r="UWP23" s="137"/>
      <c r="UWQ23" s="137"/>
      <c r="UWR23" s="137"/>
      <c r="UWS23" s="137"/>
      <c r="UWT23" s="137"/>
      <c r="UWU23" s="137"/>
      <c r="UWV23" s="137"/>
      <c r="UWW23" s="137"/>
      <c r="UWX23" s="137"/>
      <c r="UWY23" s="137"/>
      <c r="UWZ23" s="137"/>
      <c r="UXA23" s="137"/>
      <c r="UXB23" s="137"/>
      <c r="UXC23" s="137"/>
      <c r="UXD23" s="137"/>
      <c r="UXE23" s="137"/>
      <c r="UXF23" s="137"/>
      <c r="UXG23" s="137"/>
      <c r="UXH23" s="137"/>
      <c r="UXI23" s="137"/>
      <c r="UXJ23" s="137"/>
      <c r="UXK23" s="137"/>
      <c r="UXL23" s="137"/>
      <c r="UXM23" s="137"/>
      <c r="UXN23" s="137"/>
      <c r="UXO23" s="137"/>
      <c r="UXP23" s="137"/>
      <c r="UXQ23" s="137"/>
      <c r="UXR23" s="137"/>
      <c r="UXS23" s="137"/>
      <c r="UXT23" s="137"/>
      <c r="UXU23" s="137"/>
      <c r="UXV23" s="137"/>
      <c r="UXW23" s="137"/>
      <c r="UXX23" s="137"/>
      <c r="UXY23" s="137"/>
      <c r="UXZ23" s="137"/>
      <c r="UYA23" s="137"/>
      <c r="UYB23" s="137"/>
      <c r="UYC23" s="137"/>
      <c r="UYD23" s="137"/>
      <c r="UYE23" s="137"/>
      <c r="UYF23" s="137"/>
      <c r="UYG23" s="137"/>
      <c r="UYH23" s="137"/>
      <c r="UYI23" s="137"/>
      <c r="UYJ23" s="137"/>
      <c r="UYK23" s="137"/>
      <c r="UYL23" s="137"/>
      <c r="UYM23" s="137"/>
      <c r="UYN23" s="137"/>
      <c r="UYO23" s="137"/>
      <c r="UYP23" s="137"/>
      <c r="UYQ23" s="137"/>
      <c r="UYR23" s="137"/>
      <c r="UYS23" s="137"/>
      <c r="UYT23" s="137"/>
      <c r="UYU23" s="137"/>
      <c r="UYV23" s="137"/>
      <c r="UYW23" s="137"/>
      <c r="UYX23" s="137"/>
      <c r="UYY23" s="137"/>
      <c r="UYZ23" s="137"/>
      <c r="UZA23" s="137"/>
      <c r="UZB23" s="137"/>
      <c r="UZC23" s="137"/>
      <c r="UZD23" s="137"/>
      <c r="UZE23" s="137"/>
      <c r="UZF23" s="137"/>
      <c r="UZG23" s="137"/>
      <c r="UZH23" s="137"/>
      <c r="UZI23" s="137"/>
      <c r="UZJ23" s="137"/>
      <c r="UZK23" s="137"/>
      <c r="UZL23" s="137"/>
      <c r="UZM23" s="137"/>
      <c r="UZN23" s="137"/>
      <c r="UZO23" s="137"/>
      <c r="UZP23" s="137"/>
      <c r="UZQ23" s="137"/>
      <c r="UZR23" s="137"/>
      <c r="UZS23" s="137"/>
      <c r="UZT23" s="137"/>
      <c r="UZU23" s="137"/>
      <c r="UZV23" s="137"/>
      <c r="UZW23" s="137"/>
      <c r="UZX23" s="137"/>
      <c r="UZY23" s="137"/>
      <c r="UZZ23" s="137"/>
      <c r="VAA23" s="137"/>
      <c r="VAB23" s="137"/>
      <c r="VAC23" s="137"/>
      <c r="VAD23" s="137"/>
      <c r="VAE23" s="137"/>
      <c r="VAF23" s="137"/>
      <c r="VAG23" s="137"/>
      <c r="VAH23" s="137"/>
      <c r="VAI23" s="137"/>
      <c r="VAJ23" s="137"/>
      <c r="VAK23" s="137"/>
      <c r="VAL23" s="137"/>
      <c r="VAM23" s="137"/>
      <c r="VAN23" s="137"/>
      <c r="VAO23" s="137"/>
      <c r="VAP23" s="137"/>
      <c r="VAQ23" s="137"/>
      <c r="VAR23" s="137"/>
      <c r="VAS23" s="137"/>
      <c r="VAT23" s="137"/>
      <c r="VAU23" s="137"/>
      <c r="VAV23" s="137"/>
      <c r="VAW23" s="137"/>
      <c r="VAX23" s="137"/>
      <c r="VAY23" s="137"/>
      <c r="VAZ23" s="137"/>
      <c r="VBA23" s="137"/>
      <c r="VBB23" s="137"/>
      <c r="VBC23" s="137"/>
      <c r="VBD23" s="137"/>
      <c r="VBE23" s="137"/>
      <c r="VBF23" s="137"/>
      <c r="VBG23" s="137"/>
      <c r="VBH23" s="137"/>
      <c r="VBI23" s="137"/>
      <c r="VBJ23" s="137"/>
      <c r="VBK23" s="137"/>
      <c r="VBL23" s="137"/>
      <c r="VBM23" s="137"/>
      <c r="VBN23" s="137"/>
      <c r="VBO23" s="137"/>
      <c r="VBP23" s="137"/>
      <c r="VBQ23" s="137"/>
      <c r="VBR23" s="137"/>
      <c r="VBS23" s="137"/>
      <c r="VBT23" s="137"/>
      <c r="VBU23" s="137"/>
      <c r="VBV23" s="137"/>
      <c r="VBW23" s="137"/>
      <c r="VBX23" s="137"/>
      <c r="VBY23" s="137"/>
      <c r="VBZ23" s="137"/>
      <c r="VCA23" s="137"/>
      <c r="VCB23" s="137"/>
      <c r="VCC23" s="137"/>
      <c r="VCD23" s="137"/>
      <c r="VCE23" s="137"/>
      <c r="VCF23" s="137"/>
      <c r="VCG23" s="137"/>
      <c r="VCH23" s="137"/>
      <c r="VCI23" s="137"/>
      <c r="VCJ23" s="137"/>
      <c r="VCK23" s="137"/>
      <c r="VCL23" s="137"/>
      <c r="VCM23" s="137"/>
      <c r="VCN23" s="137"/>
      <c r="VCO23" s="137"/>
      <c r="VCP23" s="137"/>
      <c r="VCQ23" s="137"/>
      <c r="VCR23" s="137"/>
      <c r="VCS23" s="137"/>
      <c r="VCT23" s="137"/>
      <c r="VCU23" s="137"/>
      <c r="VCV23" s="137"/>
      <c r="VCW23" s="137"/>
      <c r="VCX23" s="137"/>
      <c r="VCY23" s="137"/>
      <c r="VCZ23" s="137"/>
      <c r="VDA23" s="137"/>
      <c r="VDB23" s="137"/>
      <c r="VDC23" s="137"/>
      <c r="VDD23" s="137"/>
      <c r="VDE23" s="137"/>
      <c r="VDF23" s="137"/>
      <c r="VDG23" s="137"/>
      <c r="VDH23" s="137"/>
      <c r="VDI23" s="137"/>
      <c r="VDJ23" s="137"/>
      <c r="VDK23" s="137"/>
      <c r="VDL23" s="137"/>
      <c r="VDM23" s="137"/>
      <c r="VDN23" s="137"/>
      <c r="VDO23" s="137"/>
      <c r="VDP23" s="137"/>
      <c r="VDQ23" s="137"/>
      <c r="VDR23" s="137"/>
      <c r="VDS23" s="137"/>
      <c r="VDT23" s="137"/>
      <c r="VDU23" s="137"/>
      <c r="VDV23" s="137"/>
      <c r="VDW23" s="137"/>
      <c r="VDX23" s="137"/>
      <c r="VDY23" s="137"/>
      <c r="VDZ23" s="137"/>
      <c r="VEA23" s="137"/>
      <c r="VEB23" s="137"/>
      <c r="VEC23" s="137"/>
      <c r="VED23" s="137"/>
      <c r="VEE23" s="137"/>
      <c r="VEF23" s="137"/>
      <c r="VEG23" s="137"/>
      <c r="VEH23" s="137"/>
      <c r="VEI23" s="137"/>
      <c r="VEJ23" s="137"/>
      <c r="VEK23" s="137"/>
      <c r="VEL23" s="137"/>
      <c r="VEM23" s="137"/>
      <c r="VEN23" s="137"/>
      <c r="VEO23" s="137"/>
      <c r="VEP23" s="137"/>
      <c r="VEQ23" s="137"/>
      <c r="VER23" s="137"/>
      <c r="VES23" s="137"/>
      <c r="VET23" s="137"/>
      <c r="VEU23" s="137"/>
      <c r="VEV23" s="137"/>
      <c r="VEW23" s="137"/>
      <c r="VEX23" s="137"/>
      <c r="VEY23" s="137"/>
      <c r="VEZ23" s="137"/>
      <c r="VFA23" s="137"/>
      <c r="VFB23" s="137"/>
      <c r="VFC23" s="137"/>
      <c r="VFD23" s="137"/>
      <c r="VFE23" s="137"/>
      <c r="VFF23" s="137"/>
      <c r="VFG23" s="137"/>
      <c r="VFH23" s="137"/>
      <c r="VFI23" s="137"/>
      <c r="VFJ23" s="137"/>
      <c r="VFK23" s="137"/>
      <c r="VFL23" s="137"/>
      <c r="VFM23" s="137"/>
      <c r="VFN23" s="137"/>
      <c r="VFO23" s="137"/>
      <c r="VFP23" s="137"/>
      <c r="VFQ23" s="137"/>
      <c r="VFR23" s="137"/>
      <c r="VFS23" s="137"/>
      <c r="VFT23" s="137"/>
      <c r="VFU23" s="137"/>
      <c r="VFV23" s="137"/>
      <c r="VFW23" s="137"/>
      <c r="VFX23" s="137"/>
      <c r="VFY23" s="137"/>
      <c r="VFZ23" s="137"/>
      <c r="VGA23" s="137"/>
      <c r="VGB23" s="137"/>
      <c r="VGC23" s="137"/>
      <c r="VGD23" s="137"/>
      <c r="VGE23" s="137"/>
      <c r="VGF23" s="137"/>
      <c r="VGG23" s="137"/>
      <c r="VGH23" s="137"/>
      <c r="VGI23" s="137"/>
      <c r="VGJ23" s="137"/>
      <c r="VGK23" s="137"/>
      <c r="VGL23" s="137"/>
      <c r="VGM23" s="137"/>
      <c r="VGN23" s="137"/>
      <c r="VGO23" s="137"/>
      <c r="VGP23" s="137"/>
      <c r="VGQ23" s="137"/>
      <c r="VGR23" s="137"/>
      <c r="VGS23" s="137"/>
      <c r="VGT23" s="137"/>
      <c r="VGU23" s="137"/>
      <c r="VGV23" s="137"/>
      <c r="VGW23" s="137"/>
      <c r="VGX23" s="137"/>
      <c r="VGY23" s="137"/>
      <c r="VGZ23" s="137"/>
      <c r="VHA23" s="137"/>
      <c r="VHB23" s="137"/>
      <c r="VHC23" s="137"/>
      <c r="VHD23" s="137"/>
      <c r="VHE23" s="137"/>
      <c r="VHF23" s="137"/>
      <c r="VHG23" s="137"/>
      <c r="VHH23" s="137"/>
      <c r="VHI23" s="137"/>
      <c r="VHJ23" s="137"/>
      <c r="VHK23" s="137"/>
      <c r="VHL23" s="137"/>
      <c r="VHM23" s="137"/>
      <c r="VHN23" s="137"/>
      <c r="VHO23" s="137"/>
      <c r="VHP23" s="137"/>
      <c r="VHQ23" s="137"/>
      <c r="VHR23" s="137"/>
      <c r="VHS23" s="137"/>
      <c r="VHT23" s="137"/>
      <c r="VHU23" s="137"/>
      <c r="VHV23" s="137"/>
      <c r="VHW23" s="137"/>
      <c r="VHX23" s="137"/>
      <c r="VHY23" s="137"/>
      <c r="VHZ23" s="137"/>
      <c r="VIA23" s="137"/>
      <c r="VIB23" s="137"/>
      <c r="VIC23" s="137"/>
      <c r="VID23" s="137"/>
      <c r="VIE23" s="137"/>
      <c r="VIF23" s="137"/>
      <c r="VIG23" s="137"/>
      <c r="VIH23" s="137"/>
      <c r="VII23" s="137"/>
      <c r="VIJ23" s="137"/>
      <c r="VIK23" s="137"/>
      <c r="VIL23" s="137"/>
      <c r="VIM23" s="137"/>
      <c r="VIN23" s="137"/>
      <c r="VIO23" s="137"/>
      <c r="VIP23" s="137"/>
      <c r="VIQ23" s="137"/>
      <c r="VIR23" s="137"/>
      <c r="VIS23" s="137"/>
      <c r="VIT23" s="137"/>
      <c r="VIU23" s="137"/>
      <c r="VIV23" s="137"/>
      <c r="VIW23" s="137"/>
      <c r="VIX23" s="137"/>
      <c r="VIY23" s="137"/>
      <c r="VIZ23" s="137"/>
      <c r="VJA23" s="137"/>
      <c r="VJB23" s="137"/>
      <c r="VJC23" s="137"/>
      <c r="VJD23" s="137"/>
      <c r="VJE23" s="137"/>
      <c r="VJF23" s="137"/>
      <c r="VJG23" s="137"/>
      <c r="VJH23" s="137"/>
      <c r="VJI23" s="137"/>
      <c r="VJJ23" s="137"/>
      <c r="VJK23" s="137"/>
      <c r="VJL23" s="137"/>
      <c r="VJM23" s="137"/>
      <c r="VJN23" s="137"/>
      <c r="VJO23" s="137"/>
      <c r="VJP23" s="137"/>
      <c r="VJQ23" s="137"/>
      <c r="VJR23" s="137"/>
      <c r="VJS23" s="137"/>
      <c r="VJT23" s="137"/>
      <c r="VJU23" s="137"/>
      <c r="VJV23" s="137"/>
      <c r="VJW23" s="137"/>
      <c r="VJX23" s="137"/>
      <c r="VJY23" s="137"/>
      <c r="VJZ23" s="137"/>
      <c r="VKA23" s="137"/>
      <c r="VKB23" s="137"/>
      <c r="VKC23" s="137"/>
      <c r="VKD23" s="137"/>
      <c r="VKE23" s="137"/>
      <c r="VKF23" s="137"/>
      <c r="VKG23" s="137"/>
      <c r="VKH23" s="137"/>
      <c r="VKI23" s="137"/>
      <c r="VKJ23" s="137"/>
      <c r="VKK23" s="137"/>
      <c r="VKL23" s="137"/>
      <c r="VKM23" s="137"/>
      <c r="VKN23" s="137"/>
      <c r="VKO23" s="137"/>
      <c r="VKP23" s="137"/>
      <c r="VKQ23" s="137"/>
      <c r="VKR23" s="137"/>
      <c r="VKS23" s="137"/>
      <c r="VKT23" s="137"/>
      <c r="VKU23" s="137"/>
      <c r="VKV23" s="137"/>
      <c r="VKW23" s="137"/>
      <c r="VKX23" s="137"/>
      <c r="VKY23" s="137"/>
      <c r="VKZ23" s="137"/>
      <c r="VLA23" s="137"/>
      <c r="VLB23" s="137"/>
      <c r="VLC23" s="137"/>
      <c r="VLD23" s="137"/>
      <c r="VLE23" s="137"/>
      <c r="VLF23" s="137"/>
      <c r="VLG23" s="137"/>
      <c r="VLH23" s="137"/>
      <c r="VLI23" s="137"/>
      <c r="VLJ23" s="137"/>
      <c r="VLK23" s="137"/>
      <c r="VLL23" s="137"/>
      <c r="VLM23" s="137"/>
      <c r="VLN23" s="137"/>
      <c r="VLO23" s="137"/>
      <c r="VLP23" s="137"/>
      <c r="VLQ23" s="137"/>
      <c r="VLR23" s="137"/>
      <c r="VLS23" s="137"/>
      <c r="VLT23" s="137"/>
      <c r="VLU23" s="137"/>
      <c r="VLV23" s="137"/>
      <c r="VLW23" s="137"/>
      <c r="VLX23" s="137"/>
      <c r="VLY23" s="137"/>
      <c r="VLZ23" s="137"/>
      <c r="VMA23" s="137"/>
      <c r="VMB23" s="137"/>
      <c r="VMC23" s="137"/>
      <c r="VMD23" s="137"/>
      <c r="VME23" s="137"/>
      <c r="VMF23" s="137"/>
      <c r="VMG23" s="137"/>
      <c r="VMH23" s="137"/>
      <c r="VMI23" s="137"/>
      <c r="VMJ23" s="137"/>
      <c r="VMK23" s="137"/>
      <c r="VML23" s="137"/>
      <c r="VMM23" s="137"/>
      <c r="VMN23" s="137"/>
      <c r="VMO23" s="137"/>
      <c r="VMP23" s="137"/>
      <c r="VMQ23" s="137"/>
      <c r="VMR23" s="137"/>
      <c r="VMS23" s="137"/>
      <c r="VMT23" s="137"/>
      <c r="VMU23" s="137"/>
      <c r="VMV23" s="137"/>
      <c r="VMW23" s="137"/>
      <c r="VMX23" s="137"/>
      <c r="VMY23" s="137"/>
      <c r="VMZ23" s="137"/>
      <c r="VNA23" s="137"/>
      <c r="VNB23" s="137"/>
      <c r="VNC23" s="137"/>
      <c r="VND23" s="137"/>
      <c r="VNE23" s="137"/>
      <c r="VNF23" s="137"/>
      <c r="VNG23" s="137"/>
      <c r="VNH23" s="137"/>
      <c r="VNI23" s="137"/>
      <c r="VNJ23" s="137"/>
      <c r="VNK23" s="137"/>
      <c r="VNL23" s="137"/>
      <c r="VNM23" s="137"/>
      <c r="VNN23" s="137"/>
      <c r="VNO23" s="137"/>
      <c r="VNP23" s="137"/>
      <c r="VNQ23" s="137"/>
      <c r="VNR23" s="137"/>
      <c r="VNS23" s="137"/>
      <c r="VNT23" s="137"/>
      <c r="VNU23" s="137"/>
      <c r="VNV23" s="137"/>
      <c r="VNW23" s="137"/>
      <c r="VNX23" s="137"/>
      <c r="VNY23" s="137"/>
      <c r="VNZ23" s="137"/>
      <c r="VOA23" s="137"/>
      <c r="VOB23" s="137"/>
      <c r="VOC23" s="137"/>
      <c r="VOD23" s="137"/>
      <c r="VOE23" s="137"/>
      <c r="VOF23" s="137"/>
      <c r="VOG23" s="137"/>
      <c r="VOH23" s="137"/>
      <c r="VOI23" s="137"/>
      <c r="VOJ23" s="137"/>
      <c r="VOK23" s="137"/>
      <c r="VOL23" s="137"/>
      <c r="VOM23" s="137"/>
      <c r="VON23" s="137"/>
      <c r="VOO23" s="137"/>
      <c r="VOP23" s="137"/>
      <c r="VOQ23" s="137"/>
      <c r="VOR23" s="137"/>
      <c r="VOS23" s="137"/>
      <c r="VOT23" s="137"/>
      <c r="VOU23" s="137"/>
      <c r="VOV23" s="137"/>
      <c r="VOW23" s="137"/>
      <c r="VOX23" s="137"/>
      <c r="VOY23" s="137"/>
      <c r="VOZ23" s="137"/>
      <c r="VPA23" s="137"/>
      <c r="VPB23" s="137"/>
      <c r="VPC23" s="137"/>
      <c r="VPD23" s="137"/>
      <c r="VPE23" s="137"/>
      <c r="VPF23" s="137"/>
      <c r="VPG23" s="137"/>
      <c r="VPH23" s="137"/>
      <c r="VPI23" s="137"/>
      <c r="VPJ23" s="137"/>
      <c r="VPK23" s="137"/>
      <c r="VPL23" s="137"/>
      <c r="VPM23" s="137"/>
      <c r="VPN23" s="137"/>
      <c r="VPO23" s="137"/>
      <c r="VPP23" s="137"/>
      <c r="VPQ23" s="137"/>
      <c r="VPR23" s="137"/>
      <c r="VPS23" s="137"/>
      <c r="VPT23" s="137"/>
      <c r="VPU23" s="137"/>
      <c r="VPV23" s="137"/>
      <c r="VPW23" s="137"/>
      <c r="VPX23" s="137"/>
      <c r="VPY23" s="137"/>
      <c r="VPZ23" s="137"/>
      <c r="VQA23" s="137"/>
      <c r="VQB23" s="137"/>
      <c r="VQC23" s="137"/>
      <c r="VQD23" s="137"/>
      <c r="VQE23" s="137"/>
      <c r="VQF23" s="137"/>
      <c r="VQG23" s="137"/>
      <c r="VQH23" s="137"/>
      <c r="VQI23" s="137"/>
      <c r="VQJ23" s="137"/>
      <c r="VQK23" s="137"/>
      <c r="VQL23" s="137"/>
      <c r="VQM23" s="137"/>
      <c r="VQN23" s="137"/>
      <c r="VQO23" s="137"/>
      <c r="VQP23" s="137"/>
      <c r="VQQ23" s="137"/>
      <c r="VQR23" s="137"/>
      <c r="VQS23" s="137"/>
      <c r="VQT23" s="137"/>
      <c r="VQU23" s="137"/>
      <c r="VQV23" s="137"/>
      <c r="VQW23" s="137"/>
      <c r="VQX23" s="137"/>
      <c r="VQY23" s="137"/>
      <c r="VQZ23" s="137"/>
      <c r="VRA23" s="137"/>
      <c r="VRB23" s="137"/>
      <c r="VRC23" s="137"/>
      <c r="VRD23" s="137"/>
      <c r="VRE23" s="137"/>
      <c r="VRF23" s="137"/>
      <c r="VRG23" s="137"/>
      <c r="VRH23" s="137"/>
      <c r="VRI23" s="137"/>
      <c r="VRJ23" s="137"/>
      <c r="VRK23" s="137"/>
      <c r="VRL23" s="137"/>
      <c r="VRM23" s="137"/>
      <c r="VRN23" s="137"/>
      <c r="VRO23" s="137"/>
      <c r="VRP23" s="137"/>
      <c r="VRQ23" s="137"/>
      <c r="VRR23" s="137"/>
      <c r="VRS23" s="137"/>
      <c r="VRT23" s="137"/>
      <c r="VRU23" s="137"/>
      <c r="VRV23" s="137"/>
      <c r="VRW23" s="137"/>
      <c r="VRX23" s="137"/>
      <c r="VRY23" s="137"/>
      <c r="VRZ23" s="137"/>
      <c r="VSA23" s="137"/>
      <c r="VSB23" s="137"/>
      <c r="VSC23" s="137"/>
      <c r="VSD23" s="137"/>
      <c r="VSE23" s="137"/>
      <c r="VSF23" s="137"/>
      <c r="VSG23" s="137"/>
      <c r="VSH23" s="137"/>
      <c r="VSI23" s="137"/>
      <c r="VSJ23" s="137"/>
      <c r="VSK23" s="137"/>
      <c r="VSL23" s="137"/>
      <c r="VSM23" s="137"/>
      <c r="VSN23" s="137"/>
      <c r="VSO23" s="137"/>
      <c r="VSP23" s="137"/>
      <c r="VSQ23" s="137"/>
      <c r="VSR23" s="137"/>
      <c r="VSS23" s="137"/>
      <c r="VST23" s="137"/>
      <c r="VSU23" s="137"/>
      <c r="VSV23" s="137"/>
      <c r="VSW23" s="137"/>
      <c r="VSX23" s="137"/>
      <c r="VSY23" s="137"/>
      <c r="VSZ23" s="137"/>
      <c r="VTA23" s="137"/>
      <c r="VTB23" s="137"/>
      <c r="VTC23" s="137"/>
      <c r="VTD23" s="137"/>
      <c r="VTE23" s="137"/>
      <c r="VTF23" s="137"/>
      <c r="VTG23" s="137"/>
      <c r="VTH23" s="137"/>
      <c r="VTI23" s="137"/>
      <c r="VTJ23" s="137"/>
      <c r="VTK23" s="137"/>
      <c r="VTL23" s="137"/>
      <c r="VTM23" s="137"/>
      <c r="VTN23" s="137"/>
      <c r="VTO23" s="137"/>
      <c r="VTP23" s="137"/>
      <c r="VTQ23" s="137"/>
      <c r="VTR23" s="137"/>
      <c r="VTS23" s="137"/>
      <c r="VTT23" s="137"/>
      <c r="VTU23" s="137"/>
      <c r="VTV23" s="137"/>
      <c r="VTW23" s="137"/>
      <c r="VTX23" s="137"/>
      <c r="VTY23" s="137"/>
      <c r="VTZ23" s="137"/>
      <c r="VUA23" s="137"/>
      <c r="VUB23" s="137"/>
      <c r="VUC23" s="137"/>
      <c r="VUD23" s="137"/>
      <c r="VUE23" s="137"/>
      <c r="VUF23" s="137"/>
      <c r="VUG23" s="137"/>
      <c r="VUH23" s="137"/>
      <c r="VUI23" s="137"/>
      <c r="VUJ23" s="137"/>
      <c r="VUK23" s="137"/>
      <c r="VUL23" s="137"/>
      <c r="VUM23" s="137"/>
      <c r="VUN23" s="137"/>
      <c r="VUO23" s="137"/>
      <c r="VUP23" s="137"/>
      <c r="VUQ23" s="137"/>
      <c r="VUR23" s="137"/>
      <c r="VUS23" s="137"/>
      <c r="VUT23" s="137"/>
      <c r="VUU23" s="137"/>
      <c r="VUV23" s="137"/>
      <c r="VUW23" s="137"/>
      <c r="VUX23" s="137"/>
      <c r="VUY23" s="137"/>
      <c r="VUZ23" s="137"/>
      <c r="VVA23" s="137"/>
      <c r="VVB23" s="137"/>
      <c r="VVC23" s="137"/>
      <c r="VVD23" s="137"/>
      <c r="VVE23" s="137"/>
      <c r="VVF23" s="137"/>
      <c r="VVG23" s="137"/>
      <c r="VVH23" s="137"/>
      <c r="VVI23" s="137"/>
      <c r="VVJ23" s="137"/>
      <c r="VVK23" s="137"/>
      <c r="VVL23" s="137"/>
      <c r="VVM23" s="137"/>
      <c r="VVN23" s="137"/>
      <c r="VVO23" s="137"/>
      <c r="VVP23" s="137"/>
      <c r="VVQ23" s="137"/>
      <c r="VVR23" s="137"/>
      <c r="VVS23" s="137"/>
      <c r="VVT23" s="137"/>
      <c r="VVU23" s="137"/>
      <c r="VVV23" s="137"/>
      <c r="VVW23" s="137"/>
      <c r="VVX23" s="137"/>
      <c r="VVY23" s="137"/>
      <c r="VVZ23" s="137"/>
      <c r="VWA23" s="137"/>
      <c r="VWB23" s="137"/>
      <c r="VWC23" s="137"/>
      <c r="VWD23" s="137"/>
      <c r="VWE23" s="137"/>
      <c r="VWF23" s="137"/>
      <c r="VWG23" s="137"/>
      <c r="VWH23" s="137"/>
      <c r="VWI23" s="137"/>
      <c r="VWJ23" s="137"/>
      <c r="VWK23" s="137"/>
      <c r="VWL23" s="137"/>
      <c r="VWM23" s="137"/>
      <c r="VWN23" s="137"/>
      <c r="VWO23" s="137"/>
      <c r="VWP23" s="137"/>
      <c r="VWQ23" s="137"/>
      <c r="VWR23" s="137"/>
      <c r="VWS23" s="137"/>
      <c r="VWT23" s="137"/>
      <c r="VWU23" s="137"/>
      <c r="VWV23" s="137"/>
      <c r="VWW23" s="137"/>
      <c r="VWX23" s="137"/>
      <c r="VWY23" s="137"/>
      <c r="VWZ23" s="137"/>
      <c r="VXA23" s="137"/>
      <c r="VXB23" s="137"/>
      <c r="VXC23" s="137"/>
      <c r="VXD23" s="137"/>
      <c r="VXE23" s="137"/>
      <c r="VXF23" s="137"/>
      <c r="VXG23" s="137"/>
      <c r="VXH23" s="137"/>
      <c r="VXI23" s="137"/>
      <c r="VXJ23" s="137"/>
      <c r="VXK23" s="137"/>
      <c r="VXL23" s="137"/>
      <c r="VXM23" s="137"/>
      <c r="VXN23" s="137"/>
      <c r="VXO23" s="137"/>
      <c r="VXP23" s="137"/>
      <c r="VXQ23" s="137"/>
      <c r="VXR23" s="137"/>
      <c r="VXS23" s="137"/>
      <c r="VXT23" s="137"/>
      <c r="VXU23" s="137"/>
      <c r="VXV23" s="137"/>
      <c r="VXW23" s="137"/>
      <c r="VXX23" s="137"/>
      <c r="VXY23" s="137"/>
      <c r="VXZ23" s="137"/>
      <c r="VYA23" s="137"/>
      <c r="VYB23" s="137"/>
      <c r="VYC23" s="137"/>
      <c r="VYD23" s="137"/>
      <c r="VYE23" s="137"/>
      <c r="VYF23" s="137"/>
      <c r="VYG23" s="137"/>
      <c r="VYH23" s="137"/>
      <c r="VYI23" s="137"/>
      <c r="VYJ23" s="137"/>
      <c r="VYK23" s="137"/>
      <c r="VYL23" s="137"/>
      <c r="VYM23" s="137"/>
      <c r="VYN23" s="137"/>
      <c r="VYO23" s="137"/>
      <c r="VYP23" s="137"/>
      <c r="VYQ23" s="137"/>
      <c r="VYR23" s="137"/>
      <c r="VYS23" s="137"/>
      <c r="VYT23" s="137"/>
      <c r="VYU23" s="137"/>
      <c r="VYV23" s="137"/>
      <c r="VYW23" s="137"/>
      <c r="VYX23" s="137"/>
      <c r="VYY23" s="137"/>
      <c r="VYZ23" s="137"/>
      <c r="VZA23" s="137"/>
      <c r="VZB23" s="137"/>
      <c r="VZC23" s="137"/>
      <c r="VZD23" s="137"/>
      <c r="VZE23" s="137"/>
      <c r="VZF23" s="137"/>
      <c r="VZG23" s="137"/>
      <c r="VZH23" s="137"/>
      <c r="VZI23" s="137"/>
      <c r="VZJ23" s="137"/>
      <c r="VZK23" s="137"/>
      <c r="VZL23" s="137"/>
      <c r="VZM23" s="137"/>
      <c r="VZN23" s="137"/>
      <c r="VZO23" s="137"/>
      <c r="VZP23" s="137"/>
      <c r="VZQ23" s="137"/>
      <c r="VZR23" s="137"/>
      <c r="VZS23" s="137"/>
      <c r="VZT23" s="137"/>
      <c r="VZU23" s="137"/>
      <c r="VZV23" s="137"/>
      <c r="VZW23" s="137"/>
      <c r="VZX23" s="137"/>
      <c r="VZY23" s="137"/>
      <c r="VZZ23" s="137"/>
      <c r="WAA23" s="137"/>
      <c r="WAB23" s="137"/>
      <c r="WAC23" s="137"/>
      <c r="WAD23" s="137"/>
      <c r="WAE23" s="137"/>
      <c r="WAF23" s="137"/>
      <c r="WAG23" s="137"/>
      <c r="WAH23" s="137"/>
      <c r="WAI23" s="137"/>
      <c r="WAJ23" s="137"/>
      <c r="WAK23" s="137"/>
      <c r="WAL23" s="137"/>
      <c r="WAM23" s="137"/>
      <c r="WAN23" s="137"/>
      <c r="WAO23" s="137"/>
      <c r="WAP23" s="137"/>
      <c r="WAQ23" s="137"/>
      <c r="WAR23" s="137"/>
      <c r="WAS23" s="137"/>
      <c r="WAT23" s="137"/>
      <c r="WAU23" s="137"/>
      <c r="WAV23" s="137"/>
      <c r="WAW23" s="137"/>
      <c r="WAX23" s="137"/>
      <c r="WAY23" s="137"/>
      <c r="WAZ23" s="137"/>
      <c r="WBA23" s="137"/>
      <c r="WBB23" s="137"/>
      <c r="WBC23" s="137"/>
      <c r="WBD23" s="137"/>
      <c r="WBE23" s="137"/>
      <c r="WBF23" s="137"/>
      <c r="WBG23" s="137"/>
      <c r="WBH23" s="137"/>
      <c r="WBI23" s="137"/>
      <c r="WBJ23" s="137"/>
      <c r="WBK23" s="137"/>
      <c r="WBL23" s="137"/>
      <c r="WBM23" s="137"/>
      <c r="WBN23" s="137"/>
      <c r="WBO23" s="137"/>
      <c r="WBP23" s="137"/>
      <c r="WBQ23" s="137"/>
      <c r="WBR23" s="137"/>
      <c r="WBS23" s="137"/>
      <c r="WBT23" s="137"/>
      <c r="WBU23" s="137"/>
      <c r="WBV23" s="137"/>
      <c r="WBW23" s="137"/>
      <c r="WBX23" s="137"/>
      <c r="WBY23" s="137"/>
      <c r="WBZ23" s="137"/>
      <c r="WCA23" s="137"/>
      <c r="WCB23" s="137"/>
      <c r="WCC23" s="137"/>
      <c r="WCD23" s="137"/>
      <c r="WCE23" s="137"/>
      <c r="WCF23" s="137"/>
      <c r="WCG23" s="137"/>
      <c r="WCH23" s="137"/>
      <c r="WCI23" s="137"/>
      <c r="WCJ23" s="137"/>
      <c r="WCK23" s="137"/>
      <c r="WCL23" s="137"/>
      <c r="WCM23" s="137"/>
      <c r="WCN23" s="137"/>
      <c r="WCO23" s="137"/>
      <c r="WCP23" s="137"/>
      <c r="WCQ23" s="137"/>
      <c r="WCR23" s="137"/>
      <c r="WCS23" s="137"/>
      <c r="WCT23" s="137"/>
      <c r="WCU23" s="137"/>
      <c r="WCV23" s="137"/>
      <c r="WCW23" s="137"/>
      <c r="WCX23" s="137"/>
      <c r="WCY23" s="137"/>
      <c r="WCZ23" s="137"/>
      <c r="WDA23" s="137"/>
      <c r="WDB23" s="137"/>
      <c r="WDC23" s="137"/>
      <c r="WDD23" s="137"/>
      <c r="WDE23" s="137"/>
      <c r="WDF23" s="137"/>
      <c r="WDG23" s="137"/>
      <c r="WDH23" s="137"/>
      <c r="WDI23" s="137"/>
      <c r="WDJ23" s="137"/>
      <c r="WDK23" s="137"/>
      <c r="WDL23" s="137"/>
      <c r="WDM23" s="137"/>
      <c r="WDN23" s="137"/>
      <c r="WDO23" s="137"/>
      <c r="WDP23" s="137"/>
      <c r="WDQ23" s="137"/>
      <c r="WDR23" s="137"/>
      <c r="WDS23" s="137"/>
      <c r="WDT23" s="137"/>
      <c r="WDU23" s="137"/>
      <c r="WDV23" s="137"/>
      <c r="WDW23" s="137"/>
      <c r="WDX23" s="137"/>
      <c r="WDY23" s="137"/>
      <c r="WDZ23" s="137"/>
      <c r="WEA23" s="137"/>
      <c r="WEB23" s="137"/>
      <c r="WEC23" s="137"/>
      <c r="WED23" s="137"/>
      <c r="WEE23" s="137"/>
      <c r="WEF23" s="137"/>
      <c r="WEG23" s="137"/>
      <c r="WEH23" s="137"/>
      <c r="WEI23" s="137"/>
      <c r="WEJ23" s="137"/>
      <c r="WEK23" s="137"/>
      <c r="WEL23" s="137"/>
      <c r="WEM23" s="137"/>
      <c r="WEN23" s="137"/>
      <c r="WEO23" s="137"/>
      <c r="WEP23" s="137"/>
      <c r="WEQ23" s="137"/>
      <c r="WER23" s="137"/>
      <c r="WES23" s="137"/>
      <c r="WET23" s="137"/>
      <c r="WEU23" s="137"/>
      <c r="WEV23" s="137"/>
      <c r="WEW23" s="137"/>
      <c r="WEX23" s="137"/>
      <c r="WEY23" s="137"/>
      <c r="WEZ23" s="137"/>
      <c r="WFA23" s="137"/>
      <c r="WFB23" s="137"/>
      <c r="WFC23" s="137"/>
      <c r="WFD23" s="137"/>
      <c r="WFE23" s="137"/>
      <c r="WFF23" s="137"/>
      <c r="WFG23" s="137"/>
      <c r="WFH23" s="137"/>
      <c r="WFI23" s="137"/>
      <c r="WFJ23" s="137"/>
      <c r="WFK23" s="137"/>
      <c r="WFL23" s="137"/>
      <c r="WFM23" s="137"/>
      <c r="WFN23" s="137"/>
      <c r="WFO23" s="137"/>
      <c r="WFP23" s="137"/>
      <c r="WFQ23" s="137"/>
      <c r="WFR23" s="137"/>
      <c r="WFS23" s="137"/>
      <c r="WFT23" s="137"/>
      <c r="WFU23" s="137"/>
      <c r="WFV23" s="137"/>
      <c r="WFW23" s="137"/>
      <c r="WFX23" s="137"/>
      <c r="WFY23" s="137"/>
      <c r="WFZ23" s="137"/>
      <c r="WGA23" s="137"/>
      <c r="WGB23" s="137"/>
      <c r="WGC23" s="137"/>
      <c r="WGD23" s="137"/>
      <c r="WGE23" s="137"/>
      <c r="WGF23" s="137"/>
      <c r="WGG23" s="137"/>
      <c r="WGH23" s="137"/>
      <c r="WGI23" s="137"/>
      <c r="WGJ23" s="137"/>
      <c r="WGK23" s="137"/>
      <c r="WGL23" s="137"/>
      <c r="WGM23" s="137"/>
      <c r="WGN23" s="137"/>
      <c r="WGO23" s="137"/>
      <c r="WGP23" s="137"/>
      <c r="WGQ23" s="137"/>
      <c r="WGR23" s="137"/>
      <c r="WGS23" s="137"/>
      <c r="WGT23" s="137"/>
      <c r="WGU23" s="137"/>
      <c r="WGV23" s="137"/>
      <c r="WGW23" s="137"/>
      <c r="WGX23" s="137"/>
      <c r="WGY23" s="137"/>
      <c r="WGZ23" s="137"/>
      <c r="WHA23" s="137"/>
      <c r="WHB23" s="137"/>
      <c r="WHC23" s="137"/>
      <c r="WHD23" s="137"/>
      <c r="WHE23" s="137"/>
      <c r="WHF23" s="137"/>
      <c r="WHG23" s="137"/>
      <c r="WHH23" s="137"/>
      <c r="WHI23" s="137"/>
      <c r="WHJ23" s="137"/>
      <c r="WHK23" s="137"/>
      <c r="WHL23" s="137"/>
      <c r="WHM23" s="137"/>
      <c r="WHN23" s="137"/>
      <c r="WHO23" s="137"/>
      <c r="WHP23" s="137"/>
      <c r="WHQ23" s="137"/>
      <c r="WHR23" s="137"/>
      <c r="WHS23" s="137"/>
      <c r="WHT23" s="137"/>
      <c r="WHU23" s="137"/>
      <c r="WHV23" s="137"/>
      <c r="WHW23" s="137"/>
      <c r="WHX23" s="137"/>
      <c r="WHY23" s="137"/>
      <c r="WHZ23" s="137"/>
      <c r="WIA23" s="137"/>
      <c r="WIB23" s="137"/>
      <c r="WIC23" s="137"/>
      <c r="WID23" s="137"/>
      <c r="WIE23" s="137"/>
      <c r="WIF23" s="137"/>
      <c r="WIG23" s="137"/>
      <c r="WIH23" s="137"/>
      <c r="WII23" s="137"/>
      <c r="WIJ23" s="137"/>
      <c r="WIK23" s="137"/>
      <c r="WIL23" s="137"/>
      <c r="WIM23" s="137"/>
      <c r="WIN23" s="137"/>
      <c r="WIO23" s="137"/>
      <c r="WIP23" s="137"/>
      <c r="WIQ23" s="137"/>
      <c r="WIR23" s="137"/>
      <c r="WIS23" s="137"/>
      <c r="WIT23" s="137"/>
      <c r="WIU23" s="137"/>
      <c r="WIV23" s="137"/>
      <c r="WIW23" s="137"/>
      <c r="WIX23" s="137"/>
      <c r="WIY23" s="137"/>
      <c r="WIZ23" s="137"/>
      <c r="WJA23" s="137"/>
      <c r="WJB23" s="137"/>
      <c r="WJC23" s="137"/>
      <c r="WJD23" s="137"/>
      <c r="WJE23" s="137"/>
      <c r="WJF23" s="137"/>
      <c r="WJG23" s="137"/>
      <c r="WJH23" s="137"/>
      <c r="WJI23" s="137"/>
      <c r="WJJ23" s="137"/>
      <c r="WJK23" s="137"/>
      <c r="WJL23" s="137"/>
      <c r="WJM23" s="137"/>
      <c r="WJN23" s="137"/>
      <c r="WJO23" s="137"/>
      <c r="WJP23" s="137"/>
      <c r="WJQ23" s="137"/>
      <c r="WJR23" s="137"/>
      <c r="WJS23" s="137"/>
      <c r="WJT23" s="137"/>
      <c r="WJU23" s="137"/>
      <c r="WJV23" s="137"/>
      <c r="WJW23" s="137"/>
      <c r="WJX23" s="137"/>
      <c r="WJY23" s="137"/>
      <c r="WJZ23" s="137"/>
      <c r="WKA23" s="137"/>
      <c r="WKB23" s="137"/>
      <c r="WKC23" s="137"/>
      <c r="WKD23" s="137"/>
      <c r="WKE23" s="137"/>
      <c r="WKF23" s="137"/>
      <c r="WKG23" s="137"/>
      <c r="WKH23" s="137"/>
      <c r="WKI23" s="137"/>
      <c r="WKJ23" s="137"/>
      <c r="WKK23" s="137"/>
      <c r="WKL23" s="137"/>
      <c r="WKM23" s="137"/>
      <c r="WKN23" s="137"/>
      <c r="WKO23" s="137"/>
      <c r="WKP23" s="137"/>
      <c r="WKQ23" s="137"/>
      <c r="WKR23" s="137"/>
      <c r="WKS23" s="137"/>
      <c r="WKT23" s="137"/>
      <c r="WKU23" s="137"/>
      <c r="WKV23" s="137"/>
      <c r="WKW23" s="137"/>
      <c r="WKX23" s="137"/>
      <c r="WKY23" s="137"/>
      <c r="WKZ23" s="137"/>
      <c r="WLA23" s="137"/>
      <c r="WLB23" s="137"/>
      <c r="WLC23" s="137"/>
      <c r="WLD23" s="137"/>
      <c r="WLE23" s="137"/>
      <c r="WLF23" s="137"/>
      <c r="WLG23" s="137"/>
      <c r="WLH23" s="137"/>
      <c r="WLI23" s="137"/>
      <c r="WLJ23" s="137"/>
      <c r="WLK23" s="137"/>
      <c r="WLL23" s="137"/>
      <c r="WLM23" s="137"/>
      <c r="WLN23" s="137"/>
      <c r="WLO23" s="137"/>
      <c r="WLP23" s="137"/>
      <c r="WLQ23" s="137"/>
      <c r="WLR23" s="137"/>
      <c r="WLS23" s="137"/>
      <c r="WLT23" s="137"/>
      <c r="WLU23" s="137"/>
      <c r="WLV23" s="137"/>
      <c r="WLW23" s="137"/>
      <c r="WLX23" s="137"/>
      <c r="WLY23" s="137"/>
      <c r="WLZ23" s="137"/>
      <c r="WMA23" s="137"/>
      <c r="WMB23" s="137"/>
      <c r="WMC23" s="137"/>
      <c r="WMD23" s="137"/>
      <c r="WME23" s="137"/>
      <c r="WMF23" s="137"/>
      <c r="WMG23" s="137"/>
      <c r="WMH23" s="137"/>
      <c r="WMI23" s="137"/>
      <c r="WMJ23" s="137"/>
      <c r="WMK23" s="137"/>
      <c r="WML23" s="137"/>
      <c r="WMM23" s="137"/>
      <c r="WMN23" s="137"/>
      <c r="WMO23" s="137"/>
      <c r="WMP23" s="137"/>
      <c r="WMQ23" s="137"/>
      <c r="WMR23" s="137"/>
      <c r="WMS23" s="137"/>
      <c r="WMT23" s="137"/>
      <c r="WMU23" s="137"/>
      <c r="WMV23" s="137"/>
      <c r="WMW23" s="137"/>
      <c r="WMX23" s="137"/>
      <c r="WMY23" s="137"/>
      <c r="WMZ23" s="137"/>
      <c r="WNA23" s="137"/>
      <c r="WNB23" s="137"/>
      <c r="WNC23" s="137"/>
      <c r="WND23" s="137"/>
      <c r="WNE23" s="137"/>
      <c r="WNF23" s="137"/>
      <c r="WNG23" s="137"/>
      <c r="WNH23" s="137"/>
      <c r="WNI23" s="137"/>
      <c r="WNJ23" s="137"/>
      <c r="WNK23" s="137"/>
      <c r="WNL23" s="137"/>
      <c r="WNM23" s="137"/>
      <c r="WNN23" s="137"/>
      <c r="WNO23" s="137"/>
      <c r="WNP23" s="137"/>
      <c r="WNQ23" s="137"/>
      <c r="WNR23" s="137"/>
      <c r="WNS23" s="137"/>
      <c r="WNT23" s="137"/>
      <c r="WNU23" s="137"/>
      <c r="WNV23" s="137"/>
      <c r="WNW23" s="137"/>
      <c r="WNX23" s="137"/>
      <c r="WNY23" s="137"/>
      <c r="WNZ23" s="137"/>
      <c r="WOA23" s="137"/>
      <c r="WOB23" s="137"/>
      <c r="WOC23" s="137"/>
      <c r="WOD23" s="137"/>
      <c r="WOE23" s="137"/>
      <c r="WOF23" s="137"/>
      <c r="WOG23" s="137"/>
      <c r="WOH23" s="137"/>
      <c r="WOI23" s="137"/>
      <c r="WOJ23" s="137"/>
      <c r="WOK23" s="137"/>
      <c r="WOL23" s="137"/>
      <c r="WOM23" s="137"/>
      <c r="WON23" s="137"/>
      <c r="WOO23" s="137"/>
      <c r="WOP23" s="137"/>
      <c r="WOQ23" s="137"/>
      <c r="WOR23" s="137"/>
      <c r="WOS23" s="137"/>
      <c r="WOT23" s="137"/>
      <c r="WOU23" s="137"/>
      <c r="WOV23" s="137"/>
      <c r="WOW23" s="137"/>
      <c r="WOX23" s="137"/>
      <c r="WOY23" s="137"/>
      <c r="WOZ23" s="137"/>
      <c r="WPA23" s="137"/>
      <c r="WPB23" s="137"/>
      <c r="WPC23" s="137"/>
      <c r="WPD23" s="137"/>
      <c r="WPE23" s="137"/>
      <c r="WPF23" s="137"/>
      <c r="WPG23" s="137"/>
      <c r="WPH23" s="137"/>
      <c r="WPI23" s="137"/>
      <c r="WPJ23" s="137"/>
      <c r="WPK23" s="137"/>
      <c r="WPL23" s="137"/>
      <c r="WPM23" s="137"/>
      <c r="WPN23" s="137"/>
      <c r="WPO23" s="137"/>
      <c r="WPP23" s="137"/>
      <c r="WPQ23" s="137"/>
      <c r="WPR23" s="137"/>
      <c r="WPS23" s="137"/>
      <c r="WPT23" s="137"/>
      <c r="WPU23" s="137"/>
      <c r="WPV23" s="137"/>
      <c r="WPW23" s="137"/>
      <c r="WPX23" s="137"/>
      <c r="WPY23" s="137"/>
      <c r="WPZ23" s="137"/>
      <c r="WQA23" s="137"/>
      <c r="WQB23" s="137"/>
      <c r="WQC23" s="137"/>
      <c r="WQD23" s="137"/>
      <c r="WQE23" s="137"/>
      <c r="WQF23" s="137"/>
      <c r="WQG23" s="137"/>
      <c r="WQH23" s="137"/>
      <c r="WQI23" s="137"/>
      <c r="WQJ23" s="137"/>
      <c r="WQK23" s="137"/>
      <c r="WQL23" s="137"/>
      <c r="WQM23" s="137"/>
      <c r="WQN23" s="137"/>
      <c r="WQO23" s="137"/>
      <c r="WQP23" s="137"/>
      <c r="WQQ23" s="137"/>
      <c r="WQR23" s="137"/>
      <c r="WQS23" s="137"/>
      <c r="WQT23" s="137"/>
      <c r="WQU23" s="137"/>
      <c r="WQV23" s="137"/>
      <c r="WQW23" s="137"/>
      <c r="WQX23" s="137"/>
      <c r="WQY23" s="137"/>
      <c r="WQZ23" s="137"/>
      <c r="WRA23" s="137"/>
      <c r="WRB23" s="137"/>
      <c r="WRC23" s="137"/>
      <c r="WRD23" s="137"/>
      <c r="WRE23" s="137"/>
      <c r="WRF23" s="137"/>
      <c r="WRG23" s="137"/>
      <c r="WRH23" s="137"/>
      <c r="WRI23" s="137"/>
      <c r="WRJ23" s="137"/>
      <c r="WRK23" s="137"/>
      <c r="WRL23" s="137"/>
      <c r="WRM23" s="137"/>
      <c r="WRN23" s="137"/>
      <c r="WRO23" s="137"/>
      <c r="WRP23" s="137"/>
      <c r="WRQ23" s="137"/>
      <c r="WRR23" s="137"/>
      <c r="WRS23" s="137"/>
      <c r="WRT23" s="137"/>
      <c r="WRU23" s="137"/>
      <c r="WRV23" s="137"/>
      <c r="WRW23" s="137"/>
      <c r="WRX23" s="137"/>
      <c r="WRY23" s="137"/>
      <c r="WRZ23" s="137"/>
      <c r="WSA23" s="137"/>
      <c r="WSB23" s="137"/>
      <c r="WSC23" s="137"/>
      <c r="WSD23" s="137"/>
      <c r="WSE23" s="137"/>
      <c r="WSF23" s="137"/>
      <c r="WSG23" s="137"/>
      <c r="WSH23" s="137"/>
      <c r="WSI23" s="137"/>
      <c r="WSJ23" s="137"/>
      <c r="WSK23" s="137"/>
      <c r="WSL23" s="137"/>
      <c r="WSM23" s="137"/>
      <c r="WSN23" s="137"/>
      <c r="WSO23" s="137"/>
      <c r="WSP23" s="137"/>
      <c r="WSQ23" s="137"/>
      <c r="WSR23" s="137"/>
      <c r="WSS23" s="137"/>
      <c r="WST23" s="137"/>
      <c r="WSU23" s="137"/>
      <c r="WSV23" s="137"/>
      <c r="WSW23" s="137"/>
      <c r="WSX23" s="137"/>
      <c r="WSY23" s="137"/>
      <c r="WSZ23" s="137"/>
      <c r="WTA23" s="137"/>
      <c r="WTB23" s="137"/>
      <c r="WTC23" s="137"/>
      <c r="WTD23" s="137"/>
      <c r="WTE23" s="137"/>
      <c r="WTF23" s="137"/>
      <c r="WTG23" s="137"/>
      <c r="WTH23" s="137"/>
      <c r="WTI23" s="137"/>
      <c r="WTJ23" s="137"/>
      <c r="WTK23" s="137"/>
      <c r="WTL23" s="137"/>
      <c r="WTM23" s="137"/>
      <c r="WTN23" s="137"/>
      <c r="WTO23" s="137"/>
      <c r="WTP23" s="137"/>
      <c r="WTQ23" s="137"/>
      <c r="WTR23" s="137"/>
      <c r="WTS23" s="137"/>
      <c r="WTT23" s="137"/>
      <c r="WTU23" s="137"/>
      <c r="WTV23" s="137"/>
      <c r="WTW23" s="137"/>
      <c r="WTX23" s="137"/>
      <c r="WTY23" s="137"/>
      <c r="WTZ23" s="137"/>
      <c r="WUA23" s="137"/>
      <c r="WUB23" s="137"/>
      <c r="WUC23" s="137"/>
      <c r="WUD23" s="137"/>
      <c r="WUE23" s="137"/>
      <c r="WUF23" s="137"/>
      <c r="WUG23" s="137"/>
      <c r="WUH23" s="137"/>
      <c r="WUI23" s="137"/>
      <c r="WUJ23" s="137"/>
      <c r="WUK23" s="137"/>
      <c r="WUL23" s="137"/>
      <c r="WUM23" s="137"/>
      <c r="WUN23" s="137"/>
      <c r="WUO23" s="137"/>
      <c r="WUP23" s="137"/>
      <c r="WUQ23" s="137"/>
      <c r="WUR23" s="137"/>
      <c r="WUS23" s="137"/>
      <c r="WUT23" s="137"/>
      <c r="WUU23" s="137"/>
      <c r="WUV23" s="137"/>
      <c r="WUW23" s="137"/>
      <c r="WUX23" s="137"/>
      <c r="WUY23" s="137"/>
      <c r="WUZ23" s="137"/>
      <c r="WVA23" s="137"/>
      <c r="WVB23" s="137"/>
      <c r="WVC23" s="137"/>
      <c r="WVD23" s="137"/>
      <c r="WVE23" s="137"/>
      <c r="WVF23" s="137"/>
      <c r="WVG23" s="137"/>
      <c r="WVH23" s="137"/>
      <c r="WVI23" s="137"/>
      <c r="WVJ23" s="137"/>
      <c r="WVK23" s="137"/>
      <c r="WVL23" s="137"/>
      <c r="WVM23" s="137"/>
      <c r="WVN23" s="137"/>
      <c r="WVO23" s="137"/>
      <c r="WVP23" s="137"/>
      <c r="WVQ23" s="137"/>
      <c r="WVR23" s="137"/>
      <c r="WVS23" s="137"/>
      <c r="WVT23" s="137"/>
      <c r="WVU23" s="137"/>
      <c r="WVV23" s="137"/>
      <c r="WVW23" s="137"/>
      <c r="WVX23" s="137"/>
      <c r="WVY23" s="137"/>
      <c r="WVZ23" s="137"/>
      <c r="WWA23" s="137"/>
      <c r="WWB23" s="137"/>
      <c r="WWC23" s="137"/>
      <c r="WWD23" s="137"/>
      <c r="WWE23" s="137"/>
      <c r="WWF23" s="137"/>
      <c r="WWG23" s="137"/>
      <c r="WWH23" s="137"/>
      <c r="WWI23" s="137"/>
      <c r="WWJ23" s="137"/>
      <c r="WWK23" s="137"/>
      <c r="WWL23" s="137"/>
      <c r="WWM23" s="137"/>
      <c r="WWN23" s="137"/>
      <c r="WWO23" s="137"/>
      <c r="WWP23" s="137"/>
      <c r="WWQ23" s="137"/>
      <c r="WWR23" s="137"/>
      <c r="WWS23" s="137"/>
      <c r="WWT23" s="137"/>
      <c r="WWU23" s="137"/>
      <c r="WWV23" s="137"/>
      <c r="WWW23" s="137"/>
      <c r="WWX23" s="137"/>
      <c r="WWY23" s="137"/>
      <c r="WWZ23" s="137"/>
      <c r="WXA23" s="137"/>
      <c r="WXB23" s="137"/>
      <c r="WXC23" s="137"/>
      <c r="WXD23" s="137"/>
      <c r="WXE23" s="137"/>
      <c r="WXF23" s="137"/>
      <c r="WXG23" s="137"/>
      <c r="WXH23" s="137"/>
      <c r="WXI23" s="137"/>
      <c r="WXJ23" s="137"/>
      <c r="WXK23" s="137"/>
      <c r="WXL23" s="137"/>
      <c r="WXM23" s="137"/>
      <c r="WXN23" s="137"/>
      <c r="WXO23" s="137"/>
      <c r="WXP23" s="137"/>
      <c r="WXQ23" s="137"/>
      <c r="WXR23" s="137"/>
      <c r="WXS23" s="137"/>
      <c r="WXT23" s="137"/>
      <c r="WXU23" s="137"/>
      <c r="WXV23" s="137"/>
      <c r="WXW23" s="137"/>
      <c r="WXX23" s="137"/>
      <c r="WXY23" s="137"/>
      <c r="WXZ23" s="137"/>
      <c r="WYA23" s="137"/>
      <c r="WYB23" s="137"/>
      <c r="WYC23" s="137"/>
      <c r="WYD23" s="137"/>
      <c r="WYE23" s="137"/>
      <c r="WYF23" s="137"/>
      <c r="WYG23" s="137"/>
      <c r="WYH23" s="137"/>
      <c r="WYI23" s="137"/>
      <c r="WYJ23" s="137"/>
      <c r="WYK23" s="137"/>
      <c r="WYL23" s="137"/>
      <c r="WYM23" s="137"/>
      <c r="WYN23" s="137"/>
      <c r="WYO23" s="137"/>
      <c r="WYP23" s="137"/>
      <c r="WYQ23" s="137"/>
      <c r="WYR23" s="137"/>
      <c r="WYS23" s="137"/>
      <c r="WYT23" s="137"/>
      <c r="WYU23" s="137"/>
      <c r="WYV23" s="137"/>
      <c r="WYW23" s="137"/>
      <c r="WYX23" s="137"/>
      <c r="WYY23" s="137"/>
      <c r="WYZ23" s="137"/>
      <c r="WZA23" s="137"/>
      <c r="WZB23" s="137"/>
      <c r="WZC23" s="137"/>
      <c r="WZD23" s="137"/>
      <c r="WZE23" s="137"/>
      <c r="WZF23" s="137"/>
      <c r="WZG23" s="137"/>
      <c r="WZH23" s="137"/>
      <c r="WZI23" s="137"/>
      <c r="WZJ23" s="137"/>
      <c r="WZK23" s="137"/>
      <c r="WZL23" s="137"/>
      <c r="WZM23" s="137"/>
      <c r="WZN23" s="137"/>
      <c r="WZO23" s="137"/>
      <c r="WZP23" s="137"/>
      <c r="WZQ23" s="137"/>
      <c r="WZR23" s="137"/>
      <c r="WZS23" s="137"/>
      <c r="WZT23" s="137"/>
      <c r="WZU23" s="137"/>
      <c r="WZV23" s="137"/>
      <c r="WZW23" s="137"/>
      <c r="WZX23" s="137"/>
      <c r="WZY23" s="137"/>
      <c r="WZZ23" s="137"/>
      <c r="XAA23" s="137"/>
      <c r="XAB23" s="137"/>
      <c r="XAC23" s="137"/>
      <c r="XAD23" s="137"/>
      <c r="XAE23" s="137"/>
      <c r="XAF23" s="137"/>
      <c r="XAG23" s="137"/>
      <c r="XAH23" s="137"/>
      <c r="XAI23" s="137"/>
      <c r="XAJ23" s="137"/>
      <c r="XAK23" s="137"/>
      <c r="XAL23" s="137"/>
      <c r="XAM23" s="137"/>
      <c r="XAN23" s="137"/>
      <c r="XAO23" s="137"/>
      <c r="XAP23" s="137"/>
      <c r="XAQ23" s="137"/>
      <c r="XAR23" s="137"/>
      <c r="XAS23" s="137"/>
      <c r="XAT23" s="137"/>
      <c r="XAU23" s="137"/>
      <c r="XAV23" s="137"/>
      <c r="XAW23" s="137"/>
      <c r="XAX23" s="137"/>
      <c r="XAY23" s="137"/>
      <c r="XAZ23" s="137"/>
      <c r="XBA23" s="137"/>
      <c r="XBB23" s="137"/>
      <c r="XBC23" s="137"/>
      <c r="XBD23" s="137"/>
      <c r="XBE23" s="137"/>
      <c r="XBF23" s="137"/>
      <c r="XBG23" s="137"/>
      <c r="XBH23" s="137"/>
      <c r="XBI23" s="137"/>
      <c r="XBJ23" s="137"/>
      <c r="XBK23" s="137"/>
      <c r="XBL23" s="137"/>
      <c r="XBM23" s="137"/>
      <c r="XBN23" s="137"/>
      <c r="XBO23" s="137"/>
      <c r="XBP23" s="137"/>
      <c r="XBQ23" s="137"/>
      <c r="XBR23" s="137"/>
      <c r="XBS23" s="137"/>
      <c r="XBT23" s="137"/>
      <c r="XBU23" s="137"/>
      <c r="XBV23" s="137"/>
      <c r="XBW23" s="137"/>
      <c r="XBX23" s="137"/>
      <c r="XBY23" s="137"/>
      <c r="XBZ23" s="137"/>
      <c r="XCA23" s="137"/>
      <c r="XCB23" s="137"/>
      <c r="XCC23" s="137"/>
      <c r="XCD23" s="137"/>
      <c r="XCE23" s="137"/>
      <c r="XCF23" s="137"/>
      <c r="XCG23" s="137"/>
      <c r="XCH23" s="137"/>
      <c r="XCI23" s="137"/>
      <c r="XCJ23" s="137"/>
      <c r="XCK23" s="137"/>
      <c r="XCL23" s="137"/>
      <c r="XCM23" s="137"/>
      <c r="XCN23" s="137"/>
      <c r="XCO23" s="137"/>
      <c r="XCP23" s="137"/>
      <c r="XCQ23" s="137"/>
      <c r="XCR23" s="137"/>
      <c r="XCS23" s="137"/>
      <c r="XCT23" s="137"/>
      <c r="XCU23" s="137"/>
      <c r="XCV23" s="137"/>
      <c r="XCW23" s="137"/>
      <c r="XCX23" s="137"/>
      <c r="XCY23" s="137"/>
      <c r="XCZ23" s="137"/>
      <c r="XDA23" s="137"/>
      <c r="XDB23" s="137"/>
      <c r="XDC23" s="137"/>
      <c r="XDD23" s="137"/>
      <c r="XDE23" s="137"/>
      <c r="XDF23" s="137"/>
      <c r="XDG23" s="137"/>
      <c r="XDH23" s="137"/>
      <c r="XDI23" s="137"/>
      <c r="XDJ23" s="137"/>
      <c r="XDK23" s="137"/>
      <c r="XDL23" s="137"/>
      <c r="XDM23" s="137"/>
      <c r="XDN23" s="137"/>
      <c r="XDO23" s="137"/>
      <c r="XDP23" s="137"/>
      <c r="XDQ23" s="137"/>
      <c r="XDR23" s="137"/>
      <c r="XDS23" s="137"/>
      <c r="XDT23" s="137"/>
      <c r="XDU23" s="137"/>
      <c r="XDV23" s="137"/>
      <c r="XDW23" s="137"/>
      <c r="XDX23" s="137"/>
      <c r="XDY23" s="137"/>
      <c r="XDZ23" s="137"/>
      <c r="XEA23" s="137"/>
      <c r="XEB23" s="137"/>
      <c r="XEC23" s="137"/>
      <c r="XED23" s="137"/>
      <c r="XEE23" s="137"/>
      <c r="XEF23" s="137"/>
      <c r="XEG23" s="137"/>
      <c r="XEH23" s="137"/>
      <c r="XEI23" s="137"/>
      <c r="XEJ23" s="137"/>
      <c r="XEK23" s="137"/>
      <c r="XEL23" s="137"/>
      <c r="XEM23" s="137"/>
      <c r="XEN23" s="137"/>
      <c r="XEO23" s="137"/>
      <c r="XEP23" s="137"/>
      <c r="XEQ23" s="137"/>
      <c r="XER23" s="137"/>
      <c r="XES23" s="137"/>
      <c r="XET23" s="137"/>
      <c r="XEU23" s="137"/>
    </row>
    <row r="24" spans="1:16375" s="137" customFormat="1">
      <c r="A24" s="137" t="s">
        <v>358</v>
      </c>
      <c r="B24" s="370" t="s">
        <v>271</v>
      </c>
      <c r="C24" s="379"/>
      <c r="D24" s="379"/>
      <c r="E24" s="371" t="s">
        <v>302</v>
      </c>
      <c r="F24" s="371" t="s">
        <v>302</v>
      </c>
      <c r="G24" s="372"/>
      <c r="H24" s="372"/>
      <c r="I24" s="372"/>
      <c r="J24" s="372"/>
      <c r="K24" s="372"/>
      <c r="L24" s="372"/>
      <c r="M24" s="372"/>
      <c r="N24" s="372"/>
      <c r="O24" s="372"/>
      <c r="P24" s="372"/>
      <c r="Q24" s="372"/>
      <c r="R24" s="372"/>
      <c r="S24" s="372"/>
      <c r="T24" s="372"/>
      <c r="U24" s="372"/>
      <c r="V24" s="372"/>
      <c r="W24" s="372"/>
      <c r="X24" s="372"/>
      <c r="Y24" s="372"/>
      <c r="Z24" s="372"/>
      <c r="AA24" s="372"/>
      <c r="AB24" s="372"/>
      <c r="AC24" s="373"/>
      <c r="AD24" s="372"/>
      <c r="AE24" s="372"/>
      <c r="AF24" s="372"/>
      <c r="AG24" s="372"/>
      <c r="AH24" s="372"/>
      <c r="AI24" s="372"/>
      <c r="AJ24" s="372"/>
      <c r="AK24" s="373"/>
      <c r="AL24" s="372"/>
      <c r="AM24" s="372"/>
      <c r="AN24" s="372"/>
      <c r="AO24" s="372"/>
      <c r="AP24" s="372"/>
      <c r="AQ24" s="372"/>
      <c r="AR24" s="372"/>
      <c r="AS24" s="372"/>
      <c r="AT24" s="372"/>
      <c r="AU24" s="372"/>
      <c r="AV24" s="372"/>
      <c r="AW24" s="372"/>
      <c r="AX24" s="372"/>
      <c r="AY24" s="372"/>
      <c r="AZ24" s="372"/>
      <c r="BA24" s="372"/>
      <c r="BB24" s="372"/>
      <c r="BC24" s="372"/>
      <c r="BD24" s="372"/>
      <c r="BE24" s="372"/>
      <c r="BF24" s="372"/>
      <c r="BG24" s="372"/>
      <c r="BH24" s="372"/>
      <c r="BI24" s="372"/>
      <c r="BJ24" s="372"/>
      <c r="BK24" s="372"/>
      <c r="BL24" s="372"/>
      <c r="BM24" s="372"/>
      <c r="BN24" s="372"/>
      <c r="BO24" s="372"/>
      <c r="BP24" s="372"/>
      <c r="BQ24" s="372"/>
      <c r="BR24" s="372"/>
      <c r="BS24" s="372"/>
      <c r="BT24" s="372"/>
      <c r="BU24" s="372"/>
      <c r="BV24" s="372"/>
    </row>
    <row r="25" spans="1:16375" s="137" customFormat="1" ht="12.75">
      <c r="A25" s="137" t="s">
        <v>1807</v>
      </c>
      <c r="B25" s="370" t="s">
        <v>1669</v>
      </c>
      <c r="C25" s="380" t="s">
        <v>302</v>
      </c>
      <c r="D25" s="372"/>
      <c r="E25" s="372"/>
      <c r="F25" s="372"/>
      <c r="G25" s="380" t="s">
        <v>302</v>
      </c>
      <c r="H25" s="372"/>
      <c r="I25" s="372"/>
      <c r="J25" s="372"/>
      <c r="K25" s="372"/>
      <c r="L25" s="372"/>
      <c r="M25" s="372"/>
      <c r="N25" s="372"/>
      <c r="O25" s="372"/>
      <c r="P25" s="372"/>
      <c r="Q25" s="372"/>
      <c r="R25" s="372"/>
      <c r="S25" s="372"/>
      <c r="T25" s="372"/>
      <c r="U25" s="372"/>
      <c r="V25" s="372"/>
      <c r="W25" s="372"/>
      <c r="X25" s="372"/>
      <c r="Y25" s="372"/>
      <c r="Z25" s="372"/>
      <c r="AA25" s="372"/>
      <c r="AB25" s="372"/>
      <c r="AC25" s="372"/>
      <c r="AD25" s="372"/>
      <c r="AE25" s="372"/>
      <c r="AF25" s="372"/>
      <c r="AG25" s="372"/>
      <c r="AH25" s="372"/>
      <c r="AI25" s="372"/>
      <c r="AJ25" s="372"/>
      <c r="AK25" s="372"/>
      <c r="AL25" s="372"/>
      <c r="AM25" s="372"/>
      <c r="AN25" s="372"/>
      <c r="AO25" s="372"/>
      <c r="AP25" s="372"/>
      <c r="AQ25" s="372"/>
      <c r="AR25" s="372"/>
      <c r="AS25" s="372"/>
      <c r="AT25" s="372"/>
      <c r="AU25" s="372"/>
      <c r="AV25" s="372"/>
      <c r="AW25" s="372"/>
      <c r="AX25" s="372"/>
      <c r="AY25" s="372"/>
      <c r="AZ25" s="372"/>
      <c r="BA25" s="372"/>
      <c r="BB25" s="372"/>
      <c r="BC25" s="372"/>
      <c r="BD25" s="372"/>
      <c r="BE25" s="372"/>
      <c r="BF25" s="372"/>
      <c r="BG25" s="372"/>
      <c r="BH25" s="372"/>
      <c r="BI25" s="372"/>
      <c r="BJ25" s="372"/>
      <c r="BK25" s="372"/>
      <c r="BL25" s="372"/>
      <c r="BM25" s="372"/>
      <c r="BN25" s="372"/>
      <c r="BO25" s="372"/>
      <c r="BP25" s="372"/>
      <c r="BQ25" s="372"/>
      <c r="BR25" s="372"/>
      <c r="BS25" s="372"/>
      <c r="BT25" s="372"/>
      <c r="BU25" s="372"/>
      <c r="BV25" s="372"/>
    </row>
    <row r="26" spans="1:16375" s="137" customFormat="1" ht="12.75">
      <c r="A26" s="137" t="s">
        <v>1808</v>
      </c>
      <c r="B26" s="370" t="s">
        <v>1670</v>
      </c>
      <c r="C26" s="372"/>
      <c r="D26" s="372"/>
      <c r="E26" s="372"/>
      <c r="F26" s="372"/>
      <c r="G26" s="372"/>
      <c r="H26" s="380" t="s">
        <v>302</v>
      </c>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2"/>
      <c r="AK26" s="372"/>
      <c r="AL26" s="372"/>
      <c r="AM26" s="372"/>
      <c r="AN26" s="372"/>
      <c r="AO26" s="372"/>
      <c r="AP26" s="372"/>
      <c r="AQ26" s="372"/>
      <c r="AR26" s="372"/>
      <c r="AS26" s="372"/>
      <c r="AT26" s="372"/>
      <c r="AU26" s="372"/>
      <c r="AV26" s="372"/>
      <c r="AW26" s="372"/>
      <c r="AX26" s="372"/>
      <c r="AY26" s="372"/>
      <c r="AZ26" s="372"/>
      <c r="BA26" s="372"/>
      <c r="BB26" s="372"/>
      <c r="BC26" s="372"/>
      <c r="BD26" s="372"/>
      <c r="BE26" s="372"/>
      <c r="BF26" s="372"/>
      <c r="BG26" s="372"/>
      <c r="BH26" s="372"/>
      <c r="BI26" s="372"/>
      <c r="BJ26" s="372"/>
      <c r="BK26" s="372"/>
      <c r="BL26" s="372"/>
      <c r="BM26" s="372"/>
      <c r="BN26" s="372"/>
      <c r="BO26" s="372"/>
      <c r="BP26" s="372"/>
      <c r="BQ26" s="372"/>
      <c r="BR26" s="372"/>
      <c r="BS26" s="372"/>
      <c r="BT26" s="372"/>
      <c r="BU26" s="372"/>
      <c r="BV26" s="372"/>
    </row>
    <row r="27" spans="1:16375" s="137" customFormat="1" ht="12.75">
      <c r="A27" s="137" t="s">
        <v>1809</v>
      </c>
      <c r="B27" s="370" t="s">
        <v>1671</v>
      </c>
      <c r="C27" s="372"/>
      <c r="D27" s="372"/>
      <c r="E27" s="372"/>
      <c r="F27" s="372"/>
      <c r="G27" s="372"/>
      <c r="H27" s="372"/>
      <c r="I27" s="380" t="s">
        <v>302</v>
      </c>
      <c r="J27" s="372"/>
      <c r="K27" s="372"/>
      <c r="L27" s="372"/>
      <c r="M27" s="372"/>
      <c r="N27" s="372"/>
      <c r="O27" s="372"/>
      <c r="P27" s="372"/>
      <c r="Q27" s="372"/>
      <c r="R27" s="372"/>
      <c r="S27" s="372"/>
      <c r="T27" s="372"/>
      <c r="U27" s="372"/>
      <c r="V27" s="372"/>
      <c r="W27" s="372"/>
      <c r="X27" s="372"/>
      <c r="Y27" s="372"/>
      <c r="Z27" s="372"/>
      <c r="AA27" s="372"/>
      <c r="AB27" s="372"/>
      <c r="AC27" s="372"/>
      <c r="AD27" s="372"/>
      <c r="AE27" s="372"/>
      <c r="AF27" s="372"/>
      <c r="AG27" s="372"/>
      <c r="AH27" s="372"/>
      <c r="AI27" s="372"/>
      <c r="AJ27" s="372"/>
      <c r="AK27" s="372"/>
      <c r="AL27" s="372"/>
      <c r="AM27" s="372"/>
      <c r="AN27" s="372"/>
      <c r="AO27" s="372"/>
      <c r="AP27" s="372"/>
      <c r="AQ27" s="372"/>
      <c r="AR27" s="372"/>
      <c r="AS27" s="372"/>
      <c r="AT27" s="372"/>
      <c r="AU27" s="372"/>
      <c r="AV27" s="372"/>
      <c r="AW27" s="372"/>
      <c r="AX27" s="372"/>
      <c r="AY27" s="372"/>
      <c r="AZ27" s="372"/>
      <c r="BA27" s="372"/>
      <c r="BB27" s="372"/>
      <c r="BC27" s="372"/>
      <c r="BD27" s="372"/>
      <c r="BE27" s="372"/>
      <c r="BF27" s="372"/>
      <c r="BG27" s="372"/>
      <c r="BH27" s="372"/>
      <c r="BI27" s="372"/>
      <c r="BJ27" s="372"/>
      <c r="BK27" s="372"/>
      <c r="BL27" s="372"/>
      <c r="BM27" s="372"/>
      <c r="BN27" s="372"/>
      <c r="BO27" s="372"/>
      <c r="BP27" s="372"/>
      <c r="BQ27" s="372"/>
      <c r="BR27" s="372"/>
      <c r="BS27" s="372"/>
      <c r="BT27" s="372"/>
      <c r="BU27" s="372"/>
      <c r="BV27" s="372"/>
    </row>
    <row r="28" spans="1:16375" s="137" customFormat="1" ht="12.75">
      <c r="A28" s="137" t="s">
        <v>1810</v>
      </c>
      <c r="B28" s="370" t="s">
        <v>1672</v>
      </c>
      <c r="C28" s="372"/>
      <c r="D28" s="372"/>
      <c r="E28" s="372"/>
      <c r="F28" s="372"/>
      <c r="G28" s="372"/>
      <c r="H28" s="372"/>
      <c r="I28" s="372"/>
      <c r="J28" s="380" t="s">
        <v>302</v>
      </c>
      <c r="K28" s="372"/>
      <c r="L28" s="372"/>
      <c r="M28" s="372"/>
      <c r="N28" s="372"/>
      <c r="O28" s="372"/>
      <c r="P28" s="372"/>
      <c r="Q28" s="372"/>
      <c r="R28" s="372"/>
      <c r="S28" s="372"/>
      <c r="T28" s="372"/>
      <c r="U28" s="372"/>
      <c r="V28" s="372"/>
      <c r="W28" s="372"/>
      <c r="X28" s="372"/>
      <c r="Y28" s="372"/>
      <c r="Z28" s="372"/>
      <c r="AA28" s="372"/>
      <c r="AB28" s="372"/>
      <c r="AC28" s="372"/>
      <c r="AD28" s="372"/>
      <c r="AE28" s="372"/>
      <c r="AF28" s="372"/>
      <c r="AG28" s="372"/>
      <c r="AH28" s="372"/>
      <c r="AI28" s="372"/>
      <c r="AJ28" s="372"/>
      <c r="AK28" s="372"/>
      <c r="AL28" s="372"/>
      <c r="AM28" s="372"/>
      <c r="AN28" s="372"/>
      <c r="AO28" s="372"/>
      <c r="AP28" s="372"/>
      <c r="AQ28" s="372"/>
      <c r="AR28" s="372"/>
      <c r="AS28" s="372"/>
      <c r="AT28" s="372"/>
      <c r="AU28" s="372"/>
      <c r="AV28" s="372"/>
      <c r="AW28" s="372"/>
      <c r="AX28" s="372"/>
      <c r="AY28" s="372"/>
      <c r="AZ28" s="372"/>
      <c r="BA28" s="372"/>
      <c r="BB28" s="372"/>
      <c r="BC28" s="372"/>
      <c r="BD28" s="372"/>
      <c r="BE28" s="372"/>
      <c r="BF28" s="372"/>
      <c r="BG28" s="372"/>
      <c r="BH28" s="372"/>
      <c r="BI28" s="372"/>
      <c r="BJ28" s="372"/>
      <c r="BK28" s="372"/>
      <c r="BL28" s="372"/>
      <c r="BM28" s="372"/>
      <c r="BN28" s="372"/>
      <c r="BO28" s="372"/>
      <c r="BP28" s="372"/>
      <c r="BQ28" s="372"/>
      <c r="BR28" s="372"/>
      <c r="BS28" s="372"/>
      <c r="BT28" s="372"/>
      <c r="BU28" s="372"/>
      <c r="BV28" s="372"/>
    </row>
    <row r="29" spans="1:16375" s="137" customFormat="1" ht="12.75">
      <c r="A29" s="137" t="s">
        <v>1811</v>
      </c>
      <c r="B29" s="370" t="s">
        <v>1673</v>
      </c>
      <c r="C29" s="372"/>
      <c r="D29" s="372"/>
      <c r="E29" s="372"/>
      <c r="F29" s="372"/>
      <c r="G29" s="372"/>
      <c r="H29" s="364"/>
      <c r="I29" s="372"/>
      <c r="J29" s="372"/>
      <c r="K29" s="380" t="s">
        <v>302</v>
      </c>
      <c r="L29" s="372"/>
      <c r="M29" s="372"/>
      <c r="N29" s="372"/>
      <c r="O29" s="372"/>
      <c r="P29" s="372"/>
      <c r="Q29" s="372"/>
      <c r="R29" s="372"/>
      <c r="S29" s="372"/>
      <c r="T29" s="372"/>
      <c r="U29" s="372"/>
      <c r="V29" s="372"/>
      <c r="W29" s="372"/>
      <c r="X29" s="372"/>
      <c r="Y29" s="372"/>
      <c r="Z29" s="372"/>
      <c r="AA29" s="372"/>
      <c r="AB29" s="372"/>
      <c r="AC29" s="372"/>
      <c r="AD29" s="372"/>
      <c r="AE29" s="372"/>
      <c r="AF29" s="372"/>
      <c r="AG29" s="372"/>
      <c r="AH29" s="372"/>
      <c r="AI29" s="372"/>
      <c r="AJ29" s="372"/>
      <c r="AK29" s="372"/>
      <c r="AL29" s="372"/>
      <c r="AM29" s="372"/>
      <c r="AN29" s="372"/>
      <c r="AO29" s="372"/>
      <c r="AP29" s="372"/>
      <c r="AQ29" s="372"/>
      <c r="AR29" s="372"/>
      <c r="AS29" s="372"/>
      <c r="AT29" s="372"/>
      <c r="AU29" s="372"/>
      <c r="AV29" s="372"/>
      <c r="AW29" s="372"/>
      <c r="AX29" s="372"/>
      <c r="AY29" s="372"/>
      <c r="AZ29" s="372"/>
      <c r="BA29" s="372"/>
      <c r="BB29" s="372"/>
      <c r="BC29" s="372"/>
      <c r="BD29" s="372"/>
      <c r="BE29" s="372"/>
      <c r="BF29" s="372"/>
      <c r="BG29" s="372"/>
      <c r="BH29" s="372"/>
      <c r="BI29" s="372"/>
      <c r="BJ29" s="372"/>
      <c r="BK29" s="372"/>
      <c r="BL29" s="372"/>
      <c r="BM29" s="372"/>
      <c r="BN29" s="372"/>
      <c r="BO29" s="372"/>
      <c r="BP29" s="372"/>
      <c r="BQ29" s="372"/>
      <c r="BR29" s="372"/>
      <c r="BS29" s="372"/>
      <c r="BT29" s="372"/>
      <c r="BU29" s="372"/>
      <c r="BV29" s="372"/>
    </row>
    <row r="30" spans="1:16375" s="137" customFormat="1" ht="12.75">
      <c r="A30" s="137" t="s">
        <v>1812</v>
      </c>
      <c r="B30" s="370" t="s">
        <v>1674</v>
      </c>
      <c r="C30" s="372"/>
      <c r="D30" s="372"/>
      <c r="E30" s="372"/>
      <c r="F30" s="372"/>
      <c r="G30" s="372"/>
      <c r="H30" s="372"/>
      <c r="I30" s="372"/>
      <c r="J30" s="372"/>
      <c r="K30" s="372"/>
      <c r="L30" s="380" t="s">
        <v>302</v>
      </c>
      <c r="M30" s="372"/>
      <c r="N30" s="372"/>
      <c r="O30" s="372"/>
      <c r="P30" s="372"/>
      <c r="Q30" s="372"/>
      <c r="R30" s="372"/>
      <c r="S30" s="372"/>
      <c r="T30" s="372"/>
      <c r="U30" s="372"/>
      <c r="V30" s="372"/>
      <c r="W30" s="372"/>
      <c r="X30" s="372"/>
      <c r="Y30" s="372"/>
      <c r="Z30" s="372"/>
      <c r="AA30" s="372"/>
      <c r="AB30" s="372"/>
      <c r="AC30" s="372"/>
      <c r="AD30" s="372"/>
      <c r="AE30" s="372"/>
      <c r="AF30" s="372"/>
      <c r="AG30" s="372"/>
      <c r="AH30" s="372"/>
      <c r="AI30" s="372"/>
      <c r="AJ30" s="372"/>
      <c r="AK30" s="372"/>
      <c r="AL30" s="372"/>
      <c r="AM30" s="372"/>
      <c r="AN30" s="372"/>
      <c r="AO30" s="372"/>
      <c r="AP30" s="372"/>
      <c r="AQ30" s="372"/>
      <c r="AR30" s="372"/>
      <c r="AS30" s="372"/>
      <c r="AT30" s="372"/>
      <c r="AU30" s="372"/>
      <c r="AV30" s="372"/>
      <c r="AW30" s="372"/>
      <c r="AX30" s="372"/>
      <c r="AY30" s="372"/>
      <c r="AZ30" s="372"/>
      <c r="BA30" s="372"/>
      <c r="BB30" s="372"/>
      <c r="BC30" s="372"/>
      <c r="BD30" s="372"/>
      <c r="BE30" s="372"/>
      <c r="BF30" s="372"/>
      <c r="BG30" s="372"/>
      <c r="BH30" s="372"/>
      <c r="BI30" s="372"/>
      <c r="BJ30" s="372"/>
      <c r="BK30" s="372"/>
      <c r="BL30" s="372"/>
      <c r="BM30" s="372"/>
      <c r="BN30" s="372"/>
      <c r="BO30" s="372"/>
      <c r="BP30" s="372"/>
      <c r="BQ30" s="372"/>
      <c r="BR30" s="372"/>
      <c r="BS30" s="372"/>
      <c r="BT30" s="372"/>
      <c r="BU30" s="372"/>
      <c r="BV30" s="372"/>
    </row>
    <row r="31" spans="1:16375">
      <c r="A31" s="138"/>
      <c r="B31" s="370" t="s">
        <v>1954</v>
      </c>
      <c r="C31" s="139"/>
      <c r="D31" s="139"/>
      <c r="E31" s="139"/>
      <c r="F31" s="139"/>
      <c r="G31" s="139"/>
      <c r="H31" s="139"/>
      <c r="I31" s="139"/>
      <c r="J31" s="139"/>
      <c r="K31" s="139"/>
      <c r="L31" s="139"/>
      <c r="M31" s="139"/>
      <c r="N31" s="139"/>
      <c r="O31" s="139"/>
      <c r="P31" s="139"/>
      <c r="Q31" s="372"/>
      <c r="R31" s="139"/>
      <c r="S31" s="139"/>
      <c r="T31" s="139"/>
      <c r="U31" s="139"/>
      <c r="V31" s="139"/>
      <c r="W31" s="139"/>
      <c r="X31" s="139"/>
      <c r="Y31" s="139"/>
      <c r="Z31" s="139"/>
      <c r="AA31" s="139"/>
      <c r="AB31" s="139"/>
      <c r="AC31" s="139"/>
      <c r="AD31" s="139"/>
      <c r="AE31" s="139"/>
      <c r="AF31" s="139"/>
      <c r="AG31" s="139"/>
      <c r="AH31" s="139"/>
      <c r="AI31" s="139"/>
      <c r="AJ31" s="139"/>
      <c r="AK31" s="139"/>
      <c r="AL31" s="139"/>
      <c r="AM31" s="139"/>
      <c r="AN31" s="139"/>
      <c r="AO31" s="139"/>
      <c r="AP31" s="139"/>
      <c r="AQ31" s="139"/>
      <c r="AR31" s="139"/>
      <c r="AS31" s="372"/>
      <c r="AT31" s="139"/>
      <c r="AU31" s="139"/>
      <c r="AV31" s="139"/>
      <c r="AW31" s="139"/>
      <c r="AX31" s="139"/>
      <c r="AY31" s="139"/>
      <c r="AZ31" s="139"/>
      <c r="BA31" s="139"/>
      <c r="BB31" s="139"/>
      <c r="BC31" s="372"/>
      <c r="BD31" s="139"/>
      <c r="BE31" s="139"/>
      <c r="BF31" s="139"/>
      <c r="BG31" s="139"/>
      <c r="BH31" s="139"/>
      <c r="BI31" s="139"/>
      <c r="BJ31" s="380" t="s">
        <v>302</v>
      </c>
      <c r="BK31" s="372"/>
      <c r="BL31" s="372"/>
      <c r="BM31" s="372"/>
      <c r="BN31" s="372"/>
      <c r="BO31" s="372"/>
      <c r="BP31" s="372"/>
      <c r="BQ31" s="372"/>
      <c r="BR31" s="372"/>
      <c r="BS31" s="372"/>
      <c r="BT31" s="372"/>
      <c r="BU31" s="372"/>
      <c r="BV31" s="372"/>
    </row>
    <row r="32" spans="1:16375" s="137" customFormat="1" ht="12.75">
      <c r="A32" s="138" t="s">
        <v>1813</v>
      </c>
      <c r="B32" s="370" t="s">
        <v>272</v>
      </c>
      <c r="C32" s="371" t="s">
        <v>302</v>
      </c>
      <c r="D32" s="371" t="s">
        <v>302</v>
      </c>
      <c r="E32" s="379"/>
      <c r="F32" s="379"/>
      <c r="G32" s="380" t="s">
        <v>302</v>
      </c>
      <c r="H32" s="372"/>
      <c r="I32" s="372"/>
      <c r="J32" s="372"/>
      <c r="K32" s="372"/>
      <c r="L32" s="372"/>
      <c r="M32" s="371" t="s">
        <v>302</v>
      </c>
      <c r="N32" s="371" t="s">
        <v>302</v>
      </c>
      <c r="O32" s="372"/>
      <c r="P32" s="372"/>
      <c r="Q32" s="372"/>
      <c r="R32" s="381"/>
      <c r="S32" s="372"/>
      <c r="T32" s="372"/>
      <c r="U32" s="372"/>
      <c r="V32" s="372"/>
      <c r="W32" s="372"/>
      <c r="X32" s="372"/>
      <c r="Y32" s="372"/>
      <c r="Z32" s="382"/>
      <c r="AA32" s="382"/>
      <c r="AB32" s="379"/>
      <c r="AC32" s="382"/>
      <c r="AD32" s="372"/>
      <c r="AE32" s="372"/>
      <c r="AF32" s="372"/>
      <c r="AG32" s="372"/>
      <c r="AH32" s="372"/>
      <c r="AI32" s="372"/>
      <c r="AJ32" s="372"/>
      <c r="AK32" s="382"/>
      <c r="AL32" s="372"/>
      <c r="AM32" s="379"/>
      <c r="AN32" s="372"/>
      <c r="AO32" s="372"/>
      <c r="AP32" s="379"/>
      <c r="AQ32" s="382"/>
      <c r="AR32" s="382"/>
      <c r="AS32" s="372"/>
      <c r="AT32" s="372"/>
      <c r="AU32" s="372"/>
      <c r="AV32" s="372"/>
      <c r="AW32" s="372"/>
      <c r="AX32" s="372"/>
      <c r="AY32" s="372"/>
      <c r="AZ32" s="372"/>
      <c r="BA32" s="372"/>
      <c r="BB32" s="372"/>
      <c r="BC32" s="372"/>
      <c r="BD32" s="372"/>
      <c r="BE32" s="372"/>
      <c r="BF32" s="372"/>
      <c r="BG32" s="372"/>
      <c r="BH32" s="372"/>
      <c r="BI32" s="372"/>
      <c r="BJ32" s="372"/>
      <c r="BK32" s="372"/>
      <c r="BL32" s="372"/>
      <c r="BM32" s="372"/>
      <c r="BN32" s="372"/>
      <c r="BO32" s="372"/>
      <c r="BP32" s="372"/>
      <c r="BQ32" s="372"/>
      <c r="BR32" s="372"/>
      <c r="BS32" s="372"/>
      <c r="BT32" s="372"/>
      <c r="BU32" s="372"/>
      <c r="BV32" s="372"/>
    </row>
    <row r="33" spans="1:74" s="137" customFormat="1" ht="12.75">
      <c r="A33" s="137" t="s">
        <v>359</v>
      </c>
      <c r="B33" s="370" t="s">
        <v>273</v>
      </c>
      <c r="C33" s="371" t="s">
        <v>302</v>
      </c>
      <c r="D33" s="371" t="s">
        <v>302</v>
      </c>
      <c r="E33" s="379"/>
      <c r="F33" s="379"/>
      <c r="G33" s="372"/>
      <c r="H33" s="372"/>
      <c r="I33" s="372"/>
      <c r="J33" s="372"/>
      <c r="K33" s="372"/>
      <c r="L33" s="372"/>
      <c r="M33" s="371" t="s">
        <v>302</v>
      </c>
      <c r="N33" s="379"/>
      <c r="O33" s="372"/>
      <c r="P33" s="372"/>
      <c r="Q33" s="372"/>
      <c r="R33" s="381"/>
      <c r="S33" s="372"/>
      <c r="T33" s="372"/>
      <c r="U33" s="372"/>
      <c r="V33" s="372"/>
      <c r="W33" s="372"/>
      <c r="X33" s="372"/>
      <c r="Y33" s="372"/>
      <c r="Z33" s="372"/>
      <c r="AA33" s="372"/>
      <c r="AB33" s="379"/>
      <c r="AC33" s="372"/>
      <c r="AD33" s="372"/>
      <c r="AE33" s="372"/>
      <c r="AF33" s="372"/>
      <c r="AG33" s="372"/>
      <c r="AH33" s="372"/>
      <c r="AI33" s="372"/>
      <c r="AJ33" s="372"/>
      <c r="AK33" s="372"/>
      <c r="AL33" s="372"/>
      <c r="AM33" s="379"/>
      <c r="AN33" s="372"/>
      <c r="AO33" s="372"/>
      <c r="AP33" s="379"/>
      <c r="AQ33" s="372"/>
      <c r="AR33" s="372"/>
      <c r="AS33" s="372"/>
      <c r="AT33" s="372"/>
      <c r="AU33" s="372"/>
      <c r="AV33" s="372"/>
      <c r="AW33" s="372"/>
      <c r="AX33" s="372"/>
      <c r="AY33" s="372"/>
      <c r="AZ33" s="372"/>
      <c r="BA33" s="372"/>
      <c r="BB33" s="372"/>
      <c r="BC33" s="372"/>
      <c r="BD33" s="372"/>
      <c r="BE33" s="372"/>
      <c r="BF33" s="372"/>
      <c r="BG33" s="372"/>
      <c r="BH33" s="372"/>
      <c r="BI33" s="372"/>
      <c r="BJ33" s="372"/>
      <c r="BK33" s="372"/>
      <c r="BL33" s="372"/>
      <c r="BM33" s="372"/>
      <c r="BN33" s="372"/>
      <c r="BO33" s="372"/>
      <c r="BP33" s="372"/>
      <c r="BQ33" s="372"/>
      <c r="BR33" s="372"/>
      <c r="BS33" s="372"/>
      <c r="BT33" s="372"/>
      <c r="BU33" s="372"/>
      <c r="BV33" s="372"/>
    </row>
    <row r="34" spans="1:74" s="137" customFormat="1" ht="12.75">
      <c r="A34" s="137" t="s">
        <v>360</v>
      </c>
      <c r="B34" s="370" t="s">
        <v>1785</v>
      </c>
      <c r="C34" s="371" t="s">
        <v>302</v>
      </c>
      <c r="D34" s="379"/>
      <c r="E34" s="379"/>
      <c r="F34" s="379"/>
      <c r="G34" s="372"/>
      <c r="H34" s="372"/>
      <c r="I34" s="372"/>
      <c r="J34" s="372"/>
      <c r="K34" s="372"/>
      <c r="L34" s="372"/>
      <c r="M34" s="379"/>
      <c r="N34" s="371" t="s">
        <v>302</v>
      </c>
      <c r="O34" s="372"/>
      <c r="P34" s="372"/>
      <c r="Q34" s="372"/>
      <c r="R34" s="381"/>
      <c r="S34" s="372"/>
      <c r="T34" s="372"/>
      <c r="U34" s="372"/>
      <c r="V34" s="372"/>
      <c r="W34" s="372"/>
      <c r="X34" s="372"/>
      <c r="Y34" s="372"/>
      <c r="Z34" s="372"/>
      <c r="AA34" s="372"/>
      <c r="AB34" s="379"/>
      <c r="AC34" s="372"/>
      <c r="AD34" s="372"/>
      <c r="AE34" s="372"/>
      <c r="AF34" s="372"/>
      <c r="AG34" s="372"/>
      <c r="AH34" s="372"/>
      <c r="AI34" s="372"/>
      <c r="AJ34" s="372"/>
      <c r="AK34" s="372"/>
      <c r="AL34" s="372"/>
      <c r="AM34" s="379"/>
      <c r="AN34" s="372"/>
      <c r="AO34" s="372"/>
      <c r="AP34" s="379"/>
      <c r="AQ34" s="372"/>
      <c r="AR34" s="372"/>
      <c r="AS34" s="372"/>
      <c r="AT34" s="372"/>
      <c r="AU34" s="372"/>
      <c r="AV34" s="372"/>
      <c r="AW34" s="372"/>
      <c r="AX34" s="372"/>
      <c r="AY34" s="372"/>
      <c r="AZ34" s="372"/>
      <c r="BA34" s="372"/>
      <c r="BB34" s="372"/>
      <c r="BC34" s="372"/>
      <c r="BD34" s="372"/>
      <c r="BE34" s="372"/>
      <c r="BF34" s="372"/>
      <c r="BG34" s="372"/>
      <c r="BH34" s="372"/>
      <c r="BI34" s="372"/>
      <c r="BJ34" s="372"/>
      <c r="BK34" s="372"/>
      <c r="BL34" s="372"/>
      <c r="BM34" s="372"/>
      <c r="BN34" s="372"/>
      <c r="BO34" s="372"/>
      <c r="BP34" s="372"/>
      <c r="BQ34" s="372"/>
      <c r="BR34" s="372"/>
      <c r="BS34" s="372"/>
      <c r="BT34" s="372"/>
      <c r="BU34" s="372"/>
      <c r="BV34" s="372"/>
    </row>
    <row r="35" spans="1:74" s="137" customFormat="1" ht="12.75">
      <c r="A35" s="137" t="s">
        <v>361</v>
      </c>
      <c r="B35" s="370" t="s">
        <v>274</v>
      </c>
      <c r="C35" s="371" t="s">
        <v>302</v>
      </c>
      <c r="D35" s="371" t="s">
        <v>302</v>
      </c>
      <c r="E35" s="379"/>
      <c r="F35" s="379"/>
      <c r="G35" s="372"/>
      <c r="H35" s="372"/>
      <c r="I35" s="372"/>
      <c r="J35" s="372"/>
      <c r="K35" s="372"/>
      <c r="L35" s="372"/>
      <c r="M35" s="379"/>
      <c r="N35" s="379"/>
      <c r="O35" s="372"/>
      <c r="P35" s="372"/>
      <c r="Q35" s="372"/>
      <c r="R35" s="381"/>
      <c r="S35" s="372"/>
      <c r="T35" s="372"/>
      <c r="U35" s="372"/>
      <c r="V35" s="372"/>
      <c r="W35" s="372"/>
      <c r="X35" s="372"/>
      <c r="Y35" s="372"/>
      <c r="Z35" s="372"/>
      <c r="AA35" s="372"/>
      <c r="AB35" s="379"/>
      <c r="AC35" s="372"/>
      <c r="AD35" s="372"/>
      <c r="AE35" s="372"/>
      <c r="AF35" s="372"/>
      <c r="AG35" s="372"/>
      <c r="AH35" s="372"/>
      <c r="AI35" s="372"/>
      <c r="AJ35" s="372"/>
      <c r="AK35" s="372"/>
      <c r="AL35" s="372"/>
      <c r="AM35" s="379"/>
      <c r="AN35" s="372"/>
      <c r="AO35" s="372"/>
      <c r="AP35" s="379"/>
      <c r="AQ35" s="372"/>
      <c r="AR35" s="372"/>
      <c r="AS35" s="372"/>
      <c r="AT35" s="372"/>
      <c r="AU35" s="372"/>
      <c r="AV35" s="372"/>
      <c r="AW35" s="372"/>
      <c r="AX35" s="372"/>
      <c r="AY35" s="372"/>
      <c r="AZ35" s="372"/>
      <c r="BA35" s="372"/>
      <c r="BB35" s="372"/>
      <c r="BC35" s="372"/>
      <c r="BD35" s="372"/>
      <c r="BE35" s="372"/>
      <c r="BF35" s="372"/>
      <c r="BG35" s="372"/>
      <c r="BH35" s="372"/>
      <c r="BI35" s="372"/>
      <c r="BJ35" s="372"/>
      <c r="BK35" s="372"/>
      <c r="BL35" s="372"/>
      <c r="BM35" s="372"/>
      <c r="BN35" s="372"/>
      <c r="BO35" s="372"/>
      <c r="BP35" s="372"/>
      <c r="BQ35" s="372"/>
      <c r="BR35" s="372"/>
      <c r="BS35" s="372"/>
      <c r="BT35" s="372"/>
      <c r="BU35" s="372"/>
      <c r="BV35" s="372"/>
    </row>
    <row r="36" spans="1:74" s="137" customFormat="1" ht="12.75">
      <c r="A36" s="137" t="s">
        <v>362</v>
      </c>
      <c r="B36" s="370" t="s">
        <v>275</v>
      </c>
      <c r="C36" s="371" t="s">
        <v>302</v>
      </c>
      <c r="D36" s="371" t="s">
        <v>302</v>
      </c>
      <c r="E36" s="379"/>
      <c r="F36" s="379"/>
      <c r="G36" s="372"/>
      <c r="H36" s="372"/>
      <c r="I36" s="372"/>
      <c r="J36" s="372"/>
      <c r="K36" s="372"/>
      <c r="L36" s="372"/>
      <c r="M36" s="371" t="s">
        <v>302</v>
      </c>
      <c r="N36" s="379"/>
      <c r="O36" s="372"/>
      <c r="P36" s="372"/>
      <c r="Q36" s="372"/>
      <c r="R36" s="381"/>
      <c r="S36" s="372"/>
      <c r="T36" s="372"/>
      <c r="U36" s="372"/>
      <c r="V36" s="372"/>
      <c r="W36" s="372"/>
      <c r="X36" s="372"/>
      <c r="Y36" s="372"/>
      <c r="Z36" s="372"/>
      <c r="AA36" s="372"/>
      <c r="AB36" s="379"/>
      <c r="AC36" s="372"/>
      <c r="AD36" s="372"/>
      <c r="AE36" s="372"/>
      <c r="AF36" s="372"/>
      <c r="AG36" s="372"/>
      <c r="AH36" s="372"/>
      <c r="AI36" s="372"/>
      <c r="AJ36" s="372"/>
      <c r="AK36" s="372"/>
      <c r="AL36" s="372"/>
      <c r="AM36" s="379"/>
      <c r="AN36" s="372"/>
      <c r="AO36" s="372"/>
      <c r="AP36" s="379"/>
      <c r="AQ36" s="372"/>
      <c r="AR36" s="372"/>
      <c r="AS36" s="372"/>
      <c r="AT36" s="372"/>
      <c r="AU36" s="372"/>
      <c r="AV36" s="372"/>
      <c r="AW36" s="372"/>
      <c r="AX36" s="372"/>
      <c r="AY36" s="372"/>
      <c r="AZ36" s="372"/>
      <c r="BA36" s="372"/>
      <c r="BB36" s="372"/>
      <c r="BC36" s="372"/>
      <c r="BD36" s="372"/>
      <c r="BE36" s="372"/>
      <c r="BF36" s="372"/>
      <c r="BG36" s="372"/>
      <c r="BH36" s="372"/>
      <c r="BI36" s="372"/>
      <c r="BJ36" s="372"/>
      <c r="BK36" s="372"/>
      <c r="BL36" s="372"/>
      <c r="BM36" s="372"/>
      <c r="BN36" s="372"/>
      <c r="BO36" s="372"/>
      <c r="BP36" s="372"/>
      <c r="BQ36" s="372"/>
      <c r="BR36" s="372"/>
      <c r="BS36" s="372"/>
      <c r="BT36" s="372"/>
      <c r="BU36" s="372"/>
      <c r="BV36" s="372"/>
    </row>
    <row r="37" spans="1:74" s="137" customFormat="1" ht="12.75">
      <c r="A37" s="137" t="s">
        <v>1794</v>
      </c>
      <c r="B37" s="370" t="s">
        <v>1795</v>
      </c>
      <c r="C37" s="380" t="s">
        <v>302</v>
      </c>
      <c r="D37" s="380" t="s">
        <v>302</v>
      </c>
      <c r="E37" s="379"/>
      <c r="F37" s="379"/>
      <c r="G37" s="382"/>
      <c r="H37" s="382"/>
      <c r="I37" s="382"/>
      <c r="J37" s="382"/>
      <c r="K37" s="382"/>
      <c r="L37" s="382"/>
      <c r="M37" s="379"/>
      <c r="N37" s="379"/>
      <c r="O37" s="382"/>
      <c r="P37" s="382"/>
      <c r="Q37" s="372"/>
      <c r="R37" s="381"/>
      <c r="S37" s="382"/>
      <c r="T37" s="382"/>
      <c r="U37" s="382"/>
      <c r="V37" s="382"/>
      <c r="W37" s="382"/>
      <c r="X37" s="382"/>
      <c r="Y37" s="382"/>
      <c r="Z37" s="382"/>
      <c r="AA37" s="382"/>
      <c r="AB37" s="379"/>
      <c r="AC37" s="382"/>
      <c r="AD37" s="382"/>
      <c r="AE37" s="382"/>
      <c r="AF37" s="382"/>
      <c r="AG37" s="382"/>
      <c r="AH37" s="382"/>
      <c r="AI37" s="382"/>
      <c r="AJ37" s="382"/>
      <c r="AK37" s="382"/>
      <c r="AL37" s="382"/>
      <c r="AM37" s="379"/>
      <c r="AN37" s="382"/>
      <c r="AO37" s="382"/>
      <c r="AP37" s="379"/>
      <c r="AQ37" s="382"/>
      <c r="AR37" s="382"/>
      <c r="AS37" s="372"/>
      <c r="AT37" s="382"/>
      <c r="AU37" s="382"/>
      <c r="AV37" s="382"/>
      <c r="AW37" s="382"/>
      <c r="AX37" s="382"/>
      <c r="AY37" s="382"/>
      <c r="AZ37" s="382"/>
      <c r="BA37" s="382"/>
      <c r="BB37" s="382"/>
      <c r="BC37" s="372"/>
      <c r="BD37" s="382"/>
      <c r="BE37" s="382"/>
      <c r="BF37" s="382"/>
      <c r="BG37" s="382"/>
      <c r="BH37" s="382"/>
      <c r="BI37" s="382"/>
      <c r="BJ37" s="382"/>
      <c r="BK37" s="382"/>
      <c r="BL37" s="382"/>
      <c r="BM37" s="382"/>
      <c r="BN37" s="382"/>
      <c r="BO37" s="382"/>
      <c r="BP37" s="382"/>
      <c r="BQ37" s="382"/>
      <c r="BR37" s="382"/>
      <c r="BS37" s="382"/>
      <c r="BT37" s="382"/>
      <c r="BU37" s="382"/>
      <c r="BV37" s="382"/>
    </row>
    <row r="38" spans="1:74" s="137" customFormat="1" ht="12.75">
      <c r="A38" s="137" t="s">
        <v>363</v>
      </c>
      <c r="B38" s="370" t="s">
        <v>1786</v>
      </c>
      <c r="C38" s="371" t="s">
        <v>302</v>
      </c>
      <c r="D38" s="371" t="s">
        <v>302</v>
      </c>
      <c r="E38" s="379"/>
      <c r="F38" s="379"/>
      <c r="G38" s="372"/>
      <c r="H38" s="372"/>
      <c r="I38" s="372"/>
      <c r="J38" s="372"/>
      <c r="K38" s="372"/>
      <c r="L38" s="372"/>
      <c r="M38" s="371" t="s">
        <v>302</v>
      </c>
      <c r="N38" s="379"/>
      <c r="O38" s="372"/>
      <c r="P38" s="372"/>
      <c r="Q38" s="372"/>
      <c r="R38" s="381"/>
      <c r="S38" s="372"/>
      <c r="T38" s="372"/>
      <c r="U38" s="372"/>
      <c r="V38" s="372"/>
      <c r="W38" s="372"/>
      <c r="X38" s="372"/>
      <c r="Y38" s="372"/>
      <c r="Z38" s="372"/>
      <c r="AA38" s="372"/>
      <c r="AB38" s="379"/>
      <c r="AC38" s="372"/>
      <c r="AD38" s="372"/>
      <c r="AE38" s="372"/>
      <c r="AF38" s="372"/>
      <c r="AG38" s="372"/>
      <c r="AH38" s="372"/>
      <c r="AI38" s="372"/>
      <c r="AJ38" s="372"/>
      <c r="AK38" s="372"/>
      <c r="AL38" s="372"/>
      <c r="AM38" s="379"/>
      <c r="AN38" s="372"/>
      <c r="AO38" s="372"/>
      <c r="AP38" s="379"/>
      <c r="AQ38" s="372"/>
      <c r="AR38" s="372"/>
      <c r="AS38" s="372"/>
      <c r="AT38" s="372"/>
      <c r="AU38" s="372"/>
      <c r="AV38" s="372"/>
      <c r="AW38" s="372"/>
      <c r="AX38" s="372"/>
      <c r="AY38" s="372"/>
      <c r="AZ38" s="372"/>
      <c r="BA38" s="372"/>
      <c r="BB38" s="372"/>
      <c r="BC38" s="372"/>
      <c r="BD38" s="372"/>
      <c r="BE38" s="372"/>
      <c r="BF38" s="372"/>
      <c r="BG38" s="372"/>
      <c r="BH38" s="372"/>
      <c r="BI38" s="372"/>
      <c r="BJ38" s="372"/>
      <c r="BK38" s="372"/>
      <c r="BL38" s="372"/>
      <c r="BM38" s="372"/>
      <c r="BN38" s="372"/>
      <c r="BO38" s="372"/>
      <c r="BP38" s="372"/>
      <c r="BQ38" s="372"/>
      <c r="BR38" s="372"/>
      <c r="BS38" s="372"/>
      <c r="BT38" s="372"/>
      <c r="BU38" s="372"/>
      <c r="BV38" s="372"/>
    </row>
    <row r="39" spans="1:74" s="137" customFormat="1">
      <c r="A39" s="137" t="s">
        <v>1814</v>
      </c>
      <c r="B39" s="370" t="s">
        <v>276</v>
      </c>
      <c r="C39" s="379"/>
      <c r="D39" s="379"/>
      <c r="E39" s="379"/>
      <c r="F39" s="379"/>
      <c r="G39" s="372"/>
      <c r="H39" s="372"/>
      <c r="I39" s="372"/>
      <c r="J39" s="372"/>
      <c r="K39" s="372"/>
      <c r="L39" s="372"/>
      <c r="M39" s="379"/>
      <c r="N39" s="379"/>
      <c r="O39" s="371" t="s">
        <v>302</v>
      </c>
      <c r="P39" s="372"/>
      <c r="Q39" s="372"/>
      <c r="R39" s="379"/>
      <c r="S39" s="372"/>
      <c r="T39" s="372"/>
      <c r="U39" s="372"/>
      <c r="V39" s="372"/>
      <c r="W39" s="372"/>
      <c r="X39" s="372"/>
      <c r="Y39" s="372"/>
      <c r="Z39" s="383"/>
      <c r="AA39" s="371" t="s">
        <v>302</v>
      </c>
      <c r="AB39" s="379"/>
      <c r="AC39" s="372"/>
      <c r="AD39" s="372"/>
      <c r="AE39" s="372"/>
      <c r="AF39" s="372"/>
      <c r="AG39" s="372"/>
      <c r="AH39" s="372"/>
      <c r="AI39" s="372"/>
      <c r="AJ39" s="372"/>
      <c r="AK39" s="372"/>
      <c r="AL39" s="372"/>
      <c r="AM39" s="379"/>
      <c r="AN39" s="372"/>
      <c r="AO39" s="372"/>
      <c r="AP39" s="379"/>
      <c r="AQ39" s="384"/>
      <c r="AR39" s="371" t="s">
        <v>302</v>
      </c>
      <c r="AS39" s="372"/>
      <c r="AT39" s="372"/>
      <c r="AU39" s="372"/>
      <c r="AV39" s="372"/>
      <c r="AW39" s="372"/>
      <c r="AX39" s="372"/>
      <c r="AY39" s="372"/>
      <c r="AZ39" s="372"/>
      <c r="BA39" s="372"/>
      <c r="BB39" s="372"/>
      <c r="BC39" s="372"/>
      <c r="BD39" s="372"/>
      <c r="BE39" s="372"/>
      <c r="BF39" s="372"/>
      <c r="BG39" s="372"/>
      <c r="BH39" s="372"/>
      <c r="BI39" s="372"/>
      <c r="BJ39" s="372"/>
      <c r="BK39" s="372"/>
      <c r="BL39" s="372"/>
      <c r="BM39" s="372"/>
      <c r="BN39" s="372"/>
      <c r="BO39" s="372"/>
      <c r="BP39" s="372"/>
      <c r="BQ39" s="372"/>
      <c r="BR39" s="372"/>
      <c r="BS39" s="372"/>
      <c r="BT39" s="372"/>
      <c r="BU39" s="372"/>
      <c r="BV39" s="372"/>
    </row>
    <row r="40" spans="1:74" s="137" customFormat="1" ht="12.75">
      <c r="A40" s="137" t="s">
        <v>1815</v>
      </c>
      <c r="B40" s="370" t="s">
        <v>1675</v>
      </c>
      <c r="C40" s="372"/>
      <c r="D40" s="372"/>
      <c r="E40" s="372"/>
      <c r="F40" s="372"/>
      <c r="G40" s="372"/>
      <c r="H40" s="372"/>
      <c r="I40" s="372"/>
      <c r="J40" s="372"/>
      <c r="K40" s="372"/>
      <c r="L40" s="372"/>
      <c r="M40" s="372"/>
      <c r="N40" s="372"/>
      <c r="O40" s="372"/>
      <c r="P40" s="380" t="s">
        <v>302</v>
      </c>
      <c r="Q40" s="372"/>
      <c r="R40" s="372"/>
      <c r="S40" s="372"/>
      <c r="T40" s="372"/>
      <c r="U40" s="372"/>
      <c r="V40" s="372"/>
      <c r="W40" s="372"/>
      <c r="X40" s="372"/>
      <c r="Y40" s="372"/>
      <c r="Z40" s="372"/>
      <c r="AA40" s="372"/>
      <c r="AB40" s="372"/>
      <c r="AC40" s="372"/>
      <c r="AD40" s="372"/>
      <c r="AE40" s="372"/>
      <c r="AF40" s="372"/>
      <c r="AG40" s="372"/>
      <c r="AH40" s="372"/>
      <c r="AI40" s="372"/>
      <c r="AJ40" s="372"/>
      <c r="AK40" s="372"/>
      <c r="AL40" s="372"/>
      <c r="AM40" s="372"/>
      <c r="AN40" s="372"/>
      <c r="AO40" s="372"/>
      <c r="AP40" s="372"/>
      <c r="AQ40" s="372"/>
      <c r="AR40" s="372"/>
      <c r="AS40" s="372"/>
      <c r="AT40" s="372"/>
      <c r="AU40" s="372"/>
      <c r="AV40" s="372"/>
      <c r="AW40" s="372"/>
      <c r="AX40" s="372"/>
      <c r="AY40" s="372"/>
      <c r="AZ40" s="372"/>
      <c r="BA40" s="372"/>
      <c r="BB40" s="372"/>
      <c r="BC40" s="372"/>
      <c r="BD40" s="372"/>
      <c r="BE40" s="372"/>
      <c r="BF40" s="372"/>
      <c r="BG40" s="372"/>
      <c r="BH40" s="372"/>
      <c r="BI40" s="372"/>
      <c r="BJ40" s="372"/>
      <c r="BK40" s="372"/>
      <c r="BL40" s="372"/>
      <c r="BM40" s="372"/>
      <c r="BN40" s="372"/>
      <c r="BO40" s="372"/>
      <c r="BP40" s="372"/>
      <c r="BQ40" s="372"/>
      <c r="BR40" s="372"/>
      <c r="BS40" s="372"/>
      <c r="BT40" s="372"/>
      <c r="BU40" s="372"/>
      <c r="BV40" s="372"/>
    </row>
    <row r="41" spans="1:74" s="137" customFormat="1" ht="12.75">
      <c r="A41" s="137" t="s">
        <v>364</v>
      </c>
      <c r="B41" s="370" t="s">
        <v>277</v>
      </c>
      <c r="C41" s="371" t="s">
        <v>302</v>
      </c>
      <c r="D41" s="371" t="s">
        <v>302</v>
      </c>
      <c r="E41" s="379"/>
      <c r="F41" s="379"/>
      <c r="G41" s="372"/>
      <c r="H41" s="372"/>
      <c r="I41" s="372"/>
      <c r="J41" s="372"/>
      <c r="K41" s="372"/>
      <c r="L41" s="372"/>
      <c r="M41" s="371" t="s">
        <v>302</v>
      </c>
      <c r="N41" s="379"/>
      <c r="O41" s="372"/>
      <c r="P41" s="372"/>
      <c r="Q41" s="372"/>
      <c r="R41" s="379"/>
      <c r="S41" s="372"/>
      <c r="T41" s="372"/>
      <c r="U41" s="372"/>
      <c r="V41" s="372"/>
      <c r="W41" s="372"/>
      <c r="X41" s="372"/>
      <c r="Y41" s="372"/>
      <c r="Z41" s="372"/>
      <c r="AA41" s="372"/>
      <c r="AB41" s="379"/>
      <c r="AC41" s="372"/>
      <c r="AD41" s="372"/>
      <c r="AE41" s="372"/>
      <c r="AF41" s="372"/>
      <c r="AG41" s="372"/>
      <c r="AH41" s="372"/>
      <c r="AI41" s="372"/>
      <c r="AJ41" s="372"/>
      <c r="AK41" s="372"/>
      <c r="AL41" s="372"/>
      <c r="AM41" s="379"/>
      <c r="AN41" s="372"/>
      <c r="AO41" s="372"/>
      <c r="AP41" s="379"/>
      <c r="AQ41" s="372"/>
      <c r="AR41" s="372"/>
      <c r="AS41" s="372"/>
      <c r="AT41" s="372"/>
      <c r="AU41" s="372"/>
      <c r="AV41" s="372"/>
      <c r="AW41" s="372"/>
      <c r="AX41" s="372"/>
      <c r="AY41" s="372"/>
      <c r="AZ41" s="372"/>
      <c r="BA41" s="372"/>
      <c r="BB41" s="372"/>
      <c r="BC41" s="372"/>
      <c r="BD41" s="372"/>
      <c r="BE41" s="372"/>
      <c r="BF41" s="372"/>
      <c r="BG41" s="372"/>
      <c r="BH41" s="372"/>
      <c r="BI41" s="372"/>
      <c r="BJ41" s="372"/>
      <c r="BK41" s="372"/>
      <c r="BL41" s="372"/>
      <c r="BM41" s="372"/>
      <c r="BN41" s="372"/>
      <c r="BO41" s="372"/>
      <c r="BP41" s="372"/>
      <c r="BQ41" s="372"/>
      <c r="BR41" s="372"/>
      <c r="BS41" s="372"/>
      <c r="BT41" s="372"/>
      <c r="BU41" s="372"/>
      <c r="BV41" s="372"/>
    </row>
    <row r="42" spans="1:74" s="137" customFormat="1" ht="12.75">
      <c r="A42" s="137" t="s">
        <v>365</v>
      </c>
      <c r="B42" s="370" t="s">
        <v>278</v>
      </c>
      <c r="C42" s="371" t="s">
        <v>302</v>
      </c>
      <c r="D42" s="371" t="s">
        <v>302</v>
      </c>
      <c r="E42" s="379"/>
      <c r="F42" s="379"/>
      <c r="G42" s="372"/>
      <c r="H42" s="372"/>
      <c r="I42" s="372"/>
      <c r="J42" s="372"/>
      <c r="K42" s="372"/>
      <c r="L42" s="372"/>
      <c r="M42" s="371" t="s">
        <v>302</v>
      </c>
      <c r="N42" s="379"/>
      <c r="O42" s="372"/>
      <c r="P42" s="372"/>
      <c r="Q42" s="372"/>
      <c r="R42" s="379"/>
      <c r="S42" s="372"/>
      <c r="T42" s="372"/>
      <c r="U42" s="372"/>
      <c r="V42" s="372"/>
      <c r="W42" s="372"/>
      <c r="X42" s="372"/>
      <c r="Y42" s="372"/>
      <c r="Z42" s="372"/>
      <c r="AA42" s="372"/>
      <c r="AB42" s="379"/>
      <c r="AC42" s="372"/>
      <c r="AD42" s="372"/>
      <c r="AE42" s="372"/>
      <c r="AF42" s="372"/>
      <c r="AG42" s="372"/>
      <c r="AH42" s="372"/>
      <c r="AI42" s="372"/>
      <c r="AJ42" s="372"/>
      <c r="AK42" s="372"/>
      <c r="AL42" s="372"/>
      <c r="AM42" s="379"/>
      <c r="AN42" s="372"/>
      <c r="AO42" s="372"/>
      <c r="AP42" s="379"/>
      <c r="AQ42" s="382"/>
      <c r="AR42" s="382"/>
      <c r="AS42" s="372"/>
      <c r="AT42" s="372"/>
      <c r="AU42" s="372"/>
      <c r="AV42" s="372"/>
      <c r="AW42" s="372"/>
      <c r="AX42" s="372"/>
      <c r="AY42" s="372"/>
      <c r="AZ42" s="372"/>
      <c r="BA42" s="372"/>
      <c r="BB42" s="372"/>
      <c r="BC42" s="372"/>
      <c r="BD42" s="372"/>
      <c r="BE42" s="372"/>
      <c r="BF42" s="372"/>
      <c r="BG42" s="372"/>
      <c r="BH42" s="372"/>
      <c r="BI42" s="372"/>
      <c r="BJ42" s="372"/>
      <c r="BK42" s="372"/>
      <c r="BL42" s="372"/>
      <c r="BM42" s="372"/>
      <c r="BN42" s="372"/>
      <c r="BO42" s="372"/>
      <c r="BP42" s="372"/>
      <c r="BQ42" s="372"/>
      <c r="BR42" s="372"/>
      <c r="BS42" s="372"/>
      <c r="BT42" s="372"/>
      <c r="BU42" s="372"/>
      <c r="BV42" s="372"/>
    </row>
    <row r="43" spans="1:74" s="137" customFormat="1" ht="12.75">
      <c r="A43" s="137" t="s">
        <v>366</v>
      </c>
      <c r="B43" s="370" t="s">
        <v>279</v>
      </c>
      <c r="C43" s="371" t="s">
        <v>302</v>
      </c>
      <c r="D43" s="371" t="s">
        <v>302</v>
      </c>
      <c r="E43" s="379"/>
      <c r="F43" s="379"/>
      <c r="G43" s="372"/>
      <c r="H43" s="372"/>
      <c r="I43" s="372"/>
      <c r="J43" s="372"/>
      <c r="K43" s="372"/>
      <c r="L43" s="372"/>
      <c r="M43" s="371" t="s">
        <v>302</v>
      </c>
      <c r="N43" s="379"/>
      <c r="O43" s="372"/>
      <c r="P43" s="372"/>
      <c r="Q43" s="372"/>
      <c r="R43" s="379"/>
      <c r="S43" s="372"/>
      <c r="T43" s="372"/>
      <c r="U43" s="372"/>
      <c r="V43" s="372"/>
      <c r="W43" s="372"/>
      <c r="X43" s="372"/>
      <c r="Y43" s="372"/>
      <c r="Z43" s="372"/>
      <c r="AA43" s="372"/>
      <c r="AB43" s="379"/>
      <c r="AC43" s="372"/>
      <c r="AD43" s="372"/>
      <c r="AE43" s="372"/>
      <c r="AF43" s="372"/>
      <c r="AG43" s="372"/>
      <c r="AH43" s="372"/>
      <c r="AI43" s="372"/>
      <c r="AJ43" s="372"/>
      <c r="AK43" s="372"/>
      <c r="AL43" s="372"/>
      <c r="AM43" s="379"/>
      <c r="AN43" s="372"/>
      <c r="AO43" s="372"/>
      <c r="AP43" s="379"/>
      <c r="AQ43" s="382"/>
      <c r="AR43" s="382"/>
      <c r="AS43" s="372"/>
      <c r="AT43" s="372"/>
      <c r="AU43" s="372"/>
      <c r="AV43" s="372"/>
      <c r="AW43" s="372"/>
      <c r="AX43" s="372"/>
      <c r="AY43" s="372"/>
      <c r="AZ43" s="372"/>
      <c r="BA43" s="372"/>
      <c r="BB43" s="372"/>
      <c r="BC43" s="372"/>
      <c r="BD43" s="372"/>
      <c r="BE43" s="372"/>
      <c r="BF43" s="372"/>
      <c r="BG43" s="372"/>
      <c r="BH43" s="372"/>
      <c r="BI43" s="372"/>
      <c r="BJ43" s="372"/>
      <c r="BK43" s="372"/>
      <c r="BL43" s="372"/>
      <c r="BM43" s="372"/>
      <c r="BN43" s="372"/>
      <c r="BO43" s="372"/>
      <c r="BP43" s="372"/>
      <c r="BQ43" s="372"/>
      <c r="BR43" s="372"/>
      <c r="BS43" s="372"/>
      <c r="BT43" s="372"/>
      <c r="BU43" s="372"/>
      <c r="BV43" s="372"/>
    </row>
    <row r="44" spans="1:74" s="137" customFormat="1" ht="12.75">
      <c r="A44" s="137" t="s">
        <v>367</v>
      </c>
      <c r="B44" s="370" t="s">
        <v>280</v>
      </c>
      <c r="C44" s="371" t="s">
        <v>302</v>
      </c>
      <c r="D44" s="371" t="s">
        <v>302</v>
      </c>
      <c r="E44" s="379"/>
      <c r="F44" s="379"/>
      <c r="G44" s="372"/>
      <c r="H44" s="372"/>
      <c r="I44" s="372"/>
      <c r="J44" s="372"/>
      <c r="K44" s="372"/>
      <c r="L44" s="372"/>
      <c r="M44" s="379"/>
      <c r="N44" s="379"/>
      <c r="O44" s="372"/>
      <c r="P44" s="372"/>
      <c r="Q44" s="372"/>
      <c r="R44" s="379"/>
      <c r="S44" s="372"/>
      <c r="T44" s="372"/>
      <c r="U44" s="372"/>
      <c r="V44" s="372"/>
      <c r="W44" s="372"/>
      <c r="X44" s="372"/>
      <c r="Y44" s="372"/>
      <c r="Z44" s="372"/>
      <c r="AA44" s="372"/>
      <c r="AB44" s="379"/>
      <c r="AC44" s="372"/>
      <c r="AD44" s="372"/>
      <c r="AE44" s="372"/>
      <c r="AF44" s="372"/>
      <c r="AG44" s="372"/>
      <c r="AH44" s="372"/>
      <c r="AI44" s="372"/>
      <c r="AJ44" s="372"/>
      <c r="AK44" s="372"/>
      <c r="AL44" s="372"/>
      <c r="AM44" s="379"/>
      <c r="AN44" s="372"/>
      <c r="AO44" s="372"/>
      <c r="AP44" s="379"/>
      <c r="AQ44" s="382"/>
      <c r="AR44" s="382"/>
      <c r="AS44" s="372"/>
      <c r="AT44" s="372"/>
      <c r="AU44" s="372"/>
      <c r="AV44" s="372"/>
      <c r="AW44" s="372"/>
      <c r="AX44" s="372"/>
      <c r="AY44" s="372"/>
      <c r="AZ44" s="372"/>
      <c r="BA44" s="372"/>
      <c r="BB44" s="372"/>
      <c r="BC44" s="372"/>
      <c r="BD44" s="372"/>
      <c r="BE44" s="372"/>
      <c r="BF44" s="372"/>
      <c r="BG44" s="372"/>
      <c r="BH44" s="372"/>
      <c r="BI44" s="372"/>
      <c r="BJ44" s="372"/>
      <c r="BK44" s="372"/>
      <c r="BL44" s="372"/>
      <c r="BM44" s="372"/>
      <c r="BN44" s="372"/>
      <c r="BO44" s="372"/>
      <c r="BP44" s="372"/>
      <c r="BQ44" s="372"/>
      <c r="BR44" s="372"/>
      <c r="BS44" s="372"/>
      <c r="BT44" s="372"/>
      <c r="BU44" s="372"/>
      <c r="BV44" s="372"/>
    </row>
    <row r="45" spans="1:74" s="137" customFormat="1" ht="12.75">
      <c r="A45" s="137" t="s">
        <v>368</v>
      </c>
      <c r="B45" s="370" t="s">
        <v>1787</v>
      </c>
      <c r="C45" s="371" t="s">
        <v>302</v>
      </c>
      <c r="D45" s="371" t="s">
        <v>302</v>
      </c>
      <c r="E45" s="379"/>
      <c r="F45" s="379"/>
      <c r="G45" s="372"/>
      <c r="H45" s="372"/>
      <c r="I45" s="372"/>
      <c r="J45" s="372"/>
      <c r="K45" s="372"/>
      <c r="L45" s="372"/>
      <c r="M45" s="371" t="s">
        <v>302</v>
      </c>
      <c r="N45" s="379"/>
      <c r="O45" s="372"/>
      <c r="P45" s="372"/>
      <c r="Q45" s="372"/>
      <c r="R45" s="379"/>
      <c r="S45" s="372"/>
      <c r="T45" s="372"/>
      <c r="U45" s="372"/>
      <c r="V45" s="372"/>
      <c r="W45" s="372"/>
      <c r="X45" s="372"/>
      <c r="Y45" s="372"/>
      <c r="Z45" s="372"/>
      <c r="AA45" s="372"/>
      <c r="AB45" s="379"/>
      <c r="AC45" s="372"/>
      <c r="AD45" s="372"/>
      <c r="AE45" s="372"/>
      <c r="AF45" s="372"/>
      <c r="AG45" s="372"/>
      <c r="AH45" s="372"/>
      <c r="AI45" s="372"/>
      <c r="AJ45" s="372"/>
      <c r="AK45" s="372"/>
      <c r="AL45" s="372"/>
      <c r="AM45" s="379"/>
      <c r="AN45" s="372"/>
      <c r="AO45" s="372"/>
      <c r="AP45" s="379"/>
      <c r="AQ45" s="382"/>
      <c r="AR45" s="382"/>
      <c r="AS45" s="372"/>
      <c r="AT45" s="372"/>
      <c r="AU45" s="372"/>
      <c r="AV45" s="372"/>
      <c r="AW45" s="372"/>
      <c r="AX45" s="372"/>
      <c r="AY45" s="372"/>
      <c r="AZ45" s="372"/>
      <c r="BA45" s="372"/>
      <c r="BB45" s="372"/>
      <c r="BC45" s="372"/>
      <c r="BD45" s="372"/>
      <c r="BE45" s="372"/>
      <c r="BF45" s="372"/>
      <c r="BG45" s="372"/>
      <c r="BH45" s="372"/>
      <c r="BI45" s="372"/>
      <c r="BJ45" s="372"/>
      <c r="BK45" s="372"/>
      <c r="BL45" s="372"/>
      <c r="BM45" s="372"/>
      <c r="BN45" s="372"/>
      <c r="BO45" s="372"/>
      <c r="BP45" s="372"/>
      <c r="BQ45" s="372"/>
      <c r="BR45" s="372"/>
      <c r="BS45" s="372"/>
      <c r="BT45" s="372"/>
      <c r="BU45" s="372"/>
      <c r="BV45" s="372"/>
    </row>
    <row r="46" spans="1:74" s="137" customFormat="1" ht="12.75">
      <c r="A46" s="137" t="s">
        <v>369</v>
      </c>
      <c r="B46" s="370" t="s">
        <v>281</v>
      </c>
      <c r="C46" s="371" t="s">
        <v>302</v>
      </c>
      <c r="D46" s="371" t="s">
        <v>302</v>
      </c>
      <c r="E46" s="379"/>
      <c r="F46" s="379"/>
      <c r="G46" s="372"/>
      <c r="H46" s="372"/>
      <c r="I46" s="372"/>
      <c r="J46" s="372"/>
      <c r="K46" s="372"/>
      <c r="L46" s="372"/>
      <c r="M46" s="371" t="s">
        <v>302</v>
      </c>
      <c r="N46" s="379"/>
      <c r="O46" s="372"/>
      <c r="P46" s="372"/>
      <c r="Q46" s="372"/>
      <c r="R46" s="379"/>
      <c r="S46" s="372"/>
      <c r="T46" s="372"/>
      <c r="U46" s="372"/>
      <c r="V46" s="372"/>
      <c r="W46" s="372"/>
      <c r="X46" s="372"/>
      <c r="Y46" s="372"/>
      <c r="Z46" s="372"/>
      <c r="AA46" s="372"/>
      <c r="AB46" s="379"/>
      <c r="AC46" s="372"/>
      <c r="AD46" s="372"/>
      <c r="AE46" s="372"/>
      <c r="AF46" s="372"/>
      <c r="AG46" s="372"/>
      <c r="AH46" s="372"/>
      <c r="AI46" s="372"/>
      <c r="AJ46" s="372"/>
      <c r="AK46" s="372"/>
      <c r="AL46" s="372"/>
      <c r="AM46" s="379"/>
      <c r="AN46" s="372"/>
      <c r="AO46" s="372"/>
      <c r="AP46" s="379"/>
      <c r="AQ46" s="382"/>
      <c r="AR46" s="382"/>
      <c r="AS46" s="372"/>
      <c r="AT46" s="372"/>
      <c r="AU46" s="372"/>
      <c r="AV46" s="372"/>
      <c r="AW46" s="372"/>
      <c r="AX46" s="372"/>
      <c r="AY46" s="372"/>
      <c r="AZ46" s="372"/>
      <c r="BA46" s="372"/>
      <c r="BB46" s="372"/>
      <c r="BC46" s="372"/>
      <c r="BD46" s="372"/>
      <c r="BE46" s="372"/>
      <c r="BF46" s="372"/>
      <c r="BG46" s="372"/>
      <c r="BH46" s="372"/>
      <c r="BI46" s="372"/>
      <c r="BJ46" s="372"/>
      <c r="BK46" s="372"/>
      <c r="BL46" s="372"/>
      <c r="BM46" s="372"/>
      <c r="BN46" s="372"/>
      <c r="BO46" s="372"/>
      <c r="BP46" s="372"/>
      <c r="BQ46" s="372"/>
      <c r="BR46" s="372"/>
      <c r="BS46" s="372"/>
      <c r="BT46" s="372"/>
      <c r="BU46" s="372"/>
      <c r="BV46" s="372"/>
    </row>
    <row r="47" spans="1:74" s="137" customFormat="1" ht="12.75">
      <c r="A47" s="137" t="s">
        <v>1816</v>
      </c>
      <c r="B47" s="370" t="s">
        <v>1714</v>
      </c>
      <c r="C47" s="372"/>
      <c r="D47" s="372"/>
      <c r="E47" s="372"/>
      <c r="F47" s="372"/>
      <c r="G47" s="380" t="s">
        <v>302</v>
      </c>
      <c r="H47" s="372"/>
      <c r="I47" s="372"/>
      <c r="J47" s="372"/>
      <c r="K47" s="372"/>
      <c r="L47" s="372"/>
      <c r="M47" s="372"/>
      <c r="N47" s="372"/>
      <c r="O47" s="372"/>
      <c r="P47" s="372"/>
      <c r="Q47" s="372"/>
      <c r="R47" s="372"/>
      <c r="S47" s="372"/>
      <c r="T47" s="372"/>
      <c r="U47" s="372"/>
      <c r="V47" s="372"/>
      <c r="W47" s="372"/>
      <c r="X47" s="372"/>
      <c r="Y47" s="372"/>
      <c r="Z47" s="372"/>
      <c r="AA47" s="372"/>
      <c r="AB47" s="372"/>
      <c r="AC47" s="372"/>
      <c r="AD47" s="372"/>
      <c r="AE47" s="372"/>
      <c r="AF47" s="372"/>
      <c r="AG47" s="372"/>
      <c r="AH47" s="372"/>
      <c r="AI47" s="372"/>
      <c r="AJ47" s="372"/>
      <c r="AK47" s="372"/>
      <c r="AL47" s="372"/>
      <c r="AM47" s="372"/>
      <c r="AN47" s="372"/>
      <c r="AO47" s="372"/>
      <c r="AP47" s="372"/>
      <c r="AQ47" s="372"/>
      <c r="AR47" s="372"/>
      <c r="AS47" s="372"/>
      <c r="AT47" s="372"/>
      <c r="AU47" s="372"/>
      <c r="AV47" s="372"/>
      <c r="AW47" s="372"/>
      <c r="AX47" s="372"/>
      <c r="AY47" s="372"/>
      <c r="AZ47" s="372"/>
      <c r="BA47" s="372"/>
      <c r="BB47" s="372"/>
      <c r="BC47" s="372"/>
      <c r="BD47" s="372"/>
      <c r="BE47" s="372"/>
      <c r="BF47" s="372"/>
      <c r="BG47" s="372"/>
      <c r="BH47" s="372"/>
      <c r="BI47" s="372"/>
      <c r="BJ47" s="372"/>
      <c r="BK47" s="372"/>
      <c r="BL47" s="372"/>
      <c r="BM47" s="372"/>
      <c r="BN47" s="372"/>
      <c r="BO47" s="372"/>
      <c r="BP47" s="372"/>
      <c r="BQ47" s="372"/>
      <c r="BR47" s="372"/>
      <c r="BS47" s="372"/>
      <c r="BT47" s="372"/>
      <c r="BU47" s="372"/>
      <c r="BV47" s="372"/>
    </row>
    <row r="48" spans="1:74" s="137" customFormat="1" ht="12.75">
      <c r="A48" s="137" t="s">
        <v>1817</v>
      </c>
      <c r="B48" s="370" t="s">
        <v>282</v>
      </c>
      <c r="C48" s="371" t="s">
        <v>302</v>
      </c>
      <c r="D48" s="371" t="s">
        <v>302</v>
      </c>
      <c r="E48" s="379"/>
      <c r="F48" s="379"/>
      <c r="G48" s="372"/>
      <c r="H48" s="372"/>
      <c r="I48" s="372"/>
      <c r="J48" s="372"/>
      <c r="K48" s="372"/>
      <c r="L48" s="372"/>
      <c r="M48" s="379"/>
      <c r="N48" s="379"/>
      <c r="O48" s="372"/>
      <c r="P48" s="372"/>
      <c r="Q48" s="372"/>
      <c r="R48" s="379"/>
      <c r="S48" s="372"/>
      <c r="T48" s="372"/>
      <c r="U48" s="372"/>
      <c r="V48" s="372"/>
      <c r="W48" s="372"/>
      <c r="X48" s="372"/>
      <c r="Y48" s="372"/>
      <c r="Z48" s="372"/>
      <c r="AA48" s="372"/>
      <c r="AB48" s="379"/>
      <c r="AC48" s="372"/>
      <c r="AD48" s="372"/>
      <c r="AE48" s="372"/>
      <c r="AF48" s="372"/>
      <c r="AG48" s="372"/>
      <c r="AH48" s="372"/>
      <c r="AI48" s="372"/>
      <c r="AJ48" s="372"/>
      <c r="AK48" s="372"/>
      <c r="AL48" s="372"/>
      <c r="AM48" s="379"/>
      <c r="AN48" s="372"/>
      <c r="AO48" s="372"/>
      <c r="AP48" s="379"/>
      <c r="AQ48" s="382"/>
      <c r="AR48" s="382"/>
      <c r="AS48" s="372"/>
      <c r="AT48" s="372"/>
      <c r="AU48" s="372"/>
      <c r="AV48" s="372"/>
      <c r="AW48" s="372"/>
      <c r="AX48" s="372"/>
      <c r="AY48" s="372"/>
      <c r="AZ48" s="372"/>
      <c r="BA48" s="372"/>
      <c r="BB48" s="372"/>
      <c r="BC48" s="372"/>
      <c r="BD48" s="372"/>
      <c r="BE48" s="372"/>
      <c r="BF48" s="372"/>
      <c r="BG48" s="372"/>
      <c r="BH48" s="372"/>
      <c r="BI48" s="372"/>
      <c r="BJ48" s="372"/>
      <c r="BK48" s="372"/>
      <c r="BL48" s="372"/>
      <c r="BM48" s="372"/>
      <c r="BN48" s="372"/>
      <c r="BO48" s="372"/>
      <c r="BP48" s="372"/>
      <c r="BQ48" s="372"/>
      <c r="BR48" s="372"/>
      <c r="BS48" s="372"/>
      <c r="BT48" s="372"/>
      <c r="BU48" s="372"/>
      <c r="BV48" s="372"/>
    </row>
    <row r="49" spans="1:74" s="137" customFormat="1" ht="12.75">
      <c r="A49" s="137" t="s">
        <v>370</v>
      </c>
      <c r="B49" s="370" t="s">
        <v>283</v>
      </c>
      <c r="C49" s="371" t="s">
        <v>302</v>
      </c>
      <c r="D49" s="371" t="s">
        <v>302</v>
      </c>
      <c r="E49" s="379"/>
      <c r="F49" s="379"/>
      <c r="G49" s="372"/>
      <c r="H49" s="372"/>
      <c r="I49" s="372"/>
      <c r="J49" s="372"/>
      <c r="K49" s="372"/>
      <c r="L49" s="372"/>
      <c r="M49" s="371" t="s">
        <v>302</v>
      </c>
      <c r="N49" s="379"/>
      <c r="O49" s="372"/>
      <c r="P49" s="372"/>
      <c r="Q49" s="372"/>
      <c r="R49" s="379"/>
      <c r="S49" s="372"/>
      <c r="T49" s="372"/>
      <c r="U49" s="372"/>
      <c r="V49" s="372"/>
      <c r="W49" s="372"/>
      <c r="X49" s="372"/>
      <c r="Y49" s="372"/>
      <c r="Z49" s="372"/>
      <c r="AA49" s="372"/>
      <c r="AB49" s="379"/>
      <c r="AC49" s="372"/>
      <c r="AD49" s="372"/>
      <c r="AE49" s="372"/>
      <c r="AF49" s="372"/>
      <c r="AG49" s="372"/>
      <c r="AH49" s="372"/>
      <c r="AI49" s="372"/>
      <c r="AJ49" s="372"/>
      <c r="AK49" s="372"/>
      <c r="AL49" s="372"/>
      <c r="AM49" s="379"/>
      <c r="AN49" s="372"/>
      <c r="AO49" s="372"/>
      <c r="AP49" s="379"/>
      <c r="AQ49" s="382"/>
      <c r="AR49" s="382"/>
      <c r="AS49" s="372"/>
      <c r="AT49" s="372"/>
      <c r="AU49" s="372"/>
      <c r="AV49" s="372"/>
      <c r="AW49" s="372"/>
      <c r="AX49" s="372"/>
      <c r="AY49" s="372"/>
      <c r="AZ49" s="372"/>
      <c r="BA49" s="372"/>
      <c r="BB49" s="372"/>
      <c r="BC49" s="372"/>
      <c r="BD49" s="372"/>
      <c r="BE49" s="372"/>
      <c r="BF49" s="372"/>
      <c r="BG49" s="372"/>
      <c r="BH49" s="372"/>
      <c r="BI49" s="372"/>
      <c r="BJ49" s="372"/>
      <c r="BK49" s="372"/>
      <c r="BL49" s="372"/>
      <c r="BM49" s="372"/>
      <c r="BN49" s="372"/>
      <c r="BO49" s="372"/>
      <c r="BP49" s="372"/>
      <c r="BQ49" s="372"/>
      <c r="BR49" s="372"/>
      <c r="BS49" s="372"/>
      <c r="BT49" s="372"/>
      <c r="BU49" s="372"/>
      <c r="BV49" s="372"/>
    </row>
    <row r="50" spans="1:74" s="137" customFormat="1" ht="12.75">
      <c r="A50" s="137" t="s">
        <v>1818</v>
      </c>
      <c r="B50" s="370" t="s">
        <v>284</v>
      </c>
      <c r="C50" s="371" t="s">
        <v>302</v>
      </c>
      <c r="D50" s="371" t="s">
        <v>302</v>
      </c>
      <c r="E50" s="379"/>
      <c r="F50" s="379"/>
      <c r="G50" s="372"/>
      <c r="H50" s="372"/>
      <c r="I50" s="372"/>
      <c r="J50" s="372"/>
      <c r="K50" s="372"/>
      <c r="L50" s="372"/>
      <c r="M50" s="379"/>
      <c r="N50" s="379"/>
      <c r="O50" s="372"/>
      <c r="P50" s="372"/>
      <c r="Q50" s="372"/>
      <c r="R50" s="379"/>
      <c r="S50" s="372"/>
      <c r="T50" s="372"/>
      <c r="U50" s="372"/>
      <c r="V50" s="372"/>
      <c r="W50" s="372"/>
      <c r="X50" s="372"/>
      <c r="Y50" s="372"/>
      <c r="Z50" s="372"/>
      <c r="AA50" s="372"/>
      <c r="AB50" s="379"/>
      <c r="AC50" s="372"/>
      <c r="AD50" s="372"/>
      <c r="AE50" s="372"/>
      <c r="AF50" s="372"/>
      <c r="AG50" s="372"/>
      <c r="AH50" s="372"/>
      <c r="AI50" s="372"/>
      <c r="AJ50" s="372"/>
      <c r="AK50" s="372"/>
      <c r="AL50" s="372"/>
      <c r="AM50" s="379"/>
      <c r="AN50" s="372"/>
      <c r="AO50" s="372"/>
      <c r="AP50" s="379"/>
      <c r="AQ50" s="382"/>
      <c r="AR50" s="382"/>
      <c r="AS50" s="372"/>
      <c r="AT50" s="372"/>
      <c r="AU50" s="372"/>
      <c r="AV50" s="372"/>
      <c r="AW50" s="372"/>
      <c r="AX50" s="372"/>
      <c r="AY50" s="372"/>
      <c r="AZ50" s="372"/>
      <c r="BA50" s="372"/>
      <c r="BB50" s="372"/>
      <c r="BC50" s="372"/>
      <c r="BD50" s="372"/>
      <c r="BE50" s="372"/>
      <c r="BF50" s="372"/>
      <c r="BG50" s="372"/>
      <c r="BH50" s="372"/>
      <c r="BI50" s="372"/>
      <c r="BJ50" s="372"/>
      <c r="BK50" s="372"/>
      <c r="BL50" s="372"/>
      <c r="BM50" s="372"/>
      <c r="BN50" s="372"/>
      <c r="BO50" s="372"/>
      <c r="BP50" s="372"/>
      <c r="BQ50" s="372"/>
      <c r="BR50" s="372"/>
      <c r="BS50" s="372"/>
      <c r="BT50" s="372"/>
      <c r="BU50" s="372"/>
      <c r="BV50" s="372"/>
    </row>
    <row r="51" spans="1:74" s="137" customFormat="1" ht="12.75">
      <c r="A51" s="137" t="s">
        <v>1819</v>
      </c>
      <c r="B51" s="370" t="s">
        <v>1676</v>
      </c>
      <c r="C51" s="372"/>
      <c r="D51" s="372"/>
      <c r="E51" s="372"/>
      <c r="F51" s="372"/>
      <c r="G51" s="372"/>
      <c r="H51" s="372"/>
      <c r="I51" s="372"/>
      <c r="J51" s="372"/>
      <c r="K51" s="372"/>
      <c r="L51" s="372"/>
      <c r="M51" s="372"/>
      <c r="N51" s="372"/>
      <c r="O51" s="372"/>
      <c r="P51" s="372"/>
      <c r="Q51" s="372"/>
      <c r="R51" s="372"/>
      <c r="S51" s="380" t="s">
        <v>302</v>
      </c>
      <c r="T51" s="380" t="s">
        <v>302</v>
      </c>
      <c r="U51" s="372"/>
      <c r="V51" s="372"/>
      <c r="W51" s="372"/>
      <c r="X51" s="372"/>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2"/>
      <c r="BC51" s="372"/>
      <c r="BD51" s="372"/>
      <c r="BE51" s="372"/>
      <c r="BF51" s="372"/>
      <c r="BG51" s="372"/>
      <c r="BH51" s="372"/>
      <c r="BI51" s="372"/>
      <c r="BJ51" s="372"/>
      <c r="BK51" s="372"/>
      <c r="BL51" s="372"/>
      <c r="BM51" s="372"/>
      <c r="BN51" s="372"/>
      <c r="BO51" s="372"/>
      <c r="BP51" s="372"/>
      <c r="BQ51" s="372"/>
      <c r="BR51" s="372"/>
      <c r="BS51" s="372"/>
      <c r="BT51" s="372"/>
      <c r="BU51" s="372"/>
      <c r="BV51" s="372"/>
    </row>
    <row r="52" spans="1:74" s="137" customFormat="1" ht="12.75">
      <c r="A52" s="137" t="s">
        <v>1820</v>
      </c>
      <c r="B52" s="370" t="s">
        <v>1915</v>
      </c>
      <c r="C52" s="372"/>
      <c r="D52" s="372"/>
      <c r="E52" s="372"/>
      <c r="F52" s="372"/>
      <c r="G52" s="372"/>
      <c r="H52" s="372"/>
      <c r="I52" s="372"/>
      <c r="J52" s="372"/>
      <c r="K52" s="372"/>
      <c r="L52" s="372"/>
      <c r="M52" s="372"/>
      <c r="N52" s="372"/>
      <c r="O52" s="372"/>
      <c r="P52" s="372"/>
      <c r="Q52" s="372"/>
      <c r="R52" s="372"/>
      <c r="S52" s="380" t="s">
        <v>302</v>
      </c>
      <c r="T52" s="380" t="s">
        <v>302</v>
      </c>
      <c r="U52" s="372"/>
      <c r="V52" s="372"/>
      <c r="W52" s="372"/>
      <c r="X52" s="372"/>
      <c r="Y52" s="372"/>
      <c r="Z52" s="372"/>
      <c r="AA52" s="372"/>
      <c r="AB52" s="372"/>
      <c r="AC52" s="372"/>
      <c r="AD52" s="372"/>
      <c r="AE52" s="372"/>
      <c r="AF52" s="372"/>
      <c r="AG52" s="372"/>
      <c r="AH52" s="372"/>
      <c r="AI52" s="372"/>
      <c r="AJ52" s="372"/>
      <c r="AK52" s="372"/>
      <c r="AL52" s="372"/>
      <c r="AM52" s="372"/>
      <c r="AN52" s="372"/>
      <c r="AO52" s="372"/>
      <c r="AP52" s="372"/>
      <c r="AQ52" s="372"/>
      <c r="AR52" s="372"/>
      <c r="AS52" s="372"/>
      <c r="AT52" s="372"/>
      <c r="AU52" s="372"/>
      <c r="AV52" s="372"/>
      <c r="AW52" s="372"/>
      <c r="AX52" s="372"/>
      <c r="AY52" s="372"/>
      <c r="AZ52" s="372"/>
      <c r="BA52" s="372"/>
      <c r="BB52" s="372"/>
      <c r="BC52" s="372"/>
      <c r="BD52" s="372"/>
      <c r="BE52" s="372"/>
      <c r="BF52" s="372"/>
      <c r="BG52" s="372"/>
      <c r="BH52" s="372"/>
      <c r="BI52" s="372"/>
      <c r="BJ52" s="372"/>
      <c r="BK52" s="372"/>
      <c r="BL52" s="372"/>
      <c r="BM52" s="372"/>
      <c r="BN52" s="372"/>
      <c r="BO52" s="372"/>
      <c r="BP52" s="372"/>
      <c r="BQ52" s="372"/>
      <c r="BR52" s="372"/>
      <c r="BS52" s="372"/>
      <c r="BT52" s="372"/>
      <c r="BU52" s="372"/>
      <c r="BV52" s="372"/>
    </row>
    <row r="53" spans="1:74" s="137" customFormat="1" ht="12.75">
      <c r="A53" s="137" t="s">
        <v>1821</v>
      </c>
      <c r="B53" s="370" t="s">
        <v>1914</v>
      </c>
      <c r="C53" s="372"/>
      <c r="D53" s="372"/>
      <c r="E53" s="372"/>
      <c r="F53" s="372"/>
      <c r="G53" s="372"/>
      <c r="H53" s="372"/>
      <c r="I53" s="372"/>
      <c r="J53" s="372"/>
      <c r="K53" s="372"/>
      <c r="L53" s="372"/>
      <c r="M53" s="372"/>
      <c r="N53" s="372"/>
      <c r="O53" s="372"/>
      <c r="P53" s="372"/>
      <c r="Q53" s="372"/>
      <c r="R53" s="372"/>
      <c r="S53" s="372"/>
      <c r="T53" s="380" t="s">
        <v>302</v>
      </c>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row>
    <row r="54" spans="1:74" s="137" customFormat="1" ht="12.75">
      <c r="A54" s="137" t="s">
        <v>371</v>
      </c>
      <c r="B54" s="370" t="s">
        <v>285</v>
      </c>
      <c r="C54" s="379"/>
      <c r="D54" s="379"/>
      <c r="E54" s="371" t="s">
        <v>302</v>
      </c>
      <c r="F54" s="379"/>
      <c r="G54" s="372"/>
      <c r="H54" s="372"/>
      <c r="I54" s="372"/>
      <c r="J54" s="372"/>
      <c r="K54" s="372"/>
      <c r="L54" s="372"/>
      <c r="M54" s="379"/>
      <c r="N54" s="379"/>
      <c r="O54" s="372"/>
      <c r="P54" s="372"/>
      <c r="Q54" s="372"/>
      <c r="R54" s="379"/>
      <c r="S54" s="372"/>
      <c r="T54" s="372"/>
      <c r="U54" s="372"/>
      <c r="V54" s="372"/>
      <c r="W54" s="372"/>
      <c r="X54" s="372"/>
      <c r="Y54" s="372"/>
      <c r="Z54" s="372"/>
      <c r="AA54" s="372"/>
      <c r="AB54" s="379"/>
      <c r="AC54" s="372"/>
      <c r="AD54" s="372"/>
      <c r="AE54" s="372"/>
      <c r="AF54" s="372"/>
      <c r="AG54" s="372"/>
      <c r="AH54" s="372"/>
      <c r="AI54" s="372"/>
      <c r="AJ54" s="372"/>
      <c r="AK54" s="372"/>
      <c r="AL54" s="372"/>
      <c r="AM54" s="379"/>
      <c r="AN54" s="372"/>
      <c r="AO54" s="372"/>
      <c r="AP54" s="379"/>
      <c r="AQ54" s="382"/>
      <c r="AR54" s="382"/>
      <c r="AS54" s="372"/>
      <c r="AT54" s="372"/>
      <c r="AU54" s="372"/>
      <c r="AV54" s="372"/>
      <c r="AW54" s="372"/>
      <c r="AX54" s="372"/>
      <c r="AY54" s="372"/>
      <c r="AZ54" s="372"/>
      <c r="BA54" s="372"/>
      <c r="BB54" s="372"/>
      <c r="BC54" s="372"/>
      <c r="BD54" s="372"/>
      <c r="BE54" s="372"/>
      <c r="BF54" s="372"/>
      <c r="BG54" s="372"/>
      <c r="BH54" s="372"/>
      <c r="BI54" s="372"/>
      <c r="BJ54" s="372"/>
      <c r="BK54" s="372"/>
      <c r="BL54" s="372"/>
      <c r="BM54" s="372"/>
      <c r="BN54" s="372"/>
      <c r="BO54" s="372"/>
      <c r="BP54" s="372"/>
      <c r="BQ54" s="372"/>
      <c r="BR54" s="372"/>
      <c r="BS54" s="372"/>
      <c r="BT54" s="372"/>
      <c r="BU54" s="372"/>
      <c r="BV54" s="372"/>
    </row>
    <row r="55" spans="1:74" s="137" customFormat="1" ht="12.75">
      <c r="A55" s="137" t="s">
        <v>1822</v>
      </c>
      <c r="B55" s="370" t="s">
        <v>1677</v>
      </c>
      <c r="C55" s="380" t="s">
        <v>302</v>
      </c>
      <c r="D55" s="372"/>
      <c r="E55" s="372"/>
      <c r="F55" s="372"/>
      <c r="G55" s="372"/>
      <c r="H55" s="372"/>
      <c r="I55" s="372"/>
      <c r="J55" s="372"/>
      <c r="K55" s="372"/>
      <c r="L55" s="372"/>
      <c r="M55" s="372"/>
      <c r="N55" s="372"/>
      <c r="O55" s="372"/>
      <c r="P55" s="372"/>
      <c r="Q55" s="372"/>
      <c r="R55" s="372"/>
      <c r="S55" s="372"/>
      <c r="T55" s="372"/>
      <c r="U55" s="380" t="s">
        <v>302</v>
      </c>
      <c r="V55" s="372"/>
      <c r="W55" s="372"/>
      <c r="X55" s="372"/>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2"/>
      <c r="BC55" s="372"/>
      <c r="BD55" s="372"/>
      <c r="BE55" s="372"/>
      <c r="BF55" s="372"/>
      <c r="BG55" s="372"/>
      <c r="BH55" s="372"/>
      <c r="BI55" s="372"/>
      <c r="BJ55" s="372"/>
      <c r="BK55" s="372"/>
      <c r="BL55" s="372"/>
      <c r="BM55" s="372"/>
      <c r="BN55" s="372"/>
      <c r="BO55" s="372"/>
      <c r="BP55" s="372"/>
      <c r="BQ55" s="372"/>
      <c r="BR55" s="372"/>
      <c r="BS55" s="372"/>
      <c r="BT55" s="372"/>
      <c r="BU55" s="372"/>
      <c r="BV55" s="372"/>
    </row>
    <row r="56" spans="1:74" s="137" customFormat="1" ht="12.75">
      <c r="A56" s="137" t="s">
        <v>1823</v>
      </c>
      <c r="B56" s="370" t="s">
        <v>1678</v>
      </c>
      <c r="C56" s="372"/>
      <c r="D56" s="372"/>
      <c r="E56" s="372"/>
      <c r="F56" s="372"/>
      <c r="G56" s="372"/>
      <c r="H56" s="372"/>
      <c r="I56" s="372"/>
      <c r="J56" s="372"/>
      <c r="K56" s="372"/>
      <c r="L56" s="372"/>
      <c r="M56" s="372"/>
      <c r="N56" s="372"/>
      <c r="O56" s="372"/>
      <c r="P56" s="372"/>
      <c r="Q56" s="372"/>
      <c r="R56" s="372"/>
      <c r="S56" s="372"/>
      <c r="T56" s="372"/>
      <c r="U56" s="372"/>
      <c r="V56" s="380" t="s">
        <v>302</v>
      </c>
      <c r="W56" s="372"/>
      <c r="X56" s="372"/>
      <c r="Y56" s="372"/>
      <c r="Z56" s="372"/>
      <c r="AA56" s="372"/>
      <c r="AB56" s="372"/>
      <c r="AC56" s="372"/>
      <c r="AD56" s="372"/>
      <c r="AE56" s="372"/>
      <c r="AF56" s="372"/>
      <c r="AG56" s="372"/>
      <c r="AH56" s="372"/>
      <c r="AI56" s="372"/>
      <c r="AJ56" s="372"/>
      <c r="AK56" s="372"/>
      <c r="AL56" s="372"/>
      <c r="AM56" s="372"/>
      <c r="AN56" s="372"/>
      <c r="AO56" s="372"/>
      <c r="AP56" s="372"/>
      <c r="AQ56" s="372"/>
      <c r="AR56" s="372"/>
      <c r="AS56" s="372"/>
      <c r="AT56" s="372"/>
      <c r="AU56" s="372"/>
      <c r="AV56" s="372"/>
      <c r="AW56" s="372"/>
      <c r="AX56" s="372"/>
      <c r="AY56" s="372"/>
      <c r="AZ56" s="372"/>
      <c r="BA56" s="372"/>
      <c r="BB56" s="372"/>
      <c r="BC56" s="372"/>
      <c r="BD56" s="372"/>
      <c r="BE56" s="372"/>
      <c r="BF56" s="372"/>
      <c r="BG56" s="372"/>
      <c r="BH56" s="372"/>
      <c r="BI56" s="372"/>
      <c r="BJ56" s="372"/>
      <c r="BK56" s="372"/>
      <c r="BL56" s="372"/>
      <c r="BM56" s="372"/>
      <c r="BN56" s="372"/>
      <c r="BO56" s="372"/>
      <c r="BP56" s="372"/>
      <c r="BQ56" s="372"/>
      <c r="BR56" s="372"/>
      <c r="BS56" s="372"/>
      <c r="BT56" s="372"/>
      <c r="BU56" s="372"/>
      <c r="BV56" s="372"/>
    </row>
    <row r="57" spans="1:74" s="137" customFormat="1" ht="12.75">
      <c r="A57" s="137" t="s">
        <v>1824</v>
      </c>
      <c r="B57" s="370" t="s">
        <v>1679</v>
      </c>
      <c r="C57" s="372"/>
      <c r="D57" s="372"/>
      <c r="E57" s="372"/>
      <c r="F57" s="372"/>
      <c r="G57" s="372"/>
      <c r="H57" s="372"/>
      <c r="I57" s="372"/>
      <c r="J57" s="372"/>
      <c r="K57" s="372"/>
      <c r="L57" s="372"/>
      <c r="M57" s="372"/>
      <c r="N57" s="372"/>
      <c r="O57" s="372"/>
      <c r="P57" s="372"/>
      <c r="Q57" s="372"/>
      <c r="R57" s="372"/>
      <c r="S57" s="372"/>
      <c r="T57" s="372"/>
      <c r="U57" s="372"/>
      <c r="V57" s="372"/>
      <c r="W57" s="380" t="s">
        <v>302</v>
      </c>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2"/>
      <c r="BC57" s="372"/>
      <c r="BD57" s="372"/>
      <c r="BE57" s="372"/>
      <c r="BF57" s="372"/>
      <c r="BG57" s="372"/>
      <c r="BH57" s="372"/>
      <c r="BI57" s="372"/>
      <c r="BJ57" s="372"/>
      <c r="BK57" s="372"/>
      <c r="BL57" s="372"/>
      <c r="BM57" s="372"/>
      <c r="BN57" s="372"/>
      <c r="BO57" s="372"/>
      <c r="BP57" s="372"/>
      <c r="BQ57" s="372"/>
      <c r="BR57" s="372"/>
      <c r="BS57" s="372"/>
      <c r="BT57" s="372"/>
      <c r="BU57" s="372"/>
      <c r="BV57" s="372"/>
    </row>
    <row r="58" spans="1:74" s="137" customFormat="1" ht="12.75">
      <c r="A58" s="137" t="s">
        <v>1825</v>
      </c>
      <c r="B58" s="370" t="s">
        <v>394</v>
      </c>
      <c r="C58" s="371" t="s">
        <v>302</v>
      </c>
      <c r="D58" s="371" t="s">
        <v>302</v>
      </c>
      <c r="E58" s="379"/>
      <c r="F58" s="379"/>
      <c r="G58" s="372"/>
      <c r="H58" s="372"/>
      <c r="I58" s="372"/>
      <c r="J58" s="372"/>
      <c r="K58" s="372"/>
      <c r="L58" s="372"/>
      <c r="M58" s="379"/>
      <c r="N58" s="379"/>
      <c r="O58" s="372"/>
      <c r="P58" s="372"/>
      <c r="Q58" s="372"/>
      <c r="R58" s="379"/>
      <c r="S58" s="372"/>
      <c r="T58" s="372"/>
      <c r="U58" s="372"/>
      <c r="V58" s="372"/>
      <c r="W58" s="372"/>
      <c r="X58" s="372"/>
      <c r="Y58" s="372"/>
      <c r="Z58" s="372"/>
      <c r="AA58" s="372"/>
      <c r="AB58" s="379"/>
      <c r="AC58" s="372"/>
      <c r="AD58" s="372"/>
      <c r="AE58" s="372"/>
      <c r="AF58" s="372"/>
      <c r="AG58" s="372"/>
      <c r="AH58" s="372"/>
      <c r="AI58" s="372"/>
      <c r="AJ58" s="372"/>
      <c r="AK58" s="372"/>
      <c r="AL58" s="372"/>
      <c r="AM58" s="379"/>
      <c r="AN58" s="372"/>
      <c r="AO58" s="372"/>
      <c r="AP58" s="379"/>
      <c r="AQ58" s="382"/>
      <c r="AR58" s="382"/>
      <c r="AS58" s="372"/>
      <c r="AT58" s="372"/>
      <c r="AU58" s="372"/>
      <c r="AV58" s="372"/>
      <c r="AW58" s="372"/>
      <c r="AX58" s="372"/>
      <c r="AY58" s="372"/>
      <c r="AZ58" s="372"/>
      <c r="BA58" s="372"/>
      <c r="BB58" s="372"/>
      <c r="BC58" s="372"/>
      <c r="BD58" s="372"/>
      <c r="BE58" s="372"/>
      <c r="BF58" s="372"/>
      <c r="BG58" s="372"/>
      <c r="BH58" s="372"/>
      <c r="BI58" s="372"/>
      <c r="BJ58" s="372"/>
      <c r="BK58" s="372"/>
      <c r="BL58" s="372"/>
      <c r="BM58" s="372"/>
      <c r="BN58" s="372"/>
      <c r="BO58" s="372"/>
      <c r="BP58" s="372"/>
      <c r="BQ58" s="372"/>
      <c r="BR58" s="372"/>
      <c r="BS58" s="372"/>
      <c r="BT58" s="372"/>
      <c r="BU58" s="372"/>
      <c r="BV58" s="372"/>
    </row>
    <row r="59" spans="1:74" s="137" customFormat="1" ht="12.75">
      <c r="A59" s="137" t="s">
        <v>372</v>
      </c>
      <c r="B59" s="370" t="s">
        <v>603</v>
      </c>
      <c r="C59" s="371" t="s">
        <v>302</v>
      </c>
      <c r="D59" s="371" t="s">
        <v>302</v>
      </c>
      <c r="E59" s="379"/>
      <c r="F59" s="379"/>
      <c r="G59" s="372"/>
      <c r="H59" s="372"/>
      <c r="I59" s="372"/>
      <c r="J59" s="372"/>
      <c r="K59" s="372"/>
      <c r="L59" s="372"/>
      <c r="M59" s="371" t="s">
        <v>302</v>
      </c>
      <c r="N59" s="379"/>
      <c r="O59" s="372"/>
      <c r="P59" s="372"/>
      <c r="Q59" s="372"/>
      <c r="R59" s="379"/>
      <c r="S59" s="372"/>
      <c r="T59" s="372"/>
      <c r="U59" s="372"/>
      <c r="V59" s="372"/>
      <c r="W59" s="372"/>
      <c r="X59" s="372"/>
      <c r="Y59" s="372"/>
      <c r="Z59" s="372"/>
      <c r="AA59" s="372"/>
      <c r="AB59" s="379"/>
      <c r="AC59" s="372"/>
      <c r="AD59" s="372"/>
      <c r="AE59" s="372"/>
      <c r="AF59" s="372"/>
      <c r="AG59" s="372"/>
      <c r="AH59" s="372"/>
      <c r="AI59" s="372"/>
      <c r="AJ59" s="372"/>
      <c r="AK59" s="372"/>
      <c r="AL59" s="372"/>
      <c r="AM59" s="379"/>
      <c r="AN59" s="372"/>
      <c r="AO59" s="372"/>
      <c r="AP59" s="379"/>
      <c r="AQ59" s="382"/>
      <c r="AR59" s="382"/>
      <c r="AS59" s="372"/>
      <c r="AT59" s="372"/>
      <c r="AU59" s="372"/>
      <c r="AV59" s="372"/>
      <c r="AW59" s="372"/>
      <c r="AX59" s="372"/>
      <c r="AY59" s="372"/>
      <c r="AZ59" s="372"/>
      <c r="BA59" s="372"/>
      <c r="BB59" s="372"/>
      <c r="BC59" s="372"/>
      <c r="BD59" s="372"/>
      <c r="BE59" s="372"/>
      <c r="BF59" s="372"/>
      <c r="BG59" s="372"/>
      <c r="BH59" s="372"/>
      <c r="BI59" s="372"/>
      <c r="BJ59" s="372"/>
      <c r="BK59" s="372"/>
      <c r="BL59" s="372"/>
      <c r="BM59" s="372"/>
      <c r="BN59" s="372"/>
      <c r="BO59" s="372"/>
      <c r="BP59" s="372"/>
      <c r="BQ59" s="372"/>
      <c r="BR59" s="372"/>
      <c r="BS59" s="372"/>
      <c r="BT59" s="372"/>
      <c r="BU59" s="372"/>
      <c r="BV59" s="372"/>
    </row>
    <row r="60" spans="1:74" s="137" customFormat="1" ht="12.75">
      <c r="A60" s="137" t="s">
        <v>1826</v>
      </c>
      <c r="B60" s="370" t="s">
        <v>286</v>
      </c>
      <c r="C60" s="371" t="s">
        <v>302</v>
      </c>
      <c r="D60" s="371" t="s">
        <v>302</v>
      </c>
      <c r="E60" s="379"/>
      <c r="F60" s="379"/>
      <c r="G60" s="372"/>
      <c r="H60" s="372"/>
      <c r="I60" s="372"/>
      <c r="J60" s="372"/>
      <c r="K60" s="372"/>
      <c r="L60" s="372"/>
      <c r="M60" s="379"/>
      <c r="N60" s="379"/>
      <c r="O60" s="372"/>
      <c r="P60" s="372"/>
      <c r="Q60" s="372"/>
      <c r="R60" s="379"/>
      <c r="S60" s="372"/>
      <c r="T60" s="372"/>
      <c r="U60" s="372"/>
      <c r="V60" s="372"/>
      <c r="W60" s="372"/>
      <c r="X60" s="372"/>
      <c r="Y60" s="372"/>
      <c r="Z60" s="372"/>
      <c r="AA60" s="372"/>
      <c r="AB60" s="379"/>
      <c r="AC60" s="372"/>
      <c r="AD60" s="372"/>
      <c r="AE60" s="372"/>
      <c r="AF60" s="372"/>
      <c r="AG60" s="372"/>
      <c r="AH60" s="372"/>
      <c r="AI60" s="372"/>
      <c r="AJ60" s="372"/>
      <c r="AK60" s="372"/>
      <c r="AL60" s="372"/>
      <c r="AM60" s="379"/>
      <c r="AN60" s="372"/>
      <c r="AO60" s="372"/>
      <c r="AP60" s="379"/>
      <c r="AQ60" s="382"/>
      <c r="AR60" s="382"/>
      <c r="AS60" s="372"/>
      <c r="AT60" s="372"/>
      <c r="AU60" s="372"/>
      <c r="AV60" s="372"/>
      <c r="AW60" s="372"/>
      <c r="AX60" s="372"/>
      <c r="AY60" s="372"/>
      <c r="AZ60" s="372"/>
      <c r="BA60" s="372"/>
      <c r="BB60" s="372"/>
      <c r="BC60" s="372"/>
      <c r="BD60" s="372"/>
      <c r="BE60" s="372"/>
      <c r="BF60" s="372"/>
      <c r="BG60" s="372"/>
      <c r="BH60" s="372"/>
      <c r="BI60" s="372"/>
      <c r="BJ60" s="372"/>
      <c r="BK60" s="372"/>
      <c r="BL60" s="372"/>
      <c r="BM60" s="372"/>
      <c r="BN60" s="372"/>
      <c r="BO60" s="372"/>
      <c r="BP60" s="372"/>
      <c r="BQ60" s="372"/>
      <c r="BR60" s="372"/>
      <c r="BS60" s="372"/>
      <c r="BT60" s="372"/>
      <c r="BU60" s="372"/>
      <c r="BV60" s="372"/>
    </row>
    <row r="61" spans="1:74" ht="14.25" customHeight="1">
      <c r="B61" s="370" t="s">
        <v>1964</v>
      </c>
      <c r="C61" s="139"/>
      <c r="D61" s="139"/>
      <c r="E61" s="139"/>
      <c r="F61" s="139"/>
      <c r="G61" s="139"/>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c r="BH61" s="139"/>
      <c r="BI61" s="139"/>
      <c r="BJ61" s="139"/>
      <c r="BK61" s="139"/>
      <c r="BL61" s="139"/>
      <c r="BM61" s="139"/>
      <c r="BN61" s="139"/>
      <c r="BO61" s="139"/>
      <c r="BP61" s="139"/>
      <c r="BQ61" s="139"/>
      <c r="BR61" s="139"/>
      <c r="BS61" s="139"/>
      <c r="BT61" s="380" t="s">
        <v>302</v>
      </c>
      <c r="BU61" s="139"/>
      <c r="BV61" s="380" t="s">
        <v>302</v>
      </c>
    </row>
    <row r="62" spans="1:74" ht="14.25" customHeight="1">
      <c r="B62" s="370" t="s">
        <v>1965</v>
      </c>
      <c r="C62" s="139"/>
      <c r="D62" s="139"/>
      <c r="E62" s="139"/>
      <c r="F62" s="139"/>
      <c r="G62" s="139"/>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c r="BG62" s="139"/>
      <c r="BH62" s="139"/>
      <c r="BI62" s="139"/>
      <c r="BJ62" s="139"/>
      <c r="BK62" s="139"/>
      <c r="BL62" s="139"/>
      <c r="BM62" s="139"/>
      <c r="BN62" s="139"/>
      <c r="BO62" s="139"/>
      <c r="BP62" s="139"/>
      <c r="BQ62" s="139"/>
      <c r="BR62" s="139"/>
      <c r="BS62" s="139"/>
      <c r="BT62" s="380" t="s">
        <v>302</v>
      </c>
      <c r="BU62" s="380" t="s">
        <v>302</v>
      </c>
      <c r="BV62" s="380" t="s">
        <v>302</v>
      </c>
    </row>
    <row r="63" spans="1:74" ht="14.25" customHeight="1">
      <c r="B63" s="370" t="s">
        <v>1966</v>
      </c>
      <c r="C63" s="139"/>
      <c r="D63" s="139"/>
      <c r="E63" s="139"/>
      <c r="F63" s="139"/>
      <c r="G63" s="139"/>
      <c r="H63" s="139"/>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c r="BG63" s="139"/>
      <c r="BH63" s="139"/>
      <c r="BI63" s="139"/>
      <c r="BJ63" s="139"/>
      <c r="BK63" s="139"/>
      <c r="BL63" s="139"/>
      <c r="BM63" s="139"/>
      <c r="BN63" s="139"/>
      <c r="BO63" s="139"/>
      <c r="BP63" s="139"/>
      <c r="BQ63" s="139"/>
      <c r="BR63" s="139"/>
      <c r="BS63" s="139"/>
      <c r="BT63" s="139"/>
      <c r="BU63" s="139"/>
      <c r="BV63" s="380" t="s">
        <v>302</v>
      </c>
    </row>
    <row r="64" spans="1:74" s="137" customFormat="1" ht="12.75">
      <c r="A64" s="137" t="s">
        <v>1827</v>
      </c>
      <c r="B64" s="370" t="s">
        <v>1680</v>
      </c>
      <c r="C64" s="372"/>
      <c r="D64" s="372"/>
      <c r="E64" s="372"/>
      <c r="F64" s="372"/>
      <c r="G64" s="372"/>
      <c r="H64" s="372"/>
      <c r="I64" s="372"/>
      <c r="J64" s="372"/>
      <c r="K64" s="372"/>
      <c r="L64" s="372"/>
      <c r="M64" s="372"/>
      <c r="N64" s="372"/>
      <c r="O64" s="372"/>
      <c r="P64" s="372"/>
      <c r="Q64" s="372"/>
      <c r="R64" s="372"/>
      <c r="S64" s="372"/>
      <c r="T64" s="372"/>
      <c r="U64" s="372"/>
      <c r="V64" s="372"/>
      <c r="W64" s="372"/>
      <c r="X64" s="380" t="s">
        <v>302</v>
      </c>
      <c r="Y64" s="372"/>
      <c r="Z64" s="372"/>
      <c r="AA64" s="372"/>
      <c r="AB64" s="372"/>
      <c r="AC64" s="372"/>
      <c r="AD64" s="372"/>
      <c r="AE64" s="372"/>
      <c r="AF64" s="372"/>
      <c r="AG64" s="372"/>
      <c r="AH64" s="372"/>
      <c r="AI64" s="372"/>
      <c r="AJ64" s="372"/>
      <c r="AK64" s="372"/>
      <c r="AL64" s="372"/>
      <c r="AM64" s="372"/>
      <c r="AN64" s="372"/>
      <c r="AO64" s="372"/>
      <c r="AP64" s="372"/>
      <c r="AQ64" s="372"/>
      <c r="AR64" s="372"/>
      <c r="AS64" s="372"/>
      <c r="AT64" s="372"/>
      <c r="AU64" s="372"/>
      <c r="AV64" s="372"/>
      <c r="AW64" s="372"/>
      <c r="AX64" s="372"/>
      <c r="AY64" s="372"/>
      <c r="AZ64" s="372"/>
      <c r="BA64" s="372"/>
      <c r="BB64" s="372"/>
      <c r="BC64" s="372"/>
      <c r="BD64" s="372"/>
      <c r="BE64" s="372"/>
      <c r="BF64" s="372"/>
      <c r="BG64" s="372"/>
      <c r="BH64" s="372"/>
      <c r="BI64" s="372"/>
      <c r="BJ64" s="372"/>
      <c r="BK64" s="372"/>
      <c r="BL64" s="372"/>
      <c r="BM64" s="372"/>
      <c r="BN64" s="372"/>
      <c r="BO64" s="372"/>
      <c r="BP64" s="372"/>
      <c r="BQ64" s="372"/>
      <c r="BR64" s="372"/>
      <c r="BS64" s="372"/>
      <c r="BT64" s="372"/>
      <c r="BU64" s="372"/>
      <c r="BV64" s="372"/>
    </row>
    <row r="65" spans="1:16375" s="137" customFormat="1" ht="12.75">
      <c r="A65" s="137" t="s">
        <v>1828</v>
      </c>
      <c r="B65" s="370" t="s">
        <v>1681</v>
      </c>
      <c r="C65" s="372"/>
      <c r="D65" s="385" t="s">
        <v>302</v>
      </c>
      <c r="E65" s="372"/>
      <c r="F65" s="372"/>
      <c r="G65" s="372"/>
      <c r="H65" s="372"/>
      <c r="I65" s="372"/>
      <c r="J65" s="372"/>
      <c r="K65" s="372"/>
      <c r="L65" s="372"/>
      <c r="M65" s="372"/>
      <c r="N65" s="372"/>
      <c r="O65" s="372"/>
      <c r="P65" s="372"/>
      <c r="Q65" s="372"/>
      <c r="R65" s="372"/>
      <c r="S65" s="372"/>
      <c r="T65" s="372"/>
      <c r="U65" s="372"/>
      <c r="V65" s="372"/>
      <c r="W65" s="372"/>
      <c r="X65" s="372"/>
      <c r="Y65" s="372"/>
      <c r="Z65" s="372"/>
      <c r="AA65" s="372"/>
      <c r="AB65" s="372"/>
      <c r="AC65" s="372"/>
      <c r="AD65" s="372"/>
      <c r="AE65" s="372"/>
      <c r="AF65" s="372"/>
      <c r="AG65" s="372"/>
      <c r="AH65" s="372"/>
      <c r="AI65" s="372"/>
      <c r="AJ65" s="372"/>
      <c r="AK65" s="372"/>
      <c r="AL65" s="372"/>
      <c r="AM65" s="372"/>
      <c r="AN65" s="372"/>
      <c r="AO65" s="372"/>
      <c r="AP65" s="372"/>
      <c r="AQ65" s="372"/>
      <c r="AR65" s="372"/>
      <c r="AS65" s="372"/>
      <c r="AT65" s="372"/>
      <c r="AU65" s="372"/>
      <c r="AV65" s="372"/>
      <c r="AW65" s="372"/>
      <c r="AX65" s="372"/>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row>
    <row r="66" spans="1:16375" s="137" customFormat="1" ht="12.75">
      <c r="A66" s="137" t="s">
        <v>1829</v>
      </c>
      <c r="B66" s="370" t="s">
        <v>1682</v>
      </c>
      <c r="C66" s="372"/>
      <c r="D66" s="385" t="s">
        <v>302</v>
      </c>
      <c r="E66" s="372"/>
      <c r="F66" s="372"/>
      <c r="G66" s="372"/>
      <c r="H66" s="372"/>
      <c r="I66" s="372"/>
      <c r="J66" s="372"/>
      <c r="K66" s="372"/>
      <c r="L66" s="372"/>
      <c r="M66" s="372"/>
      <c r="N66" s="372"/>
      <c r="O66" s="372"/>
      <c r="P66" s="372"/>
      <c r="Q66" s="372"/>
      <c r="R66" s="372"/>
      <c r="S66" s="372"/>
      <c r="T66" s="372"/>
      <c r="U66" s="372"/>
      <c r="V66" s="372"/>
      <c r="W66" s="372"/>
      <c r="X66" s="372"/>
      <c r="Y66" s="372"/>
      <c r="Z66" s="372"/>
      <c r="AA66" s="372"/>
      <c r="AB66" s="372"/>
      <c r="AC66" s="372"/>
      <c r="AD66" s="372"/>
      <c r="AE66" s="372"/>
      <c r="AF66" s="372"/>
      <c r="AG66" s="372"/>
      <c r="AH66" s="372"/>
      <c r="AI66" s="372"/>
      <c r="AJ66" s="372"/>
      <c r="AK66" s="372"/>
      <c r="AL66" s="372"/>
      <c r="AM66" s="372"/>
      <c r="AN66" s="372"/>
      <c r="AO66" s="372"/>
      <c r="AP66" s="372"/>
      <c r="AQ66" s="372"/>
      <c r="AR66" s="372"/>
      <c r="AS66" s="372"/>
      <c r="AT66" s="372"/>
      <c r="AU66" s="372"/>
      <c r="AV66" s="372"/>
      <c r="AW66" s="372"/>
      <c r="AX66" s="372"/>
      <c r="AY66" s="372"/>
      <c r="AZ66" s="372"/>
      <c r="BA66" s="372"/>
      <c r="BB66" s="372"/>
      <c r="BC66" s="372"/>
      <c r="BD66" s="372"/>
      <c r="BE66" s="372"/>
      <c r="BF66" s="372"/>
      <c r="BG66" s="372"/>
      <c r="BH66" s="372"/>
      <c r="BI66" s="372"/>
      <c r="BJ66" s="372"/>
      <c r="BK66" s="372"/>
      <c r="BL66" s="372"/>
      <c r="BM66" s="372"/>
      <c r="BN66" s="372"/>
      <c r="BO66" s="372"/>
      <c r="BP66" s="372"/>
      <c r="BQ66" s="372"/>
      <c r="BR66" s="372"/>
      <c r="BS66" s="372"/>
      <c r="BT66" s="372"/>
      <c r="BU66" s="372"/>
      <c r="BV66" s="372"/>
    </row>
    <row r="67" spans="1:16375" s="137" customFormat="1" ht="12.75">
      <c r="A67" s="137" t="s">
        <v>373</v>
      </c>
      <c r="B67" s="370" t="s">
        <v>393</v>
      </c>
      <c r="C67" s="371" t="s">
        <v>302</v>
      </c>
      <c r="D67" s="371" t="s">
        <v>302</v>
      </c>
      <c r="E67" s="379"/>
      <c r="F67" s="379"/>
      <c r="G67" s="372"/>
      <c r="H67" s="372"/>
      <c r="I67" s="372"/>
      <c r="J67" s="372"/>
      <c r="K67" s="372"/>
      <c r="L67" s="372"/>
      <c r="M67" s="379"/>
      <c r="N67" s="379"/>
      <c r="O67" s="372"/>
      <c r="P67" s="372"/>
      <c r="Q67" s="372"/>
      <c r="R67" s="379"/>
      <c r="S67" s="372"/>
      <c r="T67" s="372"/>
      <c r="U67" s="372"/>
      <c r="V67" s="372"/>
      <c r="W67" s="372"/>
      <c r="X67" s="372"/>
      <c r="Y67" s="372"/>
      <c r="Z67" s="372"/>
      <c r="AA67" s="372"/>
      <c r="AB67" s="379"/>
      <c r="AC67" s="372"/>
      <c r="AD67" s="372"/>
      <c r="AE67" s="372"/>
      <c r="AF67" s="372"/>
      <c r="AG67" s="372"/>
      <c r="AH67" s="372"/>
      <c r="AI67" s="372"/>
      <c r="AJ67" s="372"/>
      <c r="AK67" s="372"/>
      <c r="AL67" s="372"/>
      <c r="AM67" s="379"/>
      <c r="AN67" s="372"/>
      <c r="AO67" s="372"/>
      <c r="AP67" s="379"/>
      <c r="AQ67" s="382"/>
      <c r="AR67" s="382"/>
      <c r="AS67" s="372"/>
      <c r="AT67" s="372"/>
      <c r="AU67" s="372"/>
      <c r="AV67" s="372"/>
      <c r="AW67" s="372"/>
      <c r="AX67" s="372"/>
      <c r="AY67" s="372"/>
      <c r="AZ67" s="372"/>
      <c r="BA67" s="372"/>
      <c r="BB67" s="372"/>
      <c r="BC67" s="372"/>
      <c r="BD67" s="372"/>
      <c r="BE67" s="372"/>
      <c r="BF67" s="372"/>
      <c r="BG67" s="372"/>
      <c r="BH67" s="372"/>
      <c r="BI67" s="372"/>
      <c r="BJ67" s="372"/>
      <c r="BK67" s="372"/>
      <c r="BL67" s="372"/>
      <c r="BM67" s="372"/>
      <c r="BN67" s="372"/>
      <c r="BO67" s="372"/>
      <c r="BP67" s="372"/>
      <c r="BQ67" s="372"/>
      <c r="BR67" s="372"/>
      <c r="BS67" s="372"/>
      <c r="BT67" s="372"/>
      <c r="BU67" s="372"/>
      <c r="BV67" s="372"/>
    </row>
    <row r="68" spans="1:16375" s="137" customFormat="1" ht="12.75">
      <c r="A68" s="137" t="s">
        <v>374</v>
      </c>
      <c r="B68" s="370" t="s">
        <v>287</v>
      </c>
      <c r="C68" s="371" t="s">
        <v>302</v>
      </c>
      <c r="D68" s="371" t="s">
        <v>302</v>
      </c>
      <c r="E68" s="379"/>
      <c r="F68" s="379"/>
      <c r="G68" s="372"/>
      <c r="H68" s="372"/>
      <c r="I68" s="372"/>
      <c r="J68" s="372"/>
      <c r="K68" s="372"/>
      <c r="L68" s="372"/>
      <c r="M68" s="371" t="s">
        <v>302</v>
      </c>
      <c r="N68" s="379"/>
      <c r="O68" s="372"/>
      <c r="P68" s="372"/>
      <c r="Q68" s="372"/>
      <c r="R68" s="379"/>
      <c r="S68" s="372"/>
      <c r="T68" s="372"/>
      <c r="U68" s="372"/>
      <c r="V68" s="372"/>
      <c r="W68" s="372"/>
      <c r="X68" s="372"/>
      <c r="Y68" s="372"/>
      <c r="Z68" s="372"/>
      <c r="AA68" s="372"/>
      <c r="AB68" s="379"/>
      <c r="AC68" s="372"/>
      <c r="AD68" s="372"/>
      <c r="AE68" s="372"/>
      <c r="AF68" s="372"/>
      <c r="AG68" s="372"/>
      <c r="AH68" s="372"/>
      <c r="AI68" s="372"/>
      <c r="AJ68" s="372"/>
      <c r="AK68" s="372"/>
      <c r="AL68" s="372"/>
      <c r="AM68" s="379"/>
      <c r="AN68" s="372"/>
      <c r="AO68" s="372"/>
      <c r="AP68" s="379"/>
      <c r="AQ68" s="382"/>
      <c r="AR68" s="382"/>
      <c r="AS68" s="372"/>
      <c r="AT68" s="372"/>
      <c r="AU68" s="372"/>
      <c r="AV68" s="372"/>
      <c r="AW68" s="372"/>
      <c r="AX68" s="372"/>
      <c r="AY68" s="372"/>
      <c r="AZ68" s="372"/>
      <c r="BA68" s="372"/>
      <c r="BB68" s="372"/>
      <c r="BC68" s="372"/>
      <c r="BD68" s="372"/>
      <c r="BE68" s="372"/>
      <c r="BF68" s="372"/>
      <c r="BG68" s="372"/>
      <c r="BH68" s="372"/>
      <c r="BI68" s="372"/>
      <c r="BJ68" s="372"/>
      <c r="BK68" s="372"/>
      <c r="BL68" s="372"/>
      <c r="BM68" s="372"/>
      <c r="BN68" s="372"/>
      <c r="BO68" s="372"/>
      <c r="BP68" s="372"/>
      <c r="BQ68" s="372"/>
      <c r="BR68" s="372"/>
      <c r="BS68" s="372"/>
      <c r="BT68" s="372"/>
      <c r="BU68" s="372"/>
      <c r="BV68" s="372"/>
    </row>
    <row r="69" spans="1:16375" s="137" customFormat="1" ht="12.75">
      <c r="A69" s="137" t="s">
        <v>375</v>
      </c>
      <c r="B69" s="370" t="s">
        <v>392</v>
      </c>
      <c r="C69" s="371" t="s">
        <v>302</v>
      </c>
      <c r="D69" s="371" t="s">
        <v>302</v>
      </c>
      <c r="E69" s="379"/>
      <c r="F69" s="379"/>
      <c r="G69" s="372"/>
      <c r="H69" s="372"/>
      <c r="I69" s="372"/>
      <c r="J69" s="372"/>
      <c r="K69" s="372"/>
      <c r="L69" s="372"/>
      <c r="M69" s="379"/>
      <c r="N69" s="379"/>
      <c r="O69" s="372"/>
      <c r="P69" s="372"/>
      <c r="Q69" s="372"/>
      <c r="R69" s="379"/>
      <c r="S69" s="372"/>
      <c r="T69" s="372"/>
      <c r="U69" s="372"/>
      <c r="V69" s="372"/>
      <c r="W69" s="372"/>
      <c r="X69" s="372"/>
      <c r="Y69" s="372"/>
      <c r="Z69" s="372"/>
      <c r="AA69" s="372"/>
      <c r="AB69" s="379"/>
      <c r="AC69" s="372"/>
      <c r="AD69" s="372"/>
      <c r="AE69" s="372"/>
      <c r="AF69" s="372"/>
      <c r="AG69" s="372"/>
      <c r="AH69" s="372"/>
      <c r="AI69" s="372"/>
      <c r="AJ69" s="372"/>
      <c r="AK69" s="372"/>
      <c r="AL69" s="372"/>
      <c r="AM69" s="379"/>
      <c r="AN69" s="372"/>
      <c r="AO69" s="372"/>
      <c r="AP69" s="379"/>
      <c r="AQ69" s="382"/>
      <c r="AR69" s="382"/>
      <c r="AS69" s="372"/>
      <c r="AT69" s="372"/>
      <c r="AU69" s="372"/>
      <c r="AV69" s="372"/>
      <c r="AW69" s="372"/>
      <c r="AX69" s="372"/>
      <c r="AY69" s="372"/>
      <c r="AZ69" s="372"/>
      <c r="BA69" s="372"/>
      <c r="BB69" s="372"/>
      <c r="BC69" s="372"/>
      <c r="BD69" s="372"/>
      <c r="BE69" s="372"/>
      <c r="BF69" s="372"/>
      <c r="BG69" s="372"/>
      <c r="BH69" s="372"/>
      <c r="BI69" s="372"/>
      <c r="BJ69" s="372"/>
      <c r="BK69" s="372"/>
      <c r="BL69" s="372"/>
      <c r="BM69" s="372"/>
      <c r="BN69" s="372"/>
      <c r="BO69" s="372"/>
      <c r="BP69" s="372"/>
      <c r="BQ69" s="372"/>
      <c r="BR69" s="372"/>
      <c r="BS69" s="372"/>
      <c r="BT69" s="372"/>
      <c r="BU69" s="372"/>
      <c r="BV69" s="372"/>
    </row>
    <row r="70" spans="1:16375" s="137" customFormat="1" ht="12.75">
      <c r="A70" s="137" t="s">
        <v>1830</v>
      </c>
      <c r="B70" s="370" t="s">
        <v>1683</v>
      </c>
      <c r="C70" s="372"/>
      <c r="D70" s="372"/>
      <c r="E70" s="372"/>
      <c r="F70" s="372"/>
      <c r="G70" s="372"/>
      <c r="H70" s="372"/>
      <c r="I70" s="372"/>
      <c r="J70" s="372"/>
      <c r="K70" s="372"/>
      <c r="L70" s="372"/>
      <c r="M70" s="372"/>
      <c r="N70" s="372"/>
      <c r="O70" s="372"/>
      <c r="P70" s="372"/>
      <c r="Q70" s="372"/>
      <c r="R70" s="372"/>
      <c r="S70" s="372"/>
      <c r="T70" s="372"/>
      <c r="U70" s="372"/>
      <c r="V70" s="372"/>
      <c r="W70" s="372"/>
      <c r="X70" s="372"/>
      <c r="Y70" s="380" t="s">
        <v>302</v>
      </c>
      <c r="Z70" s="372"/>
      <c r="AA70" s="372"/>
      <c r="AB70" s="372"/>
      <c r="AC70" s="372"/>
      <c r="AD70" s="372"/>
      <c r="AE70" s="372"/>
      <c r="AF70" s="372"/>
      <c r="AG70" s="372"/>
      <c r="AH70" s="372"/>
      <c r="AI70" s="372"/>
      <c r="AJ70" s="372"/>
      <c r="AK70" s="372"/>
      <c r="AL70" s="372"/>
      <c r="AM70" s="372"/>
      <c r="AN70" s="372"/>
      <c r="AO70" s="372"/>
      <c r="AP70" s="372"/>
      <c r="AQ70" s="372"/>
      <c r="AR70" s="372"/>
      <c r="AS70" s="372"/>
      <c r="AT70" s="372"/>
      <c r="AU70" s="372"/>
      <c r="AV70" s="372"/>
      <c r="AW70" s="372"/>
      <c r="AX70" s="372"/>
      <c r="AY70" s="372"/>
      <c r="AZ70" s="372"/>
      <c r="BA70" s="372"/>
      <c r="BB70" s="372"/>
      <c r="BC70" s="372"/>
      <c r="BD70" s="372"/>
      <c r="BE70" s="372"/>
      <c r="BF70" s="372"/>
      <c r="BG70" s="372"/>
      <c r="BH70" s="372"/>
      <c r="BI70" s="372"/>
      <c r="BJ70" s="372"/>
      <c r="BK70" s="372"/>
      <c r="BL70" s="372"/>
      <c r="BM70" s="372"/>
      <c r="BN70" s="372"/>
      <c r="BO70" s="372"/>
      <c r="BP70" s="372"/>
      <c r="BQ70" s="372"/>
      <c r="BR70" s="372"/>
      <c r="BS70" s="372"/>
      <c r="BT70" s="372"/>
      <c r="BU70" s="372"/>
      <c r="BV70" s="372"/>
    </row>
    <row r="71" spans="1:16375" s="137" customFormat="1" ht="12.75">
      <c r="A71" s="137" t="s">
        <v>1831</v>
      </c>
      <c r="B71" s="370" t="s">
        <v>390</v>
      </c>
      <c r="C71" s="379"/>
      <c r="D71" s="371" t="s">
        <v>302</v>
      </c>
      <c r="E71" s="379"/>
      <c r="F71" s="379"/>
      <c r="G71" s="372"/>
      <c r="H71" s="372"/>
      <c r="I71" s="372"/>
      <c r="J71" s="372"/>
      <c r="K71" s="372"/>
      <c r="L71" s="372"/>
      <c r="M71" s="379"/>
      <c r="N71" s="379"/>
      <c r="O71" s="372"/>
      <c r="P71" s="372"/>
      <c r="Q71" s="372"/>
      <c r="R71" s="379"/>
      <c r="S71" s="372"/>
      <c r="T71" s="372"/>
      <c r="U71" s="372"/>
      <c r="V71" s="372"/>
      <c r="W71" s="372"/>
      <c r="X71" s="372"/>
      <c r="Y71" s="372"/>
      <c r="Z71" s="372"/>
      <c r="AA71" s="372"/>
      <c r="AB71" s="371" t="s">
        <v>302</v>
      </c>
      <c r="AC71" s="372"/>
      <c r="AD71" s="372"/>
      <c r="AE71" s="372"/>
      <c r="AF71" s="372"/>
      <c r="AG71" s="372"/>
      <c r="AH71" s="372"/>
      <c r="AI71" s="372"/>
      <c r="AJ71" s="372"/>
      <c r="AK71" s="372"/>
      <c r="AL71" s="372"/>
      <c r="AM71" s="379"/>
      <c r="AN71" s="372"/>
      <c r="AO71" s="372"/>
      <c r="AP71" s="379"/>
      <c r="AQ71" s="372"/>
      <c r="AR71" s="372"/>
      <c r="AS71" s="372"/>
      <c r="AT71" s="372"/>
      <c r="AU71" s="372"/>
      <c r="AV71" s="372"/>
      <c r="AW71" s="372"/>
      <c r="AX71" s="372"/>
      <c r="AY71" s="372"/>
      <c r="AZ71" s="372"/>
      <c r="BA71" s="372"/>
      <c r="BB71" s="372"/>
      <c r="BC71" s="372"/>
      <c r="BD71" s="372"/>
      <c r="BE71" s="372"/>
      <c r="BF71" s="372"/>
      <c r="BG71" s="372"/>
      <c r="BH71" s="372"/>
      <c r="BI71" s="372"/>
      <c r="BJ71" s="372"/>
      <c r="BK71" s="372"/>
      <c r="BL71" s="372"/>
      <c r="BM71" s="372"/>
      <c r="BN71" s="372"/>
      <c r="BO71" s="372"/>
      <c r="BP71" s="372"/>
      <c r="BQ71" s="372"/>
      <c r="BR71" s="372"/>
      <c r="BS71" s="372"/>
      <c r="BT71" s="372"/>
      <c r="BU71" s="372"/>
      <c r="BV71" s="372"/>
    </row>
    <row r="72" spans="1:16375" s="137" customFormat="1">
      <c r="A72" s="137" t="s">
        <v>1832</v>
      </c>
      <c r="B72" s="370" t="s">
        <v>288</v>
      </c>
      <c r="C72" s="379"/>
      <c r="D72" s="379"/>
      <c r="E72" s="379"/>
      <c r="F72" s="379"/>
      <c r="G72" s="372"/>
      <c r="H72" s="372"/>
      <c r="I72" s="372"/>
      <c r="J72" s="372"/>
      <c r="K72" s="372"/>
      <c r="L72" s="372"/>
      <c r="M72" s="379"/>
      <c r="N72" s="379"/>
      <c r="O72" s="373"/>
      <c r="P72" s="372"/>
      <c r="Q72" s="372"/>
      <c r="R72" s="379"/>
      <c r="S72" s="372"/>
      <c r="T72" s="372"/>
      <c r="U72" s="372"/>
      <c r="V72" s="372"/>
      <c r="W72" s="372"/>
      <c r="X72" s="372"/>
      <c r="Y72" s="372"/>
      <c r="Z72" s="371" t="s">
        <v>302</v>
      </c>
      <c r="AA72" s="371" t="s">
        <v>302</v>
      </c>
      <c r="AB72" s="379"/>
      <c r="AC72" s="372"/>
      <c r="AD72" s="372"/>
      <c r="AE72" s="372"/>
      <c r="AF72" s="372"/>
      <c r="AG72" s="372"/>
      <c r="AH72" s="372"/>
      <c r="AI72" s="372"/>
      <c r="AJ72" s="372"/>
      <c r="AK72" s="372"/>
      <c r="AL72" s="372"/>
      <c r="AM72" s="379"/>
      <c r="AN72" s="372"/>
      <c r="AO72" s="372"/>
      <c r="AP72" s="379"/>
      <c r="AQ72" s="373"/>
      <c r="AR72" s="373"/>
      <c r="AS72" s="372"/>
      <c r="AT72" s="372"/>
      <c r="AU72" s="372"/>
      <c r="AV72" s="372"/>
      <c r="AW72" s="372"/>
      <c r="AX72" s="372"/>
      <c r="AY72" s="372"/>
      <c r="AZ72" s="372"/>
      <c r="BA72" s="372"/>
      <c r="BB72" s="372"/>
      <c r="BC72" s="372"/>
      <c r="BD72" s="372"/>
      <c r="BE72" s="372"/>
      <c r="BF72" s="372"/>
      <c r="BG72" s="372"/>
      <c r="BH72" s="372"/>
      <c r="BI72" s="372"/>
      <c r="BJ72" s="372"/>
      <c r="BK72" s="372"/>
      <c r="BL72" s="372"/>
      <c r="BM72" s="372"/>
      <c r="BN72" s="372"/>
      <c r="BO72" s="372"/>
      <c r="BP72" s="372"/>
      <c r="BQ72" s="372"/>
      <c r="BR72" s="372"/>
      <c r="BS72" s="372"/>
      <c r="BT72" s="372"/>
      <c r="BU72" s="372"/>
      <c r="BV72" s="372"/>
    </row>
    <row r="73" spans="1:16375" s="137" customFormat="1">
      <c r="A73" s="137" t="s">
        <v>1833</v>
      </c>
      <c r="B73" s="370" t="s">
        <v>391</v>
      </c>
      <c r="C73" s="379"/>
      <c r="D73" s="379"/>
      <c r="E73" s="379"/>
      <c r="F73" s="379"/>
      <c r="G73" s="372"/>
      <c r="H73" s="372"/>
      <c r="I73" s="372"/>
      <c r="J73" s="372"/>
      <c r="K73" s="372"/>
      <c r="L73" s="372"/>
      <c r="M73" s="379"/>
      <c r="N73" s="379"/>
      <c r="O73" s="373"/>
      <c r="P73" s="372"/>
      <c r="Q73" s="372"/>
      <c r="R73" s="379"/>
      <c r="S73" s="372"/>
      <c r="T73" s="372"/>
      <c r="U73" s="372"/>
      <c r="V73" s="372"/>
      <c r="W73" s="372"/>
      <c r="X73" s="372"/>
      <c r="Y73" s="372"/>
      <c r="Z73" s="373"/>
      <c r="AA73" s="371" t="s">
        <v>302</v>
      </c>
      <c r="AB73" s="379"/>
      <c r="AC73" s="372"/>
      <c r="AD73" s="372"/>
      <c r="AE73" s="372"/>
      <c r="AF73" s="372"/>
      <c r="AG73" s="372"/>
      <c r="AH73" s="372"/>
      <c r="AI73" s="372"/>
      <c r="AJ73" s="372"/>
      <c r="AK73" s="372"/>
      <c r="AL73" s="372"/>
      <c r="AM73" s="379"/>
      <c r="AN73" s="372"/>
      <c r="AO73" s="372"/>
      <c r="AP73" s="379"/>
      <c r="AQ73" s="373"/>
      <c r="AR73" s="373"/>
      <c r="AS73" s="372"/>
      <c r="AT73" s="372"/>
      <c r="AU73" s="372"/>
      <c r="AV73" s="372"/>
      <c r="AW73" s="372"/>
      <c r="AX73" s="372"/>
      <c r="AY73" s="372"/>
      <c r="AZ73" s="372"/>
      <c r="BA73" s="372"/>
      <c r="BB73" s="372"/>
      <c r="BC73" s="372"/>
      <c r="BD73" s="372"/>
      <c r="BE73" s="372"/>
      <c r="BF73" s="372"/>
      <c r="BG73" s="372"/>
      <c r="BH73" s="372"/>
      <c r="BI73" s="372"/>
      <c r="BJ73" s="372"/>
      <c r="BK73" s="372"/>
      <c r="BL73" s="372"/>
      <c r="BM73" s="372"/>
      <c r="BN73" s="372"/>
      <c r="BO73" s="372"/>
      <c r="BP73" s="372"/>
      <c r="BQ73" s="372"/>
      <c r="BR73" s="372"/>
      <c r="BS73" s="372"/>
      <c r="BT73" s="372"/>
      <c r="BU73" s="372"/>
      <c r="BV73" s="372"/>
    </row>
    <row r="74" spans="1:16375" s="137" customFormat="1" ht="12.75">
      <c r="A74" s="137" t="s">
        <v>376</v>
      </c>
      <c r="B74" s="370" t="s">
        <v>289</v>
      </c>
      <c r="C74" s="379"/>
      <c r="D74" s="371" t="s">
        <v>302</v>
      </c>
      <c r="E74" s="379"/>
      <c r="F74" s="379"/>
      <c r="G74" s="372"/>
      <c r="H74" s="372"/>
      <c r="I74" s="372"/>
      <c r="J74" s="372"/>
      <c r="K74" s="372"/>
      <c r="L74" s="372"/>
      <c r="M74" s="379"/>
      <c r="N74" s="379"/>
      <c r="O74" s="372"/>
      <c r="P74" s="372"/>
      <c r="Q74" s="372"/>
      <c r="R74" s="379"/>
      <c r="S74" s="372"/>
      <c r="T74" s="372"/>
      <c r="U74" s="372"/>
      <c r="V74" s="372"/>
      <c r="W74" s="372"/>
      <c r="X74" s="372"/>
      <c r="Y74" s="372"/>
      <c r="Z74" s="372"/>
      <c r="AA74" s="372"/>
      <c r="AB74" s="371" t="s">
        <v>302</v>
      </c>
      <c r="AC74" s="372"/>
      <c r="AD74" s="372"/>
      <c r="AE74" s="372"/>
      <c r="AF74" s="372"/>
      <c r="AG74" s="372"/>
      <c r="AH74" s="372"/>
      <c r="AI74" s="372"/>
      <c r="AJ74" s="372"/>
      <c r="AK74" s="372"/>
      <c r="AL74" s="372"/>
      <c r="AM74" s="379"/>
      <c r="AN74" s="372"/>
      <c r="AO74" s="372"/>
      <c r="AP74" s="379"/>
      <c r="AQ74" s="372"/>
      <c r="AR74" s="372"/>
      <c r="AS74" s="372"/>
      <c r="AT74" s="372"/>
      <c r="AU74" s="372"/>
      <c r="AV74" s="372"/>
      <c r="AW74" s="372"/>
      <c r="AX74" s="372"/>
      <c r="AY74" s="372"/>
      <c r="AZ74" s="372"/>
      <c r="BA74" s="372"/>
      <c r="BB74" s="372"/>
      <c r="BC74" s="372"/>
      <c r="BD74" s="372"/>
      <c r="BE74" s="372"/>
      <c r="BF74" s="372"/>
      <c r="BG74" s="372"/>
      <c r="BH74" s="372"/>
      <c r="BI74" s="372"/>
      <c r="BJ74" s="372"/>
      <c r="BK74" s="372"/>
      <c r="BL74" s="372"/>
      <c r="BM74" s="372"/>
      <c r="BN74" s="372"/>
      <c r="BO74" s="372"/>
      <c r="BP74" s="372"/>
      <c r="BQ74" s="372"/>
      <c r="BR74" s="372"/>
      <c r="BS74" s="372"/>
      <c r="BT74" s="372"/>
      <c r="BU74" s="372"/>
      <c r="BV74" s="372"/>
    </row>
    <row r="75" spans="1:16375" s="137" customFormat="1">
      <c r="A75" s="137" t="s">
        <v>377</v>
      </c>
      <c r="B75" s="370" t="s">
        <v>290</v>
      </c>
      <c r="C75" s="379"/>
      <c r="D75" s="379"/>
      <c r="E75" s="371" t="s">
        <v>302</v>
      </c>
      <c r="F75" s="379"/>
      <c r="G75" s="372"/>
      <c r="H75" s="372"/>
      <c r="I75" s="372"/>
      <c r="J75" s="372"/>
      <c r="K75" s="372"/>
      <c r="L75" s="372"/>
      <c r="M75" s="379"/>
      <c r="N75" s="379"/>
      <c r="O75" s="372"/>
      <c r="P75" s="372"/>
      <c r="Q75" s="372"/>
      <c r="R75" s="379"/>
      <c r="S75" s="372"/>
      <c r="T75" s="372"/>
      <c r="U75" s="372"/>
      <c r="V75" s="372"/>
      <c r="W75" s="372"/>
      <c r="X75" s="372"/>
      <c r="Y75" s="372"/>
      <c r="Z75" s="372"/>
      <c r="AA75" s="372"/>
      <c r="AB75" s="379"/>
      <c r="AC75" s="371" t="s">
        <v>302</v>
      </c>
      <c r="AD75" s="372"/>
      <c r="AE75" s="372"/>
      <c r="AF75" s="372"/>
      <c r="AG75" s="372"/>
      <c r="AH75" s="372"/>
      <c r="AI75" s="372"/>
      <c r="AJ75" s="372"/>
      <c r="AK75" s="373"/>
      <c r="AL75" s="372"/>
      <c r="AM75" s="379"/>
      <c r="AN75" s="372"/>
      <c r="AO75" s="372"/>
      <c r="AP75" s="379"/>
      <c r="AQ75" s="372"/>
      <c r="AR75" s="372"/>
      <c r="AS75" s="372"/>
      <c r="AT75" s="372"/>
      <c r="AU75" s="372"/>
      <c r="AV75" s="372"/>
      <c r="AW75" s="372"/>
      <c r="AX75" s="372"/>
      <c r="AY75" s="372"/>
      <c r="AZ75" s="372"/>
      <c r="BA75" s="372"/>
      <c r="BB75" s="372"/>
      <c r="BC75" s="372"/>
      <c r="BD75" s="372"/>
      <c r="BE75" s="372"/>
      <c r="BF75" s="372"/>
      <c r="BG75" s="372"/>
      <c r="BH75" s="372"/>
      <c r="BI75" s="372"/>
      <c r="BJ75" s="372"/>
      <c r="BK75" s="372"/>
      <c r="BL75" s="372"/>
      <c r="BM75" s="372"/>
      <c r="BN75" s="372"/>
      <c r="BO75" s="372"/>
      <c r="BP75" s="372"/>
      <c r="BQ75" s="372"/>
      <c r="BR75" s="372"/>
      <c r="BS75" s="372"/>
      <c r="BT75" s="372"/>
      <c r="BU75" s="372"/>
      <c r="BV75" s="372"/>
    </row>
    <row r="76" spans="1:16375" s="137" customFormat="1">
      <c r="A76" s="137" t="s">
        <v>378</v>
      </c>
      <c r="B76" s="370" t="s">
        <v>291</v>
      </c>
      <c r="C76" s="379"/>
      <c r="D76" s="379"/>
      <c r="E76" s="371" t="s">
        <v>302</v>
      </c>
      <c r="F76" s="379"/>
      <c r="G76" s="372"/>
      <c r="H76" s="372"/>
      <c r="I76" s="372"/>
      <c r="J76" s="372"/>
      <c r="K76" s="372"/>
      <c r="L76" s="372"/>
      <c r="M76" s="379"/>
      <c r="N76" s="379"/>
      <c r="O76" s="372"/>
      <c r="P76" s="372"/>
      <c r="Q76" s="372"/>
      <c r="R76" s="379"/>
      <c r="S76" s="372"/>
      <c r="T76" s="372"/>
      <c r="U76" s="372"/>
      <c r="V76" s="372"/>
      <c r="W76" s="372"/>
      <c r="X76" s="372"/>
      <c r="Y76" s="372"/>
      <c r="Z76" s="372"/>
      <c r="AA76" s="372"/>
      <c r="AB76" s="379"/>
      <c r="AC76" s="371" t="s">
        <v>302</v>
      </c>
      <c r="AD76" s="372"/>
      <c r="AE76" s="372"/>
      <c r="AF76" s="372"/>
      <c r="AG76" s="372"/>
      <c r="AH76" s="372"/>
      <c r="AI76" s="372"/>
      <c r="AJ76" s="372"/>
      <c r="AK76" s="373"/>
      <c r="AL76" s="372"/>
      <c r="AM76" s="379"/>
      <c r="AN76" s="372"/>
      <c r="AO76" s="372"/>
      <c r="AP76" s="379"/>
      <c r="AQ76" s="372"/>
      <c r="AR76" s="372"/>
      <c r="AS76" s="372"/>
      <c r="AT76" s="372"/>
      <c r="AU76" s="372"/>
      <c r="AV76" s="372"/>
      <c r="AW76" s="372"/>
      <c r="AX76" s="372"/>
      <c r="AY76" s="372"/>
      <c r="AZ76" s="372"/>
      <c r="BA76" s="372"/>
      <c r="BB76" s="372"/>
      <c r="BC76" s="372"/>
      <c r="BD76" s="372"/>
      <c r="BE76" s="372"/>
      <c r="BF76" s="372"/>
      <c r="BG76" s="372"/>
      <c r="BH76" s="372"/>
      <c r="BI76" s="372"/>
      <c r="BJ76" s="372"/>
      <c r="BK76" s="372"/>
      <c r="BL76" s="372"/>
      <c r="BM76" s="372"/>
      <c r="BN76" s="372"/>
      <c r="BO76" s="372"/>
      <c r="BP76" s="372"/>
      <c r="BQ76" s="372"/>
      <c r="BR76" s="372"/>
      <c r="BS76" s="372"/>
      <c r="BT76" s="372"/>
      <c r="BU76" s="372"/>
      <c r="BV76" s="372"/>
    </row>
    <row r="77" spans="1:16375" s="137" customFormat="1" ht="12.75">
      <c r="A77" s="137" t="s">
        <v>1834</v>
      </c>
      <c r="B77" s="370" t="s">
        <v>1685</v>
      </c>
      <c r="C77" s="372"/>
      <c r="D77" s="372"/>
      <c r="E77" s="372"/>
      <c r="F77" s="372"/>
      <c r="G77" s="372"/>
      <c r="H77" s="372"/>
      <c r="I77" s="372"/>
      <c r="J77" s="372"/>
      <c r="K77" s="372"/>
      <c r="L77" s="372"/>
      <c r="M77" s="372"/>
      <c r="N77" s="372"/>
      <c r="O77" s="372"/>
      <c r="P77" s="372"/>
      <c r="Q77" s="372"/>
      <c r="R77" s="372"/>
      <c r="S77" s="372"/>
      <c r="T77" s="372"/>
      <c r="U77" s="372"/>
      <c r="V77" s="372"/>
      <c r="W77" s="372"/>
      <c r="X77" s="372"/>
      <c r="Y77" s="372"/>
      <c r="Z77" s="372"/>
      <c r="AA77" s="372"/>
      <c r="AB77" s="372"/>
      <c r="AC77" s="372"/>
      <c r="AD77" s="380" t="s">
        <v>302</v>
      </c>
      <c r="AE77" s="372"/>
      <c r="AF77" s="372"/>
      <c r="AG77" s="372"/>
      <c r="AH77" s="372"/>
      <c r="AI77" s="372"/>
      <c r="AJ77" s="372"/>
      <c r="AK77" s="372"/>
      <c r="AL77" s="372"/>
      <c r="AM77" s="372"/>
      <c r="AN77" s="372"/>
      <c r="AO77" s="372"/>
      <c r="AP77" s="372"/>
      <c r="AQ77" s="372"/>
      <c r="AR77" s="372"/>
      <c r="AS77" s="372"/>
      <c r="AT77" s="372"/>
      <c r="AU77" s="372"/>
      <c r="AV77" s="372"/>
      <c r="AW77" s="372"/>
      <c r="AX77" s="372"/>
      <c r="AY77" s="372"/>
      <c r="AZ77" s="372"/>
      <c r="BA77" s="372"/>
      <c r="BB77" s="372"/>
      <c r="BC77" s="372"/>
      <c r="BD77" s="372"/>
      <c r="BE77" s="372"/>
      <c r="BF77" s="372"/>
      <c r="BG77" s="372"/>
      <c r="BH77" s="372"/>
      <c r="BI77" s="372"/>
      <c r="BJ77" s="372"/>
      <c r="BK77" s="372"/>
      <c r="BL77" s="372"/>
      <c r="BM77" s="372"/>
      <c r="BN77" s="372"/>
      <c r="BO77" s="372"/>
      <c r="BP77" s="372"/>
      <c r="BQ77" s="372"/>
      <c r="BR77" s="372"/>
      <c r="BS77" s="372"/>
      <c r="BT77" s="372"/>
      <c r="BU77" s="372"/>
      <c r="BV77" s="372"/>
    </row>
    <row r="78" spans="1:16375" s="374" customFormat="1" ht="12.75">
      <c r="A78" s="374" t="s">
        <v>1796</v>
      </c>
      <c r="B78" s="375" t="s">
        <v>1800</v>
      </c>
      <c r="C78" s="377"/>
      <c r="D78" s="377"/>
      <c r="E78" s="376" t="s">
        <v>302</v>
      </c>
      <c r="F78" s="377"/>
      <c r="G78" s="377"/>
      <c r="H78" s="377"/>
      <c r="I78" s="377"/>
      <c r="J78" s="377"/>
      <c r="K78" s="377"/>
      <c r="L78" s="377"/>
      <c r="M78" s="377"/>
      <c r="N78" s="377"/>
      <c r="O78" s="377"/>
      <c r="P78" s="377"/>
      <c r="Q78" s="372"/>
      <c r="R78" s="377"/>
      <c r="S78" s="377"/>
      <c r="T78" s="377"/>
      <c r="U78" s="377"/>
      <c r="V78" s="377"/>
      <c r="W78" s="377"/>
      <c r="X78" s="377"/>
      <c r="Y78" s="377"/>
      <c r="Z78" s="377"/>
      <c r="AA78" s="377"/>
      <c r="AB78" s="377"/>
      <c r="AC78" s="376" t="s">
        <v>302</v>
      </c>
      <c r="AD78" s="376"/>
      <c r="AE78" s="377"/>
      <c r="AF78" s="377"/>
      <c r="AG78" s="377"/>
      <c r="AH78" s="377"/>
      <c r="AI78" s="377"/>
      <c r="AJ78" s="377"/>
      <c r="AK78" s="377"/>
      <c r="AL78" s="377"/>
      <c r="AM78" s="377"/>
      <c r="AN78" s="377"/>
      <c r="AO78" s="377"/>
      <c r="AP78" s="377"/>
      <c r="AQ78" s="377"/>
      <c r="AR78" s="377"/>
      <c r="AS78" s="372"/>
      <c r="AT78" s="377"/>
      <c r="AU78" s="377"/>
      <c r="AV78" s="377"/>
      <c r="AW78" s="377"/>
      <c r="AX78" s="377"/>
      <c r="AY78" s="377"/>
      <c r="AZ78" s="377"/>
      <c r="BA78" s="377"/>
      <c r="BB78" s="377"/>
      <c r="BC78" s="372"/>
      <c r="BD78" s="377"/>
      <c r="BE78" s="377"/>
      <c r="BF78" s="377"/>
      <c r="BG78" s="377"/>
      <c r="BH78" s="377"/>
      <c r="BI78" s="377"/>
      <c r="BJ78" s="377"/>
      <c r="BK78" s="377"/>
      <c r="BL78" s="377"/>
      <c r="BM78" s="377"/>
      <c r="BN78" s="377"/>
      <c r="BO78" s="377"/>
      <c r="BP78" s="377"/>
      <c r="BQ78" s="377"/>
      <c r="BR78" s="377"/>
      <c r="BS78" s="377"/>
      <c r="BT78" s="377"/>
      <c r="BU78" s="377"/>
      <c r="BV78" s="377"/>
      <c r="BW78" s="137"/>
      <c r="BX78" s="137"/>
      <c r="BY78" s="137"/>
      <c r="BZ78" s="137"/>
      <c r="CA78" s="137"/>
      <c r="CB78" s="137"/>
      <c r="CC78" s="137"/>
      <c r="CD78" s="137"/>
      <c r="CE78" s="137"/>
      <c r="CF78" s="137"/>
      <c r="CG78" s="137"/>
      <c r="CH78" s="137"/>
      <c r="CI78" s="137"/>
      <c r="CJ78" s="137"/>
      <c r="CK78" s="137"/>
      <c r="CL78" s="137"/>
      <c r="CM78" s="137"/>
      <c r="CN78" s="137"/>
      <c r="CO78" s="137"/>
      <c r="CP78" s="137"/>
      <c r="CQ78" s="137"/>
      <c r="CR78" s="137"/>
      <c r="CS78" s="137"/>
      <c r="CT78" s="137"/>
      <c r="CU78" s="137"/>
      <c r="CV78" s="137"/>
      <c r="CW78" s="137"/>
      <c r="CX78" s="137"/>
      <c r="CY78" s="137"/>
      <c r="CZ78" s="137"/>
      <c r="DA78" s="137"/>
      <c r="DB78" s="137"/>
      <c r="DC78" s="137"/>
      <c r="DD78" s="137"/>
      <c r="DE78" s="137"/>
      <c r="DF78" s="137"/>
      <c r="DG78" s="137"/>
      <c r="DH78" s="137"/>
      <c r="DI78" s="137"/>
      <c r="DJ78" s="137"/>
      <c r="DK78" s="137"/>
      <c r="DL78" s="137"/>
      <c r="DM78" s="137"/>
      <c r="DN78" s="137"/>
      <c r="DO78" s="137"/>
      <c r="DP78" s="137"/>
      <c r="DQ78" s="137"/>
      <c r="DR78" s="137"/>
      <c r="DS78" s="137"/>
      <c r="DT78" s="137"/>
      <c r="DU78" s="137"/>
      <c r="DV78" s="137"/>
      <c r="DW78" s="137"/>
      <c r="DX78" s="137"/>
      <c r="DY78" s="137"/>
      <c r="DZ78" s="137"/>
      <c r="EA78" s="137"/>
      <c r="EB78" s="137"/>
      <c r="EC78" s="137"/>
      <c r="ED78" s="137"/>
      <c r="EE78" s="137"/>
      <c r="EF78" s="137"/>
      <c r="EG78" s="137"/>
      <c r="EH78" s="137"/>
      <c r="EI78" s="137"/>
      <c r="EJ78" s="137"/>
      <c r="EK78" s="137"/>
      <c r="EL78" s="137"/>
      <c r="EM78" s="137"/>
      <c r="EN78" s="137"/>
      <c r="EO78" s="137"/>
      <c r="EP78" s="137"/>
      <c r="EQ78" s="137"/>
      <c r="ER78" s="137"/>
      <c r="ES78" s="137"/>
      <c r="ET78" s="137"/>
      <c r="EU78" s="137"/>
      <c r="EV78" s="137"/>
      <c r="EW78" s="137"/>
      <c r="EX78" s="137"/>
      <c r="EY78" s="137"/>
      <c r="EZ78" s="137"/>
      <c r="FA78" s="137"/>
      <c r="FB78" s="137"/>
      <c r="FC78" s="137"/>
      <c r="FD78" s="137"/>
      <c r="FE78" s="137"/>
      <c r="FF78" s="137"/>
      <c r="FG78" s="137"/>
      <c r="FH78" s="137"/>
      <c r="FI78" s="137"/>
      <c r="FJ78" s="137"/>
      <c r="FK78" s="137"/>
      <c r="FL78" s="137"/>
      <c r="FM78" s="137"/>
      <c r="FN78" s="137"/>
      <c r="FO78" s="137"/>
      <c r="FP78" s="137"/>
      <c r="FQ78" s="137"/>
      <c r="FR78" s="137"/>
      <c r="FS78" s="137"/>
      <c r="FT78" s="137"/>
      <c r="FU78" s="137"/>
      <c r="FV78" s="137"/>
      <c r="FW78" s="137"/>
      <c r="FX78" s="137"/>
      <c r="FY78" s="137"/>
      <c r="FZ78" s="137"/>
      <c r="GA78" s="137"/>
      <c r="GB78" s="137"/>
      <c r="GC78" s="137"/>
      <c r="GD78" s="137"/>
      <c r="GE78" s="137"/>
      <c r="GF78" s="137"/>
      <c r="GG78" s="137"/>
      <c r="GH78" s="137"/>
      <c r="GI78" s="137"/>
      <c r="GJ78" s="137"/>
      <c r="GK78" s="137"/>
      <c r="GL78" s="137"/>
      <c r="GM78" s="137"/>
      <c r="GN78" s="137"/>
      <c r="GO78" s="137"/>
      <c r="GP78" s="137"/>
      <c r="GQ78" s="137"/>
      <c r="GR78" s="137"/>
      <c r="GS78" s="137"/>
      <c r="GT78" s="137"/>
      <c r="GU78" s="137"/>
      <c r="GV78" s="137"/>
      <c r="GW78" s="137"/>
      <c r="GX78" s="137"/>
      <c r="GY78" s="137"/>
      <c r="GZ78" s="137"/>
      <c r="HA78" s="137"/>
      <c r="HB78" s="137"/>
      <c r="HC78" s="137"/>
      <c r="HD78" s="137"/>
      <c r="HE78" s="137"/>
      <c r="HF78" s="137"/>
      <c r="HG78" s="137"/>
      <c r="HH78" s="137"/>
      <c r="HI78" s="137"/>
      <c r="HJ78" s="137"/>
      <c r="HK78" s="137"/>
      <c r="HL78" s="137"/>
      <c r="HM78" s="137"/>
      <c r="HN78" s="137"/>
      <c r="HO78" s="137"/>
      <c r="HP78" s="137"/>
      <c r="HQ78" s="137"/>
      <c r="HR78" s="137"/>
      <c r="HS78" s="137"/>
      <c r="HT78" s="137"/>
      <c r="HU78" s="137"/>
      <c r="HV78" s="137"/>
      <c r="HW78" s="137"/>
      <c r="HX78" s="137"/>
      <c r="HY78" s="137"/>
      <c r="HZ78" s="137"/>
      <c r="IA78" s="137"/>
      <c r="IB78" s="137"/>
      <c r="IC78" s="137"/>
      <c r="ID78" s="137"/>
      <c r="IE78" s="137"/>
      <c r="IF78" s="137"/>
      <c r="IG78" s="137"/>
      <c r="IH78" s="137"/>
      <c r="II78" s="137"/>
      <c r="IJ78" s="137"/>
      <c r="IK78" s="137"/>
      <c r="IL78" s="137"/>
      <c r="IM78" s="137"/>
      <c r="IN78" s="137"/>
      <c r="IO78" s="137"/>
      <c r="IP78" s="137"/>
      <c r="IQ78" s="137"/>
      <c r="IR78" s="137"/>
      <c r="IS78" s="137"/>
      <c r="IT78" s="137"/>
      <c r="IU78" s="137"/>
      <c r="IV78" s="137"/>
      <c r="IW78" s="137"/>
      <c r="IX78" s="137"/>
      <c r="IY78" s="137"/>
      <c r="IZ78" s="137"/>
      <c r="JA78" s="137"/>
      <c r="JB78" s="137"/>
      <c r="JC78" s="137"/>
      <c r="JD78" s="137"/>
      <c r="JE78" s="137"/>
      <c r="JF78" s="137"/>
      <c r="JG78" s="137"/>
      <c r="JH78" s="137"/>
      <c r="JI78" s="137"/>
      <c r="JJ78" s="137"/>
      <c r="JK78" s="137"/>
      <c r="JL78" s="137"/>
      <c r="JM78" s="137"/>
      <c r="JN78" s="137"/>
      <c r="JO78" s="137"/>
      <c r="JP78" s="137"/>
      <c r="JQ78" s="137"/>
      <c r="JR78" s="137"/>
      <c r="JS78" s="137"/>
      <c r="JT78" s="137"/>
      <c r="JU78" s="137"/>
      <c r="JV78" s="137"/>
      <c r="JW78" s="137"/>
      <c r="JX78" s="137"/>
      <c r="JY78" s="137"/>
      <c r="JZ78" s="137"/>
      <c r="KA78" s="137"/>
      <c r="KB78" s="137"/>
      <c r="KC78" s="137"/>
      <c r="KD78" s="137"/>
      <c r="KE78" s="137"/>
      <c r="KF78" s="137"/>
      <c r="KG78" s="137"/>
      <c r="KH78" s="137"/>
      <c r="KI78" s="137"/>
      <c r="KJ78" s="137"/>
      <c r="KK78" s="137"/>
      <c r="KL78" s="137"/>
      <c r="KM78" s="137"/>
      <c r="KN78" s="137"/>
      <c r="KO78" s="137"/>
      <c r="KP78" s="137"/>
      <c r="KQ78" s="137"/>
      <c r="KR78" s="137"/>
      <c r="KS78" s="137"/>
      <c r="KT78" s="137"/>
      <c r="KU78" s="137"/>
      <c r="KV78" s="137"/>
      <c r="KW78" s="137"/>
      <c r="KX78" s="137"/>
      <c r="KY78" s="137"/>
      <c r="KZ78" s="137"/>
      <c r="LA78" s="137"/>
      <c r="LB78" s="137"/>
      <c r="LC78" s="137"/>
      <c r="LD78" s="137"/>
      <c r="LE78" s="137"/>
      <c r="LF78" s="137"/>
      <c r="LG78" s="137"/>
      <c r="LH78" s="137"/>
      <c r="LI78" s="137"/>
      <c r="LJ78" s="137"/>
      <c r="LK78" s="137"/>
      <c r="LL78" s="137"/>
      <c r="LM78" s="137"/>
      <c r="LN78" s="137"/>
      <c r="LO78" s="137"/>
      <c r="LP78" s="137"/>
      <c r="LQ78" s="137"/>
      <c r="LR78" s="137"/>
      <c r="LS78" s="137"/>
      <c r="LT78" s="137"/>
      <c r="LU78" s="137"/>
      <c r="LV78" s="137"/>
      <c r="LW78" s="137"/>
      <c r="LX78" s="137"/>
      <c r="LY78" s="137"/>
      <c r="LZ78" s="137"/>
      <c r="MA78" s="137"/>
      <c r="MB78" s="137"/>
      <c r="MC78" s="137"/>
      <c r="MD78" s="137"/>
      <c r="ME78" s="137"/>
      <c r="MF78" s="137"/>
      <c r="MG78" s="137"/>
      <c r="MH78" s="137"/>
      <c r="MI78" s="137"/>
      <c r="MJ78" s="137"/>
      <c r="MK78" s="137"/>
      <c r="ML78" s="137"/>
      <c r="MM78" s="137"/>
      <c r="MN78" s="137"/>
      <c r="MO78" s="137"/>
      <c r="MP78" s="137"/>
      <c r="MQ78" s="137"/>
      <c r="MR78" s="137"/>
      <c r="MS78" s="137"/>
      <c r="MT78" s="137"/>
      <c r="MU78" s="137"/>
      <c r="MV78" s="137"/>
      <c r="MW78" s="137"/>
      <c r="MX78" s="137"/>
      <c r="MY78" s="137"/>
      <c r="MZ78" s="137"/>
      <c r="NA78" s="137"/>
      <c r="NB78" s="137"/>
      <c r="NC78" s="137"/>
      <c r="ND78" s="137"/>
      <c r="NE78" s="137"/>
      <c r="NF78" s="137"/>
      <c r="NG78" s="137"/>
      <c r="NH78" s="137"/>
      <c r="NI78" s="137"/>
      <c r="NJ78" s="137"/>
      <c r="NK78" s="137"/>
      <c r="NL78" s="137"/>
      <c r="NM78" s="137"/>
      <c r="NN78" s="137"/>
      <c r="NO78" s="137"/>
      <c r="NP78" s="137"/>
      <c r="NQ78" s="137"/>
      <c r="NR78" s="137"/>
      <c r="NS78" s="137"/>
      <c r="NT78" s="137"/>
      <c r="NU78" s="137"/>
      <c r="NV78" s="137"/>
      <c r="NW78" s="137"/>
      <c r="NX78" s="137"/>
      <c r="NY78" s="137"/>
      <c r="NZ78" s="137"/>
      <c r="OA78" s="137"/>
      <c r="OB78" s="137"/>
      <c r="OC78" s="137"/>
      <c r="OD78" s="137"/>
      <c r="OE78" s="137"/>
      <c r="OF78" s="137"/>
      <c r="OG78" s="137"/>
      <c r="OH78" s="137"/>
      <c r="OI78" s="137"/>
      <c r="OJ78" s="137"/>
      <c r="OK78" s="137"/>
      <c r="OL78" s="137"/>
      <c r="OM78" s="137"/>
      <c r="ON78" s="137"/>
      <c r="OO78" s="137"/>
      <c r="OP78" s="137"/>
      <c r="OQ78" s="137"/>
      <c r="OR78" s="137"/>
      <c r="OS78" s="137"/>
      <c r="OT78" s="137"/>
      <c r="OU78" s="137"/>
      <c r="OV78" s="137"/>
      <c r="OW78" s="137"/>
      <c r="OX78" s="137"/>
      <c r="OY78" s="137"/>
      <c r="OZ78" s="137"/>
      <c r="PA78" s="137"/>
      <c r="PB78" s="137"/>
      <c r="PC78" s="137"/>
      <c r="PD78" s="137"/>
      <c r="PE78" s="137"/>
      <c r="PF78" s="137"/>
      <c r="PG78" s="137"/>
      <c r="PH78" s="137"/>
      <c r="PI78" s="137"/>
      <c r="PJ78" s="137"/>
      <c r="PK78" s="137"/>
      <c r="PL78" s="137"/>
      <c r="PM78" s="137"/>
      <c r="PN78" s="137"/>
      <c r="PO78" s="137"/>
      <c r="PP78" s="137"/>
      <c r="PQ78" s="137"/>
      <c r="PR78" s="137"/>
      <c r="PS78" s="137"/>
      <c r="PT78" s="137"/>
      <c r="PU78" s="137"/>
      <c r="PV78" s="137"/>
      <c r="PW78" s="137"/>
      <c r="PX78" s="137"/>
      <c r="PY78" s="137"/>
      <c r="PZ78" s="137"/>
      <c r="QA78" s="137"/>
      <c r="QB78" s="137"/>
      <c r="QC78" s="137"/>
      <c r="QD78" s="137"/>
      <c r="QE78" s="137"/>
      <c r="QF78" s="137"/>
      <c r="QG78" s="137"/>
      <c r="QH78" s="137"/>
      <c r="QI78" s="137"/>
      <c r="QJ78" s="137"/>
      <c r="QK78" s="137"/>
      <c r="QL78" s="137"/>
      <c r="QM78" s="137"/>
      <c r="QN78" s="137"/>
      <c r="QO78" s="137"/>
      <c r="QP78" s="137"/>
      <c r="QQ78" s="137"/>
      <c r="QR78" s="137"/>
      <c r="QS78" s="137"/>
      <c r="QT78" s="137"/>
      <c r="QU78" s="137"/>
      <c r="QV78" s="137"/>
      <c r="QW78" s="137"/>
      <c r="QX78" s="137"/>
      <c r="QY78" s="137"/>
      <c r="QZ78" s="137"/>
      <c r="RA78" s="137"/>
      <c r="RB78" s="137"/>
      <c r="RC78" s="137"/>
      <c r="RD78" s="137"/>
      <c r="RE78" s="137"/>
      <c r="RF78" s="137"/>
      <c r="RG78" s="137"/>
      <c r="RH78" s="137"/>
      <c r="RI78" s="137"/>
      <c r="RJ78" s="137"/>
      <c r="RK78" s="137"/>
      <c r="RL78" s="137"/>
      <c r="RM78" s="137"/>
      <c r="RN78" s="137"/>
      <c r="RO78" s="137"/>
      <c r="RP78" s="137"/>
      <c r="RQ78" s="137"/>
      <c r="RR78" s="137"/>
      <c r="RS78" s="137"/>
      <c r="RT78" s="137"/>
      <c r="RU78" s="137"/>
      <c r="RV78" s="137"/>
      <c r="RW78" s="137"/>
      <c r="RX78" s="137"/>
      <c r="RY78" s="137"/>
      <c r="RZ78" s="137"/>
      <c r="SA78" s="137"/>
      <c r="SB78" s="137"/>
      <c r="SC78" s="137"/>
      <c r="SD78" s="137"/>
      <c r="SE78" s="137"/>
      <c r="SF78" s="137"/>
      <c r="SG78" s="137"/>
      <c r="SH78" s="137"/>
      <c r="SI78" s="137"/>
      <c r="SJ78" s="137"/>
      <c r="SK78" s="137"/>
      <c r="SL78" s="137"/>
      <c r="SM78" s="137"/>
      <c r="SN78" s="137"/>
      <c r="SO78" s="137"/>
      <c r="SP78" s="137"/>
      <c r="SQ78" s="137"/>
      <c r="SR78" s="137"/>
      <c r="SS78" s="137"/>
      <c r="ST78" s="137"/>
      <c r="SU78" s="137"/>
      <c r="SV78" s="137"/>
      <c r="SW78" s="137"/>
      <c r="SX78" s="137"/>
      <c r="SY78" s="137"/>
      <c r="SZ78" s="137"/>
      <c r="TA78" s="137"/>
      <c r="TB78" s="137"/>
      <c r="TC78" s="137"/>
      <c r="TD78" s="137"/>
      <c r="TE78" s="137"/>
      <c r="TF78" s="137"/>
      <c r="TG78" s="137"/>
      <c r="TH78" s="137"/>
      <c r="TI78" s="137"/>
      <c r="TJ78" s="137"/>
      <c r="TK78" s="137"/>
      <c r="TL78" s="137"/>
      <c r="TM78" s="137"/>
      <c r="TN78" s="137"/>
      <c r="TO78" s="137"/>
      <c r="TP78" s="137"/>
      <c r="TQ78" s="137"/>
      <c r="TR78" s="137"/>
      <c r="TS78" s="137"/>
      <c r="TT78" s="137"/>
      <c r="TU78" s="137"/>
      <c r="TV78" s="137"/>
      <c r="TW78" s="137"/>
      <c r="TX78" s="137"/>
      <c r="TY78" s="137"/>
      <c r="TZ78" s="137"/>
      <c r="UA78" s="137"/>
      <c r="UB78" s="137"/>
      <c r="UC78" s="137"/>
      <c r="UD78" s="137"/>
      <c r="UE78" s="137"/>
      <c r="UF78" s="137"/>
      <c r="UG78" s="137"/>
      <c r="UH78" s="137"/>
      <c r="UI78" s="137"/>
      <c r="UJ78" s="137"/>
      <c r="UK78" s="137"/>
      <c r="UL78" s="137"/>
      <c r="UM78" s="137"/>
      <c r="UN78" s="137"/>
      <c r="UO78" s="137"/>
      <c r="UP78" s="137"/>
      <c r="UQ78" s="137"/>
      <c r="UR78" s="137"/>
      <c r="US78" s="137"/>
      <c r="UT78" s="137"/>
      <c r="UU78" s="137"/>
      <c r="UV78" s="137"/>
      <c r="UW78" s="137"/>
      <c r="UX78" s="137"/>
      <c r="UY78" s="137"/>
      <c r="UZ78" s="137"/>
      <c r="VA78" s="137"/>
      <c r="VB78" s="137"/>
      <c r="VC78" s="137"/>
      <c r="VD78" s="137"/>
      <c r="VE78" s="137"/>
      <c r="VF78" s="137"/>
      <c r="VG78" s="137"/>
      <c r="VH78" s="137"/>
      <c r="VI78" s="137"/>
      <c r="VJ78" s="137"/>
      <c r="VK78" s="137"/>
      <c r="VL78" s="137"/>
      <c r="VM78" s="137"/>
      <c r="VN78" s="137"/>
      <c r="VO78" s="137"/>
      <c r="VP78" s="137"/>
      <c r="VQ78" s="137"/>
      <c r="VR78" s="137"/>
      <c r="VS78" s="137"/>
      <c r="VT78" s="137"/>
      <c r="VU78" s="137"/>
      <c r="VV78" s="137"/>
      <c r="VW78" s="137"/>
      <c r="VX78" s="137"/>
      <c r="VY78" s="137"/>
      <c r="VZ78" s="137"/>
      <c r="WA78" s="137"/>
      <c r="WB78" s="137"/>
      <c r="WC78" s="137"/>
      <c r="WD78" s="137"/>
      <c r="WE78" s="137"/>
      <c r="WF78" s="137"/>
      <c r="WG78" s="137"/>
      <c r="WH78" s="137"/>
      <c r="WI78" s="137"/>
      <c r="WJ78" s="137"/>
      <c r="WK78" s="137"/>
      <c r="WL78" s="137"/>
      <c r="WM78" s="137"/>
      <c r="WN78" s="137"/>
      <c r="WO78" s="137"/>
      <c r="WP78" s="137"/>
      <c r="WQ78" s="137"/>
      <c r="WR78" s="137"/>
      <c r="WS78" s="137"/>
      <c r="WT78" s="137"/>
      <c r="WU78" s="137"/>
      <c r="WV78" s="137"/>
      <c r="WW78" s="137"/>
      <c r="WX78" s="137"/>
      <c r="WY78" s="137"/>
      <c r="WZ78" s="137"/>
      <c r="XA78" s="137"/>
      <c r="XB78" s="137"/>
      <c r="XC78" s="137"/>
      <c r="XD78" s="137"/>
      <c r="XE78" s="137"/>
      <c r="XF78" s="137"/>
      <c r="XG78" s="137"/>
      <c r="XH78" s="137"/>
      <c r="XI78" s="137"/>
      <c r="XJ78" s="137"/>
      <c r="XK78" s="137"/>
      <c r="XL78" s="137"/>
      <c r="XM78" s="137"/>
      <c r="XN78" s="137"/>
      <c r="XO78" s="137"/>
      <c r="XP78" s="137"/>
      <c r="XQ78" s="137"/>
      <c r="XR78" s="137"/>
      <c r="XS78" s="137"/>
      <c r="XT78" s="137"/>
      <c r="XU78" s="137"/>
      <c r="XV78" s="137"/>
      <c r="XW78" s="137"/>
      <c r="XX78" s="137"/>
      <c r="XY78" s="137"/>
      <c r="XZ78" s="137"/>
      <c r="YA78" s="137"/>
      <c r="YB78" s="137"/>
      <c r="YC78" s="137"/>
      <c r="YD78" s="137"/>
      <c r="YE78" s="137"/>
      <c r="YF78" s="137"/>
      <c r="YG78" s="137"/>
      <c r="YH78" s="137"/>
      <c r="YI78" s="137"/>
      <c r="YJ78" s="137"/>
      <c r="YK78" s="137"/>
      <c r="YL78" s="137"/>
      <c r="YM78" s="137"/>
      <c r="YN78" s="137"/>
      <c r="YO78" s="137"/>
      <c r="YP78" s="137"/>
      <c r="YQ78" s="137"/>
      <c r="YR78" s="137"/>
      <c r="YS78" s="137"/>
      <c r="YT78" s="137"/>
      <c r="YU78" s="137"/>
      <c r="YV78" s="137"/>
      <c r="YW78" s="137"/>
      <c r="YX78" s="137"/>
      <c r="YY78" s="137"/>
      <c r="YZ78" s="137"/>
      <c r="ZA78" s="137"/>
      <c r="ZB78" s="137"/>
      <c r="ZC78" s="137"/>
      <c r="ZD78" s="137"/>
      <c r="ZE78" s="137"/>
      <c r="ZF78" s="137"/>
      <c r="ZG78" s="137"/>
      <c r="ZH78" s="137"/>
      <c r="ZI78" s="137"/>
      <c r="ZJ78" s="137"/>
      <c r="ZK78" s="137"/>
      <c r="ZL78" s="137"/>
      <c r="ZM78" s="137"/>
      <c r="ZN78" s="137"/>
      <c r="ZO78" s="137"/>
      <c r="ZP78" s="137"/>
      <c r="ZQ78" s="137"/>
      <c r="ZR78" s="137"/>
      <c r="ZS78" s="137"/>
      <c r="ZT78" s="137"/>
      <c r="ZU78" s="137"/>
      <c r="ZV78" s="137"/>
      <c r="ZW78" s="137"/>
      <c r="ZX78" s="137"/>
      <c r="ZY78" s="137"/>
      <c r="ZZ78" s="137"/>
      <c r="AAA78" s="137"/>
      <c r="AAB78" s="137"/>
      <c r="AAC78" s="137"/>
      <c r="AAD78" s="137"/>
      <c r="AAE78" s="137"/>
      <c r="AAF78" s="137"/>
      <c r="AAG78" s="137"/>
      <c r="AAH78" s="137"/>
      <c r="AAI78" s="137"/>
      <c r="AAJ78" s="137"/>
      <c r="AAK78" s="137"/>
      <c r="AAL78" s="137"/>
      <c r="AAM78" s="137"/>
      <c r="AAN78" s="137"/>
      <c r="AAO78" s="137"/>
      <c r="AAP78" s="137"/>
      <c r="AAQ78" s="137"/>
      <c r="AAR78" s="137"/>
      <c r="AAS78" s="137"/>
      <c r="AAT78" s="137"/>
      <c r="AAU78" s="137"/>
      <c r="AAV78" s="137"/>
      <c r="AAW78" s="137"/>
      <c r="AAX78" s="137"/>
      <c r="AAY78" s="137"/>
      <c r="AAZ78" s="137"/>
      <c r="ABA78" s="137"/>
      <c r="ABB78" s="137"/>
      <c r="ABC78" s="137"/>
      <c r="ABD78" s="137"/>
      <c r="ABE78" s="137"/>
      <c r="ABF78" s="137"/>
      <c r="ABG78" s="137"/>
      <c r="ABH78" s="137"/>
      <c r="ABI78" s="137"/>
      <c r="ABJ78" s="137"/>
      <c r="ABK78" s="137"/>
      <c r="ABL78" s="137"/>
      <c r="ABM78" s="137"/>
      <c r="ABN78" s="137"/>
      <c r="ABO78" s="137"/>
      <c r="ABP78" s="137"/>
      <c r="ABQ78" s="137"/>
      <c r="ABR78" s="137"/>
      <c r="ABS78" s="137"/>
      <c r="ABT78" s="137"/>
      <c r="ABU78" s="137"/>
      <c r="ABV78" s="137"/>
      <c r="ABW78" s="137"/>
      <c r="ABX78" s="137"/>
      <c r="ABY78" s="137"/>
      <c r="ABZ78" s="137"/>
      <c r="ACA78" s="137"/>
      <c r="ACB78" s="137"/>
      <c r="ACC78" s="137"/>
      <c r="ACD78" s="137"/>
      <c r="ACE78" s="137"/>
      <c r="ACF78" s="137"/>
      <c r="ACG78" s="137"/>
      <c r="ACH78" s="137"/>
      <c r="ACI78" s="137"/>
      <c r="ACJ78" s="137"/>
      <c r="ACK78" s="137"/>
      <c r="ACL78" s="137"/>
      <c r="ACM78" s="137"/>
      <c r="ACN78" s="137"/>
      <c r="ACO78" s="137"/>
      <c r="ACP78" s="137"/>
      <c r="ACQ78" s="137"/>
      <c r="ACR78" s="137"/>
      <c r="ACS78" s="137"/>
      <c r="ACT78" s="137"/>
      <c r="ACU78" s="137"/>
      <c r="ACV78" s="137"/>
      <c r="ACW78" s="137"/>
      <c r="ACX78" s="137"/>
      <c r="ACY78" s="137"/>
      <c r="ACZ78" s="137"/>
      <c r="ADA78" s="137"/>
      <c r="ADB78" s="137"/>
      <c r="ADC78" s="137"/>
      <c r="ADD78" s="137"/>
      <c r="ADE78" s="137"/>
      <c r="ADF78" s="137"/>
      <c r="ADG78" s="137"/>
      <c r="ADH78" s="137"/>
      <c r="ADI78" s="137"/>
      <c r="ADJ78" s="137"/>
      <c r="ADK78" s="137"/>
      <c r="ADL78" s="137"/>
      <c r="ADM78" s="137"/>
      <c r="ADN78" s="137"/>
      <c r="ADO78" s="137"/>
      <c r="ADP78" s="137"/>
      <c r="ADQ78" s="137"/>
      <c r="ADR78" s="137"/>
      <c r="ADS78" s="137"/>
      <c r="ADT78" s="137"/>
      <c r="ADU78" s="137"/>
      <c r="ADV78" s="137"/>
      <c r="ADW78" s="137"/>
      <c r="ADX78" s="137"/>
      <c r="ADY78" s="137"/>
      <c r="ADZ78" s="137"/>
      <c r="AEA78" s="137"/>
      <c r="AEB78" s="137"/>
      <c r="AEC78" s="137"/>
      <c r="AED78" s="137"/>
      <c r="AEE78" s="137"/>
      <c r="AEF78" s="137"/>
      <c r="AEG78" s="137"/>
      <c r="AEH78" s="137"/>
      <c r="AEI78" s="137"/>
      <c r="AEJ78" s="137"/>
      <c r="AEK78" s="137"/>
      <c r="AEL78" s="137"/>
      <c r="AEM78" s="137"/>
      <c r="AEN78" s="137"/>
      <c r="AEO78" s="137"/>
      <c r="AEP78" s="137"/>
      <c r="AEQ78" s="137"/>
      <c r="AER78" s="137"/>
      <c r="AES78" s="137"/>
      <c r="AET78" s="137"/>
      <c r="AEU78" s="137"/>
      <c r="AEV78" s="137"/>
      <c r="AEW78" s="137"/>
      <c r="AEX78" s="137"/>
      <c r="AEY78" s="137"/>
      <c r="AEZ78" s="137"/>
      <c r="AFA78" s="137"/>
      <c r="AFB78" s="137"/>
      <c r="AFC78" s="137"/>
      <c r="AFD78" s="137"/>
      <c r="AFE78" s="137"/>
      <c r="AFF78" s="137"/>
      <c r="AFG78" s="137"/>
      <c r="AFH78" s="137"/>
      <c r="AFI78" s="137"/>
      <c r="AFJ78" s="137"/>
      <c r="AFK78" s="137"/>
      <c r="AFL78" s="137"/>
      <c r="AFM78" s="137"/>
      <c r="AFN78" s="137"/>
      <c r="AFO78" s="137"/>
      <c r="AFP78" s="137"/>
      <c r="AFQ78" s="137"/>
      <c r="AFR78" s="137"/>
      <c r="AFS78" s="137"/>
      <c r="AFT78" s="137"/>
      <c r="AFU78" s="137"/>
      <c r="AFV78" s="137"/>
      <c r="AFW78" s="137"/>
      <c r="AFX78" s="137"/>
      <c r="AFY78" s="137"/>
      <c r="AFZ78" s="137"/>
      <c r="AGA78" s="137"/>
      <c r="AGB78" s="137"/>
      <c r="AGC78" s="137"/>
      <c r="AGD78" s="137"/>
      <c r="AGE78" s="137"/>
      <c r="AGF78" s="137"/>
      <c r="AGG78" s="137"/>
      <c r="AGH78" s="137"/>
      <c r="AGI78" s="137"/>
      <c r="AGJ78" s="137"/>
      <c r="AGK78" s="137"/>
      <c r="AGL78" s="137"/>
      <c r="AGM78" s="137"/>
      <c r="AGN78" s="137"/>
      <c r="AGO78" s="137"/>
      <c r="AGP78" s="137"/>
      <c r="AGQ78" s="137"/>
      <c r="AGR78" s="137"/>
      <c r="AGS78" s="137"/>
      <c r="AGT78" s="137"/>
      <c r="AGU78" s="137"/>
      <c r="AGV78" s="137"/>
      <c r="AGW78" s="137"/>
      <c r="AGX78" s="137"/>
      <c r="AGY78" s="137"/>
      <c r="AGZ78" s="137"/>
      <c r="AHA78" s="137"/>
      <c r="AHB78" s="137"/>
      <c r="AHC78" s="137"/>
      <c r="AHD78" s="137"/>
      <c r="AHE78" s="137"/>
      <c r="AHF78" s="137"/>
      <c r="AHG78" s="137"/>
      <c r="AHH78" s="137"/>
      <c r="AHI78" s="137"/>
      <c r="AHJ78" s="137"/>
      <c r="AHK78" s="137"/>
      <c r="AHL78" s="137"/>
      <c r="AHM78" s="137"/>
      <c r="AHN78" s="137"/>
      <c r="AHO78" s="137"/>
      <c r="AHP78" s="137"/>
      <c r="AHQ78" s="137"/>
      <c r="AHR78" s="137"/>
      <c r="AHS78" s="137"/>
      <c r="AHT78" s="137"/>
      <c r="AHU78" s="137"/>
      <c r="AHV78" s="137"/>
      <c r="AHW78" s="137"/>
      <c r="AHX78" s="137"/>
      <c r="AHY78" s="137"/>
      <c r="AHZ78" s="137"/>
      <c r="AIA78" s="137"/>
      <c r="AIB78" s="137"/>
      <c r="AIC78" s="137"/>
      <c r="AID78" s="137"/>
      <c r="AIE78" s="137"/>
      <c r="AIF78" s="137"/>
      <c r="AIG78" s="137"/>
      <c r="AIH78" s="137"/>
      <c r="AII78" s="137"/>
      <c r="AIJ78" s="137"/>
      <c r="AIK78" s="137"/>
      <c r="AIL78" s="137"/>
      <c r="AIM78" s="137"/>
      <c r="AIN78" s="137"/>
      <c r="AIO78" s="137"/>
      <c r="AIP78" s="137"/>
      <c r="AIQ78" s="137"/>
      <c r="AIR78" s="137"/>
      <c r="AIS78" s="137"/>
      <c r="AIT78" s="137"/>
      <c r="AIU78" s="137"/>
      <c r="AIV78" s="137"/>
      <c r="AIW78" s="137"/>
      <c r="AIX78" s="137"/>
      <c r="AIY78" s="137"/>
      <c r="AIZ78" s="137"/>
      <c r="AJA78" s="137"/>
      <c r="AJB78" s="137"/>
      <c r="AJC78" s="137"/>
      <c r="AJD78" s="137"/>
      <c r="AJE78" s="137"/>
      <c r="AJF78" s="137"/>
      <c r="AJG78" s="137"/>
      <c r="AJH78" s="137"/>
      <c r="AJI78" s="137"/>
      <c r="AJJ78" s="137"/>
      <c r="AJK78" s="137"/>
      <c r="AJL78" s="137"/>
      <c r="AJM78" s="137"/>
      <c r="AJN78" s="137"/>
      <c r="AJO78" s="137"/>
      <c r="AJP78" s="137"/>
      <c r="AJQ78" s="137"/>
      <c r="AJR78" s="137"/>
      <c r="AJS78" s="137"/>
      <c r="AJT78" s="137"/>
      <c r="AJU78" s="137"/>
      <c r="AJV78" s="137"/>
      <c r="AJW78" s="137"/>
      <c r="AJX78" s="137"/>
      <c r="AJY78" s="137"/>
      <c r="AJZ78" s="137"/>
      <c r="AKA78" s="137"/>
      <c r="AKB78" s="137"/>
      <c r="AKC78" s="137"/>
      <c r="AKD78" s="137"/>
      <c r="AKE78" s="137"/>
      <c r="AKF78" s="137"/>
      <c r="AKG78" s="137"/>
      <c r="AKH78" s="137"/>
      <c r="AKI78" s="137"/>
      <c r="AKJ78" s="137"/>
      <c r="AKK78" s="137"/>
      <c r="AKL78" s="137"/>
      <c r="AKM78" s="137"/>
      <c r="AKN78" s="137"/>
      <c r="AKO78" s="137"/>
      <c r="AKP78" s="137"/>
      <c r="AKQ78" s="137"/>
      <c r="AKR78" s="137"/>
      <c r="AKS78" s="137"/>
      <c r="AKT78" s="137"/>
      <c r="AKU78" s="137"/>
      <c r="AKV78" s="137"/>
      <c r="AKW78" s="137"/>
      <c r="AKX78" s="137"/>
      <c r="AKY78" s="137"/>
      <c r="AKZ78" s="137"/>
      <c r="ALA78" s="137"/>
      <c r="ALB78" s="137"/>
      <c r="ALC78" s="137"/>
      <c r="ALD78" s="137"/>
      <c r="ALE78" s="137"/>
      <c r="ALF78" s="137"/>
      <c r="ALG78" s="137"/>
      <c r="ALH78" s="137"/>
      <c r="ALI78" s="137"/>
      <c r="ALJ78" s="137"/>
      <c r="ALK78" s="137"/>
      <c r="ALL78" s="137"/>
      <c r="ALM78" s="137"/>
      <c r="ALN78" s="137"/>
      <c r="ALO78" s="137"/>
      <c r="ALP78" s="137"/>
      <c r="ALQ78" s="137"/>
      <c r="ALR78" s="137"/>
      <c r="ALS78" s="137"/>
      <c r="ALT78" s="137"/>
      <c r="ALU78" s="137"/>
      <c r="ALV78" s="137"/>
      <c r="ALW78" s="137"/>
      <c r="ALX78" s="137"/>
      <c r="ALY78" s="137"/>
      <c r="ALZ78" s="137"/>
      <c r="AMA78" s="137"/>
      <c r="AMB78" s="137"/>
      <c r="AMC78" s="137"/>
      <c r="AMD78" s="137"/>
      <c r="AME78" s="137"/>
      <c r="AMF78" s="137"/>
      <c r="AMG78" s="137"/>
      <c r="AMH78" s="137"/>
      <c r="AMI78" s="137"/>
      <c r="AMJ78" s="137"/>
      <c r="AMK78" s="137"/>
      <c r="AML78" s="137"/>
      <c r="AMM78" s="137"/>
      <c r="AMN78" s="137"/>
      <c r="AMO78" s="137"/>
      <c r="AMP78" s="137"/>
      <c r="AMQ78" s="137"/>
      <c r="AMR78" s="137"/>
      <c r="AMS78" s="137"/>
      <c r="AMT78" s="137"/>
      <c r="AMU78" s="137"/>
      <c r="AMV78" s="137"/>
      <c r="AMW78" s="137"/>
      <c r="AMX78" s="137"/>
      <c r="AMY78" s="137"/>
      <c r="AMZ78" s="137"/>
      <c r="ANA78" s="137"/>
      <c r="ANB78" s="137"/>
      <c r="ANC78" s="137"/>
      <c r="AND78" s="137"/>
      <c r="ANE78" s="137"/>
      <c r="ANF78" s="137"/>
      <c r="ANG78" s="137"/>
      <c r="ANH78" s="137"/>
      <c r="ANI78" s="137"/>
      <c r="ANJ78" s="137"/>
      <c r="ANK78" s="137"/>
      <c r="ANL78" s="137"/>
      <c r="ANM78" s="137"/>
      <c r="ANN78" s="137"/>
      <c r="ANO78" s="137"/>
      <c r="ANP78" s="137"/>
      <c r="ANQ78" s="137"/>
      <c r="ANR78" s="137"/>
      <c r="ANS78" s="137"/>
      <c r="ANT78" s="137"/>
      <c r="ANU78" s="137"/>
      <c r="ANV78" s="137"/>
      <c r="ANW78" s="137"/>
      <c r="ANX78" s="137"/>
      <c r="ANY78" s="137"/>
      <c r="ANZ78" s="137"/>
      <c r="AOA78" s="137"/>
      <c r="AOB78" s="137"/>
      <c r="AOC78" s="137"/>
      <c r="AOD78" s="137"/>
      <c r="AOE78" s="137"/>
      <c r="AOF78" s="137"/>
      <c r="AOG78" s="137"/>
      <c r="AOH78" s="137"/>
      <c r="AOI78" s="137"/>
      <c r="AOJ78" s="137"/>
      <c r="AOK78" s="137"/>
      <c r="AOL78" s="137"/>
      <c r="AOM78" s="137"/>
      <c r="AON78" s="137"/>
      <c r="AOO78" s="137"/>
      <c r="AOP78" s="137"/>
      <c r="AOQ78" s="137"/>
      <c r="AOR78" s="137"/>
      <c r="AOS78" s="137"/>
      <c r="AOT78" s="137"/>
      <c r="AOU78" s="137"/>
      <c r="AOV78" s="137"/>
      <c r="AOW78" s="137"/>
      <c r="AOX78" s="137"/>
      <c r="AOY78" s="137"/>
      <c r="AOZ78" s="137"/>
      <c r="APA78" s="137"/>
      <c r="APB78" s="137"/>
      <c r="APC78" s="137"/>
      <c r="APD78" s="137"/>
      <c r="APE78" s="137"/>
      <c r="APF78" s="137"/>
      <c r="APG78" s="137"/>
      <c r="APH78" s="137"/>
      <c r="API78" s="137"/>
      <c r="APJ78" s="137"/>
      <c r="APK78" s="137"/>
      <c r="APL78" s="137"/>
      <c r="APM78" s="137"/>
      <c r="APN78" s="137"/>
      <c r="APO78" s="137"/>
      <c r="APP78" s="137"/>
      <c r="APQ78" s="137"/>
      <c r="APR78" s="137"/>
      <c r="APS78" s="137"/>
      <c r="APT78" s="137"/>
      <c r="APU78" s="137"/>
      <c r="APV78" s="137"/>
      <c r="APW78" s="137"/>
      <c r="APX78" s="137"/>
      <c r="APY78" s="137"/>
      <c r="APZ78" s="137"/>
      <c r="AQA78" s="137"/>
      <c r="AQB78" s="137"/>
      <c r="AQC78" s="137"/>
      <c r="AQD78" s="137"/>
      <c r="AQE78" s="137"/>
      <c r="AQF78" s="137"/>
      <c r="AQG78" s="137"/>
      <c r="AQH78" s="137"/>
      <c r="AQI78" s="137"/>
      <c r="AQJ78" s="137"/>
      <c r="AQK78" s="137"/>
      <c r="AQL78" s="137"/>
      <c r="AQM78" s="137"/>
      <c r="AQN78" s="137"/>
      <c r="AQO78" s="137"/>
      <c r="AQP78" s="137"/>
      <c r="AQQ78" s="137"/>
      <c r="AQR78" s="137"/>
      <c r="AQS78" s="137"/>
      <c r="AQT78" s="137"/>
      <c r="AQU78" s="137"/>
      <c r="AQV78" s="137"/>
      <c r="AQW78" s="137"/>
      <c r="AQX78" s="137"/>
      <c r="AQY78" s="137"/>
      <c r="AQZ78" s="137"/>
      <c r="ARA78" s="137"/>
      <c r="ARB78" s="137"/>
      <c r="ARC78" s="137"/>
      <c r="ARD78" s="137"/>
      <c r="ARE78" s="137"/>
      <c r="ARF78" s="137"/>
      <c r="ARG78" s="137"/>
      <c r="ARH78" s="137"/>
      <c r="ARI78" s="137"/>
      <c r="ARJ78" s="137"/>
      <c r="ARK78" s="137"/>
      <c r="ARL78" s="137"/>
      <c r="ARM78" s="137"/>
      <c r="ARN78" s="137"/>
      <c r="ARO78" s="137"/>
      <c r="ARP78" s="137"/>
      <c r="ARQ78" s="137"/>
      <c r="ARR78" s="137"/>
      <c r="ARS78" s="137"/>
      <c r="ART78" s="137"/>
      <c r="ARU78" s="137"/>
      <c r="ARV78" s="137"/>
      <c r="ARW78" s="137"/>
      <c r="ARX78" s="137"/>
      <c r="ARY78" s="137"/>
      <c r="ARZ78" s="137"/>
      <c r="ASA78" s="137"/>
      <c r="ASB78" s="137"/>
      <c r="ASC78" s="137"/>
      <c r="ASD78" s="137"/>
      <c r="ASE78" s="137"/>
      <c r="ASF78" s="137"/>
      <c r="ASG78" s="137"/>
      <c r="ASH78" s="137"/>
      <c r="ASI78" s="137"/>
      <c r="ASJ78" s="137"/>
      <c r="ASK78" s="137"/>
      <c r="ASL78" s="137"/>
      <c r="ASM78" s="137"/>
      <c r="ASN78" s="137"/>
      <c r="ASO78" s="137"/>
      <c r="ASP78" s="137"/>
      <c r="ASQ78" s="137"/>
      <c r="ASR78" s="137"/>
      <c r="ASS78" s="137"/>
      <c r="AST78" s="137"/>
      <c r="ASU78" s="137"/>
      <c r="ASV78" s="137"/>
      <c r="ASW78" s="137"/>
      <c r="ASX78" s="137"/>
      <c r="ASY78" s="137"/>
      <c r="ASZ78" s="137"/>
      <c r="ATA78" s="137"/>
      <c r="ATB78" s="137"/>
      <c r="ATC78" s="137"/>
      <c r="ATD78" s="137"/>
      <c r="ATE78" s="137"/>
      <c r="ATF78" s="137"/>
      <c r="ATG78" s="137"/>
      <c r="ATH78" s="137"/>
      <c r="ATI78" s="137"/>
      <c r="ATJ78" s="137"/>
      <c r="ATK78" s="137"/>
      <c r="ATL78" s="137"/>
      <c r="ATM78" s="137"/>
      <c r="ATN78" s="137"/>
      <c r="ATO78" s="137"/>
      <c r="ATP78" s="137"/>
      <c r="ATQ78" s="137"/>
      <c r="ATR78" s="137"/>
      <c r="ATS78" s="137"/>
      <c r="ATT78" s="137"/>
      <c r="ATU78" s="137"/>
      <c r="ATV78" s="137"/>
      <c r="ATW78" s="137"/>
      <c r="ATX78" s="137"/>
      <c r="ATY78" s="137"/>
      <c r="ATZ78" s="137"/>
      <c r="AUA78" s="137"/>
      <c r="AUB78" s="137"/>
      <c r="AUC78" s="137"/>
      <c r="AUD78" s="137"/>
      <c r="AUE78" s="137"/>
      <c r="AUF78" s="137"/>
      <c r="AUG78" s="137"/>
      <c r="AUH78" s="137"/>
      <c r="AUI78" s="137"/>
      <c r="AUJ78" s="137"/>
      <c r="AUK78" s="137"/>
      <c r="AUL78" s="137"/>
      <c r="AUM78" s="137"/>
      <c r="AUN78" s="137"/>
      <c r="AUO78" s="137"/>
      <c r="AUP78" s="137"/>
      <c r="AUQ78" s="137"/>
      <c r="AUR78" s="137"/>
      <c r="AUS78" s="137"/>
      <c r="AUT78" s="137"/>
      <c r="AUU78" s="137"/>
      <c r="AUV78" s="137"/>
      <c r="AUW78" s="137"/>
      <c r="AUX78" s="137"/>
      <c r="AUY78" s="137"/>
      <c r="AUZ78" s="137"/>
      <c r="AVA78" s="137"/>
      <c r="AVB78" s="137"/>
      <c r="AVC78" s="137"/>
      <c r="AVD78" s="137"/>
      <c r="AVE78" s="137"/>
      <c r="AVF78" s="137"/>
      <c r="AVG78" s="137"/>
      <c r="AVH78" s="137"/>
      <c r="AVI78" s="137"/>
      <c r="AVJ78" s="137"/>
      <c r="AVK78" s="137"/>
      <c r="AVL78" s="137"/>
      <c r="AVM78" s="137"/>
      <c r="AVN78" s="137"/>
      <c r="AVO78" s="137"/>
      <c r="AVP78" s="137"/>
      <c r="AVQ78" s="137"/>
      <c r="AVR78" s="137"/>
      <c r="AVS78" s="137"/>
      <c r="AVT78" s="137"/>
      <c r="AVU78" s="137"/>
      <c r="AVV78" s="137"/>
      <c r="AVW78" s="137"/>
      <c r="AVX78" s="137"/>
      <c r="AVY78" s="137"/>
      <c r="AVZ78" s="137"/>
      <c r="AWA78" s="137"/>
      <c r="AWB78" s="137"/>
      <c r="AWC78" s="137"/>
      <c r="AWD78" s="137"/>
      <c r="AWE78" s="137"/>
      <c r="AWF78" s="137"/>
      <c r="AWG78" s="137"/>
      <c r="AWH78" s="137"/>
      <c r="AWI78" s="137"/>
      <c r="AWJ78" s="137"/>
      <c r="AWK78" s="137"/>
      <c r="AWL78" s="137"/>
      <c r="AWM78" s="137"/>
      <c r="AWN78" s="137"/>
      <c r="AWO78" s="137"/>
      <c r="AWP78" s="137"/>
      <c r="AWQ78" s="137"/>
      <c r="AWR78" s="137"/>
      <c r="AWS78" s="137"/>
      <c r="AWT78" s="137"/>
      <c r="AWU78" s="137"/>
      <c r="AWV78" s="137"/>
      <c r="AWW78" s="137"/>
      <c r="AWX78" s="137"/>
      <c r="AWY78" s="137"/>
      <c r="AWZ78" s="137"/>
      <c r="AXA78" s="137"/>
      <c r="AXB78" s="137"/>
      <c r="AXC78" s="137"/>
      <c r="AXD78" s="137"/>
      <c r="AXE78" s="137"/>
      <c r="AXF78" s="137"/>
      <c r="AXG78" s="137"/>
      <c r="AXH78" s="137"/>
      <c r="AXI78" s="137"/>
      <c r="AXJ78" s="137"/>
      <c r="AXK78" s="137"/>
      <c r="AXL78" s="137"/>
      <c r="AXM78" s="137"/>
      <c r="AXN78" s="137"/>
      <c r="AXO78" s="137"/>
      <c r="AXP78" s="137"/>
      <c r="AXQ78" s="137"/>
      <c r="AXR78" s="137"/>
      <c r="AXS78" s="137"/>
      <c r="AXT78" s="137"/>
      <c r="AXU78" s="137"/>
      <c r="AXV78" s="137"/>
      <c r="AXW78" s="137"/>
      <c r="AXX78" s="137"/>
      <c r="AXY78" s="137"/>
      <c r="AXZ78" s="137"/>
      <c r="AYA78" s="137"/>
      <c r="AYB78" s="137"/>
      <c r="AYC78" s="137"/>
      <c r="AYD78" s="137"/>
      <c r="AYE78" s="137"/>
      <c r="AYF78" s="137"/>
      <c r="AYG78" s="137"/>
      <c r="AYH78" s="137"/>
      <c r="AYI78" s="137"/>
      <c r="AYJ78" s="137"/>
      <c r="AYK78" s="137"/>
      <c r="AYL78" s="137"/>
      <c r="AYM78" s="137"/>
      <c r="AYN78" s="137"/>
      <c r="AYO78" s="137"/>
      <c r="AYP78" s="137"/>
      <c r="AYQ78" s="137"/>
      <c r="AYR78" s="137"/>
      <c r="AYS78" s="137"/>
      <c r="AYT78" s="137"/>
      <c r="AYU78" s="137"/>
      <c r="AYV78" s="137"/>
      <c r="AYW78" s="137"/>
      <c r="AYX78" s="137"/>
      <c r="AYY78" s="137"/>
      <c r="AYZ78" s="137"/>
      <c r="AZA78" s="137"/>
      <c r="AZB78" s="137"/>
      <c r="AZC78" s="137"/>
      <c r="AZD78" s="137"/>
      <c r="AZE78" s="137"/>
      <c r="AZF78" s="137"/>
      <c r="AZG78" s="137"/>
      <c r="AZH78" s="137"/>
      <c r="AZI78" s="137"/>
      <c r="AZJ78" s="137"/>
      <c r="AZK78" s="137"/>
      <c r="AZL78" s="137"/>
      <c r="AZM78" s="137"/>
      <c r="AZN78" s="137"/>
      <c r="AZO78" s="137"/>
      <c r="AZP78" s="137"/>
      <c r="AZQ78" s="137"/>
      <c r="AZR78" s="137"/>
      <c r="AZS78" s="137"/>
      <c r="AZT78" s="137"/>
      <c r="AZU78" s="137"/>
      <c r="AZV78" s="137"/>
      <c r="AZW78" s="137"/>
      <c r="AZX78" s="137"/>
      <c r="AZY78" s="137"/>
      <c r="AZZ78" s="137"/>
      <c r="BAA78" s="137"/>
      <c r="BAB78" s="137"/>
      <c r="BAC78" s="137"/>
      <c r="BAD78" s="137"/>
      <c r="BAE78" s="137"/>
      <c r="BAF78" s="137"/>
      <c r="BAG78" s="137"/>
      <c r="BAH78" s="137"/>
      <c r="BAI78" s="137"/>
      <c r="BAJ78" s="137"/>
      <c r="BAK78" s="137"/>
      <c r="BAL78" s="137"/>
      <c r="BAM78" s="137"/>
      <c r="BAN78" s="137"/>
      <c r="BAO78" s="137"/>
      <c r="BAP78" s="137"/>
      <c r="BAQ78" s="137"/>
      <c r="BAR78" s="137"/>
      <c r="BAS78" s="137"/>
      <c r="BAT78" s="137"/>
      <c r="BAU78" s="137"/>
      <c r="BAV78" s="137"/>
      <c r="BAW78" s="137"/>
      <c r="BAX78" s="137"/>
      <c r="BAY78" s="137"/>
      <c r="BAZ78" s="137"/>
      <c r="BBA78" s="137"/>
      <c r="BBB78" s="137"/>
      <c r="BBC78" s="137"/>
      <c r="BBD78" s="137"/>
      <c r="BBE78" s="137"/>
      <c r="BBF78" s="137"/>
      <c r="BBG78" s="137"/>
      <c r="BBH78" s="137"/>
      <c r="BBI78" s="137"/>
      <c r="BBJ78" s="137"/>
      <c r="BBK78" s="137"/>
      <c r="BBL78" s="137"/>
      <c r="BBM78" s="137"/>
      <c r="BBN78" s="137"/>
      <c r="BBO78" s="137"/>
      <c r="BBP78" s="137"/>
      <c r="BBQ78" s="137"/>
      <c r="BBR78" s="137"/>
      <c r="BBS78" s="137"/>
      <c r="BBT78" s="137"/>
      <c r="BBU78" s="137"/>
      <c r="BBV78" s="137"/>
      <c r="BBW78" s="137"/>
      <c r="BBX78" s="137"/>
      <c r="BBY78" s="137"/>
      <c r="BBZ78" s="137"/>
      <c r="BCA78" s="137"/>
      <c r="BCB78" s="137"/>
      <c r="BCC78" s="137"/>
      <c r="BCD78" s="137"/>
      <c r="BCE78" s="137"/>
      <c r="BCF78" s="137"/>
      <c r="BCG78" s="137"/>
      <c r="BCH78" s="137"/>
      <c r="BCI78" s="137"/>
      <c r="BCJ78" s="137"/>
      <c r="BCK78" s="137"/>
      <c r="BCL78" s="137"/>
      <c r="BCM78" s="137"/>
      <c r="BCN78" s="137"/>
      <c r="BCO78" s="137"/>
      <c r="BCP78" s="137"/>
      <c r="BCQ78" s="137"/>
      <c r="BCR78" s="137"/>
      <c r="BCS78" s="137"/>
      <c r="BCT78" s="137"/>
      <c r="BCU78" s="137"/>
      <c r="BCV78" s="137"/>
      <c r="BCW78" s="137"/>
      <c r="BCX78" s="137"/>
      <c r="BCY78" s="137"/>
      <c r="BCZ78" s="137"/>
      <c r="BDA78" s="137"/>
      <c r="BDB78" s="137"/>
      <c r="BDC78" s="137"/>
      <c r="BDD78" s="137"/>
      <c r="BDE78" s="137"/>
      <c r="BDF78" s="137"/>
      <c r="BDG78" s="137"/>
      <c r="BDH78" s="137"/>
      <c r="BDI78" s="137"/>
      <c r="BDJ78" s="137"/>
      <c r="BDK78" s="137"/>
      <c r="BDL78" s="137"/>
      <c r="BDM78" s="137"/>
      <c r="BDN78" s="137"/>
      <c r="BDO78" s="137"/>
      <c r="BDP78" s="137"/>
      <c r="BDQ78" s="137"/>
      <c r="BDR78" s="137"/>
      <c r="BDS78" s="137"/>
      <c r="BDT78" s="137"/>
      <c r="BDU78" s="137"/>
      <c r="BDV78" s="137"/>
      <c r="BDW78" s="137"/>
      <c r="BDX78" s="137"/>
      <c r="BDY78" s="137"/>
      <c r="BDZ78" s="137"/>
      <c r="BEA78" s="137"/>
      <c r="BEB78" s="137"/>
      <c r="BEC78" s="137"/>
      <c r="BED78" s="137"/>
      <c r="BEE78" s="137"/>
      <c r="BEF78" s="137"/>
      <c r="BEG78" s="137"/>
      <c r="BEH78" s="137"/>
      <c r="BEI78" s="137"/>
      <c r="BEJ78" s="137"/>
      <c r="BEK78" s="137"/>
      <c r="BEL78" s="137"/>
      <c r="BEM78" s="137"/>
      <c r="BEN78" s="137"/>
      <c r="BEO78" s="137"/>
      <c r="BEP78" s="137"/>
      <c r="BEQ78" s="137"/>
      <c r="BER78" s="137"/>
      <c r="BES78" s="137"/>
      <c r="BET78" s="137"/>
      <c r="BEU78" s="137"/>
      <c r="BEV78" s="137"/>
      <c r="BEW78" s="137"/>
      <c r="BEX78" s="137"/>
      <c r="BEY78" s="137"/>
      <c r="BEZ78" s="137"/>
      <c r="BFA78" s="137"/>
      <c r="BFB78" s="137"/>
      <c r="BFC78" s="137"/>
      <c r="BFD78" s="137"/>
      <c r="BFE78" s="137"/>
      <c r="BFF78" s="137"/>
      <c r="BFG78" s="137"/>
      <c r="BFH78" s="137"/>
      <c r="BFI78" s="137"/>
      <c r="BFJ78" s="137"/>
      <c r="BFK78" s="137"/>
      <c r="BFL78" s="137"/>
      <c r="BFM78" s="137"/>
      <c r="BFN78" s="137"/>
      <c r="BFO78" s="137"/>
      <c r="BFP78" s="137"/>
      <c r="BFQ78" s="137"/>
      <c r="BFR78" s="137"/>
      <c r="BFS78" s="137"/>
      <c r="BFT78" s="137"/>
      <c r="BFU78" s="137"/>
      <c r="BFV78" s="137"/>
      <c r="BFW78" s="137"/>
      <c r="BFX78" s="137"/>
      <c r="BFY78" s="137"/>
      <c r="BFZ78" s="137"/>
      <c r="BGA78" s="137"/>
      <c r="BGB78" s="137"/>
      <c r="BGC78" s="137"/>
      <c r="BGD78" s="137"/>
      <c r="BGE78" s="137"/>
      <c r="BGF78" s="137"/>
      <c r="BGG78" s="137"/>
      <c r="BGH78" s="137"/>
      <c r="BGI78" s="137"/>
      <c r="BGJ78" s="137"/>
      <c r="BGK78" s="137"/>
      <c r="BGL78" s="137"/>
      <c r="BGM78" s="137"/>
      <c r="BGN78" s="137"/>
      <c r="BGO78" s="137"/>
      <c r="BGP78" s="137"/>
      <c r="BGQ78" s="137"/>
      <c r="BGR78" s="137"/>
      <c r="BGS78" s="137"/>
      <c r="BGT78" s="137"/>
      <c r="BGU78" s="137"/>
      <c r="BGV78" s="137"/>
      <c r="BGW78" s="137"/>
      <c r="BGX78" s="137"/>
      <c r="BGY78" s="137"/>
      <c r="BGZ78" s="137"/>
      <c r="BHA78" s="137"/>
      <c r="BHB78" s="137"/>
      <c r="BHC78" s="137"/>
      <c r="BHD78" s="137"/>
      <c r="BHE78" s="137"/>
      <c r="BHF78" s="137"/>
      <c r="BHG78" s="137"/>
      <c r="BHH78" s="137"/>
      <c r="BHI78" s="137"/>
      <c r="BHJ78" s="137"/>
      <c r="BHK78" s="137"/>
      <c r="BHL78" s="137"/>
      <c r="BHM78" s="137"/>
      <c r="BHN78" s="137"/>
      <c r="BHO78" s="137"/>
      <c r="BHP78" s="137"/>
      <c r="BHQ78" s="137"/>
      <c r="BHR78" s="137"/>
      <c r="BHS78" s="137"/>
      <c r="BHT78" s="137"/>
      <c r="BHU78" s="137"/>
      <c r="BHV78" s="137"/>
      <c r="BHW78" s="137"/>
      <c r="BHX78" s="137"/>
      <c r="BHY78" s="137"/>
      <c r="BHZ78" s="137"/>
      <c r="BIA78" s="137"/>
      <c r="BIB78" s="137"/>
      <c r="BIC78" s="137"/>
      <c r="BID78" s="137"/>
      <c r="BIE78" s="137"/>
      <c r="BIF78" s="137"/>
      <c r="BIG78" s="137"/>
      <c r="BIH78" s="137"/>
      <c r="BII78" s="137"/>
      <c r="BIJ78" s="137"/>
      <c r="BIK78" s="137"/>
      <c r="BIL78" s="137"/>
      <c r="BIM78" s="137"/>
      <c r="BIN78" s="137"/>
      <c r="BIO78" s="137"/>
      <c r="BIP78" s="137"/>
      <c r="BIQ78" s="137"/>
      <c r="BIR78" s="137"/>
      <c r="BIS78" s="137"/>
      <c r="BIT78" s="137"/>
      <c r="BIU78" s="137"/>
      <c r="BIV78" s="137"/>
      <c r="BIW78" s="137"/>
      <c r="BIX78" s="137"/>
      <c r="BIY78" s="137"/>
      <c r="BIZ78" s="137"/>
      <c r="BJA78" s="137"/>
      <c r="BJB78" s="137"/>
      <c r="BJC78" s="137"/>
      <c r="BJD78" s="137"/>
      <c r="BJE78" s="137"/>
      <c r="BJF78" s="137"/>
      <c r="BJG78" s="137"/>
      <c r="BJH78" s="137"/>
      <c r="BJI78" s="137"/>
      <c r="BJJ78" s="137"/>
      <c r="BJK78" s="137"/>
      <c r="BJL78" s="137"/>
      <c r="BJM78" s="137"/>
      <c r="BJN78" s="137"/>
      <c r="BJO78" s="137"/>
      <c r="BJP78" s="137"/>
      <c r="BJQ78" s="137"/>
      <c r="BJR78" s="137"/>
      <c r="BJS78" s="137"/>
      <c r="BJT78" s="137"/>
      <c r="BJU78" s="137"/>
      <c r="BJV78" s="137"/>
      <c r="BJW78" s="137"/>
      <c r="BJX78" s="137"/>
      <c r="BJY78" s="137"/>
      <c r="BJZ78" s="137"/>
      <c r="BKA78" s="137"/>
      <c r="BKB78" s="137"/>
      <c r="BKC78" s="137"/>
      <c r="BKD78" s="137"/>
      <c r="BKE78" s="137"/>
      <c r="BKF78" s="137"/>
      <c r="BKG78" s="137"/>
      <c r="BKH78" s="137"/>
      <c r="BKI78" s="137"/>
      <c r="BKJ78" s="137"/>
      <c r="BKK78" s="137"/>
      <c r="BKL78" s="137"/>
      <c r="BKM78" s="137"/>
      <c r="BKN78" s="137"/>
      <c r="BKO78" s="137"/>
      <c r="BKP78" s="137"/>
      <c r="BKQ78" s="137"/>
      <c r="BKR78" s="137"/>
      <c r="BKS78" s="137"/>
      <c r="BKT78" s="137"/>
      <c r="BKU78" s="137"/>
      <c r="BKV78" s="137"/>
      <c r="BKW78" s="137"/>
      <c r="BKX78" s="137"/>
      <c r="BKY78" s="137"/>
      <c r="BKZ78" s="137"/>
      <c r="BLA78" s="137"/>
      <c r="BLB78" s="137"/>
      <c r="BLC78" s="137"/>
      <c r="BLD78" s="137"/>
      <c r="BLE78" s="137"/>
      <c r="BLF78" s="137"/>
      <c r="BLG78" s="137"/>
      <c r="BLH78" s="137"/>
      <c r="BLI78" s="137"/>
      <c r="BLJ78" s="137"/>
      <c r="BLK78" s="137"/>
      <c r="BLL78" s="137"/>
      <c r="BLM78" s="137"/>
      <c r="BLN78" s="137"/>
      <c r="BLO78" s="137"/>
      <c r="BLP78" s="137"/>
      <c r="BLQ78" s="137"/>
      <c r="BLR78" s="137"/>
      <c r="BLS78" s="137"/>
      <c r="BLT78" s="137"/>
      <c r="BLU78" s="137"/>
      <c r="BLV78" s="137"/>
      <c r="BLW78" s="137"/>
      <c r="BLX78" s="137"/>
      <c r="BLY78" s="137"/>
      <c r="BLZ78" s="137"/>
      <c r="BMA78" s="137"/>
      <c r="BMB78" s="137"/>
      <c r="BMC78" s="137"/>
      <c r="BMD78" s="137"/>
      <c r="BME78" s="137"/>
      <c r="BMF78" s="137"/>
      <c r="BMG78" s="137"/>
      <c r="BMH78" s="137"/>
      <c r="BMI78" s="137"/>
      <c r="BMJ78" s="137"/>
      <c r="BMK78" s="137"/>
      <c r="BML78" s="137"/>
      <c r="BMM78" s="137"/>
      <c r="BMN78" s="137"/>
      <c r="BMO78" s="137"/>
      <c r="BMP78" s="137"/>
      <c r="BMQ78" s="137"/>
      <c r="BMR78" s="137"/>
      <c r="BMS78" s="137"/>
      <c r="BMT78" s="137"/>
      <c r="BMU78" s="137"/>
      <c r="BMV78" s="137"/>
      <c r="BMW78" s="137"/>
      <c r="BMX78" s="137"/>
      <c r="BMY78" s="137"/>
      <c r="BMZ78" s="137"/>
      <c r="BNA78" s="137"/>
      <c r="BNB78" s="137"/>
      <c r="BNC78" s="137"/>
      <c r="BND78" s="137"/>
      <c r="BNE78" s="137"/>
      <c r="BNF78" s="137"/>
      <c r="BNG78" s="137"/>
      <c r="BNH78" s="137"/>
      <c r="BNI78" s="137"/>
      <c r="BNJ78" s="137"/>
      <c r="BNK78" s="137"/>
      <c r="BNL78" s="137"/>
      <c r="BNM78" s="137"/>
      <c r="BNN78" s="137"/>
      <c r="BNO78" s="137"/>
      <c r="BNP78" s="137"/>
      <c r="BNQ78" s="137"/>
      <c r="BNR78" s="137"/>
      <c r="BNS78" s="137"/>
      <c r="BNT78" s="137"/>
      <c r="BNU78" s="137"/>
      <c r="BNV78" s="137"/>
      <c r="BNW78" s="137"/>
      <c r="BNX78" s="137"/>
      <c r="BNY78" s="137"/>
      <c r="BNZ78" s="137"/>
      <c r="BOA78" s="137"/>
      <c r="BOB78" s="137"/>
      <c r="BOC78" s="137"/>
      <c r="BOD78" s="137"/>
      <c r="BOE78" s="137"/>
      <c r="BOF78" s="137"/>
      <c r="BOG78" s="137"/>
      <c r="BOH78" s="137"/>
      <c r="BOI78" s="137"/>
      <c r="BOJ78" s="137"/>
      <c r="BOK78" s="137"/>
      <c r="BOL78" s="137"/>
      <c r="BOM78" s="137"/>
      <c r="BON78" s="137"/>
      <c r="BOO78" s="137"/>
      <c r="BOP78" s="137"/>
      <c r="BOQ78" s="137"/>
      <c r="BOR78" s="137"/>
      <c r="BOS78" s="137"/>
      <c r="BOT78" s="137"/>
      <c r="BOU78" s="137"/>
      <c r="BOV78" s="137"/>
      <c r="BOW78" s="137"/>
      <c r="BOX78" s="137"/>
      <c r="BOY78" s="137"/>
      <c r="BOZ78" s="137"/>
      <c r="BPA78" s="137"/>
      <c r="BPB78" s="137"/>
      <c r="BPC78" s="137"/>
      <c r="BPD78" s="137"/>
      <c r="BPE78" s="137"/>
      <c r="BPF78" s="137"/>
      <c r="BPG78" s="137"/>
      <c r="BPH78" s="137"/>
      <c r="BPI78" s="137"/>
      <c r="BPJ78" s="137"/>
      <c r="BPK78" s="137"/>
      <c r="BPL78" s="137"/>
      <c r="BPM78" s="137"/>
      <c r="BPN78" s="137"/>
      <c r="BPO78" s="137"/>
      <c r="BPP78" s="137"/>
      <c r="BPQ78" s="137"/>
      <c r="BPR78" s="137"/>
      <c r="BPS78" s="137"/>
      <c r="BPT78" s="137"/>
      <c r="BPU78" s="137"/>
      <c r="BPV78" s="137"/>
      <c r="BPW78" s="137"/>
      <c r="BPX78" s="137"/>
      <c r="BPY78" s="137"/>
      <c r="BPZ78" s="137"/>
      <c r="BQA78" s="137"/>
      <c r="BQB78" s="137"/>
      <c r="BQC78" s="137"/>
      <c r="BQD78" s="137"/>
      <c r="BQE78" s="137"/>
      <c r="BQF78" s="137"/>
      <c r="BQG78" s="137"/>
      <c r="BQH78" s="137"/>
      <c r="BQI78" s="137"/>
      <c r="BQJ78" s="137"/>
      <c r="BQK78" s="137"/>
      <c r="BQL78" s="137"/>
      <c r="BQM78" s="137"/>
      <c r="BQN78" s="137"/>
      <c r="BQO78" s="137"/>
      <c r="BQP78" s="137"/>
      <c r="BQQ78" s="137"/>
      <c r="BQR78" s="137"/>
      <c r="BQS78" s="137"/>
      <c r="BQT78" s="137"/>
      <c r="BQU78" s="137"/>
      <c r="BQV78" s="137"/>
      <c r="BQW78" s="137"/>
      <c r="BQX78" s="137"/>
      <c r="BQY78" s="137"/>
      <c r="BQZ78" s="137"/>
      <c r="BRA78" s="137"/>
      <c r="BRB78" s="137"/>
      <c r="BRC78" s="137"/>
      <c r="BRD78" s="137"/>
      <c r="BRE78" s="137"/>
      <c r="BRF78" s="137"/>
      <c r="BRG78" s="137"/>
      <c r="BRH78" s="137"/>
      <c r="BRI78" s="137"/>
      <c r="BRJ78" s="137"/>
      <c r="BRK78" s="137"/>
      <c r="BRL78" s="137"/>
      <c r="BRM78" s="137"/>
      <c r="BRN78" s="137"/>
      <c r="BRO78" s="137"/>
      <c r="BRP78" s="137"/>
      <c r="BRQ78" s="137"/>
      <c r="BRR78" s="137"/>
      <c r="BRS78" s="137"/>
      <c r="BRT78" s="137"/>
      <c r="BRU78" s="137"/>
      <c r="BRV78" s="137"/>
      <c r="BRW78" s="137"/>
      <c r="BRX78" s="137"/>
      <c r="BRY78" s="137"/>
      <c r="BRZ78" s="137"/>
      <c r="BSA78" s="137"/>
      <c r="BSB78" s="137"/>
      <c r="BSC78" s="137"/>
      <c r="BSD78" s="137"/>
      <c r="BSE78" s="137"/>
      <c r="BSF78" s="137"/>
      <c r="BSG78" s="137"/>
      <c r="BSH78" s="137"/>
      <c r="BSI78" s="137"/>
      <c r="BSJ78" s="137"/>
      <c r="BSK78" s="137"/>
      <c r="BSL78" s="137"/>
      <c r="BSM78" s="137"/>
      <c r="BSN78" s="137"/>
      <c r="BSO78" s="137"/>
      <c r="BSP78" s="137"/>
      <c r="BSQ78" s="137"/>
      <c r="BSR78" s="137"/>
      <c r="BSS78" s="137"/>
      <c r="BST78" s="137"/>
      <c r="BSU78" s="137"/>
      <c r="BSV78" s="137"/>
      <c r="BSW78" s="137"/>
      <c r="BSX78" s="137"/>
      <c r="BSY78" s="137"/>
      <c r="BSZ78" s="137"/>
      <c r="BTA78" s="137"/>
      <c r="BTB78" s="137"/>
      <c r="BTC78" s="137"/>
      <c r="BTD78" s="137"/>
      <c r="BTE78" s="137"/>
      <c r="BTF78" s="137"/>
      <c r="BTG78" s="137"/>
      <c r="BTH78" s="137"/>
      <c r="BTI78" s="137"/>
      <c r="BTJ78" s="137"/>
      <c r="BTK78" s="137"/>
      <c r="BTL78" s="137"/>
      <c r="BTM78" s="137"/>
      <c r="BTN78" s="137"/>
      <c r="BTO78" s="137"/>
      <c r="BTP78" s="137"/>
      <c r="BTQ78" s="137"/>
      <c r="BTR78" s="137"/>
      <c r="BTS78" s="137"/>
      <c r="BTT78" s="137"/>
      <c r="BTU78" s="137"/>
      <c r="BTV78" s="137"/>
      <c r="BTW78" s="137"/>
      <c r="BTX78" s="137"/>
      <c r="BTY78" s="137"/>
      <c r="BTZ78" s="137"/>
      <c r="BUA78" s="137"/>
      <c r="BUB78" s="137"/>
      <c r="BUC78" s="137"/>
      <c r="BUD78" s="137"/>
      <c r="BUE78" s="137"/>
      <c r="BUF78" s="137"/>
      <c r="BUG78" s="137"/>
      <c r="BUH78" s="137"/>
      <c r="BUI78" s="137"/>
      <c r="BUJ78" s="137"/>
      <c r="BUK78" s="137"/>
      <c r="BUL78" s="137"/>
      <c r="BUM78" s="137"/>
      <c r="BUN78" s="137"/>
      <c r="BUO78" s="137"/>
      <c r="BUP78" s="137"/>
      <c r="BUQ78" s="137"/>
      <c r="BUR78" s="137"/>
      <c r="BUS78" s="137"/>
      <c r="BUT78" s="137"/>
      <c r="BUU78" s="137"/>
      <c r="BUV78" s="137"/>
      <c r="BUW78" s="137"/>
      <c r="BUX78" s="137"/>
      <c r="BUY78" s="137"/>
      <c r="BUZ78" s="137"/>
      <c r="BVA78" s="137"/>
      <c r="BVB78" s="137"/>
      <c r="BVC78" s="137"/>
      <c r="BVD78" s="137"/>
      <c r="BVE78" s="137"/>
      <c r="BVF78" s="137"/>
      <c r="BVG78" s="137"/>
      <c r="BVH78" s="137"/>
      <c r="BVI78" s="137"/>
      <c r="BVJ78" s="137"/>
      <c r="BVK78" s="137"/>
      <c r="BVL78" s="137"/>
      <c r="BVM78" s="137"/>
      <c r="BVN78" s="137"/>
      <c r="BVO78" s="137"/>
      <c r="BVP78" s="137"/>
      <c r="BVQ78" s="137"/>
      <c r="BVR78" s="137"/>
      <c r="BVS78" s="137"/>
      <c r="BVT78" s="137"/>
      <c r="BVU78" s="137"/>
      <c r="BVV78" s="137"/>
      <c r="BVW78" s="137"/>
      <c r="BVX78" s="137"/>
      <c r="BVY78" s="137"/>
      <c r="BVZ78" s="137"/>
      <c r="BWA78" s="137"/>
      <c r="BWB78" s="137"/>
      <c r="BWC78" s="137"/>
      <c r="BWD78" s="137"/>
      <c r="BWE78" s="137"/>
      <c r="BWF78" s="137"/>
      <c r="BWG78" s="137"/>
      <c r="BWH78" s="137"/>
      <c r="BWI78" s="137"/>
      <c r="BWJ78" s="137"/>
      <c r="BWK78" s="137"/>
      <c r="BWL78" s="137"/>
      <c r="BWM78" s="137"/>
      <c r="BWN78" s="137"/>
      <c r="BWO78" s="137"/>
      <c r="BWP78" s="137"/>
      <c r="BWQ78" s="137"/>
      <c r="BWR78" s="137"/>
      <c r="BWS78" s="137"/>
      <c r="BWT78" s="137"/>
      <c r="BWU78" s="137"/>
      <c r="BWV78" s="137"/>
      <c r="BWW78" s="137"/>
      <c r="BWX78" s="137"/>
      <c r="BWY78" s="137"/>
      <c r="BWZ78" s="137"/>
      <c r="BXA78" s="137"/>
      <c r="BXB78" s="137"/>
      <c r="BXC78" s="137"/>
      <c r="BXD78" s="137"/>
      <c r="BXE78" s="137"/>
      <c r="BXF78" s="137"/>
      <c r="BXG78" s="137"/>
      <c r="BXH78" s="137"/>
      <c r="BXI78" s="137"/>
      <c r="BXJ78" s="137"/>
      <c r="BXK78" s="137"/>
      <c r="BXL78" s="137"/>
      <c r="BXM78" s="137"/>
      <c r="BXN78" s="137"/>
      <c r="BXO78" s="137"/>
      <c r="BXP78" s="137"/>
      <c r="BXQ78" s="137"/>
      <c r="BXR78" s="137"/>
      <c r="BXS78" s="137"/>
      <c r="BXT78" s="137"/>
      <c r="BXU78" s="137"/>
      <c r="BXV78" s="137"/>
      <c r="BXW78" s="137"/>
      <c r="BXX78" s="137"/>
      <c r="BXY78" s="137"/>
      <c r="BXZ78" s="137"/>
      <c r="BYA78" s="137"/>
      <c r="BYB78" s="137"/>
      <c r="BYC78" s="137"/>
      <c r="BYD78" s="137"/>
      <c r="BYE78" s="137"/>
      <c r="BYF78" s="137"/>
      <c r="BYG78" s="137"/>
      <c r="BYH78" s="137"/>
      <c r="BYI78" s="137"/>
      <c r="BYJ78" s="137"/>
      <c r="BYK78" s="137"/>
      <c r="BYL78" s="137"/>
      <c r="BYM78" s="137"/>
      <c r="BYN78" s="137"/>
      <c r="BYO78" s="137"/>
      <c r="BYP78" s="137"/>
      <c r="BYQ78" s="137"/>
      <c r="BYR78" s="137"/>
      <c r="BYS78" s="137"/>
      <c r="BYT78" s="137"/>
      <c r="BYU78" s="137"/>
      <c r="BYV78" s="137"/>
      <c r="BYW78" s="137"/>
      <c r="BYX78" s="137"/>
      <c r="BYY78" s="137"/>
      <c r="BYZ78" s="137"/>
      <c r="BZA78" s="137"/>
      <c r="BZB78" s="137"/>
      <c r="BZC78" s="137"/>
      <c r="BZD78" s="137"/>
      <c r="BZE78" s="137"/>
      <c r="BZF78" s="137"/>
      <c r="BZG78" s="137"/>
      <c r="BZH78" s="137"/>
      <c r="BZI78" s="137"/>
      <c r="BZJ78" s="137"/>
      <c r="BZK78" s="137"/>
      <c r="BZL78" s="137"/>
      <c r="BZM78" s="137"/>
      <c r="BZN78" s="137"/>
      <c r="BZO78" s="137"/>
      <c r="BZP78" s="137"/>
      <c r="BZQ78" s="137"/>
      <c r="BZR78" s="137"/>
      <c r="BZS78" s="137"/>
      <c r="BZT78" s="137"/>
      <c r="BZU78" s="137"/>
      <c r="BZV78" s="137"/>
      <c r="BZW78" s="137"/>
      <c r="BZX78" s="137"/>
      <c r="BZY78" s="137"/>
      <c r="BZZ78" s="137"/>
      <c r="CAA78" s="137"/>
      <c r="CAB78" s="137"/>
      <c r="CAC78" s="137"/>
      <c r="CAD78" s="137"/>
      <c r="CAE78" s="137"/>
      <c r="CAF78" s="137"/>
      <c r="CAG78" s="137"/>
      <c r="CAH78" s="137"/>
      <c r="CAI78" s="137"/>
      <c r="CAJ78" s="137"/>
      <c r="CAK78" s="137"/>
      <c r="CAL78" s="137"/>
      <c r="CAM78" s="137"/>
      <c r="CAN78" s="137"/>
      <c r="CAO78" s="137"/>
      <c r="CAP78" s="137"/>
      <c r="CAQ78" s="137"/>
      <c r="CAR78" s="137"/>
      <c r="CAS78" s="137"/>
      <c r="CAT78" s="137"/>
      <c r="CAU78" s="137"/>
      <c r="CAV78" s="137"/>
      <c r="CAW78" s="137"/>
      <c r="CAX78" s="137"/>
      <c r="CAY78" s="137"/>
      <c r="CAZ78" s="137"/>
      <c r="CBA78" s="137"/>
      <c r="CBB78" s="137"/>
      <c r="CBC78" s="137"/>
      <c r="CBD78" s="137"/>
      <c r="CBE78" s="137"/>
      <c r="CBF78" s="137"/>
      <c r="CBG78" s="137"/>
      <c r="CBH78" s="137"/>
      <c r="CBI78" s="137"/>
      <c r="CBJ78" s="137"/>
      <c r="CBK78" s="137"/>
      <c r="CBL78" s="137"/>
      <c r="CBM78" s="137"/>
      <c r="CBN78" s="137"/>
      <c r="CBO78" s="137"/>
      <c r="CBP78" s="137"/>
      <c r="CBQ78" s="137"/>
      <c r="CBR78" s="137"/>
      <c r="CBS78" s="137"/>
      <c r="CBT78" s="137"/>
      <c r="CBU78" s="137"/>
      <c r="CBV78" s="137"/>
      <c r="CBW78" s="137"/>
      <c r="CBX78" s="137"/>
      <c r="CBY78" s="137"/>
      <c r="CBZ78" s="137"/>
      <c r="CCA78" s="137"/>
      <c r="CCB78" s="137"/>
      <c r="CCC78" s="137"/>
      <c r="CCD78" s="137"/>
      <c r="CCE78" s="137"/>
      <c r="CCF78" s="137"/>
      <c r="CCG78" s="137"/>
      <c r="CCH78" s="137"/>
      <c r="CCI78" s="137"/>
      <c r="CCJ78" s="137"/>
      <c r="CCK78" s="137"/>
      <c r="CCL78" s="137"/>
      <c r="CCM78" s="137"/>
      <c r="CCN78" s="137"/>
      <c r="CCO78" s="137"/>
      <c r="CCP78" s="137"/>
      <c r="CCQ78" s="137"/>
      <c r="CCR78" s="137"/>
      <c r="CCS78" s="137"/>
      <c r="CCT78" s="137"/>
      <c r="CCU78" s="137"/>
      <c r="CCV78" s="137"/>
      <c r="CCW78" s="137"/>
      <c r="CCX78" s="137"/>
      <c r="CCY78" s="137"/>
      <c r="CCZ78" s="137"/>
      <c r="CDA78" s="137"/>
      <c r="CDB78" s="137"/>
      <c r="CDC78" s="137"/>
      <c r="CDD78" s="137"/>
      <c r="CDE78" s="137"/>
      <c r="CDF78" s="137"/>
      <c r="CDG78" s="137"/>
      <c r="CDH78" s="137"/>
      <c r="CDI78" s="137"/>
      <c r="CDJ78" s="137"/>
      <c r="CDK78" s="137"/>
      <c r="CDL78" s="137"/>
      <c r="CDM78" s="137"/>
      <c r="CDN78" s="137"/>
      <c r="CDO78" s="137"/>
      <c r="CDP78" s="137"/>
      <c r="CDQ78" s="137"/>
      <c r="CDR78" s="137"/>
      <c r="CDS78" s="137"/>
      <c r="CDT78" s="137"/>
      <c r="CDU78" s="137"/>
      <c r="CDV78" s="137"/>
      <c r="CDW78" s="137"/>
      <c r="CDX78" s="137"/>
      <c r="CDY78" s="137"/>
      <c r="CDZ78" s="137"/>
      <c r="CEA78" s="137"/>
      <c r="CEB78" s="137"/>
      <c r="CEC78" s="137"/>
      <c r="CED78" s="137"/>
      <c r="CEE78" s="137"/>
      <c r="CEF78" s="137"/>
      <c r="CEG78" s="137"/>
      <c r="CEH78" s="137"/>
      <c r="CEI78" s="137"/>
      <c r="CEJ78" s="137"/>
      <c r="CEK78" s="137"/>
      <c r="CEL78" s="137"/>
      <c r="CEM78" s="137"/>
      <c r="CEN78" s="137"/>
      <c r="CEO78" s="137"/>
      <c r="CEP78" s="137"/>
      <c r="CEQ78" s="137"/>
      <c r="CER78" s="137"/>
      <c r="CES78" s="137"/>
      <c r="CET78" s="137"/>
      <c r="CEU78" s="137"/>
      <c r="CEV78" s="137"/>
      <c r="CEW78" s="137"/>
      <c r="CEX78" s="137"/>
      <c r="CEY78" s="137"/>
      <c r="CEZ78" s="137"/>
      <c r="CFA78" s="137"/>
      <c r="CFB78" s="137"/>
      <c r="CFC78" s="137"/>
      <c r="CFD78" s="137"/>
      <c r="CFE78" s="137"/>
      <c r="CFF78" s="137"/>
      <c r="CFG78" s="137"/>
      <c r="CFH78" s="137"/>
      <c r="CFI78" s="137"/>
      <c r="CFJ78" s="137"/>
      <c r="CFK78" s="137"/>
      <c r="CFL78" s="137"/>
      <c r="CFM78" s="137"/>
      <c r="CFN78" s="137"/>
      <c r="CFO78" s="137"/>
      <c r="CFP78" s="137"/>
      <c r="CFQ78" s="137"/>
      <c r="CFR78" s="137"/>
      <c r="CFS78" s="137"/>
      <c r="CFT78" s="137"/>
      <c r="CFU78" s="137"/>
      <c r="CFV78" s="137"/>
      <c r="CFW78" s="137"/>
      <c r="CFX78" s="137"/>
      <c r="CFY78" s="137"/>
      <c r="CFZ78" s="137"/>
      <c r="CGA78" s="137"/>
      <c r="CGB78" s="137"/>
      <c r="CGC78" s="137"/>
      <c r="CGD78" s="137"/>
      <c r="CGE78" s="137"/>
      <c r="CGF78" s="137"/>
      <c r="CGG78" s="137"/>
      <c r="CGH78" s="137"/>
      <c r="CGI78" s="137"/>
      <c r="CGJ78" s="137"/>
      <c r="CGK78" s="137"/>
      <c r="CGL78" s="137"/>
      <c r="CGM78" s="137"/>
      <c r="CGN78" s="137"/>
      <c r="CGO78" s="137"/>
      <c r="CGP78" s="137"/>
      <c r="CGQ78" s="137"/>
      <c r="CGR78" s="137"/>
      <c r="CGS78" s="137"/>
      <c r="CGT78" s="137"/>
      <c r="CGU78" s="137"/>
      <c r="CGV78" s="137"/>
      <c r="CGW78" s="137"/>
      <c r="CGX78" s="137"/>
      <c r="CGY78" s="137"/>
      <c r="CGZ78" s="137"/>
      <c r="CHA78" s="137"/>
      <c r="CHB78" s="137"/>
      <c r="CHC78" s="137"/>
      <c r="CHD78" s="137"/>
      <c r="CHE78" s="137"/>
      <c r="CHF78" s="137"/>
      <c r="CHG78" s="137"/>
      <c r="CHH78" s="137"/>
      <c r="CHI78" s="137"/>
      <c r="CHJ78" s="137"/>
      <c r="CHK78" s="137"/>
      <c r="CHL78" s="137"/>
      <c r="CHM78" s="137"/>
      <c r="CHN78" s="137"/>
      <c r="CHO78" s="137"/>
      <c r="CHP78" s="137"/>
      <c r="CHQ78" s="137"/>
      <c r="CHR78" s="137"/>
      <c r="CHS78" s="137"/>
      <c r="CHT78" s="137"/>
      <c r="CHU78" s="137"/>
      <c r="CHV78" s="137"/>
      <c r="CHW78" s="137"/>
      <c r="CHX78" s="137"/>
      <c r="CHY78" s="137"/>
      <c r="CHZ78" s="137"/>
      <c r="CIA78" s="137"/>
      <c r="CIB78" s="137"/>
      <c r="CIC78" s="137"/>
      <c r="CID78" s="137"/>
      <c r="CIE78" s="137"/>
      <c r="CIF78" s="137"/>
      <c r="CIG78" s="137"/>
      <c r="CIH78" s="137"/>
      <c r="CII78" s="137"/>
      <c r="CIJ78" s="137"/>
      <c r="CIK78" s="137"/>
      <c r="CIL78" s="137"/>
      <c r="CIM78" s="137"/>
      <c r="CIN78" s="137"/>
      <c r="CIO78" s="137"/>
      <c r="CIP78" s="137"/>
      <c r="CIQ78" s="137"/>
      <c r="CIR78" s="137"/>
      <c r="CIS78" s="137"/>
      <c r="CIT78" s="137"/>
      <c r="CIU78" s="137"/>
      <c r="CIV78" s="137"/>
      <c r="CIW78" s="137"/>
      <c r="CIX78" s="137"/>
      <c r="CIY78" s="137"/>
      <c r="CIZ78" s="137"/>
      <c r="CJA78" s="137"/>
      <c r="CJB78" s="137"/>
      <c r="CJC78" s="137"/>
      <c r="CJD78" s="137"/>
      <c r="CJE78" s="137"/>
      <c r="CJF78" s="137"/>
      <c r="CJG78" s="137"/>
      <c r="CJH78" s="137"/>
      <c r="CJI78" s="137"/>
      <c r="CJJ78" s="137"/>
      <c r="CJK78" s="137"/>
      <c r="CJL78" s="137"/>
      <c r="CJM78" s="137"/>
      <c r="CJN78" s="137"/>
      <c r="CJO78" s="137"/>
      <c r="CJP78" s="137"/>
      <c r="CJQ78" s="137"/>
      <c r="CJR78" s="137"/>
      <c r="CJS78" s="137"/>
      <c r="CJT78" s="137"/>
      <c r="CJU78" s="137"/>
      <c r="CJV78" s="137"/>
      <c r="CJW78" s="137"/>
      <c r="CJX78" s="137"/>
      <c r="CJY78" s="137"/>
      <c r="CJZ78" s="137"/>
      <c r="CKA78" s="137"/>
      <c r="CKB78" s="137"/>
      <c r="CKC78" s="137"/>
      <c r="CKD78" s="137"/>
      <c r="CKE78" s="137"/>
      <c r="CKF78" s="137"/>
      <c r="CKG78" s="137"/>
      <c r="CKH78" s="137"/>
      <c r="CKI78" s="137"/>
      <c r="CKJ78" s="137"/>
      <c r="CKK78" s="137"/>
      <c r="CKL78" s="137"/>
      <c r="CKM78" s="137"/>
      <c r="CKN78" s="137"/>
      <c r="CKO78" s="137"/>
      <c r="CKP78" s="137"/>
      <c r="CKQ78" s="137"/>
      <c r="CKR78" s="137"/>
      <c r="CKS78" s="137"/>
      <c r="CKT78" s="137"/>
      <c r="CKU78" s="137"/>
      <c r="CKV78" s="137"/>
      <c r="CKW78" s="137"/>
      <c r="CKX78" s="137"/>
      <c r="CKY78" s="137"/>
      <c r="CKZ78" s="137"/>
      <c r="CLA78" s="137"/>
      <c r="CLB78" s="137"/>
      <c r="CLC78" s="137"/>
      <c r="CLD78" s="137"/>
      <c r="CLE78" s="137"/>
      <c r="CLF78" s="137"/>
      <c r="CLG78" s="137"/>
      <c r="CLH78" s="137"/>
      <c r="CLI78" s="137"/>
      <c r="CLJ78" s="137"/>
      <c r="CLK78" s="137"/>
      <c r="CLL78" s="137"/>
      <c r="CLM78" s="137"/>
      <c r="CLN78" s="137"/>
      <c r="CLO78" s="137"/>
      <c r="CLP78" s="137"/>
      <c r="CLQ78" s="137"/>
      <c r="CLR78" s="137"/>
      <c r="CLS78" s="137"/>
      <c r="CLT78" s="137"/>
      <c r="CLU78" s="137"/>
      <c r="CLV78" s="137"/>
      <c r="CLW78" s="137"/>
      <c r="CLX78" s="137"/>
      <c r="CLY78" s="137"/>
      <c r="CLZ78" s="137"/>
      <c r="CMA78" s="137"/>
      <c r="CMB78" s="137"/>
      <c r="CMC78" s="137"/>
      <c r="CMD78" s="137"/>
      <c r="CME78" s="137"/>
      <c r="CMF78" s="137"/>
      <c r="CMG78" s="137"/>
      <c r="CMH78" s="137"/>
      <c r="CMI78" s="137"/>
      <c r="CMJ78" s="137"/>
      <c r="CMK78" s="137"/>
      <c r="CML78" s="137"/>
      <c r="CMM78" s="137"/>
      <c r="CMN78" s="137"/>
      <c r="CMO78" s="137"/>
      <c r="CMP78" s="137"/>
      <c r="CMQ78" s="137"/>
      <c r="CMR78" s="137"/>
      <c r="CMS78" s="137"/>
      <c r="CMT78" s="137"/>
      <c r="CMU78" s="137"/>
      <c r="CMV78" s="137"/>
      <c r="CMW78" s="137"/>
      <c r="CMX78" s="137"/>
      <c r="CMY78" s="137"/>
      <c r="CMZ78" s="137"/>
      <c r="CNA78" s="137"/>
      <c r="CNB78" s="137"/>
      <c r="CNC78" s="137"/>
      <c r="CND78" s="137"/>
      <c r="CNE78" s="137"/>
      <c r="CNF78" s="137"/>
      <c r="CNG78" s="137"/>
      <c r="CNH78" s="137"/>
      <c r="CNI78" s="137"/>
      <c r="CNJ78" s="137"/>
      <c r="CNK78" s="137"/>
      <c r="CNL78" s="137"/>
      <c r="CNM78" s="137"/>
      <c r="CNN78" s="137"/>
      <c r="CNO78" s="137"/>
      <c r="CNP78" s="137"/>
      <c r="CNQ78" s="137"/>
      <c r="CNR78" s="137"/>
      <c r="CNS78" s="137"/>
      <c r="CNT78" s="137"/>
      <c r="CNU78" s="137"/>
      <c r="CNV78" s="137"/>
      <c r="CNW78" s="137"/>
      <c r="CNX78" s="137"/>
      <c r="CNY78" s="137"/>
      <c r="CNZ78" s="137"/>
      <c r="COA78" s="137"/>
      <c r="COB78" s="137"/>
      <c r="COC78" s="137"/>
      <c r="COD78" s="137"/>
      <c r="COE78" s="137"/>
      <c r="COF78" s="137"/>
      <c r="COG78" s="137"/>
      <c r="COH78" s="137"/>
      <c r="COI78" s="137"/>
      <c r="COJ78" s="137"/>
      <c r="COK78" s="137"/>
      <c r="COL78" s="137"/>
      <c r="COM78" s="137"/>
      <c r="CON78" s="137"/>
      <c r="COO78" s="137"/>
      <c r="COP78" s="137"/>
      <c r="COQ78" s="137"/>
      <c r="COR78" s="137"/>
      <c r="COS78" s="137"/>
      <c r="COT78" s="137"/>
      <c r="COU78" s="137"/>
      <c r="COV78" s="137"/>
      <c r="COW78" s="137"/>
      <c r="COX78" s="137"/>
      <c r="COY78" s="137"/>
      <c r="COZ78" s="137"/>
      <c r="CPA78" s="137"/>
      <c r="CPB78" s="137"/>
      <c r="CPC78" s="137"/>
      <c r="CPD78" s="137"/>
      <c r="CPE78" s="137"/>
      <c r="CPF78" s="137"/>
      <c r="CPG78" s="137"/>
      <c r="CPH78" s="137"/>
      <c r="CPI78" s="137"/>
      <c r="CPJ78" s="137"/>
      <c r="CPK78" s="137"/>
      <c r="CPL78" s="137"/>
      <c r="CPM78" s="137"/>
      <c r="CPN78" s="137"/>
      <c r="CPO78" s="137"/>
      <c r="CPP78" s="137"/>
      <c r="CPQ78" s="137"/>
      <c r="CPR78" s="137"/>
      <c r="CPS78" s="137"/>
      <c r="CPT78" s="137"/>
      <c r="CPU78" s="137"/>
      <c r="CPV78" s="137"/>
      <c r="CPW78" s="137"/>
      <c r="CPX78" s="137"/>
      <c r="CPY78" s="137"/>
      <c r="CPZ78" s="137"/>
      <c r="CQA78" s="137"/>
      <c r="CQB78" s="137"/>
      <c r="CQC78" s="137"/>
      <c r="CQD78" s="137"/>
      <c r="CQE78" s="137"/>
      <c r="CQF78" s="137"/>
      <c r="CQG78" s="137"/>
      <c r="CQH78" s="137"/>
      <c r="CQI78" s="137"/>
      <c r="CQJ78" s="137"/>
      <c r="CQK78" s="137"/>
      <c r="CQL78" s="137"/>
      <c r="CQM78" s="137"/>
      <c r="CQN78" s="137"/>
      <c r="CQO78" s="137"/>
      <c r="CQP78" s="137"/>
      <c r="CQQ78" s="137"/>
      <c r="CQR78" s="137"/>
      <c r="CQS78" s="137"/>
      <c r="CQT78" s="137"/>
      <c r="CQU78" s="137"/>
      <c r="CQV78" s="137"/>
      <c r="CQW78" s="137"/>
      <c r="CQX78" s="137"/>
      <c r="CQY78" s="137"/>
      <c r="CQZ78" s="137"/>
      <c r="CRA78" s="137"/>
      <c r="CRB78" s="137"/>
      <c r="CRC78" s="137"/>
      <c r="CRD78" s="137"/>
      <c r="CRE78" s="137"/>
      <c r="CRF78" s="137"/>
      <c r="CRG78" s="137"/>
      <c r="CRH78" s="137"/>
      <c r="CRI78" s="137"/>
      <c r="CRJ78" s="137"/>
      <c r="CRK78" s="137"/>
      <c r="CRL78" s="137"/>
      <c r="CRM78" s="137"/>
      <c r="CRN78" s="137"/>
      <c r="CRO78" s="137"/>
      <c r="CRP78" s="137"/>
      <c r="CRQ78" s="137"/>
      <c r="CRR78" s="137"/>
      <c r="CRS78" s="137"/>
      <c r="CRT78" s="137"/>
      <c r="CRU78" s="137"/>
      <c r="CRV78" s="137"/>
      <c r="CRW78" s="137"/>
      <c r="CRX78" s="137"/>
      <c r="CRY78" s="137"/>
      <c r="CRZ78" s="137"/>
      <c r="CSA78" s="137"/>
      <c r="CSB78" s="137"/>
      <c r="CSC78" s="137"/>
      <c r="CSD78" s="137"/>
      <c r="CSE78" s="137"/>
      <c r="CSF78" s="137"/>
      <c r="CSG78" s="137"/>
      <c r="CSH78" s="137"/>
      <c r="CSI78" s="137"/>
      <c r="CSJ78" s="137"/>
      <c r="CSK78" s="137"/>
      <c r="CSL78" s="137"/>
      <c r="CSM78" s="137"/>
      <c r="CSN78" s="137"/>
      <c r="CSO78" s="137"/>
      <c r="CSP78" s="137"/>
      <c r="CSQ78" s="137"/>
      <c r="CSR78" s="137"/>
      <c r="CSS78" s="137"/>
      <c r="CST78" s="137"/>
      <c r="CSU78" s="137"/>
      <c r="CSV78" s="137"/>
      <c r="CSW78" s="137"/>
      <c r="CSX78" s="137"/>
      <c r="CSY78" s="137"/>
      <c r="CSZ78" s="137"/>
      <c r="CTA78" s="137"/>
      <c r="CTB78" s="137"/>
      <c r="CTC78" s="137"/>
      <c r="CTD78" s="137"/>
      <c r="CTE78" s="137"/>
      <c r="CTF78" s="137"/>
      <c r="CTG78" s="137"/>
      <c r="CTH78" s="137"/>
      <c r="CTI78" s="137"/>
      <c r="CTJ78" s="137"/>
      <c r="CTK78" s="137"/>
      <c r="CTL78" s="137"/>
      <c r="CTM78" s="137"/>
      <c r="CTN78" s="137"/>
      <c r="CTO78" s="137"/>
      <c r="CTP78" s="137"/>
      <c r="CTQ78" s="137"/>
      <c r="CTR78" s="137"/>
      <c r="CTS78" s="137"/>
      <c r="CTT78" s="137"/>
      <c r="CTU78" s="137"/>
      <c r="CTV78" s="137"/>
      <c r="CTW78" s="137"/>
      <c r="CTX78" s="137"/>
      <c r="CTY78" s="137"/>
      <c r="CTZ78" s="137"/>
      <c r="CUA78" s="137"/>
      <c r="CUB78" s="137"/>
      <c r="CUC78" s="137"/>
      <c r="CUD78" s="137"/>
      <c r="CUE78" s="137"/>
      <c r="CUF78" s="137"/>
      <c r="CUG78" s="137"/>
      <c r="CUH78" s="137"/>
      <c r="CUI78" s="137"/>
      <c r="CUJ78" s="137"/>
      <c r="CUK78" s="137"/>
      <c r="CUL78" s="137"/>
      <c r="CUM78" s="137"/>
      <c r="CUN78" s="137"/>
      <c r="CUO78" s="137"/>
      <c r="CUP78" s="137"/>
      <c r="CUQ78" s="137"/>
      <c r="CUR78" s="137"/>
      <c r="CUS78" s="137"/>
      <c r="CUT78" s="137"/>
      <c r="CUU78" s="137"/>
      <c r="CUV78" s="137"/>
      <c r="CUW78" s="137"/>
      <c r="CUX78" s="137"/>
      <c r="CUY78" s="137"/>
      <c r="CUZ78" s="137"/>
      <c r="CVA78" s="137"/>
      <c r="CVB78" s="137"/>
      <c r="CVC78" s="137"/>
      <c r="CVD78" s="137"/>
      <c r="CVE78" s="137"/>
      <c r="CVF78" s="137"/>
      <c r="CVG78" s="137"/>
      <c r="CVH78" s="137"/>
      <c r="CVI78" s="137"/>
      <c r="CVJ78" s="137"/>
      <c r="CVK78" s="137"/>
      <c r="CVL78" s="137"/>
      <c r="CVM78" s="137"/>
      <c r="CVN78" s="137"/>
      <c r="CVO78" s="137"/>
      <c r="CVP78" s="137"/>
      <c r="CVQ78" s="137"/>
      <c r="CVR78" s="137"/>
      <c r="CVS78" s="137"/>
      <c r="CVT78" s="137"/>
      <c r="CVU78" s="137"/>
      <c r="CVV78" s="137"/>
      <c r="CVW78" s="137"/>
      <c r="CVX78" s="137"/>
      <c r="CVY78" s="137"/>
      <c r="CVZ78" s="137"/>
      <c r="CWA78" s="137"/>
      <c r="CWB78" s="137"/>
      <c r="CWC78" s="137"/>
      <c r="CWD78" s="137"/>
      <c r="CWE78" s="137"/>
      <c r="CWF78" s="137"/>
      <c r="CWG78" s="137"/>
      <c r="CWH78" s="137"/>
      <c r="CWI78" s="137"/>
      <c r="CWJ78" s="137"/>
      <c r="CWK78" s="137"/>
      <c r="CWL78" s="137"/>
      <c r="CWM78" s="137"/>
      <c r="CWN78" s="137"/>
      <c r="CWO78" s="137"/>
      <c r="CWP78" s="137"/>
      <c r="CWQ78" s="137"/>
      <c r="CWR78" s="137"/>
      <c r="CWS78" s="137"/>
      <c r="CWT78" s="137"/>
      <c r="CWU78" s="137"/>
      <c r="CWV78" s="137"/>
      <c r="CWW78" s="137"/>
      <c r="CWX78" s="137"/>
      <c r="CWY78" s="137"/>
      <c r="CWZ78" s="137"/>
      <c r="CXA78" s="137"/>
      <c r="CXB78" s="137"/>
      <c r="CXC78" s="137"/>
      <c r="CXD78" s="137"/>
      <c r="CXE78" s="137"/>
      <c r="CXF78" s="137"/>
      <c r="CXG78" s="137"/>
      <c r="CXH78" s="137"/>
      <c r="CXI78" s="137"/>
      <c r="CXJ78" s="137"/>
      <c r="CXK78" s="137"/>
      <c r="CXL78" s="137"/>
      <c r="CXM78" s="137"/>
      <c r="CXN78" s="137"/>
      <c r="CXO78" s="137"/>
      <c r="CXP78" s="137"/>
      <c r="CXQ78" s="137"/>
      <c r="CXR78" s="137"/>
      <c r="CXS78" s="137"/>
      <c r="CXT78" s="137"/>
      <c r="CXU78" s="137"/>
      <c r="CXV78" s="137"/>
      <c r="CXW78" s="137"/>
      <c r="CXX78" s="137"/>
      <c r="CXY78" s="137"/>
      <c r="CXZ78" s="137"/>
      <c r="CYA78" s="137"/>
      <c r="CYB78" s="137"/>
      <c r="CYC78" s="137"/>
      <c r="CYD78" s="137"/>
      <c r="CYE78" s="137"/>
      <c r="CYF78" s="137"/>
      <c r="CYG78" s="137"/>
      <c r="CYH78" s="137"/>
      <c r="CYI78" s="137"/>
      <c r="CYJ78" s="137"/>
      <c r="CYK78" s="137"/>
      <c r="CYL78" s="137"/>
      <c r="CYM78" s="137"/>
      <c r="CYN78" s="137"/>
      <c r="CYO78" s="137"/>
      <c r="CYP78" s="137"/>
      <c r="CYQ78" s="137"/>
      <c r="CYR78" s="137"/>
      <c r="CYS78" s="137"/>
      <c r="CYT78" s="137"/>
      <c r="CYU78" s="137"/>
      <c r="CYV78" s="137"/>
      <c r="CYW78" s="137"/>
      <c r="CYX78" s="137"/>
      <c r="CYY78" s="137"/>
      <c r="CYZ78" s="137"/>
      <c r="CZA78" s="137"/>
      <c r="CZB78" s="137"/>
      <c r="CZC78" s="137"/>
      <c r="CZD78" s="137"/>
      <c r="CZE78" s="137"/>
      <c r="CZF78" s="137"/>
      <c r="CZG78" s="137"/>
      <c r="CZH78" s="137"/>
      <c r="CZI78" s="137"/>
      <c r="CZJ78" s="137"/>
      <c r="CZK78" s="137"/>
      <c r="CZL78" s="137"/>
      <c r="CZM78" s="137"/>
      <c r="CZN78" s="137"/>
      <c r="CZO78" s="137"/>
      <c r="CZP78" s="137"/>
      <c r="CZQ78" s="137"/>
      <c r="CZR78" s="137"/>
      <c r="CZS78" s="137"/>
      <c r="CZT78" s="137"/>
      <c r="CZU78" s="137"/>
      <c r="CZV78" s="137"/>
      <c r="CZW78" s="137"/>
      <c r="CZX78" s="137"/>
      <c r="CZY78" s="137"/>
      <c r="CZZ78" s="137"/>
      <c r="DAA78" s="137"/>
      <c r="DAB78" s="137"/>
      <c r="DAC78" s="137"/>
      <c r="DAD78" s="137"/>
      <c r="DAE78" s="137"/>
      <c r="DAF78" s="137"/>
      <c r="DAG78" s="137"/>
      <c r="DAH78" s="137"/>
      <c r="DAI78" s="137"/>
      <c r="DAJ78" s="137"/>
      <c r="DAK78" s="137"/>
      <c r="DAL78" s="137"/>
      <c r="DAM78" s="137"/>
      <c r="DAN78" s="137"/>
      <c r="DAO78" s="137"/>
      <c r="DAP78" s="137"/>
      <c r="DAQ78" s="137"/>
      <c r="DAR78" s="137"/>
      <c r="DAS78" s="137"/>
      <c r="DAT78" s="137"/>
      <c r="DAU78" s="137"/>
      <c r="DAV78" s="137"/>
      <c r="DAW78" s="137"/>
      <c r="DAX78" s="137"/>
      <c r="DAY78" s="137"/>
      <c r="DAZ78" s="137"/>
      <c r="DBA78" s="137"/>
      <c r="DBB78" s="137"/>
      <c r="DBC78" s="137"/>
      <c r="DBD78" s="137"/>
      <c r="DBE78" s="137"/>
      <c r="DBF78" s="137"/>
      <c r="DBG78" s="137"/>
      <c r="DBH78" s="137"/>
      <c r="DBI78" s="137"/>
      <c r="DBJ78" s="137"/>
      <c r="DBK78" s="137"/>
      <c r="DBL78" s="137"/>
      <c r="DBM78" s="137"/>
      <c r="DBN78" s="137"/>
      <c r="DBO78" s="137"/>
      <c r="DBP78" s="137"/>
      <c r="DBQ78" s="137"/>
      <c r="DBR78" s="137"/>
      <c r="DBS78" s="137"/>
      <c r="DBT78" s="137"/>
      <c r="DBU78" s="137"/>
      <c r="DBV78" s="137"/>
      <c r="DBW78" s="137"/>
      <c r="DBX78" s="137"/>
      <c r="DBY78" s="137"/>
      <c r="DBZ78" s="137"/>
      <c r="DCA78" s="137"/>
      <c r="DCB78" s="137"/>
      <c r="DCC78" s="137"/>
      <c r="DCD78" s="137"/>
      <c r="DCE78" s="137"/>
      <c r="DCF78" s="137"/>
      <c r="DCG78" s="137"/>
      <c r="DCH78" s="137"/>
      <c r="DCI78" s="137"/>
      <c r="DCJ78" s="137"/>
      <c r="DCK78" s="137"/>
      <c r="DCL78" s="137"/>
      <c r="DCM78" s="137"/>
      <c r="DCN78" s="137"/>
      <c r="DCO78" s="137"/>
      <c r="DCP78" s="137"/>
      <c r="DCQ78" s="137"/>
      <c r="DCR78" s="137"/>
      <c r="DCS78" s="137"/>
      <c r="DCT78" s="137"/>
      <c r="DCU78" s="137"/>
      <c r="DCV78" s="137"/>
      <c r="DCW78" s="137"/>
      <c r="DCX78" s="137"/>
      <c r="DCY78" s="137"/>
      <c r="DCZ78" s="137"/>
      <c r="DDA78" s="137"/>
      <c r="DDB78" s="137"/>
      <c r="DDC78" s="137"/>
      <c r="DDD78" s="137"/>
      <c r="DDE78" s="137"/>
      <c r="DDF78" s="137"/>
      <c r="DDG78" s="137"/>
      <c r="DDH78" s="137"/>
      <c r="DDI78" s="137"/>
      <c r="DDJ78" s="137"/>
      <c r="DDK78" s="137"/>
      <c r="DDL78" s="137"/>
      <c r="DDM78" s="137"/>
      <c r="DDN78" s="137"/>
      <c r="DDO78" s="137"/>
      <c r="DDP78" s="137"/>
      <c r="DDQ78" s="137"/>
      <c r="DDR78" s="137"/>
      <c r="DDS78" s="137"/>
      <c r="DDT78" s="137"/>
      <c r="DDU78" s="137"/>
      <c r="DDV78" s="137"/>
      <c r="DDW78" s="137"/>
      <c r="DDX78" s="137"/>
      <c r="DDY78" s="137"/>
      <c r="DDZ78" s="137"/>
      <c r="DEA78" s="137"/>
      <c r="DEB78" s="137"/>
      <c r="DEC78" s="137"/>
      <c r="DED78" s="137"/>
      <c r="DEE78" s="137"/>
      <c r="DEF78" s="137"/>
      <c r="DEG78" s="137"/>
      <c r="DEH78" s="137"/>
      <c r="DEI78" s="137"/>
      <c r="DEJ78" s="137"/>
      <c r="DEK78" s="137"/>
      <c r="DEL78" s="137"/>
      <c r="DEM78" s="137"/>
      <c r="DEN78" s="137"/>
      <c r="DEO78" s="137"/>
      <c r="DEP78" s="137"/>
      <c r="DEQ78" s="137"/>
      <c r="DER78" s="137"/>
      <c r="DES78" s="137"/>
      <c r="DET78" s="137"/>
      <c r="DEU78" s="137"/>
      <c r="DEV78" s="137"/>
      <c r="DEW78" s="137"/>
      <c r="DEX78" s="137"/>
      <c r="DEY78" s="137"/>
      <c r="DEZ78" s="137"/>
      <c r="DFA78" s="137"/>
      <c r="DFB78" s="137"/>
      <c r="DFC78" s="137"/>
      <c r="DFD78" s="137"/>
      <c r="DFE78" s="137"/>
      <c r="DFF78" s="137"/>
      <c r="DFG78" s="137"/>
      <c r="DFH78" s="137"/>
      <c r="DFI78" s="137"/>
      <c r="DFJ78" s="137"/>
      <c r="DFK78" s="137"/>
      <c r="DFL78" s="137"/>
      <c r="DFM78" s="137"/>
      <c r="DFN78" s="137"/>
      <c r="DFO78" s="137"/>
      <c r="DFP78" s="137"/>
      <c r="DFQ78" s="137"/>
      <c r="DFR78" s="137"/>
      <c r="DFS78" s="137"/>
      <c r="DFT78" s="137"/>
      <c r="DFU78" s="137"/>
      <c r="DFV78" s="137"/>
      <c r="DFW78" s="137"/>
      <c r="DFX78" s="137"/>
      <c r="DFY78" s="137"/>
      <c r="DFZ78" s="137"/>
      <c r="DGA78" s="137"/>
      <c r="DGB78" s="137"/>
      <c r="DGC78" s="137"/>
      <c r="DGD78" s="137"/>
      <c r="DGE78" s="137"/>
      <c r="DGF78" s="137"/>
      <c r="DGG78" s="137"/>
      <c r="DGH78" s="137"/>
      <c r="DGI78" s="137"/>
      <c r="DGJ78" s="137"/>
      <c r="DGK78" s="137"/>
      <c r="DGL78" s="137"/>
      <c r="DGM78" s="137"/>
      <c r="DGN78" s="137"/>
      <c r="DGO78" s="137"/>
      <c r="DGP78" s="137"/>
      <c r="DGQ78" s="137"/>
      <c r="DGR78" s="137"/>
      <c r="DGS78" s="137"/>
      <c r="DGT78" s="137"/>
      <c r="DGU78" s="137"/>
      <c r="DGV78" s="137"/>
      <c r="DGW78" s="137"/>
      <c r="DGX78" s="137"/>
      <c r="DGY78" s="137"/>
      <c r="DGZ78" s="137"/>
      <c r="DHA78" s="137"/>
      <c r="DHB78" s="137"/>
      <c r="DHC78" s="137"/>
      <c r="DHD78" s="137"/>
      <c r="DHE78" s="137"/>
      <c r="DHF78" s="137"/>
      <c r="DHG78" s="137"/>
      <c r="DHH78" s="137"/>
      <c r="DHI78" s="137"/>
      <c r="DHJ78" s="137"/>
      <c r="DHK78" s="137"/>
      <c r="DHL78" s="137"/>
      <c r="DHM78" s="137"/>
      <c r="DHN78" s="137"/>
      <c r="DHO78" s="137"/>
      <c r="DHP78" s="137"/>
      <c r="DHQ78" s="137"/>
      <c r="DHR78" s="137"/>
      <c r="DHS78" s="137"/>
      <c r="DHT78" s="137"/>
      <c r="DHU78" s="137"/>
      <c r="DHV78" s="137"/>
      <c r="DHW78" s="137"/>
      <c r="DHX78" s="137"/>
      <c r="DHY78" s="137"/>
      <c r="DHZ78" s="137"/>
      <c r="DIA78" s="137"/>
      <c r="DIB78" s="137"/>
      <c r="DIC78" s="137"/>
      <c r="DID78" s="137"/>
      <c r="DIE78" s="137"/>
      <c r="DIF78" s="137"/>
      <c r="DIG78" s="137"/>
      <c r="DIH78" s="137"/>
      <c r="DII78" s="137"/>
      <c r="DIJ78" s="137"/>
      <c r="DIK78" s="137"/>
      <c r="DIL78" s="137"/>
      <c r="DIM78" s="137"/>
      <c r="DIN78" s="137"/>
      <c r="DIO78" s="137"/>
      <c r="DIP78" s="137"/>
      <c r="DIQ78" s="137"/>
      <c r="DIR78" s="137"/>
      <c r="DIS78" s="137"/>
      <c r="DIT78" s="137"/>
      <c r="DIU78" s="137"/>
      <c r="DIV78" s="137"/>
      <c r="DIW78" s="137"/>
      <c r="DIX78" s="137"/>
      <c r="DIY78" s="137"/>
      <c r="DIZ78" s="137"/>
      <c r="DJA78" s="137"/>
      <c r="DJB78" s="137"/>
      <c r="DJC78" s="137"/>
      <c r="DJD78" s="137"/>
      <c r="DJE78" s="137"/>
      <c r="DJF78" s="137"/>
      <c r="DJG78" s="137"/>
      <c r="DJH78" s="137"/>
      <c r="DJI78" s="137"/>
      <c r="DJJ78" s="137"/>
      <c r="DJK78" s="137"/>
      <c r="DJL78" s="137"/>
      <c r="DJM78" s="137"/>
      <c r="DJN78" s="137"/>
      <c r="DJO78" s="137"/>
      <c r="DJP78" s="137"/>
      <c r="DJQ78" s="137"/>
      <c r="DJR78" s="137"/>
      <c r="DJS78" s="137"/>
      <c r="DJT78" s="137"/>
      <c r="DJU78" s="137"/>
      <c r="DJV78" s="137"/>
      <c r="DJW78" s="137"/>
      <c r="DJX78" s="137"/>
      <c r="DJY78" s="137"/>
      <c r="DJZ78" s="137"/>
      <c r="DKA78" s="137"/>
      <c r="DKB78" s="137"/>
      <c r="DKC78" s="137"/>
      <c r="DKD78" s="137"/>
      <c r="DKE78" s="137"/>
      <c r="DKF78" s="137"/>
      <c r="DKG78" s="137"/>
      <c r="DKH78" s="137"/>
      <c r="DKI78" s="137"/>
      <c r="DKJ78" s="137"/>
      <c r="DKK78" s="137"/>
      <c r="DKL78" s="137"/>
      <c r="DKM78" s="137"/>
      <c r="DKN78" s="137"/>
      <c r="DKO78" s="137"/>
      <c r="DKP78" s="137"/>
      <c r="DKQ78" s="137"/>
      <c r="DKR78" s="137"/>
      <c r="DKS78" s="137"/>
      <c r="DKT78" s="137"/>
      <c r="DKU78" s="137"/>
      <c r="DKV78" s="137"/>
      <c r="DKW78" s="137"/>
      <c r="DKX78" s="137"/>
      <c r="DKY78" s="137"/>
      <c r="DKZ78" s="137"/>
      <c r="DLA78" s="137"/>
      <c r="DLB78" s="137"/>
      <c r="DLC78" s="137"/>
      <c r="DLD78" s="137"/>
      <c r="DLE78" s="137"/>
      <c r="DLF78" s="137"/>
      <c r="DLG78" s="137"/>
      <c r="DLH78" s="137"/>
      <c r="DLI78" s="137"/>
      <c r="DLJ78" s="137"/>
      <c r="DLK78" s="137"/>
      <c r="DLL78" s="137"/>
      <c r="DLM78" s="137"/>
      <c r="DLN78" s="137"/>
      <c r="DLO78" s="137"/>
      <c r="DLP78" s="137"/>
      <c r="DLQ78" s="137"/>
      <c r="DLR78" s="137"/>
      <c r="DLS78" s="137"/>
      <c r="DLT78" s="137"/>
      <c r="DLU78" s="137"/>
      <c r="DLV78" s="137"/>
      <c r="DLW78" s="137"/>
      <c r="DLX78" s="137"/>
      <c r="DLY78" s="137"/>
      <c r="DLZ78" s="137"/>
      <c r="DMA78" s="137"/>
      <c r="DMB78" s="137"/>
      <c r="DMC78" s="137"/>
      <c r="DMD78" s="137"/>
      <c r="DME78" s="137"/>
      <c r="DMF78" s="137"/>
      <c r="DMG78" s="137"/>
      <c r="DMH78" s="137"/>
      <c r="DMI78" s="137"/>
      <c r="DMJ78" s="137"/>
      <c r="DMK78" s="137"/>
      <c r="DML78" s="137"/>
      <c r="DMM78" s="137"/>
      <c r="DMN78" s="137"/>
      <c r="DMO78" s="137"/>
      <c r="DMP78" s="137"/>
      <c r="DMQ78" s="137"/>
      <c r="DMR78" s="137"/>
      <c r="DMS78" s="137"/>
      <c r="DMT78" s="137"/>
      <c r="DMU78" s="137"/>
      <c r="DMV78" s="137"/>
      <c r="DMW78" s="137"/>
      <c r="DMX78" s="137"/>
      <c r="DMY78" s="137"/>
      <c r="DMZ78" s="137"/>
      <c r="DNA78" s="137"/>
      <c r="DNB78" s="137"/>
      <c r="DNC78" s="137"/>
      <c r="DND78" s="137"/>
      <c r="DNE78" s="137"/>
      <c r="DNF78" s="137"/>
      <c r="DNG78" s="137"/>
      <c r="DNH78" s="137"/>
      <c r="DNI78" s="137"/>
      <c r="DNJ78" s="137"/>
      <c r="DNK78" s="137"/>
      <c r="DNL78" s="137"/>
      <c r="DNM78" s="137"/>
      <c r="DNN78" s="137"/>
      <c r="DNO78" s="137"/>
      <c r="DNP78" s="137"/>
      <c r="DNQ78" s="137"/>
      <c r="DNR78" s="137"/>
      <c r="DNS78" s="137"/>
      <c r="DNT78" s="137"/>
      <c r="DNU78" s="137"/>
      <c r="DNV78" s="137"/>
      <c r="DNW78" s="137"/>
      <c r="DNX78" s="137"/>
      <c r="DNY78" s="137"/>
      <c r="DNZ78" s="137"/>
      <c r="DOA78" s="137"/>
      <c r="DOB78" s="137"/>
      <c r="DOC78" s="137"/>
      <c r="DOD78" s="137"/>
      <c r="DOE78" s="137"/>
      <c r="DOF78" s="137"/>
      <c r="DOG78" s="137"/>
      <c r="DOH78" s="137"/>
      <c r="DOI78" s="137"/>
      <c r="DOJ78" s="137"/>
      <c r="DOK78" s="137"/>
      <c r="DOL78" s="137"/>
      <c r="DOM78" s="137"/>
      <c r="DON78" s="137"/>
      <c r="DOO78" s="137"/>
      <c r="DOP78" s="137"/>
      <c r="DOQ78" s="137"/>
      <c r="DOR78" s="137"/>
      <c r="DOS78" s="137"/>
      <c r="DOT78" s="137"/>
      <c r="DOU78" s="137"/>
      <c r="DOV78" s="137"/>
      <c r="DOW78" s="137"/>
      <c r="DOX78" s="137"/>
      <c r="DOY78" s="137"/>
      <c r="DOZ78" s="137"/>
      <c r="DPA78" s="137"/>
      <c r="DPB78" s="137"/>
      <c r="DPC78" s="137"/>
      <c r="DPD78" s="137"/>
      <c r="DPE78" s="137"/>
      <c r="DPF78" s="137"/>
      <c r="DPG78" s="137"/>
      <c r="DPH78" s="137"/>
      <c r="DPI78" s="137"/>
      <c r="DPJ78" s="137"/>
      <c r="DPK78" s="137"/>
      <c r="DPL78" s="137"/>
      <c r="DPM78" s="137"/>
      <c r="DPN78" s="137"/>
      <c r="DPO78" s="137"/>
      <c r="DPP78" s="137"/>
      <c r="DPQ78" s="137"/>
      <c r="DPR78" s="137"/>
      <c r="DPS78" s="137"/>
      <c r="DPT78" s="137"/>
      <c r="DPU78" s="137"/>
      <c r="DPV78" s="137"/>
      <c r="DPW78" s="137"/>
      <c r="DPX78" s="137"/>
      <c r="DPY78" s="137"/>
      <c r="DPZ78" s="137"/>
      <c r="DQA78" s="137"/>
      <c r="DQB78" s="137"/>
      <c r="DQC78" s="137"/>
      <c r="DQD78" s="137"/>
      <c r="DQE78" s="137"/>
      <c r="DQF78" s="137"/>
      <c r="DQG78" s="137"/>
      <c r="DQH78" s="137"/>
      <c r="DQI78" s="137"/>
      <c r="DQJ78" s="137"/>
      <c r="DQK78" s="137"/>
      <c r="DQL78" s="137"/>
      <c r="DQM78" s="137"/>
      <c r="DQN78" s="137"/>
      <c r="DQO78" s="137"/>
      <c r="DQP78" s="137"/>
      <c r="DQQ78" s="137"/>
      <c r="DQR78" s="137"/>
      <c r="DQS78" s="137"/>
      <c r="DQT78" s="137"/>
      <c r="DQU78" s="137"/>
      <c r="DQV78" s="137"/>
      <c r="DQW78" s="137"/>
      <c r="DQX78" s="137"/>
      <c r="DQY78" s="137"/>
      <c r="DQZ78" s="137"/>
      <c r="DRA78" s="137"/>
      <c r="DRB78" s="137"/>
      <c r="DRC78" s="137"/>
      <c r="DRD78" s="137"/>
      <c r="DRE78" s="137"/>
      <c r="DRF78" s="137"/>
      <c r="DRG78" s="137"/>
      <c r="DRH78" s="137"/>
      <c r="DRI78" s="137"/>
      <c r="DRJ78" s="137"/>
      <c r="DRK78" s="137"/>
      <c r="DRL78" s="137"/>
      <c r="DRM78" s="137"/>
      <c r="DRN78" s="137"/>
      <c r="DRO78" s="137"/>
      <c r="DRP78" s="137"/>
      <c r="DRQ78" s="137"/>
      <c r="DRR78" s="137"/>
      <c r="DRS78" s="137"/>
      <c r="DRT78" s="137"/>
      <c r="DRU78" s="137"/>
      <c r="DRV78" s="137"/>
      <c r="DRW78" s="137"/>
      <c r="DRX78" s="137"/>
      <c r="DRY78" s="137"/>
      <c r="DRZ78" s="137"/>
      <c r="DSA78" s="137"/>
      <c r="DSB78" s="137"/>
      <c r="DSC78" s="137"/>
      <c r="DSD78" s="137"/>
      <c r="DSE78" s="137"/>
      <c r="DSF78" s="137"/>
      <c r="DSG78" s="137"/>
      <c r="DSH78" s="137"/>
      <c r="DSI78" s="137"/>
      <c r="DSJ78" s="137"/>
      <c r="DSK78" s="137"/>
      <c r="DSL78" s="137"/>
      <c r="DSM78" s="137"/>
      <c r="DSN78" s="137"/>
      <c r="DSO78" s="137"/>
      <c r="DSP78" s="137"/>
      <c r="DSQ78" s="137"/>
      <c r="DSR78" s="137"/>
      <c r="DSS78" s="137"/>
      <c r="DST78" s="137"/>
      <c r="DSU78" s="137"/>
      <c r="DSV78" s="137"/>
      <c r="DSW78" s="137"/>
      <c r="DSX78" s="137"/>
      <c r="DSY78" s="137"/>
      <c r="DSZ78" s="137"/>
      <c r="DTA78" s="137"/>
      <c r="DTB78" s="137"/>
      <c r="DTC78" s="137"/>
      <c r="DTD78" s="137"/>
      <c r="DTE78" s="137"/>
      <c r="DTF78" s="137"/>
      <c r="DTG78" s="137"/>
      <c r="DTH78" s="137"/>
      <c r="DTI78" s="137"/>
      <c r="DTJ78" s="137"/>
      <c r="DTK78" s="137"/>
      <c r="DTL78" s="137"/>
      <c r="DTM78" s="137"/>
      <c r="DTN78" s="137"/>
      <c r="DTO78" s="137"/>
      <c r="DTP78" s="137"/>
      <c r="DTQ78" s="137"/>
      <c r="DTR78" s="137"/>
      <c r="DTS78" s="137"/>
      <c r="DTT78" s="137"/>
      <c r="DTU78" s="137"/>
      <c r="DTV78" s="137"/>
      <c r="DTW78" s="137"/>
      <c r="DTX78" s="137"/>
      <c r="DTY78" s="137"/>
      <c r="DTZ78" s="137"/>
      <c r="DUA78" s="137"/>
      <c r="DUB78" s="137"/>
      <c r="DUC78" s="137"/>
      <c r="DUD78" s="137"/>
      <c r="DUE78" s="137"/>
      <c r="DUF78" s="137"/>
      <c r="DUG78" s="137"/>
      <c r="DUH78" s="137"/>
      <c r="DUI78" s="137"/>
      <c r="DUJ78" s="137"/>
      <c r="DUK78" s="137"/>
      <c r="DUL78" s="137"/>
      <c r="DUM78" s="137"/>
      <c r="DUN78" s="137"/>
      <c r="DUO78" s="137"/>
      <c r="DUP78" s="137"/>
      <c r="DUQ78" s="137"/>
      <c r="DUR78" s="137"/>
      <c r="DUS78" s="137"/>
      <c r="DUT78" s="137"/>
      <c r="DUU78" s="137"/>
      <c r="DUV78" s="137"/>
      <c r="DUW78" s="137"/>
      <c r="DUX78" s="137"/>
      <c r="DUY78" s="137"/>
      <c r="DUZ78" s="137"/>
      <c r="DVA78" s="137"/>
      <c r="DVB78" s="137"/>
      <c r="DVC78" s="137"/>
      <c r="DVD78" s="137"/>
      <c r="DVE78" s="137"/>
      <c r="DVF78" s="137"/>
      <c r="DVG78" s="137"/>
      <c r="DVH78" s="137"/>
      <c r="DVI78" s="137"/>
      <c r="DVJ78" s="137"/>
      <c r="DVK78" s="137"/>
      <c r="DVL78" s="137"/>
      <c r="DVM78" s="137"/>
      <c r="DVN78" s="137"/>
      <c r="DVO78" s="137"/>
      <c r="DVP78" s="137"/>
      <c r="DVQ78" s="137"/>
      <c r="DVR78" s="137"/>
      <c r="DVS78" s="137"/>
      <c r="DVT78" s="137"/>
      <c r="DVU78" s="137"/>
      <c r="DVV78" s="137"/>
      <c r="DVW78" s="137"/>
      <c r="DVX78" s="137"/>
      <c r="DVY78" s="137"/>
      <c r="DVZ78" s="137"/>
      <c r="DWA78" s="137"/>
      <c r="DWB78" s="137"/>
      <c r="DWC78" s="137"/>
      <c r="DWD78" s="137"/>
      <c r="DWE78" s="137"/>
      <c r="DWF78" s="137"/>
      <c r="DWG78" s="137"/>
      <c r="DWH78" s="137"/>
      <c r="DWI78" s="137"/>
      <c r="DWJ78" s="137"/>
      <c r="DWK78" s="137"/>
      <c r="DWL78" s="137"/>
      <c r="DWM78" s="137"/>
      <c r="DWN78" s="137"/>
      <c r="DWO78" s="137"/>
      <c r="DWP78" s="137"/>
      <c r="DWQ78" s="137"/>
      <c r="DWR78" s="137"/>
      <c r="DWS78" s="137"/>
      <c r="DWT78" s="137"/>
      <c r="DWU78" s="137"/>
      <c r="DWV78" s="137"/>
      <c r="DWW78" s="137"/>
      <c r="DWX78" s="137"/>
      <c r="DWY78" s="137"/>
      <c r="DWZ78" s="137"/>
      <c r="DXA78" s="137"/>
      <c r="DXB78" s="137"/>
      <c r="DXC78" s="137"/>
      <c r="DXD78" s="137"/>
      <c r="DXE78" s="137"/>
      <c r="DXF78" s="137"/>
      <c r="DXG78" s="137"/>
      <c r="DXH78" s="137"/>
      <c r="DXI78" s="137"/>
      <c r="DXJ78" s="137"/>
      <c r="DXK78" s="137"/>
      <c r="DXL78" s="137"/>
      <c r="DXM78" s="137"/>
      <c r="DXN78" s="137"/>
      <c r="DXO78" s="137"/>
      <c r="DXP78" s="137"/>
      <c r="DXQ78" s="137"/>
      <c r="DXR78" s="137"/>
      <c r="DXS78" s="137"/>
      <c r="DXT78" s="137"/>
      <c r="DXU78" s="137"/>
      <c r="DXV78" s="137"/>
      <c r="DXW78" s="137"/>
      <c r="DXX78" s="137"/>
      <c r="DXY78" s="137"/>
      <c r="DXZ78" s="137"/>
      <c r="DYA78" s="137"/>
      <c r="DYB78" s="137"/>
      <c r="DYC78" s="137"/>
      <c r="DYD78" s="137"/>
      <c r="DYE78" s="137"/>
      <c r="DYF78" s="137"/>
      <c r="DYG78" s="137"/>
      <c r="DYH78" s="137"/>
      <c r="DYI78" s="137"/>
      <c r="DYJ78" s="137"/>
      <c r="DYK78" s="137"/>
      <c r="DYL78" s="137"/>
      <c r="DYM78" s="137"/>
      <c r="DYN78" s="137"/>
      <c r="DYO78" s="137"/>
      <c r="DYP78" s="137"/>
      <c r="DYQ78" s="137"/>
      <c r="DYR78" s="137"/>
      <c r="DYS78" s="137"/>
      <c r="DYT78" s="137"/>
      <c r="DYU78" s="137"/>
      <c r="DYV78" s="137"/>
      <c r="DYW78" s="137"/>
      <c r="DYX78" s="137"/>
      <c r="DYY78" s="137"/>
      <c r="DYZ78" s="137"/>
      <c r="DZA78" s="137"/>
      <c r="DZB78" s="137"/>
      <c r="DZC78" s="137"/>
      <c r="DZD78" s="137"/>
      <c r="DZE78" s="137"/>
      <c r="DZF78" s="137"/>
      <c r="DZG78" s="137"/>
      <c r="DZH78" s="137"/>
      <c r="DZI78" s="137"/>
      <c r="DZJ78" s="137"/>
      <c r="DZK78" s="137"/>
      <c r="DZL78" s="137"/>
      <c r="DZM78" s="137"/>
      <c r="DZN78" s="137"/>
      <c r="DZO78" s="137"/>
      <c r="DZP78" s="137"/>
      <c r="DZQ78" s="137"/>
      <c r="DZR78" s="137"/>
      <c r="DZS78" s="137"/>
      <c r="DZT78" s="137"/>
      <c r="DZU78" s="137"/>
      <c r="DZV78" s="137"/>
      <c r="DZW78" s="137"/>
      <c r="DZX78" s="137"/>
      <c r="DZY78" s="137"/>
      <c r="DZZ78" s="137"/>
      <c r="EAA78" s="137"/>
      <c r="EAB78" s="137"/>
      <c r="EAC78" s="137"/>
      <c r="EAD78" s="137"/>
      <c r="EAE78" s="137"/>
      <c r="EAF78" s="137"/>
      <c r="EAG78" s="137"/>
      <c r="EAH78" s="137"/>
      <c r="EAI78" s="137"/>
      <c r="EAJ78" s="137"/>
      <c r="EAK78" s="137"/>
      <c r="EAL78" s="137"/>
      <c r="EAM78" s="137"/>
      <c r="EAN78" s="137"/>
      <c r="EAO78" s="137"/>
      <c r="EAP78" s="137"/>
      <c r="EAQ78" s="137"/>
      <c r="EAR78" s="137"/>
      <c r="EAS78" s="137"/>
      <c r="EAT78" s="137"/>
      <c r="EAU78" s="137"/>
      <c r="EAV78" s="137"/>
      <c r="EAW78" s="137"/>
      <c r="EAX78" s="137"/>
      <c r="EAY78" s="137"/>
      <c r="EAZ78" s="137"/>
      <c r="EBA78" s="137"/>
      <c r="EBB78" s="137"/>
      <c r="EBC78" s="137"/>
      <c r="EBD78" s="137"/>
      <c r="EBE78" s="137"/>
      <c r="EBF78" s="137"/>
      <c r="EBG78" s="137"/>
      <c r="EBH78" s="137"/>
      <c r="EBI78" s="137"/>
      <c r="EBJ78" s="137"/>
      <c r="EBK78" s="137"/>
      <c r="EBL78" s="137"/>
      <c r="EBM78" s="137"/>
      <c r="EBN78" s="137"/>
      <c r="EBO78" s="137"/>
      <c r="EBP78" s="137"/>
      <c r="EBQ78" s="137"/>
      <c r="EBR78" s="137"/>
      <c r="EBS78" s="137"/>
      <c r="EBT78" s="137"/>
      <c r="EBU78" s="137"/>
      <c r="EBV78" s="137"/>
      <c r="EBW78" s="137"/>
      <c r="EBX78" s="137"/>
      <c r="EBY78" s="137"/>
      <c r="EBZ78" s="137"/>
      <c r="ECA78" s="137"/>
      <c r="ECB78" s="137"/>
      <c r="ECC78" s="137"/>
      <c r="ECD78" s="137"/>
      <c r="ECE78" s="137"/>
      <c r="ECF78" s="137"/>
      <c r="ECG78" s="137"/>
      <c r="ECH78" s="137"/>
      <c r="ECI78" s="137"/>
      <c r="ECJ78" s="137"/>
      <c r="ECK78" s="137"/>
      <c r="ECL78" s="137"/>
      <c r="ECM78" s="137"/>
      <c r="ECN78" s="137"/>
      <c r="ECO78" s="137"/>
      <c r="ECP78" s="137"/>
      <c r="ECQ78" s="137"/>
      <c r="ECR78" s="137"/>
      <c r="ECS78" s="137"/>
      <c r="ECT78" s="137"/>
      <c r="ECU78" s="137"/>
      <c r="ECV78" s="137"/>
      <c r="ECW78" s="137"/>
      <c r="ECX78" s="137"/>
      <c r="ECY78" s="137"/>
      <c r="ECZ78" s="137"/>
      <c r="EDA78" s="137"/>
      <c r="EDB78" s="137"/>
      <c r="EDC78" s="137"/>
      <c r="EDD78" s="137"/>
      <c r="EDE78" s="137"/>
      <c r="EDF78" s="137"/>
      <c r="EDG78" s="137"/>
      <c r="EDH78" s="137"/>
      <c r="EDI78" s="137"/>
      <c r="EDJ78" s="137"/>
      <c r="EDK78" s="137"/>
      <c r="EDL78" s="137"/>
      <c r="EDM78" s="137"/>
      <c r="EDN78" s="137"/>
      <c r="EDO78" s="137"/>
      <c r="EDP78" s="137"/>
      <c r="EDQ78" s="137"/>
      <c r="EDR78" s="137"/>
      <c r="EDS78" s="137"/>
      <c r="EDT78" s="137"/>
      <c r="EDU78" s="137"/>
      <c r="EDV78" s="137"/>
      <c r="EDW78" s="137"/>
      <c r="EDX78" s="137"/>
      <c r="EDY78" s="137"/>
      <c r="EDZ78" s="137"/>
      <c r="EEA78" s="137"/>
      <c r="EEB78" s="137"/>
      <c r="EEC78" s="137"/>
      <c r="EED78" s="137"/>
      <c r="EEE78" s="137"/>
      <c r="EEF78" s="137"/>
      <c r="EEG78" s="137"/>
      <c r="EEH78" s="137"/>
      <c r="EEI78" s="137"/>
      <c r="EEJ78" s="137"/>
      <c r="EEK78" s="137"/>
      <c r="EEL78" s="137"/>
      <c r="EEM78" s="137"/>
      <c r="EEN78" s="137"/>
      <c r="EEO78" s="137"/>
      <c r="EEP78" s="137"/>
      <c r="EEQ78" s="137"/>
      <c r="EER78" s="137"/>
      <c r="EES78" s="137"/>
      <c r="EET78" s="137"/>
      <c r="EEU78" s="137"/>
      <c r="EEV78" s="137"/>
      <c r="EEW78" s="137"/>
      <c r="EEX78" s="137"/>
      <c r="EEY78" s="137"/>
      <c r="EEZ78" s="137"/>
      <c r="EFA78" s="137"/>
      <c r="EFB78" s="137"/>
      <c r="EFC78" s="137"/>
      <c r="EFD78" s="137"/>
      <c r="EFE78" s="137"/>
      <c r="EFF78" s="137"/>
      <c r="EFG78" s="137"/>
      <c r="EFH78" s="137"/>
      <c r="EFI78" s="137"/>
      <c r="EFJ78" s="137"/>
      <c r="EFK78" s="137"/>
      <c r="EFL78" s="137"/>
      <c r="EFM78" s="137"/>
      <c r="EFN78" s="137"/>
      <c r="EFO78" s="137"/>
      <c r="EFP78" s="137"/>
      <c r="EFQ78" s="137"/>
      <c r="EFR78" s="137"/>
      <c r="EFS78" s="137"/>
      <c r="EFT78" s="137"/>
      <c r="EFU78" s="137"/>
      <c r="EFV78" s="137"/>
      <c r="EFW78" s="137"/>
      <c r="EFX78" s="137"/>
      <c r="EFY78" s="137"/>
      <c r="EFZ78" s="137"/>
      <c r="EGA78" s="137"/>
      <c r="EGB78" s="137"/>
      <c r="EGC78" s="137"/>
      <c r="EGD78" s="137"/>
      <c r="EGE78" s="137"/>
      <c r="EGF78" s="137"/>
      <c r="EGG78" s="137"/>
      <c r="EGH78" s="137"/>
      <c r="EGI78" s="137"/>
      <c r="EGJ78" s="137"/>
      <c r="EGK78" s="137"/>
      <c r="EGL78" s="137"/>
      <c r="EGM78" s="137"/>
      <c r="EGN78" s="137"/>
      <c r="EGO78" s="137"/>
      <c r="EGP78" s="137"/>
      <c r="EGQ78" s="137"/>
      <c r="EGR78" s="137"/>
      <c r="EGS78" s="137"/>
      <c r="EGT78" s="137"/>
      <c r="EGU78" s="137"/>
      <c r="EGV78" s="137"/>
      <c r="EGW78" s="137"/>
      <c r="EGX78" s="137"/>
      <c r="EGY78" s="137"/>
      <c r="EGZ78" s="137"/>
      <c r="EHA78" s="137"/>
      <c r="EHB78" s="137"/>
      <c r="EHC78" s="137"/>
      <c r="EHD78" s="137"/>
      <c r="EHE78" s="137"/>
      <c r="EHF78" s="137"/>
      <c r="EHG78" s="137"/>
      <c r="EHH78" s="137"/>
      <c r="EHI78" s="137"/>
      <c r="EHJ78" s="137"/>
      <c r="EHK78" s="137"/>
      <c r="EHL78" s="137"/>
      <c r="EHM78" s="137"/>
      <c r="EHN78" s="137"/>
      <c r="EHO78" s="137"/>
      <c r="EHP78" s="137"/>
      <c r="EHQ78" s="137"/>
      <c r="EHR78" s="137"/>
      <c r="EHS78" s="137"/>
      <c r="EHT78" s="137"/>
      <c r="EHU78" s="137"/>
      <c r="EHV78" s="137"/>
      <c r="EHW78" s="137"/>
      <c r="EHX78" s="137"/>
      <c r="EHY78" s="137"/>
      <c r="EHZ78" s="137"/>
      <c r="EIA78" s="137"/>
      <c r="EIB78" s="137"/>
      <c r="EIC78" s="137"/>
      <c r="EID78" s="137"/>
      <c r="EIE78" s="137"/>
      <c r="EIF78" s="137"/>
      <c r="EIG78" s="137"/>
      <c r="EIH78" s="137"/>
      <c r="EII78" s="137"/>
      <c r="EIJ78" s="137"/>
      <c r="EIK78" s="137"/>
      <c r="EIL78" s="137"/>
      <c r="EIM78" s="137"/>
      <c r="EIN78" s="137"/>
      <c r="EIO78" s="137"/>
      <c r="EIP78" s="137"/>
      <c r="EIQ78" s="137"/>
      <c r="EIR78" s="137"/>
      <c r="EIS78" s="137"/>
      <c r="EIT78" s="137"/>
      <c r="EIU78" s="137"/>
      <c r="EIV78" s="137"/>
      <c r="EIW78" s="137"/>
      <c r="EIX78" s="137"/>
      <c r="EIY78" s="137"/>
      <c r="EIZ78" s="137"/>
      <c r="EJA78" s="137"/>
      <c r="EJB78" s="137"/>
      <c r="EJC78" s="137"/>
      <c r="EJD78" s="137"/>
      <c r="EJE78" s="137"/>
      <c r="EJF78" s="137"/>
      <c r="EJG78" s="137"/>
      <c r="EJH78" s="137"/>
      <c r="EJI78" s="137"/>
      <c r="EJJ78" s="137"/>
      <c r="EJK78" s="137"/>
      <c r="EJL78" s="137"/>
      <c r="EJM78" s="137"/>
      <c r="EJN78" s="137"/>
      <c r="EJO78" s="137"/>
      <c r="EJP78" s="137"/>
      <c r="EJQ78" s="137"/>
      <c r="EJR78" s="137"/>
      <c r="EJS78" s="137"/>
      <c r="EJT78" s="137"/>
      <c r="EJU78" s="137"/>
      <c r="EJV78" s="137"/>
      <c r="EJW78" s="137"/>
      <c r="EJX78" s="137"/>
      <c r="EJY78" s="137"/>
      <c r="EJZ78" s="137"/>
      <c r="EKA78" s="137"/>
      <c r="EKB78" s="137"/>
      <c r="EKC78" s="137"/>
      <c r="EKD78" s="137"/>
      <c r="EKE78" s="137"/>
      <c r="EKF78" s="137"/>
      <c r="EKG78" s="137"/>
      <c r="EKH78" s="137"/>
      <c r="EKI78" s="137"/>
      <c r="EKJ78" s="137"/>
      <c r="EKK78" s="137"/>
      <c r="EKL78" s="137"/>
      <c r="EKM78" s="137"/>
      <c r="EKN78" s="137"/>
      <c r="EKO78" s="137"/>
      <c r="EKP78" s="137"/>
      <c r="EKQ78" s="137"/>
      <c r="EKR78" s="137"/>
      <c r="EKS78" s="137"/>
      <c r="EKT78" s="137"/>
      <c r="EKU78" s="137"/>
      <c r="EKV78" s="137"/>
      <c r="EKW78" s="137"/>
      <c r="EKX78" s="137"/>
      <c r="EKY78" s="137"/>
      <c r="EKZ78" s="137"/>
      <c r="ELA78" s="137"/>
      <c r="ELB78" s="137"/>
      <c r="ELC78" s="137"/>
      <c r="ELD78" s="137"/>
      <c r="ELE78" s="137"/>
      <c r="ELF78" s="137"/>
      <c r="ELG78" s="137"/>
      <c r="ELH78" s="137"/>
      <c r="ELI78" s="137"/>
      <c r="ELJ78" s="137"/>
      <c r="ELK78" s="137"/>
      <c r="ELL78" s="137"/>
      <c r="ELM78" s="137"/>
      <c r="ELN78" s="137"/>
      <c r="ELO78" s="137"/>
      <c r="ELP78" s="137"/>
      <c r="ELQ78" s="137"/>
      <c r="ELR78" s="137"/>
      <c r="ELS78" s="137"/>
      <c r="ELT78" s="137"/>
      <c r="ELU78" s="137"/>
      <c r="ELV78" s="137"/>
      <c r="ELW78" s="137"/>
      <c r="ELX78" s="137"/>
      <c r="ELY78" s="137"/>
      <c r="ELZ78" s="137"/>
      <c r="EMA78" s="137"/>
      <c r="EMB78" s="137"/>
      <c r="EMC78" s="137"/>
      <c r="EMD78" s="137"/>
      <c r="EME78" s="137"/>
      <c r="EMF78" s="137"/>
      <c r="EMG78" s="137"/>
      <c r="EMH78" s="137"/>
      <c r="EMI78" s="137"/>
      <c r="EMJ78" s="137"/>
      <c r="EMK78" s="137"/>
      <c r="EML78" s="137"/>
      <c r="EMM78" s="137"/>
      <c r="EMN78" s="137"/>
      <c r="EMO78" s="137"/>
      <c r="EMP78" s="137"/>
      <c r="EMQ78" s="137"/>
      <c r="EMR78" s="137"/>
      <c r="EMS78" s="137"/>
      <c r="EMT78" s="137"/>
      <c r="EMU78" s="137"/>
      <c r="EMV78" s="137"/>
      <c r="EMW78" s="137"/>
      <c r="EMX78" s="137"/>
      <c r="EMY78" s="137"/>
      <c r="EMZ78" s="137"/>
      <c r="ENA78" s="137"/>
      <c r="ENB78" s="137"/>
      <c r="ENC78" s="137"/>
      <c r="END78" s="137"/>
      <c r="ENE78" s="137"/>
      <c r="ENF78" s="137"/>
      <c r="ENG78" s="137"/>
      <c r="ENH78" s="137"/>
      <c r="ENI78" s="137"/>
      <c r="ENJ78" s="137"/>
      <c r="ENK78" s="137"/>
      <c r="ENL78" s="137"/>
      <c r="ENM78" s="137"/>
      <c r="ENN78" s="137"/>
      <c r="ENO78" s="137"/>
      <c r="ENP78" s="137"/>
      <c r="ENQ78" s="137"/>
      <c r="ENR78" s="137"/>
      <c r="ENS78" s="137"/>
      <c r="ENT78" s="137"/>
      <c r="ENU78" s="137"/>
      <c r="ENV78" s="137"/>
      <c r="ENW78" s="137"/>
      <c r="ENX78" s="137"/>
      <c r="ENY78" s="137"/>
      <c r="ENZ78" s="137"/>
      <c r="EOA78" s="137"/>
      <c r="EOB78" s="137"/>
      <c r="EOC78" s="137"/>
      <c r="EOD78" s="137"/>
      <c r="EOE78" s="137"/>
      <c r="EOF78" s="137"/>
      <c r="EOG78" s="137"/>
      <c r="EOH78" s="137"/>
      <c r="EOI78" s="137"/>
      <c r="EOJ78" s="137"/>
      <c r="EOK78" s="137"/>
      <c r="EOL78" s="137"/>
      <c r="EOM78" s="137"/>
      <c r="EON78" s="137"/>
      <c r="EOO78" s="137"/>
      <c r="EOP78" s="137"/>
      <c r="EOQ78" s="137"/>
      <c r="EOR78" s="137"/>
      <c r="EOS78" s="137"/>
      <c r="EOT78" s="137"/>
      <c r="EOU78" s="137"/>
      <c r="EOV78" s="137"/>
      <c r="EOW78" s="137"/>
      <c r="EOX78" s="137"/>
      <c r="EOY78" s="137"/>
      <c r="EOZ78" s="137"/>
      <c r="EPA78" s="137"/>
      <c r="EPB78" s="137"/>
      <c r="EPC78" s="137"/>
      <c r="EPD78" s="137"/>
      <c r="EPE78" s="137"/>
      <c r="EPF78" s="137"/>
      <c r="EPG78" s="137"/>
      <c r="EPH78" s="137"/>
      <c r="EPI78" s="137"/>
      <c r="EPJ78" s="137"/>
      <c r="EPK78" s="137"/>
      <c r="EPL78" s="137"/>
      <c r="EPM78" s="137"/>
      <c r="EPN78" s="137"/>
      <c r="EPO78" s="137"/>
      <c r="EPP78" s="137"/>
      <c r="EPQ78" s="137"/>
      <c r="EPR78" s="137"/>
      <c r="EPS78" s="137"/>
      <c r="EPT78" s="137"/>
      <c r="EPU78" s="137"/>
      <c r="EPV78" s="137"/>
      <c r="EPW78" s="137"/>
      <c r="EPX78" s="137"/>
      <c r="EPY78" s="137"/>
      <c r="EPZ78" s="137"/>
      <c r="EQA78" s="137"/>
      <c r="EQB78" s="137"/>
      <c r="EQC78" s="137"/>
      <c r="EQD78" s="137"/>
      <c r="EQE78" s="137"/>
      <c r="EQF78" s="137"/>
      <c r="EQG78" s="137"/>
      <c r="EQH78" s="137"/>
      <c r="EQI78" s="137"/>
      <c r="EQJ78" s="137"/>
      <c r="EQK78" s="137"/>
      <c r="EQL78" s="137"/>
      <c r="EQM78" s="137"/>
      <c r="EQN78" s="137"/>
      <c r="EQO78" s="137"/>
      <c r="EQP78" s="137"/>
      <c r="EQQ78" s="137"/>
      <c r="EQR78" s="137"/>
      <c r="EQS78" s="137"/>
      <c r="EQT78" s="137"/>
      <c r="EQU78" s="137"/>
      <c r="EQV78" s="137"/>
      <c r="EQW78" s="137"/>
      <c r="EQX78" s="137"/>
      <c r="EQY78" s="137"/>
      <c r="EQZ78" s="137"/>
      <c r="ERA78" s="137"/>
      <c r="ERB78" s="137"/>
      <c r="ERC78" s="137"/>
      <c r="ERD78" s="137"/>
      <c r="ERE78" s="137"/>
      <c r="ERF78" s="137"/>
      <c r="ERG78" s="137"/>
      <c r="ERH78" s="137"/>
      <c r="ERI78" s="137"/>
      <c r="ERJ78" s="137"/>
      <c r="ERK78" s="137"/>
      <c r="ERL78" s="137"/>
      <c r="ERM78" s="137"/>
      <c r="ERN78" s="137"/>
      <c r="ERO78" s="137"/>
      <c r="ERP78" s="137"/>
      <c r="ERQ78" s="137"/>
      <c r="ERR78" s="137"/>
      <c r="ERS78" s="137"/>
      <c r="ERT78" s="137"/>
      <c r="ERU78" s="137"/>
      <c r="ERV78" s="137"/>
      <c r="ERW78" s="137"/>
      <c r="ERX78" s="137"/>
      <c r="ERY78" s="137"/>
      <c r="ERZ78" s="137"/>
      <c r="ESA78" s="137"/>
      <c r="ESB78" s="137"/>
      <c r="ESC78" s="137"/>
      <c r="ESD78" s="137"/>
      <c r="ESE78" s="137"/>
      <c r="ESF78" s="137"/>
      <c r="ESG78" s="137"/>
      <c r="ESH78" s="137"/>
      <c r="ESI78" s="137"/>
      <c r="ESJ78" s="137"/>
      <c r="ESK78" s="137"/>
      <c r="ESL78" s="137"/>
      <c r="ESM78" s="137"/>
      <c r="ESN78" s="137"/>
      <c r="ESO78" s="137"/>
      <c r="ESP78" s="137"/>
      <c r="ESQ78" s="137"/>
      <c r="ESR78" s="137"/>
      <c r="ESS78" s="137"/>
      <c r="EST78" s="137"/>
      <c r="ESU78" s="137"/>
      <c r="ESV78" s="137"/>
      <c r="ESW78" s="137"/>
      <c r="ESX78" s="137"/>
      <c r="ESY78" s="137"/>
      <c r="ESZ78" s="137"/>
      <c r="ETA78" s="137"/>
      <c r="ETB78" s="137"/>
      <c r="ETC78" s="137"/>
      <c r="ETD78" s="137"/>
      <c r="ETE78" s="137"/>
      <c r="ETF78" s="137"/>
      <c r="ETG78" s="137"/>
      <c r="ETH78" s="137"/>
      <c r="ETI78" s="137"/>
      <c r="ETJ78" s="137"/>
      <c r="ETK78" s="137"/>
      <c r="ETL78" s="137"/>
      <c r="ETM78" s="137"/>
      <c r="ETN78" s="137"/>
      <c r="ETO78" s="137"/>
      <c r="ETP78" s="137"/>
      <c r="ETQ78" s="137"/>
      <c r="ETR78" s="137"/>
      <c r="ETS78" s="137"/>
      <c r="ETT78" s="137"/>
      <c r="ETU78" s="137"/>
      <c r="ETV78" s="137"/>
      <c r="ETW78" s="137"/>
      <c r="ETX78" s="137"/>
      <c r="ETY78" s="137"/>
      <c r="ETZ78" s="137"/>
      <c r="EUA78" s="137"/>
      <c r="EUB78" s="137"/>
      <c r="EUC78" s="137"/>
      <c r="EUD78" s="137"/>
      <c r="EUE78" s="137"/>
      <c r="EUF78" s="137"/>
      <c r="EUG78" s="137"/>
      <c r="EUH78" s="137"/>
      <c r="EUI78" s="137"/>
      <c r="EUJ78" s="137"/>
      <c r="EUK78" s="137"/>
      <c r="EUL78" s="137"/>
      <c r="EUM78" s="137"/>
      <c r="EUN78" s="137"/>
      <c r="EUO78" s="137"/>
      <c r="EUP78" s="137"/>
      <c r="EUQ78" s="137"/>
      <c r="EUR78" s="137"/>
      <c r="EUS78" s="137"/>
      <c r="EUT78" s="137"/>
      <c r="EUU78" s="137"/>
      <c r="EUV78" s="137"/>
      <c r="EUW78" s="137"/>
      <c r="EUX78" s="137"/>
      <c r="EUY78" s="137"/>
      <c r="EUZ78" s="137"/>
      <c r="EVA78" s="137"/>
      <c r="EVB78" s="137"/>
      <c r="EVC78" s="137"/>
      <c r="EVD78" s="137"/>
      <c r="EVE78" s="137"/>
      <c r="EVF78" s="137"/>
      <c r="EVG78" s="137"/>
      <c r="EVH78" s="137"/>
      <c r="EVI78" s="137"/>
      <c r="EVJ78" s="137"/>
      <c r="EVK78" s="137"/>
      <c r="EVL78" s="137"/>
      <c r="EVM78" s="137"/>
      <c r="EVN78" s="137"/>
      <c r="EVO78" s="137"/>
      <c r="EVP78" s="137"/>
      <c r="EVQ78" s="137"/>
      <c r="EVR78" s="137"/>
      <c r="EVS78" s="137"/>
      <c r="EVT78" s="137"/>
      <c r="EVU78" s="137"/>
      <c r="EVV78" s="137"/>
      <c r="EVW78" s="137"/>
      <c r="EVX78" s="137"/>
      <c r="EVY78" s="137"/>
      <c r="EVZ78" s="137"/>
      <c r="EWA78" s="137"/>
      <c r="EWB78" s="137"/>
      <c r="EWC78" s="137"/>
      <c r="EWD78" s="137"/>
      <c r="EWE78" s="137"/>
      <c r="EWF78" s="137"/>
      <c r="EWG78" s="137"/>
      <c r="EWH78" s="137"/>
      <c r="EWI78" s="137"/>
      <c r="EWJ78" s="137"/>
      <c r="EWK78" s="137"/>
      <c r="EWL78" s="137"/>
      <c r="EWM78" s="137"/>
      <c r="EWN78" s="137"/>
      <c r="EWO78" s="137"/>
      <c r="EWP78" s="137"/>
      <c r="EWQ78" s="137"/>
      <c r="EWR78" s="137"/>
      <c r="EWS78" s="137"/>
      <c r="EWT78" s="137"/>
      <c r="EWU78" s="137"/>
      <c r="EWV78" s="137"/>
      <c r="EWW78" s="137"/>
      <c r="EWX78" s="137"/>
      <c r="EWY78" s="137"/>
      <c r="EWZ78" s="137"/>
      <c r="EXA78" s="137"/>
      <c r="EXB78" s="137"/>
      <c r="EXC78" s="137"/>
      <c r="EXD78" s="137"/>
      <c r="EXE78" s="137"/>
      <c r="EXF78" s="137"/>
      <c r="EXG78" s="137"/>
      <c r="EXH78" s="137"/>
      <c r="EXI78" s="137"/>
      <c r="EXJ78" s="137"/>
      <c r="EXK78" s="137"/>
      <c r="EXL78" s="137"/>
      <c r="EXM78" s="137"/>
      <c r="EXN78" s="137"/>
      <c r="EXO78" s="137"/>
      <c r="EXP78" s="137"/>
      <c r="EXQ78" s="137"/>
      <c r="EXR78" s="137"/>
      <c r="EXS78" s="137"/>
      <c r="EXT78" s="137"/>
      <c r="EXU78" s="137"/>
      <c r="EXV78" s="137"/>
      <c r="EXW78" s="137"/>
      <c r="EXX78" s="137"/>
      <c r="EXY78" s="137"/>
      <c r="EXZ78" s="137"/>
      <c r="EYA78" s="137"/>
      <c r="EYB78" s="137"/>
      <c r="EYC78" s="137"/>
      <c r="EYD78" s="137"/>
      <c r="EYE78" s="137"/>
      <c r="EYF78" s="137"/>
      <c r="EYG78" s="137"/>
      <c r="EYH78" s="137"/>
      <c r="EYI78" s="137"/>
      <c r="EYJ78" s="137"/>
      <c r="EYK78" s="137"/>
      <c r="EYL78" s="137"/>
      <c r="EYM78" s="137"/>
      <c r="EYN78" s="137"/>
      <c r="EYO78" s="137"/>
      <c r="EYP78" s="137"/>
      <c r="EYQ78" s="137"/>
      <c r="EYR78" s="137"/>
      <c r="EYS78" s="137"/>
      <c r="EYT78" s="137"/>
      <c r="EYU78" s="137"/>
      <c r="EYV78" s="137"/>
      <c r="EYW78" s="137"/>
      <c r="EYX78" s="137"/>
      <c r="EYY78" s="137"/>
      <c r="EYZ78" s="137"/>
      <c r="EZA78" s="137"/>
      <c r="EZB78" s="137"/>
      <c r="EZC78" s="137"/>
      <c r="EZD78" s="137"/>
      <c r="EZE78" s="137"/>
      <c r="EZF78" s="137"/>
      <c r="EZG78" s="137"/>
      <c r="EZH78" s="137"/>
      <c r="EZI78" s="137"/>
      <c r="EZJ78" s="137"/>
      <c r="EZK78" s="137"/>
      <c r="EZL78" s="137"/>
      <c r="EZM78" s="137"/>
      <c r="EZN78" s="137"/>
      <c r="EZO78" s="137"/>
      <c r="EZP78" s="137"/>
      <c r="EZQ78" s="137"/>
      <c r="EZR78" s="137"/>
      <c r="EZS78" s="137"/>
      <c r="EZT78" s="137"/>
      <c r="EZU78" s="137"/>
      <c r="EZV78" s="137"/>
      <c r="EZW78" s="137"/>
      <c r="EZX78" s="137"/>
      <c r="EZY78" s="137"/>
      <c r="EZZ78" s="137"/>
      <c r="FAA78" s="137"/>
      <c r="FAB78" s="137"/>
      <c r="FAC78" s="137"/>
      <c r="FAD78" s="137"/>
      <c r="FAE78" s="137"/>
      <c r="FAF78" s="137"/>
      <c r="FAG78" s="137"/>
      <c r="FAH78" s="137"/>
      <c r="FAI78" s="137"/>
      <c r="FAJ78" s="137"/>
      <c r="FAK78" s="137"/>
      <c r="FAL78" s="137"/>
      <c r="FAM78" s="137"/>
      <c r="FAN78" s="137"/>
      <c r="FAO78" s="137"/>
      <c r="FAP78" s="137"/>
      <c r="FAQ78" s="137"/>
      <c r="FAR78" s="137"/>
      <c r="FAS78" s="137"/>
      <c r="FAT78" s="137"/>
      <c r="FAU78" s="137"/>
      <c r="FAV78" s="137"/>
      <c r="FAW78" s="137"/>
      <c r="FAX78" s="137"/>
      <c r="FAY78" s="137"/>
      <c r="FAZ78" s="137"/>
      <c r="FBA78" s="137"/>
      <c r="FBB78" s="137"/>
      <c r="FBC78" s="137"/>
      <c r="FBD78" s="137"/>
      <c r="FBE78" s="137"/>
      <c r="FBF78" s="137"/>
      <c r="FBG78" s="137"/>
      <c r="FBH78" s="137"/>
      <c r="FBI78" s="137"/>
      <c r="FBJ78" s="137"/>
      <c r="FBK78" s="137"/>
      <c r="FBL78" s="137"/>
      <c r="FBM78" s="137"/>
      <c r="FBN78" s="137"/>
      <c r="FBO78" s="137"/>
      <c r="FBP78" s="137"/>
      <c r="FBQ78" s="137"/>
      <c r="FBR78" s="137"/>
      <c r="FBS78" s="137"/>
      <c r="FBT78" s="137"/>
      <c r="FBU78" s="137"/>
      <c r="FBV78" s="137"/>
      <c r="FBW78" s="137"/>
      <c r="FBX78" s="137"/>
      <c r="FBY78" s="137"/>
      <c r="FBZ78" s="137"/>
      <c r="FCA78" s="137"/>
      <c r="FCB78" s="137"/>
      <c r="FCC78" s="137"/>
      <c r="FCD78" s="137"/>
      <c r="FCE78" s="137"/>
      <c r="FCF78" s="137"/>
      <c r="FCG78" s="137"/>
      <c r="FCH78" s="137"/>
      <c r="FCI78" s="137"/>
      <c r="FCJ78" s="137"/>
      <c r="FCK78" s="137"/>
      <c r="FCL78" s="137"/>
      <c r="FCM78" s="137"/>
      <c r="FCN78" s="137"/>
      <c r="FCO78" s="137"/>
      <c r="FCP78" s="137"/>
      <c r="FCQ78" s="137"/>
      <c r="FCR78" s="137"/>
      <c r="FCS78" s="137"/>
      <c r="FCT78" s="137"/>
      <c r="FCU78" s="137"/>
      <c r="FCV78" s="137"/>
      <c r="FCW78" s="137"/>
      <c r="FCX78" s="137"/>
      <c r="FCY78" s="137"/>
      <c r="FCZ78" s="137"/>
      <c r="FDA78" s="137"/>
      <c r="FDB78" s="137"/>
      <c r="FDC78" s="137"/>
      <c r="FDD78" s="137"/>
      <c r="FDE78" s="137"/>
      <c r="FDF78" s="137"/>
      <c r="FDG78" s="137"/>
      <c r="FDH78" s="137"/>
      <c r="FDI78" s="137"/>
      <c r="FDJ78" s="137"/>
      <c r="FDK78" s="137"/>
      <c r="FDL78" s="137"/>
      <c r="FDM78" s="137"/>
      <c r="FDN78" s="137"/>
      <c r="FDO78" s="137"/>
      <c r="FDP78" s="137"/>
      <c r="FDQ78" s="137"/>
      <c r="FDR78" s="137"/>
      <c r="FDS78" s="137"/>
      <c r="FDT78" s="137"/>
      <c r="FDU78" s="137"/>
      <c r="FDV78" s="137"/>
      <c r="FDW78" s="137"/>
      <c r="FDX78" s="137"/>
      <c r="FDY78" s="137"/>
      <c r="FDZ78" s="137"/>
      <c r="FEA78" s="137"/>
      <c r="FEB78" s="137"/>
      <c r="FEC78" s="137"/>
      <c r="FED78" s="137"/>
      <c r="FEE78" s="137"/>
      <c r="FEF78" s="137"/>
      <c r="FEG78" s="137"/>
      <c r="FEH78" s="137"/>
      <c r="FEI78" s="137"/>
      <c r="FEJ78" s="137"/>
      <c r="FEK78" s="137"/>
      <c r="FEL78" s="137"/>
      <c r="FEM78" s="137"/>
      <c r="FEN78" s="137"/>
      <c r="FEO78" s="137"/>
      <c r="FEP78" s="137"/>
      <c r="FEQ78" s="137"/>
      <c r="FER78" s="137"/>
      <c r="FES78" s="137"/>
      <c r="FET78" s="137"/>
      <c r="FEU78" s="137"/>
      <c r="FEV78" s="137"/>
      <c r="FEW78" s="137"/>
      <c r="FEX78" s="137"/>
      <c r="FEY78" s="137"/>
      <c r="FEZ78" s="137"/>
      <c r="FFA78" s="137"/>
      <c r="FFB78" s="137"/>
      <c r="FFC78" s="137"/>
      <c r="FFD78" s="137"/>
      <c r="FFE78" s="137"/>
      <c r="FFF78" s="137"/>
      <c r="FFG78" s="137"/>
      <c r="FFH78" s="137"/>
      <c r="FFI78" s="137"/>
      <c r="FFJ78" s="137"/>
      <c r="FFK78" s="137"/>
      <c r="FFL78" s="137"/>
      <c r="FFM78" s="137"/>
      <c r="FFN78" s="137"/>
      <c r="FFO78" s="137"/>
      <c r="FFP78" s="137"/>
      <c r="FFQ78" s="137"/>
      <c r="FFR78" s="137"/>
      <c r="FFS78" s="137"/>
      <c r="FFT78" s="137"/>
      <c r="FFU78" s="137"/>
      <c r="FFV78" s="137"/>
      <c r="FFW78" s="137"/>
      <c r="FFX78" s="137"/>
      <c r="FFY78" s="137"/>
      <c r="FFZ78" s="137"/>
      <c r="FGA78" s="137"/>
      <c r="FGB78" s="137"/>
      <c r="FGC78" s="137"/>
      <c r="FGD78" s="137"/>
      <c r="FGE78" s="137"/>
      <c r="FGF78" s="137"/>
      <c r="FGG78" s="137"/>
      <c r="FGH78" s="137"/>
      <c r="FGI78" s="137"/>
      <c r="FGJ78" s="137"/>
      <c r="FGK78" s="137"/>
      <c r="FGL78" s="137"/>
      <c r="FGM78" s="137"/>
      <c r="FGN78" s="137"/>
      <c r="FGO78" s="137"/>
      <c r="FGP78" s="137"/>
      <c r="FGQ78" s="137"/>
      <c r="FGR78" s="137"/>
      <c r="FGS78" s="137"/>
      <c r="FGT78" s="137"/>
      <c r="FGU78" s="137"/>
      <c r="FGV78" s="137"/>
      <c r="FGW78" s="137"/>
      <c r="FGX78" s="137"/>
      <c r="FGY78" s="137"/>
      <c r="FGZ78" s="137"/>
      <c r="FHA78" s="137"/>
      <c r="FHB78" s="137"/>
      <c r="FHC78" s="137"/>
      <c r="FHD78" s="137"/>
      <c r="FHE78" s="137"/>
      <c r="FHF78" s="137"/>
      <c r="FHG78" s="137"/>
      <c r="FHH78" s="137"/>
      <c r="FHI78" s="137"/>
      <c r="FHJ78" s="137"/>
      <c r="FHK78" s="137"/>
      <c r="FHL78" s="137"/>
      <c r="FHM78" s="137"/>
      <c r="FHN78" s="137"/>
      <c r="FHO78" s="137"/>
      <c r="FHP78" s="137"/>
      <c r="FHQ78" s="137"/>
      <c r="FHR78" s="137"/>
      <c r="FHS78" s="137"/>
      <c r="FHT78" s="137"/>
      <c r="FHU78" s="137"/>
      <c r="FHV78" s="137"/>
      <c r="FHW78" s="137"/>
      <c r="FHX78" s="137"/>
      <c r="FHY78" s="137"/>
      <c r="FHZ78" s="137"/>
      <c r="FIA78" s="137"/>
      <c r="FIB78" s="137"/>
      <c r="FIC78" s="137"/>
      <c r="FID78" s="137"/>
      <c r="FIE78" s="137"/>
      <c r="FIF78" s="137"/>
      <c r="FIG78" s="137"/>
      <c r="FIH78" s="137"/>
      <c r="FII78" s="137"/>
      <c r="FIJ78" s="137"/>
      <c r="FIK78" s="137"/>
      <c r="FIL78" s="137"/>
      <c r="FIM78" s="137"/>
      <c r="FIN78" s="137"/>
      <c r="FIO78" s="137"/>
      <c r="FIP78" s="137"/>
      <c r="FIQ78" s="137"/>
      <c r="FIR78" s="137"/>
      <c r="FIS78" s="137"/>
      <c r="FIT78" s="137"/>
      <c r="FIU78" s="137"/>
      <c r="FIV78" s="137"/>
      <c r="FIW78" s="137"/>
      <c r="FIX78" s="137"/>
      <c r="FIY78" s="137"/>
      <c r="FIZ78" s="137"/>
      <c r="FJA78" s="137"/>
      <c r="FJB78" s="137"/>
      <c r="FJC78" s="137"/>
      <c r="FJD78" s="137"/>
      <c r="FJE78" s="137"/>
      <c r="FJF78" s="137"/>
      <c r="FJG78" s="137"/>
      <c r="FJH78" s="137"/>
      <c r="FJI78" s="137"/>
      <c r="FJJ78" s="137"/>
      <c r="FJK78" s="137"/>
      <c r="FJL78" s="137"/>
      <c r="FJM78" s="137"/>
      <c r="FJN78" s="137"/>
      <c r="FJO78" s="137"/>
      <c r="FJP78" s="137"/>
      <c r="FJQ78" s="137"/>
      <c r="FJR78" s="137"/>
      <c r="FJS78" s="137"/>
      <c r="FJT78" s="137"/>
      <c r="FJU78" s="137"/>
      <c r="FJV78" s="137"/>
      <c r="FJW78" s="137"/>
      <c r="FJX78" s="137"/>
      <c r="FJY78" s="137"/>
      <c r="FJZ78" s="137"/>
      <c r="FKA78" s="137"/>
      <c r="FKB78" s="137"/>
      <c r="FKC78" s="137"/>
      <c r="FKD78" s="137"/>
      <c r="FKE78" s="137"/>
      <c r="FKF78" s="137"/>
      <c r="FKG78" s="137"/>
      <c r="FKH78" s="137"/>
      <c r="FKI78" s="137"/>
      <c r="FKJ78" s="137"/>
      <c r="FKK78" s="137"/>
      <c r="FKL78" s="137"/>
      <c r="FKM78" s="137"/>
      <c r="FKN78" s="137"/>
      <c r="FKO78" s="137"/>
      <c r="FKP78" s="137"/>
      <c r="FKQ78" s="137"/>
      <c r="FKR78" s="137"/>
      <c r="FKS78" s="137"/>
      <c r="FKT78" s="137"/>
      <c r="FKU78" s="137"/>
      <c r="FKV78" s="137"/>
      <c r="FKW78" s="137"/>
      <c r="FKX78" s="137"/>
      <c r="FKY78" s="137"/>
      <c r="FKZ78" s="137"/>
      <c r="FLA78" s="137"/>
      <c r="FLB78" s="137"/>
      <c r="FLC78" s="137"/>
      <c r="FLD78" s="137"/>
      <c r="FLE78" s="137"/>
      <c r="FLF78" s="137"/>
      <c r="FLG78" s="137"/>
      <c r="FLH78" s="137"/>
      <c r="FLI78" s="137"/>
      <c r="FLJ78" s="137"/>
      <c r="FLK78" s="137"/>
      <c r="FLL78" s="137"/>
      <c r="FLM78" s="137"/>
      <c r="FLN78" s="137"/>
      <c r="FLO78" s="137"/>
      <c r="FLP78" s="137"/>
      <c r="FLQ78" s="137"/>
      <c r="FLR78" s="137"/>
      <c r="FLS78" s="137"/>
      <c r="FLT78" s="137"/>
      <c r="FLU78" s="137"/>
      <c r="FLV78" s="137"/>
      <c r="FLW78" s="137"/>
      <c r="FLX78" s="137"/>
      <c r="FLY78" s="137"/>
      <c r="FLZ78" s="137"/>
      <c r="FMA78" s="137"/>
      <c r="FMB78" s="137"/>
      <c r="FMC78" s="137"/>
      <c r="FMD78" s="137"/>
      <c r="FME78" s="137"/>
      <c r="FMF78" s="137"/>
      <c r="FMG78" s="137"/>
      <c r="FMH78" s="137"/>
      <c r="FMI78" s="137"/>
      <c r="FMJ78" s="137"/>
      <c r="FMK78" s="137"/>
      <c r="FML78" s="137"/>
      <c r="FMM78" s="137"/>
      <c r="FMN78" s="137"/>
      <c r="FMO78" s="137"/>
      <c r="FMP78" s="137"/>
      <c r="FMQ78" s="137"/>
      <c r="FMR78" s="137"/>
      <c r="FMS78" s="137"/>
      <c r="FMT78" s="137"/>
      <c r="FMU78" s="137"/>
      <c r="FMV78" s="137"/>
      <c r="FMW78" s="137"/>
      <c r="FMX78" s="137"/>
      <c r="FMY78" s="137"/>
      <c r="FMZ78" s="137"/>
      <c r="FNA78" s="137"/>
      <c r="FNB78" s="137"/>
      <c r="FNC78" s="137"/>
      <c r="FND78" s="137"/>
      <c r="FNE78" s="137"/>
      <c r="FNF78" s="137"/>
      <c r="FNG78" s="137"/>
      <c r="FNH78" s="137"/>
      <c r="FNI78" s="137"/>
      <c r="FNJ78" s="137"/>
      <c r="FNK78" s="137"/>
      <c r="FNL78" s="137"/>
      <c r="FNM78" s="137"/>
      <c r="FNN78" s="137"/>
      <c r="FNO78" s="137"/>
      <c r="FNP78" s="137"/>
      <c r="FNQ78" s="137"/>
      <c r="FNR78" s="137"/>
      <c r="FNS78" s="137"/>
      <c r="FNT78" s="137"/>
      <c r="FNU78" s="137"/>
      <c r="FNV78" s="137"/>
      <c r="FNW78" s="137"/>
      <c r="FNX78" s="137"/>
      <c r="FNY78" s="137"/>
      <c r="FNZ78" s="137"/>
      <c r="FOA78" s="137"/>
      <c r="FOB78" s="137"/>
      <c r="FOC78" s="137"/>
      <c r="FOD78" s="137"/>
      <c r="FOE78" s="137"/>
      <c r="FOF78" s="137"/>
      <c r="FOG78" s="137"/>
      <c r="FOH78" s="137"/>
      <c r="FOI78" s="137"/>
      <c r="FOJ78" s="137"/>
      <c r="FOK78" s="137"/>
      <c r="FOL78" s="137"/>
      <c r="FOM78" s="137"/>
      <c r="FON78" s="137"/>
      <c r="FOO78" s="137"/>
      <c r="FOP78" s="137"/>
      <c r="FOQ78" s="137"/>
      <c r="FOR78" s="137"/>
      <c r="FOS78" s="137"/>
      <c r="FOT78" s="137"/>
      <c r="FOU78" s="137"/>
      <c r="FOV78" s="137"/>
      <c r="FOW78" s="137"/>
      <c r="FOX78" s="137"/>
      <c r="FOY78" s="137"/>
      <c r="FOZ78" s="137"/>
      <c r="FPA78" s="137"/>
      <c r="FPB78" s="137"/>
      <c r="FPC78" s="137"/>
      <c r="FPD78" s="137"/>
      <c r="FPE78" s="137"/>
      <c r="FPF78" s="137"/>
      <c r="FPG78" s="137"/>
      <c r="FPH78" s="137"/>
      <c r="FPI78" s="137"/>
      <c r="FPJ78" s="137"/>
      <c r="FPK78" s="137"/>
      <c r="FPL78" s="137"/>
      <c r="FPM78" s="137"/>
      <c r="FPN78" s="137"/>
      <c r="FPO78" s="137"/>
      <c r="FPP78" s="137"/>
      <c r="FPQ78" s="137"/>
      <c r="FPR78" s="137"/>
      <c r="FPS78" s="137"/>
      <c r="FPT78" s="137"/>
      <c r="FPU78" s="137"/>
      <c r="FPV78" s="137"/>
      <c r="FPW78" s="137"/>
      <c r="FPX78" s="137"/>
      <c r="FPY78" s="137"/>
      <c r="FPZ78" s="137"/>
      <c r="FQA78" s="137"/>
      <c r="FQB78" s="137"/>
      <c r="FQC78" s="137"/>
      <c r="FQD78" s="137"/>
      <c r="FQE78" s="137"/>
      <c r="FQF78" s="137"/>
      <c r="FQG78" s="137"/>
      <c r="FQH78" s="137"/>
      <c r="FQI78" s="137"/>
      <c r="FQJ78" s="137"/>
      <c r="FQK78" s="137"/>
      <c r="FQL78" s="137"/>
      <c r="FQM78" s="137"/>
      <c r="FQN78" s="137"/>
      <c r="FQO78" s="137"/>
      <c r="FQP78" s="137"/>
      <c r="FQQ78" s="137"/>
      <c r="FQR78" s="137"/>
      <c r="FQS78" s="137"/>
      <c r="FQT78" s="137"/>
      <c r="FQU78" s="137"/>
      <c r="FQV78" s="137"/>
      <c r="FQW78" s="137"/>
      <c r="FQX78" s="137"/>
      <c r="FQY78" s="137"/>
      <c r="FQZ78" s="137"/>
      <c r="FRA78" s="137"/>
      <c r="FRB78" s="137"/>
      <c r="FRC78" s="137"/>
      <c r="FRD78" s="137"/>
      <c r="FRE78" s="137"/>
      <c r="FRF78" s="137"/>
      <c r="FRG78" s="137"/>
      <c r="FRH78" s="137"/>
      <c r="FRI78" s="137"/>
      <c r="FRJ78" s="137"/>
      <c r="FRK78" s="137"/>
      <c r="FRL78" s="137"/>
      <c r="FRM78" s="137"/>
      <c r="FRN78" s="137"/>
      <c r="FRO78" s="137"/>
      <c r="FRP78" s="137"/>
      <c r="FRQ78" s="137"/>
      <c r="FRR78" s="137"/>
      <c r="FRS78" s="137"/>
      <c r="FRT78" s="137"/>
      <c r="FRU78" s="137"/>
      <c r="FRV78" s="137"/>
      <c r="FRW78" s="137"/>
      <c r="FRX78" s="137"/>
      <c r="FRY78" s="137"/>
      <c r="FRZ78" s="137"/>
      <c r="FSA78" s="137"/>
      <c r="FSB78" s="137"/>
      <c r="FSC78" s="137"/>
      <c r="FSD78" s="137"/>
      <c r="FSE78" s="137"/>
      <c r="FSF78" s="137"/>
      <c r="FSG78" s="137"/>
      <c r="FSH78" s="137"/>
      <c r="FSI78" s="137"/>
      <c r="FSJ78" s="137"/>
      <c r="FSK78" s="137"/>
      <c r="FSL78" s="137"/>
      <c r="FSM78" s="137"/>
      <c r="FSN78" s="137"/>
      <c r="FSO78" s="137"/>
      <c r="FSP78" s="137"/>
      <c r="FSQ78" s="137"/>
      <c r="FSR78" s="137"/>
      <c r="FSS78" s="137"/>
      <c r="FST78" s="137"/>
      <c r="FSU78" s="137"/>
      <c r="FSV78" s="137"/>
      <c r="FSW78" s="137"/>
      <c r="FSX78" s="137"/>
      <c r="FSY78" s="137"/>
      <c r="FSZ78" s="137"/>
      <c r="FTA78" s="137"/>
      <c r="FTB78" s="137"/>
      <c r="FTC78" s="137"/>
      <c r="FTD78" s="137"/>
      <c r="FTE78" s="137"/>
      <c r="FTF78" s="137"/>
      <c r="FTG78" s="137"/>
      <c r="FTH78" s="137"/>
      <c r="FTI78" s="137"/>
      <c r="FTJ78" s="137"/>
      <c r="FTK78" s="137"/>
      <c r="FTL78" s="137"/>
      <c r="FTM78" s="137"/>
      <c r="FTN78" s="137"/>
      <c r="FTO78" s="137"/>
      <c r="FTP78" s="137"/>
      <c r="FTQ78" s="137"/>
      <c r="FTR78" s="137"/>
      <c r="FTS78" s="137"/>
      <c r="FTT78" s="137"/>
      <c r="FTU78" s="137"/>
      <c r="FTV78" s="137"/>
      <c r="FTW78" s="137"/>
      <c r="FTX78" s="137"/>
      <c r="FTY78" s="137"/>
      <c r="FTZ78" s="137"/>
      <c r="FUA78" s="137"/>
      <c r="FUB78" s="137"/>
      <c r="FUC78" s="137"/>
      <c r="FUD78" s="137"/>
      <c r="FUE78" s="137"/>
      <c r="FUF78" s="137"/>
      <c r="FUG78" s="137"/>
      <c r="FUH78" s="137"/>
      <c r="FUI78" s="137"/>
      <c r="FUJ78" s="137"/>
      <c r="FUK78" s="137"/>
      <c r="FUL78" s="137"/>
      <c r="FUM78" s="137"/>
      <c r="FUN78" s="137"/>
      <c r="FUO78" s="137"/>
      <c r="FUP78" s="137"/>
      <c r="FUQ78" s="137"/>
      <c r="FUR78" s="137"/>
      <c r="FUS78" s="137"/>
      <c r="FUT78" s="137"/>
      <c r="FUU78" s="137"/>
      <c r="FUV78" s="137"/>
      <c r="FUW78" s="137"/>
      <c r="FUX78" s="137"/>
      <c r="FUY78" s="137"/>
      <c r="FUZ78" s="137"/>
      <c r="FVA78" s="137"/>
      <c r="FVB78" s="137"/>
      <c r="FVC78" s="137"/>
      <c r="FVD78" s="137"/>
      <c r="FVE78" s="137"/>
      <c r="FVF78" s="137"/>
      <c r="FVG78" s="137"/>
      <c r="FVH78" s="137"/>
      <c r="FVI78" s="137"/>
      <c r="FVJ78" s="137"/>
      <c r="FVK78" s="137"/>
      <c r="FVL78" s="137"/>
      <c r="FVM78" s="137"/>
      <c r="FVN78" s="137"/>
      <c r="FVO78" s="137"/>
      <c r="FVP78" s="137"/>
      <c r="FVQ78" s="137"/>
      <c r="FVR78" s="137"/>
      <c r="FVS78" s="137"/>
      <c r="FVT78" s="137"/>
      <c r="FVU78" s="137"/>
      <c r="FVV78" s="137"/>
      <c r="FVW78" s="137"/>
      <c r="FVX78" s="137"/>
      <c r="FVY78" s="137"/>
      <c r="FVZ78" s="137"/>
      <c r="FWA78" s="137"/>
      <c r="FWB78" s="137"/>
      <c r="FWC78" s="137"/>
      <c r="FWD78" s="137"/>
      <c r="FWE78" s="137"/>
      <c r="FWF78" s="137"/>
      <c r="FWG78" s="137"/>
      <c r="FWH78" s="137"/>
      <c r="FWI78" s="137"/>
      <c r="FWJ78" s="137"/>
      <c r="FWK78" s="137"/>
      <c r="FWL78" s="137"/>
      <c r="FWM78" s="137"/>
      <c r="FWN78" s="137"/>
      <c r="FWO78" s="137"/>
      <c r="FWP78" s="137"/>
      <c r="FWQ78" s="137"/>
      <c r="FWR78" s="137"/>
      <c r="FWS78" s="137"/>
      <c r="FWT78" s="137"/>
      <c r="FWU78" s="137"/>
      <c r="FWV78" s="137"/>
      <c r="FWW78" s="137"/>
      <c r="FWX78" s="137"/>
      <c r="FWY78" s="137"/>
      <c r="FWZ78" s="137"/>
      <c r="FXA78" s="137"/>
      <c r="FXB78" s="137"/>
      <c r="FXC78" s="137"/>
      <c r="FXD78" s="137"/>
      <c r="FXE78" s="137"/>
      <c r="FXF78" s="137"/>
      <c r="FXG78" s="137"/>
      <c r="FXH78" s="137"/>
      <c r="FXI78" s="137"/>
      <c r="FXJ78" s="137"/>
      <c r="FXK78" s="137"/>
      <c r="FXL78" s="137"/>
      <c r="FXM78" s="137"/>
      <c r="FXN78" s="137"/>
      <c r="FXO78" s="137"/>
      <c r="FXP78" s="137"/>
      <c r="FXQ78" s="137"/>
      <c r="FXR78" s="137"/>
      <c r="FXS78" s="137"/>
      <c r="FXT78" s="137"/>
      <c r="FXU78" s="137"/>
      <c r="FXV78" s="137"/>
      <c r="FXW78" s="137"/>
      <c r="FXX78" s="137"/>
      <c r="FXY78" s="137"/>
      <c r="FXZ78" s="137"/>
      <c r="FYA78" s="137"/>
      <c r="FYB78" s="137"/>
      <c r="FYC78" s="137"/>
      <c r="FYD78" s="137"/>
      <c r="FYE78" s="137"/>
      <c r="FYF78" s="137"/>
      <c r="FYG78" s="137"/>
      <c r="FYH78" s="137"/>
      <c r="FYI78" s="137"/>
      <c r="FYJ78" s="137"/>
      <c r="FYK78" s="137"/>
      <c r="FYL78" s="137"/>
      <c r="FYM78" s="137"/>
      <c r="FYN78" s="137"/>
      <c r="FYO78" s="137"/>
      <c r="FYP78" s="137"/>
      <c r="FYQ78" s="137"/>
      <c r="FYR78" s="137"/>
      <c r="FYS78" s="137"/>
      <c r="FYT78" s="137"/>
      <c r="FYU78" s="137"/>
      <c r="FYV78" s="137"/>
      <c r="FYW78" s="137"/>
      <c r="FYX78" s="137"/>
      <c r="FYY78" s="137"/>
      <c r="FYZ78" s="137"/>
      <c r="FZA78" s="137"/>
      <c r="FZB78" s="137"/>
      <c r="FZC78" s="137"/>
      <c r="FZD78" s="137"/>
      <c r="FZE78" s="137"/>
      <c r="FZF78" s="137"/>
      <c r="FZG78" s="137"/>
      <c r="FZH78" s="137"/>
      <c r="FZI78" s="137"/>
      <c r="FZJ78" s="137"/>
      <c r="FZK78" s="137"/>
      <c r="FZL78" s="137"/>
      <c r="FZM78" s="137"/>
      <c r="FZN78" s="137"/>
      <c r="FZO78" s="137"/>
      <c r="FZP78" s="137"/>
      <c r="FZQ78" s="137"/>
      <c r="FZR78" s="137"/>
      <c r="FZS78" s="137"/>
      <c r="FZT78" s="137"/>
      <c r="FZU78" s="137"/>
      <c r="FZV78" s="137"/>
      <c r="FZW78" s="137"/>
      <c r="FZX78" s="137"/>
      <c r="FZY78" s="137"/>
      <c r="FZZ78" s="137"/>
      <c r="GAA78" s="137"/>
      <c r="GAB78" s="137"/>
      <c r="GAC78" s="137"/>
      <c r="GAD78" s="137"/>
      <c r="GAE78" s="137"/>
      <c r="GAF78" s="137"/>
      <c r="GAG78" s="137"/>
      <c r="GAH78" s="137"/>
      <c r="GAI78" s="137"/>
      <c r="GAJ78" s="137"/>
      <c r="GAK78" s="137"/>
      <c r="GAL78" s="137"/>
      <c r="GAM78" s="137"/>
      <c r="GAN78" s="137"/>
      <c r="GAO78" s="137"/>
      <c r="GAP78" s="137"/>
      <c r="GAQ78" s="137"/>
      <c r="GAR78" s="137"/>
      <c r="GAS78" s="137"/>
      <c r="GAT78" s="137"/>
      <c r="GAU78" s="137"/>
      <c r="GAV78" s="137"/>
      <c r="GAW78" s="137"/>
      <c r="GAX78" s="137"/>
      <c r="GAY78" s="137"/>
      <c r="GAZ78" s="137"/>
      <c r="GBA78" s="137"/>
      <c r="GBB78" s="137"/>
      <c r="GBC78" s="137"/>
      <c r="GBD78" s="137"/>
      <c r="GBE78" s="137"/>
      <c r="GBF78" s="137"/>
      <c r="GBG78" s="137"/>
      <c r="GBH78" s="137"/>
      <c r="GBI78" s="137"/>
      <c r="GBJ78" s="137"/>
      <c r="GBK78" s="137"/>
      <c r="GBL78" s="137"/>
      <c r="GBM78" s="137"/>
      <c r="GBN78" s="137"/>
      <c r="GBO78" s="137"/>
      <c r="GBP78" s="137"/>
      <c r="GBQ78" s="137"/>
      <c r="GBR78" s="137"/>
      <c r="GBS78" s="137"/>
      <c r="GBT78" s="137"/>
      <c r="GBU78" s="137"/>
      <c r="GBV78" s="137"/>
      <c r="GBW78" s="137"/>
      <c r="GBX78" s="137"/>
      <c r="GBY78" s="137"/>
      <c r="GBZ78" s="137"/>
      <c r="GCA78" s="137"/>
      <c r="GCB78" s="137"/>
      <c r="GCC78" s="137"/>
      <c r="GCD78" s="137"/>
      <c r="GCE78" s="137"/>
      <c r="GCF78" s="137"/>
      <c r="GCG78" s="137"/>
      <c r="GCH78" s="137"/>
      <c r="GCI78" s="137"/>
      <c r="GCJ78" s="137"/>
      <c r="GCK78" s="137"/>
      <c r="GCL78" s="137"/>
      <c r="GCM78" s="137"/>
      <c r="GCN78" s="137"/>
      <c r="GCO78" s="137"/>
      <c r="GCP78" s="137"/>
      <c r="GCQ78" s="137"/>
      <c r="GCR78" s="137"/>
      <c r="GCS78" s="137"/>
      <c r="GCT78" s="137"/>
      <c r="GCU78" s="137"/>
      <c r="GCV78" s="137"/>
      <c r="GCW78" s="137"/>
      <c r="GCX78" s="137"/>
      <c r="GCY78" s="137"/>
      <c r="GCZ78" s="137"/>
      <c r="GDA78" s="137"/>
      <c r="GDB78" s="137"/>
      <c r="GDC78" s="137"/>
      <c r="GDD78" s="137"/>
      <c r="GDE78" s="137"/>
      <c r="GDF78" s="137"/>
      <c r="GDG78" s="137"/>
      <c r="GDH78" s="137"/>
      <c r="GDI78" s="137"/>
      <c r="GDJ78" s="137"/>
      <c r="GDK78" s="137"/>
      <c r="GDL78" s="137"/>
      <c r="GDM78" s="137"/>
      <c r="GDN78" s="137"/>
      <c r="GDO78" s="137"/>
      <c r="GDP78" s="137"/>
      <c r="GDQ78" s="137"/>
      <c r="GDR78" s="137"/>
      <c r="GDS78" s="137"/>
      <c r="GDT78" s="137"/>
      <c r="GDU78" s="137"/>
      <c r="GDV78" s="137"/>
      <c r="GDW78" s="137"/>
      <c r="GDX78" s="137"/>
      <c r="GDY78" s="137"/>
      <c r="GDZ78" s="137"/>
      <c r="GEA78" s="137"/>
      <c r="GEB78" s="137"/>
      <c r="GEC78" s="137"/>
      <c r="GED78" s="137"/>
      <c r="GEE78" s="137"/>
      <c r="GEF78" s="137"/>
      <c r="GEG78" s="137"/>
      <c r="GEH78" s="137"/>
      <c r="GEI78" s="137"/>
      <c r="GEJ78" s="137"/>
      <c r="GEK78" s="137"/>
      <c r="GEL78" s="137"/>
      <c r="GEM78" s="137"/>
      <c r="GEN78" s="137"/>
      <c r="GEO78" s="137"/>
      <c r="GEP78" s="137"/>
      <c r="GEQ78" s="137"/>
      <c r="GER78" s="137"/>
      <c r="GES78" s="137"/>
      <c r="GET78" s="137"/>
      <c r="GEU78" s="137"/>
      <c r="GEV78" s="137"/>
      <c r="GEW78" s="137"/>
      <c r="GEX78" s="137"/>
      <c r="GEY78" s="137"/>
      <c r="GEZ78" s="137"/>
      <c r="GFA78" s="137"/>
      <c r="GFB78" s="137"/>
      <c r="GFC78" s="137"/>
      <c r="GFD78" s="137"/>
      <c r="GFE78" s="137"/>
      <c r="GFF78" s="137"/>
      <c r="GFG78" s="137"/>
      <c r="GFH78" s="137"/>
      <c r="GFI78" s="137"/>
      <c r="GFJ78" s="137"/>
      <c r="GFK78" s="137"/>
      <c r="GFL78" s="137"/>
      <c r="GFM78" s="137"/>
      <c r="GFN78" s="137"/>
      <c r="GFO78" s="137"/>
      <c r="GFP78" s="137"/>
      <c r="GFQ78" s="137"/>
      <c r="GFR78" s="137"/>
      <c r="GFS78" s="137"/>
      <c r="GFT78" s="137"/>
      <c r="GFU78" s="137"/>
      <c r="GFV78" s="137"/>
      <c r="GFW78" s="137"/>
      <c r="GFX78" s="137"/>
      <c r="GFY78" s="137"/>
      <c r="GFZ78" s="137"/>
      <c r="GGA78" s="137"/>
      <c r="GGB78" s="137"/>
      <c r="GGC78" s="137"/>
      <c r="GGD78" s="137"/>
      <c r="GGE78" s="137"/>
      <c r="GGF78" s="137"/>
      <c r="GGG78" s="137"/>
      <c r="GGH78" s="137"/>
      <c r="GGI78" s="137"/>
      <c r="GGJ78" s="137"/>
      <c r="GGK78" s="137"/>
      <c r="GGL78" s="137"/>
      <c r="GGM78" s="137"/>
      <c r="GGN78" s="137"/>
      <c r="GGO78" s="137"/>
      <c r="GGP78" s="137"/>
      <c r="GGQ78" s="137"/>
      <c r="GGR78" s="137"/>
      <c r="GGS78" s="137"/>
      <c r="GGT78" s="137"/>
      <c r="GGU78" s="137"/>
      <c r="GGV78" s="137"/>
      <c r="GGW78" s="137"/>
      <c r="GGX78" s="137"/>
      <c r="GGY78" s="137"/>
      <c r="GGZ78" s="137"/>
      <c r="GHA78" s="137"/>
      <c r="GHB78" s="137"/>
      <c r="GHC78" s="137"/>
      <c r="GHD78" s="137"/>
      <c r="GHE78" s="137"/>
      <c r="GHF78" s="137"/>
      <c r="GHG78" s="137"/>
      <c r="GHH78" s="137"/>
      <c r="GHI78" s="137"/>
      <c r="GHJ78" s="137"/>
      <c r="GHK78" s="137"/>
      <c r="GHL78" s="137"/>
      <c r="GHM78" s="137"/>
      <c r="GHN78" s="137"/>
      <c r="GHO78" s="137"/>
      <c r="GHP78" s="137"/>
      <c r="GHQ78" s="137"/>
      <c r="GHR78" s="137"/>
      <c r="GHS78" s="137"/>
      <c r="GHT78" s="137"/>
      <c r="GHU78" s="137"/>
      <c r="GHV78" s="137"/>
      <c r="GHW78" s="137"/>
      <c r="GHX78" s="137"/>
      <c r="GHY78" s="137"/>
      <c r="GHZ78" s="137"/>
      <c r="GIA78" s="137"/>
      <c r="GIB78" s="137"/>
      <c r="GIC78" s="137"/>
      <c r="GID78" s="137"/>
      <c r="GIE78" s="137"/>
      <c r="GIF78" s="137"/>
      <c r="GIG78" s="137"/>
      <c r="GIH78" s="137"/>
      <c r="GII78" s="137"/>
      <c r="GIJ78" s="137"/>
      <c r="GIK78" s="137"/>
      <c r="GIL78" s="137"/>
      <c r="GIM78" s="137"/>
      <c r="GIN78" s="137"/>
      <c r="GIO78" s="137"/>
      <c r="GIP78" s="137"/>
      <c r="GIQ78" s="137"/>
      <c r="GIR78" s="137"/>
      <c r="GIS78" s="137"/>
      <c r="GIT78" s="137"/>
      <c r="GIU78" s="137"/>
      <c r="GIV78" s="137"/>
      <c r="GIW78" s="137"/>
      <c r="GIX78" s="137"/>
      <c r="GIY78" s="137"/>
      <c r="GIZ78" s="137"/>
      <c r="GJA78" s="137"/>
      <c r="GJB78" s="137"/>
      <c r="GJC78" s="137"/>
      <c r="GJD78" s="137"/>
      <c r="GJE78" s="137"/>
      <c r="GJF78" s="137"/>
      <c r="GJG78" s="137"/>
      <c r="GJH78" s="137"/>
      <c r="GJI78" s="137"/>
      <c r="GJJ78" s="137"/>
      <c r="GJK78" s="137"/>
      <c r="GJL78" s="137"/>
      <c r="GJM78" s="137"/>
      <c r="GJN78" s="137"/>
      <c r="GJO78" s="137"/>
      <c r="GJP78" s="137"/>
      <c r="GJQ78" s="137"/>
      <c r="GJR78" s="137"/>
      <c r="GJS78" s="137"/>
      <c r="GJT78" s="137"/>
      <c r="GJU78" s="137"/>
      <c r="GJV78" s="137"/>
      <c r="GJW78" s="137"/>
      <c r="GJX78" s="137"/>
      <c r="GJY78" s="137"/>
      <c r="GJZ78" s="137"/>
      <c r="GKA78" s="137"/>
      <c r="GKB78" s="137"/>
      <c r="GKC78" s="137"/>
      <c r="GKD78" s="137"/>
      <c r="GKE78" s="137"/>
      <c r="GKF78" s="137"/>
      <c r="GKG78" s="137"/>
      <c r="GKH78" s="137"/>
      <c r="GKI78" s="137"/>
      <c r="GKJ78" s="137"/>
      <c r="GKK78" s="137"/>
      <c r="GKL78" s="137"/>
      <c r="GKM78" s="137"/>
      <c r="GKN78" s="137"/>
      <c r="GKO78" s="137"/>
      <c r="GKP78" s="137"/>
      <c r="GKQ78" s="137"/>
      <c r="GKR78" s="137"/>
      <c r="GKS78" s="137"/>
      <c r="GKT78" s="137"/>
      <c r="GKU78" s="137"/>
      <c r="GKV78" s="137"/>
      <c r="GKW78" s="137"/>
      <c r="GKX78" s="137"/>
      <c r="GKY78" s="137"/>
      <c r="GKZ78" s="137"/>
      <c r="GLA78" s="137"/>
      <c r="GLB78" s="137"/>
      <c r="GLC78" s="137"/>
      <c r="GLD78" s="137"/>
      <c r="GLE78" s="137"/>
      <c r="GLF78" s="137"/>
      <c r="GLG78" s="137"/>
      <c r="GLH78" s="137"/>
      <c r="GLI78" s="137"/>
      <c r="GLJ78" s="137"/>
      <c r="GLK78" s="137"/>
      <c r="GLL78" s="137"/>
      <c r="GLM78" s="137"/>
      <c r="GLN78" s="137"/>
      <c r="GLO78" s="137"/>
      <c r="GLP78" s="137"/>
      <c r="GLQ78" s="137"/>
      <c r="GLR78" s="137"/>
      <c r="GLS78" s="137"/>
      <c r="GLT78" s="137"/>
      <c r="GLU78" s="137"/>
      <c r="GLV78" s="137"/>
      <c r="GLW78" s="137"/>
      <c r="GLX78" s="137"/>
      <c r="GLY78" s="137"/>
      <c r="GLZ78" s="137"/>
      <c r="GMA78" s="137"/>
      <c r="GMB78" s="137"/>
      <c r="GMC78" s="137"/>
      <c r="GMD78" s="137"/>
      <c r="GME78" s="137"/>
      <c r="GMF78" s="137"/>
      <c r="GMG78" s="137"/>
      <c r="GMH78" s="137"/>
      <c r="GMI78" s="137"/>
      <c r="GMJ78" s="137"/>
      <c r="GMK78" s="137"/>
      <c r="GML78" s="137"/>
      <c r="GMM78" s="137"/>
      <c r="GMN78" s="137"/>
      <c r="GMO78" s="137"/>
      <c r="GMP78" s="137"/>
      <c r="GMQ78" s="137"/>
      <c r="GMR78" s="137"/>
      <c r="GMS78" s="137"/>
      <c r="GMT78" s="137"/>
      <c r="GMU78" s="137"/>
      <c r="GMV78" s="137"/>
      <c r="GMW78" s="137"/>
      <c r="GMX78" s="137"/>
      <c r="GMY78" s="137"/>
      <c r="GMZ78" s="137"/>
      <c r="GNA78" s="137"/>
      <c r="GNB78" s="137"/>
      <c r="GNC78" s="137"/>
      <c r="GND78" s="137"/>
      <c r="GNE78" s="137"/>
      <c r="GNF78" s="137"/>
      <c r="GNG78" s="137"/>
      <c r="GNH78" s="137"/>
      <c r="GNI78" s="137"/>
      <c r="GNJ78" s="137"/>
      <c r="GNK78" s="137"/>
      <c r="GNL78" s="137"/>
      <c r="GNM78" s="137"/>
      <c r="GNN78" s="137"/>
      <c r="GNO78" s="137"/>
      <c r="GNP78" s="137"/>
      <c r="GNQ78" s="137"/>
      <c r="GNR78" s="137"/>
      <c r="GNS78" s="137"/>
      <c r="GNT78" s="137"/>
      <c r="GNU78" s="137"/>
      <c r="GNV78" s="137"/>
      <c r="GNW78" s="137"/>
      <c r="GNX78" s="137"/>
      <c r="GNY78" s="137"/>
      <c r="GNZ78" s="137"/>
      <c r="GOA78" s="137"/>
      <c r="GOB78" s="137"/>
      <c r="GOC78" s="137"/>
      <c r="GOD78" s="137"/>
      <c r="GOE78" s="137"/>
      <c r="GOF78" s="137"/>
      <c r="GOG78" s="137"/>
      <c r="GOH78" s="137"/>
      <c r="GOI78" s="137"/>
      <c r="GOJ78" s="137"/>
      <c r="GOK78" s="137"/>
      <c r="GOL78" s="137"/>
      <c r="GOM78" s="137"/>
      <c r="GON78" s="137"/>
      <c r="GOO78" s="137"/>
      <c r="GOP78" s="137"/>
      <c r="GOQ78" s="137"/>
      <c r="GOR78" s="137"/>
      <c r="GOS78" s="137"/>
      <c r="GOT78" s="137"/>
      <c r="GOU78" s="137"/>
      <c r="GOV78" s="137"/>
      <c r="GOW78" s="137"/>
      <c r="GOX78" s="137"/>
      <c r="GOY78" s="137"/>
      <c r="GOZ78" s="137"/>
      <c r="GPA78" s="137"/>
      <c r="GPB78" s="137"/>
      <c r="GPC78" s="137"/>
      <c r="GPD78" s="137"/>
      <c r="GPE78" s="137"/>
      <c r="GPF78" s="137"/>
      <c r="GPG78" s="137"/>
      <c r="GPH78" s="137"/>
      <c r="GPI78" s="137"/>
      <c r="GPJ78" s="137"/>
      <c r="GPK78" s="137"/>
      <c r="GPL78" s="137"/>
      <c r="GPM78" s="137"/>
      <c r="GPN78" s="137"/>
      <c r="GPO78" s="137"/>
      <c r="GPP78" s="137"/>
      <c r="GPQ78" s="137"/>
      <c r="GPR78" s="137"/>
      <c r="GPS78" s="137"/>
      <c r="GPT78" s="137"/>
      <c r="GPU78" s="137"/>
      <c r="GPV78" s="137"/>
      <c r="GPW78" s="137"/>
      <c r="GPX78" s="137"/>
      <c r="GPY78" s="137"/>
      <c r="GPZ78" s="137"/>
      <c r="GQA78" s="137"/>
      <c r="GQB78" s="137"/>
      <c r="GQC78" s="137"/>
      <c r="GQD78" s="137"/>
      <c r="GQE78" s="137"/>
      <c r="GQF78" s="137"/>
      <c r="GQG78" s="137"/>
      <c r="GQH78" s="137"/>
      <c r="GQI78" s="137"/>
      <c r="GQJ78" s="137"/>
      <c r="GQK78" s="137"/>
      <c r="GQL78" s="137"/>
      <c r="GQM78" s="137"/>
      <c r="GQN78" s="137"/>
      <c r="GQO78" s="137"/>
      <c r="GQP78" s="137"/>
      <c r="GQQ78" s="137"/>
      <c r="GQR78" s="137"/>
      <c r="GQS78" s="137"/>
      <c r="GQT78" s="137"/>
      <c r="GQU78" s="137"/>
      <c r="GQV78" s="137"/>
      <c r="GQW78" s="137"/>
      <c r="GQX78" s="137"/>
      <c r="GQY78" s="137"/>
      <c r="GQZ78" s="137"/>
      <c r="GRA78" s="137"/>
      <c r="GRB78" s="137"/>
      <c r="GRC78" s="137"/>
      <c r="GRD78" s="137"/>
      <c r="GRE78" s="137"/>
      <c r="GRF78" s="137"/>
      <c r="GRG78" s="137"/>
      <c r="GRH78" s="137"/>
      <c r="GRI78" s="137"/>
      <c r="GRJ78" s="137"/>
      <c r="GRK78" s="137"/>
      <c r="GRL78" s="137"/>
      <c r="GRM78" s="137"/>
      <c r="GRN78" s="137"/>
      <c r="GRO78" s="137"/>
      <c r="GRP78" s="137"/>
      <c r="GRQ78" s="137"/>
      <c r="GRR78" s="137"/>
      <c r="GRS78" s="137"/>
      <c r="GRT78" s="137"/>
      <c r="GRU78" s="137"/>
      <c r="GRV78" s="137"/>
      <c r="GRW78" s="137"/>
      <c r="GRX78" s="137"/>
      <c r="GRY78" s="137"/>
      <c r="GRZ78" s="137"/>
      <c r="GSA78" s="137"/>
      <c r="GSB78" s="137"/>
      <c r="GSC78" s="137"/>
      <c r="GSD78" s="137"/>
      <c r="GSE78" s="137"/>
      <c r="GSF78" s="137"/>
      <c r="GSG78" s="137"/>
      <c r="GSH78" s="137"/>
      <c r="GSI78" s="137"/>
      <c r="GSJ78" s="137"/>
      <c r="GSK78" s="137"/>
      <c r="GSL78" s="137"/>
      <c r="GSM78" s="137"/>
      <c r="GSN78" s="137"/>
      <c r="GSO78" s="137"/>
      <c r="GSP78" s="137"/>
      <c r="GSQ78" s="137"/>
      <c r="GSR78" s="137"/>
      <c r="GSS78" s="137"/>
      <c r="GST78" s="137"/>
      <c r="GSU78" s="137"/>
      <c r="GSV78" s="137"/>
      <c r="GSW78" s="137"/>
      <c r="GSX78" s="137"/>
      <c r="GSY78" s="137"/>
      <c r="GSZ78" s="137"/>
      <c r="GTA78" s="137"/>
      <c r="GTB78" s="137"/>
      <c r="GTC78" s="137"/>
      <c r="GTD78" s="137"/>
      <c r="GTE78" s="137"/>
      <c r="GTF78" s="137"/>
      <c r="GTG78" s="137"/>
      <c r="GTH78" s="137"/>
      <c r="GTI78" s="137"/>
      <c r="GTJ78" s="137"/>
      <c r="GTK78" s="137"/>
      <c r="GTL78" s="137"/>
      <c r="GTM78" s="137"/>
      <c r="GTN78" s="137"/>
      <c r="GTO78" s="137"/>
      <c r="GTP78" s="137"/>
      <c r="GTQ78" s="137"/>
      <c r="GTR78" s="137"/>
      <c r="GTS78" s="137"/>
      <c r="GTT78" s="137"/>
      <c r="GTU78" s="137"/>
      <c r="GTV78" s="137"/>
      <c r="GTW78" s="137"/>
      <c r="GTX78" s="137"/>
      <c r="GTY78" s="137"/>
      <c r="GTZ78" s="137"/>
      <c r="GUA78" s="137"/>
      <c r="GUB78" s="137"/>
      <c r="GUC78" s="137"/>
      <c r="GUD78" s="137"/>
      <c r="GUE78" s="137"/>
      <c r="GUF78" s="137"/>
      <c r="GUG78" s="137"/>
      <c r="GUH78" s="137"/>
      <c r="GUI78" s="137"/>
      <c r="GUJ78" s="137"/>
      <c r="GUK78" s="137"/>
      <c r="GUL78" s="137"/>
      <c r="GUM78" s="137"/>
      <c r="GUN78" s="137"/>
      <c r="GUO78" s="137"/>
      <c r="GUP78" s="137"/>
      <c r="GUQ78" s="137"/>
      <c r="GUR78" s="137"/>
      <c r="GUS78" s="137"/>
      <c r="GUT78" s="137"/>
      <c r="GUU78" s="137"/>
      <c r="GUV78" s="137"/>
      <c r="GUW78" s="137"/>
      <c r="GUX78" s="137"/>
      <c r="GUY78" s="137"/>
      <c r="GUZ78" s="137"/>
      <c r="GVA78" s="137"/>
      <c r="GVB78" s="137"/>
      <c r="GVC78" s="137"/>
      <c r="GVD78" s="137"/>
      <c r="GVE78" s="137"/>
      <c r="GVF78" s="137"/>
      <c r="GVG78" s="137"/>
      <c r="GVH78" s="137"/>
      <c r="GVI78" s="137"/>
      <c r="GVJ78" s="137"/>
      <c r="GVK78" s="137"/>
      <c r="GVL78" s="137"/>
      <c r="GVM78" s="137"/>
      <c r="GVN78" s="137"/>
      <c r="GVO78" s="137"/>
      <c r="GVP78" s="137"/>
      <c r="GVQ78" s="137"/>
      <c r="GVR78" s="137"/>
      <c r="GVS78" s="137"/>
      <c r="GVT78" s="137"/>
      <c r="GVU78" s="137"/>
      <c r="GVV78" s="137"/>
      <c r="GVW78" s="137"/>
      <c r="GVX78" s="137"/>
      <c r="GVY78" s="137"/>
      <c r="GVZ78" s="137"/>
      <c r="GWA78" s="137"/>
      <c r="GWB78" s="137"/>
      <c r="GWC78" s="137"/>
      <c r="GWD78" s="137"/>
      <c r="GWE78" s="137"/>
      <c r="GWF78" s="137"/>
      <c r="GWG78" s="137"/>
      <c r="GWH78" s="137"/>
      <c r="GWI78" s="137"/>
      <c r="GWJ78" s="137"/>
      <c r="GWK78" s="137"/>
      <c r="GWL78" s="137"/>
      <c r="GWM78" s="137"/>
      <c r="GWN78" s="137"/>
      <c r="GWO78" s="137"/>
      <c r="GWP78" s="137"/>
      <c r="GWQ78" s="137"/>
      <c r="GWR78" s="137"/>
      <c r="GWS78" s="137"/>
      <c r="GWT78" s="137"/>
      <c r="GWU78" s="137"/>
      <c r="GWV78" s="137"/>
      <c r="GWW78" s="137"/>
      <c r="GWX78" s="137"/>
      <c r="GWY78" s="137"/>
      <c r="GWZ78" s="137"/>
      <c r="GXA78" s="137"/>
      <c r="GXB78" s="137"/>
      <c r="GXC78" s="137"/>
      <c r="GXD78" s="137"/>
      <c r="GXE78" s="137"/>
      <c r="GXF78" s="137"/>
      <c r="GXG78" s="137"/>
      <c r="GXH78" s="137"/>
      <c r="GXI78" s="137"/>
      <c r="GXJ78" s="137"/>
      <c r="GXK78" s="137"/>
      <c r="GXL78" s="137"/>
      <c r="GXM78" s="137"/>
      <c r="GXN78" s="137"/>
      <c r="GXO78" s="137"/>
      <c r="GXP78" s="137"/>
      <c r="GXQ78" s="137"/>
      <c r="GXR78" s="137"/>
      <c r="GXS78" s="137"/>
      <c r="GXT78" s="137"/>
      <c r="GXU78" s="137"/>
      <c r="GXV78" s="137"/>
      <c r="GXW78" s="137"/>
      <c r="GXX78" s="137"/>
      <c r="GXY78" s="137"/>
      <c r="GXZ78" s="137"/>
      <c r="GYA78" s="137"/>
      <c r="GYB78" s="137"/>
      <c r="GYC78" s="137"/>
      <c r="GYD78" s="137"/>
      <c r="GYE78" s="137"/>
      <c r="GYF78" s="137"/>
      <c r="GYG78" s="137"/>
      <c r="GYH78" s="137"/>
      <c r="GYI78" s="137"/>
      <c r="GYJ78" s="137"/>
      <c r="GYK78" s="137"/>
      <c r="GYL78" s="137"/>
      <c r="GYM78" s="137"/>
      <c r="GYN78" s="137"/>
      <c r="GYO78" s="137"/>
      <c r="GYP78" s="137"/>
      <c r="GYQ78" s="137"/>
      <c r="GYR78" s="137"/>
      <c r="GYS78" s="137"/>
      <c r="GYT78" s="137"/>
      <c r="GYU78" s="137"/>
      <c r="GYV78" s="137"/>
      <c r="GYW78" s="137"/>
      <c r="GYX78" s="137"/>
      <c r="GYY78" s="137"/>
      <c r="GYZ78" s="137"/>
      <c r="GZA78" s="137"/>
      <c r="GZB78" s="137"/>
      <c r="GZC78" s="137"/>
      <c r="GZD78" s="137"/>
      <c r="GZE78" s="137"/>
      <c r="GZF78" s="137"/>
      <c r="GZG78" s="137"/>
      <c r="GZH78" s="137"/>
      <c r="GZI78" s="137"/>
      <c r="GZJ78" s="137"/>
      <c r="GZK78" s="137"/>
      <c r="GZL78" s="137"/>
      <c r="GZM78" s="137"/>
      <c r="GZN78" s="137"/>
      <c r="GZO78" s="137"/>
      <c r="GZP78" s="137"/>
      <c r="GZQ78" s="137"/>
      <c r="GZR78" s="137"/>
      <c r="GZS78" s="137"/>
      <c r="GZT78" s="137"/>
      <c r="GZU78" s="137"/>
      <c r="GZV78" s="137"/>
      <c r="GZW78" s="137"/>
      <c r="GZX78" s="137"/>
      <c r="GZY78" s="137"/>
      <c r="GZZ78" s="137"/>
      <c r="HAA78" s="137"/>
      <c r="HAB78" s="137"/>
      <c r="HAC78" s="137"/>
      <c r="HAD78" s="137"/>
      <c r="HAE78" s="137"/>
      <c r="HAF78" s="137"/>
      <c r="HAG78" s="137"/>
      <c r="HAH78" s="137"/>
      <c r="HAI78" s="137"/>
      <c r="HAJ78" s="137"/>
      <c r="HAK78" s="137"/>
      <c r="HAL78" s="137"/>
      <c r="HAM78" s="137"/>
      <c r="HAN78" s="137"/>
      <c r="HAO78" s="137"/>
      <c r="HAP78" s="137"/>
      <c r="HAQ78" s="137"/>
      <c r="HAR78" s="137"/>
      <c r="HAS78" s="137"/>
      <c r="HAT78" s="137"/>
      <c r="HAU78" s="137"/>
      <c r="HAV78" s="137"/>
      <c r="HAW78" s="137"/>
      <c r="HAX78" s="137"/>
      <c r="HAY78" s="137"/>
      <c r="HAZ78" s="137"/>
      <c r="HBA78" s="137"/>
      <c r="HBB78" s="137"/>
      <c r="HBC78" s="137"/>
      <c r="HBD78" s="137"/>
      <c r="HBE78" s="137"/>
      <c r="HBF78" s="137"/>
      <c r="HBG78" s="137"/>
      <c r="HBH78" s="137"/>
      <c r="HBI78" s="137"/>
      <c r="HBJ78" s="137"/>
      <c r="HBK78" s="137"/>
      <c r="HBL78" s="137"/>
      <c r="HBM78" s="137"/>
      <c r="HBN78" s="137"/>
      <c r="HBO78" s="137"/>
      <c r="HBP78" s="137"/>
      <c r="HBQ78" s="137"/>
      <c r="HBR78" s="137"/>
      <c r="HBS78" s="137"/>
      <c r="HBT78" s="137"/>
      <c r="HBU78" s="137"/>
      <c r="HBV78" s="137"/>
      <c r="HBW78" s="137"/>
      <c r="HBX78" s="137"/>
      <c r="HBY78" s="137"/>
      <c r="HBZ78" s="137"/>
      <c r="HCA78" s="137"/>
      <c r="HCB78" s="137"/>
      <c r="HCC78" s="137"/>
      <c r="HCD78" s="137"/>
      <c r="HCE78" s="137"/>
      <c r="HCF78" s="137"/>
      <c r="HCG78" s="137"/>
      <c r="HCH78" s="137"/>
      <c r="HCI78" s="137"/>
      <c r="HCJ78" s="137"/>
      <c r="HCK78" s="137"/>
      <c r="HCL78" s="137"/>
      <c r="HCM78" s="137"/>
      <c r="HCN78" s="137"/>
      <c r="HCO78" s="137"/>
      <c r="HCP78" s="137"/>
      <c r="HCQ78" s="137"/>
      <c r="HCR78" s="137"/>
      <c r="HCS78" s="137"/>
      <c r="HCT78" s="137"/>
      <c r="HCU78" s="137"/>
      <c r="HCV78" s="137"/>
      <c r="HCW78" s="137"/>
      <c r="HCX78" s="137"/>
      <c r="HCY78" s="137"/>
      <c r="HCZ78" s="137"/>
      <c r="HDA78" s="137"/>
      <c r="HDB78" s="137"/>
      <c r="HDC78" s="137"/>
      <c r="HDD78" s="137"/>
      <c r="HDE78" s="137"/>
      <c r="HDF78" s="137"/>
      <c r="HDG78" s="137"/>
      <c r="HDH78" s="137"/>
      <c r="HDI78" s="137"/>
      <c r="HDJ78" s="137"/>
      <c r="HDK78" s="137"/>
      <c r="HDL78" s="137"/>
      <c r="HDM78" s="137"/>
      <c r="HDN78" s="137"/>
      <c r="HDO78" s="137"/>
      <c r="HDP78" s="137"/>
      <c r="HDQ78" s="137"/>
      <c r="HDR78" s="137"/>
      <c r="HDS78" s="137"/>
      <c r="HDT78" s="137"/>
      <c r="HDU78" s="137"/>
      <c r="HDV78" s="137"/>
      <c r="HDW78" s="137"/>
      <c r="HDX78" s="137"/>
      <c r="HDY78" s="137"/>
      <c r="HDZ78" s="137"/>
      <c r="HEA78" s="137"/>
      <c r="HEB78" s="137"/>
      <c r="HEC78" s="137"/>
      <c r="HED78" s="137"/>
      <c r="HEE78" s="137"/>
      <c r="HEF78" s="137"/>
      <c r="HEG78" s="137"/>
      <c r="HEH78" s="137"/>
      <c r="HEI78" s="137"/>
      <c r="HEJ78" s="137"/>
      <c r="HEK78" s="137"/>
      <c r="HEL78" s="137"/>
      <c r="HEM78" s="137"/>
      <c r="HEN78" s="137"/>
      <c r="HEO78" s="137"/>
      <c r="HEP78" s="137"/>
      <c r="HEQ78" s="137"/>
      <c r="HER78" s="137"/>
      <c r="HES78" s="137"/>
      <c r="HET78" s="137"/>
      <c r="HEU78" s="137"/>
      <c r="HEV78" s="137"/>
      <c r="HEW78" s="137"/>
      <c r="HEX78" s="137"/>
      <c r="HEY78" s="137"/>
      <c r="HEZ78" s="137"/>
      <c r="HFA78" s="137"/>
      <c r="HFB78" s="137"/>
      <c r="HFC78" s="137"/>
      <c r="HFD78" s="137"/>
      <c r="HFE78" s="137"/>
      <c r="HFF78" s="137"/>
      <c r="HFG78" s="137"/>
      <c r="HFH78" s="137"/>
      <c r="HFI78" s="137"/>
      <c r="HFJ78" s="137"/>
      <c r="HFK78" s="137"/>
      <c r="HFL78" s="137"/>
      <c r="HFM78" s="137"/>
      <c r="HFN78" s="137"/>
      <c r="HFO78" s="137"/>
      <c r="HFP78" s="137"/>
      <c r="HFQ78" s="137"/>
      <c r="HFR78" s="137"/>
      <c r="HFS78" s="137"/>
      <c r="HFT78" s="137"/>
      <c r="HFU78" s="137"/>
      <c r="HFV78" s="137"/>
      <c r="HFW78" s="137"/>
      <c r="HFX78" s="137"/>
      <c r="HFY78" s="137"/>
      <c r="HFZ78" s="137"/>
      <c r="HGA78" s="137"/>
      <c r="HGB78" s="137"/>
      <c r="HGC78" s="137"/>
      <c r="HGD78" s="137"/>
      <c r="HGE78" s="137"/>
      <c r="HGF78" s="137"/>
      <c r="HGG78" s="137"/>
      <c r="HGH78" s="137"/>
      <c r="HGI78" s="137"/>
      <c r="HGJ78" s="137"/>
      <c r="HGK78" s="137"/>
      <c r="HGL78" s="137"/>
      <c r="HGM78" s="137"/>
      <c r="HGN78" s="137"/>
      <c r="HGO78" s="137"/>
      <c r="HGP78" s="137"/>
      <c r="HGQ78" s="137"/>
      <c r="HGR78" s="137"/>
      <c r="HGS78" s="137"/>
      <c r="HGT78" s="137"/>
      <c r="HGU78" s="137"/>
      <c r="HGV78" s="137"/>
      <c r="HGW78" s="137"/>
      <c r="HGX78" s="137"/>
      <c r="HGY78" s="137"/>
      <c r="HGZ78" s="137"/>
      <c r="HHA78" s="137"/>
      <c r="HHB78" s="137"/>
      <c r="HHC78" s="137"/>
      <c r="HHD78" s="137"/>
      <c r="HHE78" s="137"/>
      <c r="HHF78" s="137"/>
      <c r="HHG78" s="137"/>
      <c r="HHH78" s="137"/>
      <c r="HHI78" s="137"/>
      <c r="HHJ78" s="137"/>
      <c r="HHK78" s="137"/>
      <c r="HHL78" s="137"/>
      <c r="HHM78" s="137"/>
      <c r="HHN78" s="137"/>
      <c r="HHO78" s="137"/>
      <c r="HHP78" s="137"/>
      <c r="HHQ78" s="137"/>
      <c r="HHR78" s="137"/>
      <c r="HHS78" s="137"/>
      <c r="HHT78" s="137"/>
      <c r="HHU78" s="137"/>
      <c r="HHV78" s="137"/>
      <c r="HHW78" s="137"/>
      <c r="HHX78" s="137"/>
      <c r="HHY78" s="137"/>
      <c r="HHZ78" s="137"/>
      <c r="HIA78" s="137"/>
      <c r="HIB78" s="137"/>
      <c r="HIC78" s="137"/>
      <c r="HID78" s="137"/>
      <c r="HIE78" s="137"/>
      <c r="HIF78" s="137"/>
      <c r="HIG78" s="137"/>
      <c r="HIH78" s="137"/>
      <c r="HII78" s="137"/>
      <c r="HIJ78" s="137"/>
      <c r="HIK78" s="137"/>
      <c r="HIL78" s="137"/>
      <c r="HIM78" s="137"/>
      <c r="HIN78" s="137"/>
      <c r="HIO78" s="137"/>
      <c r="HIP78" s="137"/>
      <c r="HIQ78" s="137"/>
      <c r="HIR78" s="137"/>
      <c r="HIS78" s="137"/>
      <c r="HIT78" s="137"/>
      <c r="HIU78" s="137"/>
      <c r="HIV78" s="137"/>
      <c r="HIW78" s="137"/>
      <c r="HIX78" s="137"/>
      <c r="HIY78" s="137"/>
      <c r="HIZ78" s="137"/>
      <c r="HJA78" s="137"/>
      <c r="HJB78" s="137"/>
      <c r="HJC78" s="137"/>
      <c r="HJD78" s="137"/>
      <c r="HJE78" s="137"/>
      <c r="HJF78" s="137"/>
      <c r="HJG78" s="137"/>
      <c r="HJH78" s="137"/>
      <c r="HJI78" s="137"/>
      <c r="HJJ78" s="137"/>
      <c r="HJK78" s="137"/>
      <c r="HJL78" s="137"/>
      <c r="HJM78" s="137"/>
      <c r="HJN78" s="137"/>
      <c r="HJO78" s="137"/>
      <c r="HJP78" s="137"/>
      <c r="HJQ78" s="137"/>
      <c r="HJR78" s="137"/>
      <c r="HJS78" s="137"/>
      <c r="HJT78" s="137"/>
      <c r="HJU78" s="137"/>
      <c r="HJV78" s="137"/>
      <c r="HJW78" s="137"/>
      <c r="HJX78" s="137"/>
      <c r="HJY78" s="137"/>
      <c r="HJZ78" s="137"/>
      <c r="HKA78" s="137"/>
      <c r="HKB78" s="137"/>
      <c r="HKC78" s="137"/>
      <c r="HKD78" s="137"/>
      <c r="HKE78" s="137"/>
      <c r="HKF78" s="137"/>
      <c r="HKG78" s="137"/>
      <c r="HKH78" s="137"/>
      <c r="HKI78" s="137"/>
      <c r="HKJ78" s="137"/>
      <c r="HKK78" s="137"/>
      <c r="HKL78" s="137"/>
      <c r="HKM78" s="137"/>
      <c r="HKN78" s="137"/>
      <c r="HKO78" s="137"/>
      <c r="HKP78" s="137"/>
      <c r="HKQ78" s="137"/>
      <c r="HKR78" s="137"/>
      <c r="HKS78" s="137"/>
      <c r="HKT78" s="137"/>
      <c r="HKU78" s="137"/>
      <c r="HKV78" s="137"/>
      <c r="HKW78" s="137"/>
      <c r="HKX78" s="137"/>
      <c r="HKY78" s="137"/>
      <c r="HKZ78" s="137"/>
      <c r="HLA78" s="137"/>
      <c r="HLB78" s="137"/>
      <c r="HLC78" s="137"/>
      <c r="HLD78" s="137"/>
      <c r="HLE78" s="137"/>
      <c r="HLF78" s="137"/>
      <c r="HLG78" s="137"/>
      <c r="HLH78" s="137"/>
      <c r="HLI78" s="137"/>
      <c r="HLJ78" s="137"/>
      <c r="HLK78" s="137"/>
      <c r="HLL78" s="137"/>
      <c r="HLM78" s="137"/>
      <c r="HLN78" s="137"/>
      <c r="HLO78" s="137"/>
      <c r="HLP78" s="137"/>
      <c r="HLQ78" s="137"/>
      <c r="HLR78" s="137"/>
      <c r="HLS78" s="137"/>
      <c r="HLT78" s="137"/>
      <c r="HLU78" s="137"/>
      <c r="HLV78" s="137"/>
      <c r="HLW78" s="137"/>
      <c r="HLX78" s="137"/>
      <c r="HLY78" s="137"/>
      <c r="HLZ78" s="137"/>
      <c r="HMA78" s="137"/>
      <c r="HMB78" s="137"/>
      <c r="HMC78" s="137"/>
      <c r="HMD78" s="137"/>
      <c r="HME78" s="137"/>
      <c r="HMF78" s="137"/>
      <c r="HMG78" s="137"/>
      <c r="HMH78" s="137"/>
      <c r="HMI78" s="137"/>
      <c r="HMJ78" s="137"/>
      <c r="HMK78" s="137"/>
      <c r="HML78" s="137"/>
      <c r="HMM78" s="137"/>
      <c r="HMN78" s="137"/>
      <c r="HMO78" s="137"/>
      <c r="HMP78" s="137"/>
      <c r="HMQ78" s="137"/>
      <c r="HMR78" s="137"/>
      <c r="HMS78" s="137"/>
      <c r="HMT78" s="137"/>
      <c r="HMU78" s="137"/>
      <c r="HMV78" s="137"/>
      <c r="HMW78" s="137"/>
      <c r="HMX78" s="137"/>
      <c r="HMY78" s="137"/>
      <c r="HMZ78" s="137"/>
      <c r="HNA78" s="137"/>
      <c r="HNB78" s="137"/>
      <c r="HNC78" s="137"/>
      <c r="HND78" s="137"/>
      <c r="HNE78" s="137"/>
      <c r="HNF78" s="137"/>
      <c r="HNG78" s="137"/>
      <c r="HNH78" s="137"/>
      <c r="HNI78" s="137"/>
      <c r="HNJ78" s="137"/>
      <c r="HNK78" s="137"/>
      <c r="HNL78" s="137"/>
      <c r="HNM78" s="137"/>
      <c r="HNN78" s="137"/>
      <c r="HNO78" s="137"/>
      <c r="HNP78" s="137"/>
      <c r="HNQ78" s="137"/>
      <c r="HNR78" s="137"/>
      <c r="HNS78" s="137"/>
      <c r="HNT78" s="137"/>
      <c r="HNU78" s="137"/>
      <c r="HNV78" s="137"/>
      <c r="HNW78" s="137"/>
      <c r="HNX78" s="137"/>
      <c r="HNY78" s="137"/>
      <c r="HNZ78" s="137"/>
      <c r="HOA78" s="137"/>
      <c r="HOB78" s="137"/>
      <c r="HOC78" s="137"/>
      <c r="HOD78" s="137"/>
      <c r="HOE78" s="137"/>
      <c r="HOF78" s="137"/>
      <c r="HOG78" s="137"/>
      <c r="HOH78" s="137"/>
      <c r="HOI78" s="137"/>
      <c r="HOJ78" s="137"/>
      <c r="HOK78" s="137"/>
      <c r="HOL78" s="137"/>
      <c r="HOM78" s="137"/>
      <c r="HON78" s="137"/>
      <c r="HOO78" s="137"/>
      <c r="HOP78" s="137"/>
      <c r="HOQ78" s="137"/>
      <c r="HOR78" s="137"/>
      <c r="HOS78" s="137"/>
      <c r="HOT78" s="137"/>
      <c r="HOU78" s="137"/>
      <c r="HOV78" s="137"/>
      <c r="HOW78" s="137"/>
      <c r="HOX78" s="137"/>
      <c r="HOY78" s="137"/>
      <c r="HOZ78" s="137"/>
      <c r="HPA78" s="137"/>
      <c r="HPB78" s="137"/>
      <c r="HPC78" s="137"/>
      <c r="HPD78" s="137"/>
      <c r="HPE78" s="137"/>
      <c r="HPF78" s="137"/>
      <c r="HPG78" s="137"/>
      <c r="HPH78" s="137"/>
      <c r="HPI78" s="137"/>
      <c r="HPJ78" s="137"/>
      <c r="HPK78" s="137"/>
      <c r="HPL78" s="137"/>
      <c r="HPM78" s="137"/>
      <c r="HPN78" s="137"/>
      <c r="HPO78" s="137"/>
      <c r="HPP78" s="137"/>
      <c r="HPQ78" s="137"/>
      <c r="HPR78" s="137"/>
      <c r="HPS78" s="137"/>
      <c r="HPT78" s="137"/>
      <c r="HPU78" s="137"/>
      <c r="HPV78" s="137"/>
      <c r="HPW78" s="137"/>
      <c r="HPX78" s="137"/>
      <c r="HPY78" s="137"/>
      <c r="HPZ78" s="137"/>
      <c r="HQA78" s="137"/>
      <c r="HQB78" s="137"/>
      <c r="HQC78" s="137"/>
      <c r="HQD78" s="137"/>
      <c r="HQE78" s="137"/>
      <c r="HQF78" s="137"/>
      <c r="HQG78" s="137"/>
      <c r="HQH78" s="137"/>
      <c r="HQI78" s="137"/>
      <c r="HQJ78" s="137"/>
      <c r="HQK78" s="137"/>
      <c r="HQL78" s="137"/>
      <c r="HQM78" s="137"/>
      <c r="HQN78" s="137"/>
      <c r="HQO78" s="137"/>
      <c r="HQP78" s="137"/>
      <c r="HQQ78" s="137"/>
      <c r="HQR78" s="137"/>
      <c r="HQS78" s="137"/>
      <c r="HQT78" s="137"/>
      <c r="HQU78" s="137"/>
      <c r="HQV78" s="137"/>
      <c r="HQW78" s="137"/>
      <c r="HQX78" s="137"/>
      <c r="HQY78" s="137"/>
      <c r="HQZ78" s="137"/>
      <c r="HRA78" s="137"/>
      <c r="HRB78" s="137"/>
      <c r="HRC78" s="137"/>
      <c r="HRD78" s="137"/>
      <c r="HRE78" s="137"/>
      <c r="HRF78" s="137"/>
      <c r="HRG78" s="137"/>
      <c r="HRH78" s="137"/>
      <c r="HRI78" s="137"/>
      <c r="HRJ78" s="137"/>
      <c r="HRK78" s="137"/>
      <c r="HRL78" s="137"/>
      <c r="HRM78" s="137"/>
      <c r="HRN78" s="137"/>
      <c r="HRO78" s="137"/>
      <c r="HRP78" s="137"/>
      <c r="HRQ78" s="137"/>
      <c r="HRR78" s="137"/>
      <c r="HRS78" s="137"/>
      <c r="HRT78" s="137"/>
      <c r="HRU78" s="137"/>
      <c r="HRV78" s="137"/>
      <c r="HRW78" s="137"/>
      <c r="HRX78" s="137"/>
      <c r="HRY78" s="137"/>
      <c r="HRZ78" s="137"/>
      <c r="HSA78" s="137"/>
      <c r="HSB78" s="137"/>
      <c r="HSC78" s="137"/>
      <c r="HSD78" s="137"/>
      <c r="HSE78" s="137"/>
      <c r="HSF78" s="137"/>
      <c r="HSG78" s="137"/>
      <c r="HSH78" s="137"/>
      <c r="HSI78" s="137"/>
      <c r="HSJ78" s="137"/>
      <c r="HSK78" s="137"/>
      <c r="HSL78" s="137"/>
      <c r="HSM78" s="137"/>
      <c r="HSN78" s="137"/>
      <c r="HSO78" s="137"/>
      <c r="HSP78" s="137"/>
      <c r="HSQ78" s="137"/>
      <c r="HSR78" s="137"/>
      <c r="HSS78" s="137"/>
      <c r="HST78" s="137"/>
      <c r="HSU78" s="137"/>
      <c r="HSV78" s="137"/>
      <c r="HSW78" s="137"/>
      <c r="HSX78" s="137"/>
      <c r="HSY78" s="137"/>
      <c r="HSZ78" s="137"/>
      <c r="HTA78" s="137"/>
      <c r="HTB78" s="137"/>
      <c r="HTC78" s="137"/>
      <c r="HTD78" s="137"/>
      <c r="HTE78" s="137"/>
      <c r="HTF78" s="137"/>
      <c r="HTG78" s="137"/>
      <c r="HTH78" s="137"/>
      <c r="HTI78" s="137"/>
      <c r="HTJ78" s="137"/>
      <c r="HTK78" s="137"/>
      <c r="HTL78" s="137"/>
      <c r="HTM78" s="137"/>
      <c r="HTN78" s="137"/>
      <c r="HTO78" s="137"/>
      <c r="HTP78" s="137"/>
      <c r="HTQ78" s="137"/>
      <c r="HTR78" s="137"/>
      <c r="HTS78" s="137"/>
      <c r="HTT78" s="137"/>
      <c r="HTU78" s="137"/>
      <c r="HTV78" s="137"/>
      <c r="HTW78" s="137"/>
      <c r="HTX78" s="137"/>
      <c r="HTY78" s="137"/>
      <c r="HTZ78" s="137"/>
      <c r="HUA78" s="137"/>
      <c r="HUB78" s="137"/>
      <c r="HUC78" s="137"/>
      <c r="HUD78" s="137"/>
      <c r="HUE78" s="137"/>
      <c r="HUF78" s="137"/>
      <c r="HUG78" s="137"/>
      <c r="HUH78" s="137"/>
      <c r="HUI78" s="137"/>
      <c r="HUJ78" s="137"/>
      <c r="HUK78" s="137"/>
      <c r="HUL78" s="137"/>
      <c r="HUM78" s="137"/>
      <c r="HUN78" s="137"/>
      <c r="HUO78" s="137"/>
      <c r="HUP78" s="137"/>
      <c r="HUQ78" s="137"/>
      <c r="HUR78" s="137"/>
      <c r="HUS78" s="137"/>
      <c r="HUT78" s="137"/>
      <c r="HUU78" s="137"/>
      <c r="HUV78" s="137"/>
      <c r="HUW78" s="137"/>
      <c r="HUX78" s="137"/>
      <c r="HUY78" s="137"/>
      <c r="HUZ78" s="137"/>
      <c r="HVA78" s="137"/>
      <c r="HVB78" s="137"/>
      <c r="HVC78" s="137"/>
      <c r="HVD78" s="137"/>
      <c r="HVE78" s="137"/>
      <c r="HVF78" s="137"/>
      <c r="HVG78" s="137"/>
      <c r="HVH78" s="137"/>
      <c r="HVI78" s="137"/>
      <c r="HVJ78" s="137"/>
      <c r="HVK78" s="137"/>
      <c r="HVL78" s="137"/>
      <c r="HVM78" s="137"/>
      <c r="HVN78" s="137"/>
      <c r="HVO78" s="137"/>
      <c r="HVP78" s="137"/>
      <c r="HVQ78" s="137"/>
      <c r="HVR78" s="137"/>
      <c r="HVS78" s="137"/>
      <c r="HVT78" s="137"/>
      <c r="HVU78" s="137"/>
      <c r="HVV78" s="137"/>
      <c r="HVW78" s="137"/>
      <c r="HVX78" s="137"/>
      <c r="HVY78" s="137"/>
      <c r="HVZ78" s="137"/>
      <c r="HWA78" s="137"/>
      <c r="HWB78" s="137"/>
      <c r="HWC78" s="137"/>
      <c r="HWD78" s="137"/>
      <c r="HWE78" s="137"/>
      <c r="HWF78" s="137"/>
      <c r="HWG78" s="137"/>
      <c r="HWH78" s="137"/>
      <c r="HWI78" s="137"/>
      <c r="HWJ78" s="137"/>
      <c r="HWK78" s="137"/>
      <c r="HWL78" s="137"/>
      <c r="HWM78" s="137"/>
      <c r="HWN78" s="137"/>
      <c r="HWO78" s="137"/>
      <c r="HWP78" s="137"/>
      <c r="HWQ78" s="137"/>
      <c r="HWR78" s="137"/>
      <c r="HWS78" s="137"/>
      <c r="HWT78" s="137"/>
      <c r="HWU78" s="137"/>
      <c r="HWV78" s="137"/>
      <c r="HWW78" s="137"/>
      <c r="HWX78" s="137"/>
      <c r="HWY78" s="137"/>
      <c r="HWZ78" s="137"/>
      <c r="HXA78" s="137"/>
      <c r="HXB78" s="137"/>
      <c r="HXC78" s="137"/>
      <c r="HXD78" s="137"/>
      <c r="HXE78" s="137"/>
      <c r="HXF78" s="137"/>
      <c r="HXG78" s="137"/>
      <c r="HXH78" s="137"/>
      <c r="HXI78" s="137"/>
      <c r="HXJ78" s="137"/>
      <c r="HXK78" s="137"/>
      <c r="HXL78" s="137"/>
      <c r="HXM78" s="137"/>
      <c r="HXN78" s="137"/>
      <c r="HXO78" s="137"/>
      <c r="HXP78" s="137"/>
      <c r="HXQ78" s="137"/>
      <c r="HXR78" s="137"/>
      <c r="HXS78" s="137"/>
      <c r="HXT78" s="137"/>
      <c r="HXU78" s="137"/>
      <c r="HXV78" s="137"/>
      <c r="HXW78" s="137"/>
      <c r="HXX78" s="137"/>
      <c r="HXY78" s="137"/>
      <c r="HXZ78" s="137"/>
      <c r="HYA78" s="137"/>
      <c r="HYB78" s="137"/>
      <c r="HYC78" s="137"/>
      <c r="HYD78" s="137"/>
      <c r="HYE78" s="137"/>
      <c r="HYF78" s="137"/>
      <c r="HYG78" s="137"/>
      <c r="HYH78" s="137"/>
      <c r="HYI78" s="137"/>
      <c r="HYJ78" s="137"/>
      <c r="HYK78" s="137"/>
      <c r="HYL78" s="137"/>
      <c r="HYM78" s="137"/>
      <c r="HYN78" s="137"/>
      <c r="HYO78" s="137"/>
      <c r="HYP78" s="137"/>
      <c r="HYQ78" s="137"/>
      <c r="HYR78" s="137"/>
      <c r="HYS78" s="137"/>
      <c r="HYT78" s="137"/>
      <c r="HYU78" s="137"/>
      <c r="HYV78" s="137"/>
      <c r="HYW78" s="137"/>
      <c r="HYX78" s="137"/>
      <c r="HYY78" s="137"/>
      <c r="HYZ78" s="137"/>
      <c r="HZA78" s="137"/>
      <c r="HZB78" s="137"/>
      <c r="HZC78" s="137"/>
      <c r="HZD78" s="137"/>
      <c r="HZE78" s="137"/>
      <c r="HZF78" s="137"/>
      <c r="HZG78" s="137"/>
      <c r="HZH78" s="137"/>
      <c r="HZI78" s="137"/>
      <c r="HZJ78" s="137"/>
      <c r="HZK78" s="137"/>
      <c r="HZL78" s="137"/>
      <c r="HZM78" s="137"/>
      <c r="HZN78" s="137"/>
      <c r="HZO78" s="137"/>
      <c r="HZP78" s="137"/>
      <c r="HZQ78" s="137"/>
      <c r="HZR78" s="137"/>
      <c r="HZS78" s="137"/>
      <c r="HZT78" s="137"/>
      <c r="HZU78" s="137"/>
      <c r="HZV78" s="137"/>
      <c r="HZW78" s="137"/>
      <c r="HZX78" s="137"/>
      <c r="HZY78" s="137"/>
      <c r="HZZ78" s="137"/>
      <c r="IAA78" s="137"/>
      <c r="IAB78" s="137"/>
      <c r="IAC78" s="137"/>
      <c r="IAD78" s="137"/>
      <c r="IAE78" s="137"/>
      <c r="IAF78" s="137"/>
      <c r="IAG78" s="137"/>
      <c r="IAH78" s="137"/>
      <c r="IAI78" s="137"/>
      <c r="IAJ78" s="137"/>
      <c r="IAK78" s="137"/>
      <c r="IAL78" s="137"/>
      <c r="IAM78" s="137"/>
      <c r="IAN78" s="137"/>
      <c r="IAO78" s="137"/>
      <c r="IAP78" s="137"/>
      <c r="IAQ78" s="137"/>
      <c r="IAR78" s="137"/>
      <c r="IAS78" s="137"/>
      <c r="IAT78" s="137"/>
      <c r="IAU78" s="137"/>
      <c r="IAV78" s="137"/>
      <c r="IAW78" s="137"/>
      <c r="IAX78" s="137"/>
      <c r="IAY78" s="137"/>
      <c r="IAZ78" s="137"/>
      <c r="IBA78" s="137"/>
      <c r="IBB78" s="137"/>
      <c r="IBC78" s="137"/>
      <c r="IBD78" s="137"/>
      <c r="IBE78" s="137"/>
      <c r="IBF78" s="137"/>
      <c r="IBG78" s="137"/>
      <c r="IBH78" s="137"/>
      <c r="IBI78" s="137"/>
      <c r="IBJ78" s="137"/>
      <c r="IBK78" s="137"/>
      <c r="IBL78" s="137"/>
      <c r="IBM78" s="137"/>
      <c r="IBN78" s="137"/>
      <c r="IBO78" s="137"/>
      <c r="IBP78" s="137"/>
      <c r="IBQ78" s="137"/>
      <c r="IBR78" s="137"/>
      <c r="IBS78" s="137"/>
      <c r="IBT78" s="137"/>
      <c r="IBU78" s="137"/>
      <c r="IBV78" s="137"/>
      <c r="IBW78" s="137"/>
      <c r="IBX78" s="137"/>
      <c r="IBY78" s="137"/>
      <c r="IBZ78" s="137"/>
      <c r="ICA78" s="137"/>
      <c r="ICB78" s="137"/>
      <c r="ICC78" s="137"/>
      <c r="ICD78" s="137"/>
      <c r="ICE78" s="137"/>
      <c r="ICF78" s="137"/>
      <c r="ICG78" s="137"/>
      <c r="ICH78" s="137"/>
      <c r="ICI78" s="137"/>
      <c r="ICJ78" s="137"/>
      <c r="ICK78" s="137"/>
      <c r="ICL78" s="137"/>
      <c r="ICM78" s="137"/>
      <c r="ICN78" s="137"/>
      <c r="ICO78" s="137"/>
      <c r="ICP78" s="137"/>
      <c r="ICQ78" s="137"/>
      <c r="ICR78" s="137"/>
      <c r="ICS78" s="137"/>
      <c r="ICT78" s="137"/>
      <c r="ICU78" s="137"/>
      <c r="ICV78" s="137"/>
      <c r="ICW78" s="137"/>
      <c r="ICX78" s="137"/>
      <c r="ICY78" s="137"/>
      <c r="ICZ78" s="137"/>
      <c r="IDA78" s="137"/>
      <c r="IDB78" s="137"/>
      <c r="IDC78" s="137"/>
      <c r="IDD78" s="137"/>
      <c r="IDE78" s="137"/>
      <c r="IDF78" s="137"/>
      <c r="IDG78" s="137"/>
      <c r="IDH78" s="137"/>
      <c r="IDI78" s="137"/>
      <c r="IDJ78" s="137"/>
      <c r="IDK78" s="137"/>
      <c r="IDL78" s="137"/>
      <c r="IDM78" s="137"/>
      <c r="IDN78" s="137"/>
      <c r="IDO78" s="137"/>
      <c r="IDP78" s="137"/>
      <c r="IDQ78" s="137"/>
      <c r="IDR78" s="137"/>
      <c r="IDS78" s="137"/>
      <c r="IDT78" s="137"/>
      <c r="IDU78" s="137"/>
      <c r="IDV78" s="137"/>
      <c r="IDW78" s="137"/>
      <c r="IDX78" s="137"/>
      <c r="IDY78" s="137"/>
      <c r="IDZ78" s="137"/>
      <c r="IEA78" s="137"/>
      <c r="IEB78" s="137"/>
      <c r="IEC78" s="137"/>
      <c r="IED78" s="137"/>
      <c r="IEE78" s="137"/>
      <c r="IEF78" s="137"/>
      <c r="IEG78" s="137"/>
      <c r="IEH78" s="137"/>
      <c r="IEI78" s="137"/>
      <c r="IEJ78" s="137"/>
      <c r="IEK78" s="137"/>
      <c r="IEL78" s="137"/>
      <c r="IEM78" s="137"/>
      <c r="IEN78" s="137"/>
      <c r="IEO78" s="137"/>
      <c r="IEP78" s="137"/>
      <c r="IEQ78" s="137"/>
      <c r="IER78" s="137"/>
      <c r="IES78" s="137"/>
      <c r="IET78" s="137"/>
      <c r="IEU78" s="137"/>
      <c r="IEV78" s="137"/>
      <c r="IEW78" s="137"/>
      <c r="IEX78" s="137"/>
      <c r="IEY78" s="137"/>
      <c r="IEZ78" s="137"/>
      <c r="IFA78" s="137"/>
      <c r="IFB78" s="137"/>
      <c r="IFC78" s="137"/>
      <c r="IFD78" s="137"/>
      <c r="IFE78" s="137"/>
      <c r="IFF78" s="137"/>
      <c r="IFG78" s="137"/>
      <c r="IFH78" s="137"/>
      <c r="IFI78" s="137"/>
      <c r="IFJ78" s="137"/>
      <c r="IFK78" s="137"/>
      <c r="IFL78" s="137"/>
      <c r="IFM78" s="137"/>
      <c r="IFN78" s="137"/>
      <c r="IFO78" s="137"/>
      <c r="IFP78" s="137"/>
      <c r="IFQ78" s="137"/>
      <c r="IFR78" s="137"/>
      <c r="IFS78" s="137"/>
      <c r="IFT78" s="137"/>
      <c r="IFU78" s="137"/>
      <c r="IFV78" s="137"/>
      <c r="IFW78" s="137"/>
      <c r="IFX78" s="137"/>
      <c r="IFY78" s="137"/>
      <c r="IFZ78" s="137"/>
      <c r="IGA78" s="137"/>
      <c r="IGB78" s="137"/>
      <c r="IGC78" s="137"/>
      <c r="IGD78" s="137"/>
      <c r="IGE78" s="137"/>
      <c r="IGF78" s="137"/>
      <c r="IGG78" s="137"/>
      <c r="IGH78" s="137"/>
      <c r="IGI78" s="137"/>
      <c r="IGJ78" s="137"/>
      <c r="IGK78" s="137"/>
      <c r="IGL78" s="137"/>
      <c r="IGM78" s="137"/>
      <c r="IGN78" s="137"/>
      <c r="IGO78" s="137"/>
      <c r="IGP78" s="137"/>
      <c r="IGQ78" s="137"/>
      <c r="IGR78" s="137"/>
      <c r="IGS78" s="137"/>
      <c r="IGT78" s="137"/>
      <c r="IGU78" s="137"/>
      <c r="IGV78" s="137"/>
      <c r="IGW78" s="137"/>
      <c r="IGX78" s="137"/>
      <c r="IGY78" s="137"/>
      <c r="IGZ78" s="137"/>
      <c r="IHA78" s="137"/>
      <c r="IHB78" s="137"/>
      <c r="IHC78" s="137"/>
      <c r="IHD78" s="137"/>
      <c r="IHE78" s="137"/>
      <c r="IHF78" s="137"/>
      <c r="IHG78" s="137"/>
      <c r="IHH78" s="137"/>
      <c r="IHI78" s="137"/>
      <c r="IHJ78" s="137"/>
      <c r="IHK78" s="137"/>
      <c r="IHL78" s="137"/>
      <c r="IHM78" s="137"/>
      <c r="IHN78" s="137"/>
      <c r="IHO78" s="137"/>
      <c r="IHP78" s="137"/>
      <c r="IHQ78" s="137"/>
      <c r="IHR78" s="137"/>
      <c r="IHS78" s="137"/>
      <c r="IHT78" s="137"/>
      <c r="IHU78" s="137"/>
      <c r="IHV78" s="137"/>
      <c r="IHW78" s="137"/>
      <c r="IHX78" s="137"/>
      <c r="IHY78" s="137"/>
      <c r="IHZ78" s="137"/>
      <c r="IIA78" s="137"/>
      <c r="IIB78" s="137"/>
      <c r="IIC78" s="137"/>
      <c r="IID78" s="137"/>
      <c r="IIE78" s="137"/>
      <c r="IIF78" s="137"/>
      <c r="IIG78" s="137"/>
      <c r="IIH78" s="137"/>
      <c r="III78" s="137"/>
      <c r="IIJ78" s="137"/>
      <c r="IIK78" s="137"/>
      <c r="IIL78" s="137"/>
      <c r="IIM78" s="137"/>
      <c r="IIN78" s="137"/>
      <c r="IIO78" s="137"/>
      <c r="IIP78" s="137"/>
      <c r="IIQ78" s="137"/>
      <c r="IIR78" s="137"/>
      <c r="IIS78" s="137"/>
      <c r="IIT78" s="137"/>
      <c r="IIU78" s="137"/>
      <c r="IIV78" s="137"/>
      <c r="IIW78" s="137"/>
      <c r="IIX78" s="137"/>
      <c r="IIY78" s="137"/>
      <c r="IIZ78" s="137"/>
      <c r="IJA78" s="137"/>
      <c r="IJB78" s="137"/>
      <c r="IJC78" s="137"/>
      <c r="IJD78" s="137"/>
      <c r="IJE78" s="137"/>
      <c r="IJF78" s="137"/>
      <c r="IJG78" s="137"/>
      <c r="IJH78" s="137"/>
      <c r="IJI78" s="137"/>
      <c r="IJJ78" s="137"/>
      <c r="IJK78" s="137"/>
      <c r="IJL78" s="137"/>
      <c r="IJM78" s="137"/>
      <c r="IJN78" s="137"/>
      <c r="IJO78" s="137"/>
      <c r="IJP78" s="137"/>
      <c r="IJQ78" s="137"/>
      <c r="IJR78" s="137"/>
      <c r="IJS78" s="137"/>
      <c r="IJT78" s="137"/>
      <c r="IJU78" s="137"/>
      <c r="IJV78" s="137"/>
      <c r="IJW78" s="137"/>
      <c r="IJX78" s="137"/>
      <c r="IJY78" s="137"/>
      <c r="IJZ78" s="137"/>
      <c r="IKA78" s="137"/>
      <c r="IKB78" s="137"/>
      <c r="IKC78" s="137"/>
      <c r="IKD78" s="137"/>
      <c r="IKE78" s="137"/>
      <c r="IKF78" s="137"/>
      <c r="IKG78" s="137"/>
      <c r="IKH78" s="137"/>
      <c r="IKI78" s="137"/>
      <c r="IKJ78" s="137"/>
      <c r="IKK78" s="137"/>
      <c r="IKL78" s="137"/>
      <c r="IKM78" s="137"/>
      <c r="IKN78" s="137"/>
      <c r="IKO78" s="137"/>
      <c r="IKP78" s="137"/>
      <c r="IKQ78" s="137"/>
      <c r="IKR78" s="137"/>
      <c r="IKS78" s="137"/>
      <c r="IKT78" s="137"/>
      <c r="IKU78" s="137"/>
      <c r="IKV78" s="137"/>
      <c r="IKW78" s="137"/>
      <c r="IKX78" s="137"/>
      <c r="IKY78" s="137"/>
      <c r="IKZ78" s="137"/>
      <c r="ILA78" s="137"/>
      <c r="ILB78" s="137"/>
      <c r="ILC78" s="137"/>
      <c r="ILD78" s="137"/>
      <c r="ILE78" s="137"/>
      <c r="ILF78" s="137"/>
      <c r="ILG78" s="137"/>
      <c r="ILH78" s="137"/>
      <c r="ILI78" s="137"/>
      <c r="ILJ78" s="137"/>
      <c r="ILK78" s="137"/>
      <c r="ILL78" s="137"/>
      <c r="ILM78" s="137"/>
      <c r="ILN78" s="137"/>
      <c r="ILO78" s="137"/>
      <c r="ILP78" s="137"/>
      <c r="ILQ78" s="137"/>
      <c r="ILR78" s="137"/>
      <c r="ILS78" s="137"/>
      <c r="ILT78" s="137"/>
      <c r="ILU78" s="137"/>
      <c r="ILV78" s="137"/>
      <c r="ILW78" s="137"/>
      <c r="ILX78" s="137"/>
      <c r="ILY78" s="137"/>
      <c r="ILZ78" s="137"/>
      <c r="IMA78" s="137"/>
      <c r="IMB78" s="137"/>
      <c r="IMC78" s="137"/>
      <c r="IMD78" s="137"/>
      <c r="IME78" s="137"/>
      <c r="IMF78" s="137"/>
      <c r="IMG78" s="137"/>
      <c r="IMH78" s="137"/>
      <c r="IMI78" s="137"/>
      <c r="IMJ78" s="137"/>
      <c r="IMK78" s="137"/>
      <c r="IML78" s="137"/>
      <c r="IMM78" s="137"/>
      <c r="IMN78" s="137"/>
      <c r="IMO78" s="137"/>
      <c r="IMP78" s="137"/>
      <c r="IMQ78" s="137"/>
      <c r="IMR78" s="137"/>
      <c r="IMS78" s="137"/>
      <c r="IMT78" s="137"/>
      <c r="IMU78" s="137"/>
      <c r="IMV78" s="137"/>
      <c r="IMW78" s="137"/>
      <c r="IMX78" s="137"/>
      <c r="IMY78" s="137"/>
      <c r="IMZ78" s="137"/>
      <c r="INA78" s="137"/>
      <c r="INB78" s="137"/>
      <c r="INC78" s="137"/>
      <c r="IND78" s="137"/>
      <c r="INE78" s="137"/>
      <c r="INF78" s="137"/>
      <c r="ING78" s="137"/>
      <c r="INH78" s="137"/>
      <c r="INI78" s="137"/>
      <c r="INJ78" s="137"/>
      <c r="INK78" s="137"/>
      <c r="INL78" s="137"/>
      <c r="INM78" s="137"/>
      <c r="INN78" s="137"/>
      <c r="INO78" s="137"/>
      <c r="INP78" s="137"/>
      <c r="INQ78" s="137"/>
      <c r="INR78" s="137"/>
      <c r="INS78" s="137"/>
      <c r="INT78" s="137"/>
      <c r="INU78" s="137"/>
      <c r="INV78" s="137"/>
      <c r="INW78" s="137"/>
      <c r="INX78" s="137"/>
      <c r="INY78" s="137"/>
      <c r="INZ78" s="137"/>
      <c r="IOA78" s="137"/>
      <c r="IOB78" s="137"/>
      <c r="IOC78" s="137"/>
      <c r="IOD78" s="137"/>
      <c r="IOE78" s="137"/>
      <c r="IOF78" s="137"/>
      <c r="IOG78" s="137"/>
      <c r="IOH78" s="137"/>
      <c r="IOI78" s="137"/>
      <c r="IOJ78" s="137"/>
      <c r="IOK78" s="137"/>
      <c r="IOL78" s="137"/>
      <c r="IOM78" s="137"/>
      <c r="ION78" s="137"/>
      <c r="IOO78" s="137"/>
      <c r="IOP78" s="137"/>
      <c r="IOQ78" s="137"/>
      <c r="IOR78" s="137"/>
      <c r="IOS78" s="137"/>
      <c r="IOT78" s="137"/>
      <c r="IOU78" s="137"/>
      <c r="IOV78" s="137"/>
      <c r="IOW78" s="137"/>
      <c r="IOX78" s="137"/>
      <c r="IOY78" s="137"/>
      <c r="IOZ78" s="137"/>
      <c r="IPA78" s="137"/>
      <c r="IPB78" s="137"/>
      <c r="IPC78" s="137"/>
      <c r="IPD78" s="137"/>
      <c r="IPE78" s="137"/>
      <c r="IPF78" s="137"/>
      <c r="IPG78" s="137"/>
      <c r="IPH78" s="137"/>
      <c r="IPI78" s="137"/>
      <c r="IPJ78" s="137"/>
      <c r="IPK78" s="137"/>
      <c r="IPL78" s="137"/>
      <c r="IPM78" s="137"/>
      <c r="IPN78" s="137"/>
      <c r="IPO78" s="137"/>
      <c r="IPP78" s="137"/>
      <c r="IPQ78" s="137"/>
      <c r="IPR78" s="137"/>
      <c r="IPS78" s="137"/>
      <c r="IPT78" s="137"/>
      <c r="IPU78" s="137"/>
      <c r="IPV78" s="137"/>
      <c r="IPW78" s="137"/>
      <c r="IPX78" s="137"/>
      <c r="IPY78" s="137"/>
      <c r="IPZ78" s="137"/>
      <c r="IQA78" s="137"/>
      <c r="IQB78" s="137"/>
      <c r="IQC78" s="137"/>
      <c r="IQD78" s="137"/>
      <c r="IQE78" s="137"/>
      <c r="IQF78" s="137"/>
      <c r="IQG78" s="137"/>
      <c r="IQH78" s="137"/>
      <c r="IQI78" s="137"/>
      <c r="IQJ78" s="137"/>
      <c r="IQK78" s="137"/>
      <c r="IQL78" s="137"/>
      <c r="IQM78" s="137"/>
      <c r="IQN78" s="137"/>
      <c r="IQO78" s="137"/>
      <c r="IQP78" s="137"/>
      <c r="IQQ78" s="137"/>
      <c r="IQR78" s="137"/>
      <c r="IQS78" s="137"/>
      <c r="IQT78" s="137"/>
      <c r="IQU78" s="137"/>
      <c r="IQV78" s="137"/>
      <c r="IQW78" s="137"/>
      <c r="IQX78" s="137"/>
      <c r="IQY78" s="137"/>
      <c r="IQZ78" s="137"/>
      <c r="IRA78" s="137"/>
      <c r="IRB78" s="137"/>
      <c r="IRC78" s="137"/>
      <c r="IRD78" s="137"/>
      <c r="IRE78" s="137"/>
      <c r="IRF78" s="137"/>
      <c r="IRG78" s="137"/>
      <c r="IRH78" s="137"/>
      <c r="IRI78" s="137"/>
      <c r="IRJ78" s="137"/>
      <c r="IRK78" s="137"/>
      <c r="IRL78" s="137"/>
      <c r="IRM78" s="137"/>
      <c r="IRN78" s="137"/>
      <c r="IRO78" s="137"/>
      <c r="IRP78" s="137"/>
      <c r="IRQ78" s="137"/>
      <c r="IRR78" s="137"/>
      <c r="IRS78" s="137"/>
      <c r="IRT78" s="137"/>
      <c r="IRU78" s="137"/>
      <c r="IRV78" s="137"/>
      <c r="IRW78" s="137"/>
      <c r="IRX78" s="137"/>
      <c r="IRY78" s="137"/>
      <c r="IRZ78" s="137"/>
      <c r="ISA78" s="137"/>
      <c r="ISB78" s="137"/>
      <c r="ISC78" s="137"/>
      <c r="ISD78" s="137"/>
      <c r="ISE78" s="137"/>
      <c r="ISF78" s="137"/>
      <c r="ISG78" s="137"/>
      <c r="ISH78" s="137"/>
      <c r="ISI78" s="137"/>
      <c r="ISJ78" s="137"/>
      <c r="ISK78" s="137"/>
      <c r="ISL78" s="137"/>
      <c r="ISM78" s="137"/>
      <c r="ISN78" s="137"/>
      <c r="ISO78" s="137"/>
      <c r="ISP78" s="137"/>
      <c r="ISQ78" s="137"/>
      <c r="ISR78" s="137"/>
      <c r="ISS78" s="137"/>
      <c r="IST78" s="137"/>
      <c r="ISU78" s="137"/>
      <c r="ISV78" s="137"/>
      <c r="ISW78" s="137"/>
      <c r="ISX78" s="137"/>
      <c r="ISY78" s="137"/>
      <c r="ISZ78" s="137"/>
      <c r="ITA78" s="137"/>
      <c r="ITB78" s="137"/>
      <c r="ITC78" s="137"/>
      <c r="ITD78" s="137"/>
      <c r="ITE78" s="137"/>
      <c r="ITF78" s="137"/>
      <c r="ITG78" s="137"/>
      <c r="ITH78" s="137"/>
      <c r="ITI78" s="137"/>
      <c r="ITJ78" s="137"/>
      <c r="ITK78" s="137"/>
      <c r="ITL78" s="137"/>
      <c r="ITM78" s="137"/>
      <c r="ITN78" s="137"/>
      <c r="ITO78" s="137"/>
      <c r="ITP78" s="137"/>
      <c r="ITQ78" s="137"/>
      <c r="ITR78" s="137"/>
      <c r="ITS78" s="137"/>
      <c r="ITT78" s="137"/>
      <c r="ITU78" s="137"/>
      <c r="ITV78" s="137"/>
      <c r="ITW78" s="137"/>
      <c r="ITX78" s="137"/>
      <c r="ITY78" s="137"/>
      <c r="ITZ78" s="137"/>
      <c r="IUA78" s="137"/>
      <c r="IUB78" s="137"/>
      <c r="IUC78" s="137"/>
      <c r="IUD78" s="137"/>
      <c r="IUE78" s="137"/>
      <c r="IUF78" s="137"/>
      <c r="IUG78" s="137"/>
      <c r="IUH78" s="137"/>
      <c r="IUI78" s="137"/>
      <c r="IUJ78" s="137"/>
      <c r="IUK78" s="137"/>
      <c r="IUL78" s="137"/>
      <c r="IUM78" s="137"/>
      <c r="IUN78" s="137"/>
      <c r="IUO78" s="137"/>
      <c r="IUP78" s="137"/>
      <c r="IUQ78" s="137"/>
      <c r="IUR78" s="137"/>
      <c r="IUS78" s="137"/>
      <c r="IUT78" s="137"/>
      <c r="IUU78" s="137"/>
      <c r="IUV78" s="137"/>
      <c r="IUW78" s="137"/>
      <c r="IUX78" s="137"/>
      <c r="IUY78" s="137"/>
      <c r="IUZ78" s="137"/>
      <c r="IVA78" s="137"/>
      <c r="IVB78" s="137"/>
      <c r="IVC78" s="137"/>
      <c r="IVD78" s="137"/>
      <c r="IVE78" s="137"/>
      <c r="IVF78" s="137"/>
      <c r="IVG78" s="137"/>
      <c r="IVH78" s="137"/>
      <c r="IVI78" s="137"/>
      <c r="IVJ78" s="137"/>
      <c r="IVK78" s="137"/>
      <c r="IVL78" s="137"/>
      <c r="IVM78" s="137"/>
      <c r="IVN78" s="137"/>
      <c r="IVO78" s="137"/>
      <c r="IVP78" s="137"/>
      <c r="IVQ78" s="137"/>
      <c r="IVR78" s="137"/>
      <c r="IVS78" s="137"/>
      <c r="IVT78" s="137"/>
      <c r="IVU78" s="137"/>
      <c r="IVV78" s="137"/>
      <c r="IVW78" s="137"/>
      <c r="IVX78" s="137"/>
      <c r="IVY78" s="137"/>
      <c r="IVZ78" s="137"/>
      <c r="IWA78" s="137"/>
      <c r="IWB78" s="137"/>
      <c r="IWC78" s="137"/>
      <c r="IWD78" s="137"/>
      <c r="IWE78" s="137"/>
      <c r="IWF78" s="137"/>
      <c r="IWG78" s="137"/>
      <c r="IWH78" s="137"/>
      <c r="IWI78" s="137"/>
      <c r="IWJ78" s="137"/>
      <c r="IWK78" s="137"/>
      <c r="IWL78" s="137"/>
      <c r="IWM78" s="137"/>
      <c r="IWN78" s="137"/>
      <c r="IWO78" s="137"/>
      <c r="IWP78" s="137"/>
      <c r="IWQ78" s="137"/>
      <c r="IWR78" s="137"/>
      <c r="IWS78" s="137"/>
      <c r="IWT78" s="137"/>
      <c r="IWU78" s="137"/>
      <c r="IWV78" s="137"/>
      <c r="IWW78" s="137"/>
      <c r="IWX78" s="137"/>
      <c r="IWY78" s="137"/>
      <c r="IWZ78" s="137"/>
      <c r="IXA78" s="137"/>
      <c r="IXB78" s="137"/>
      <c r="IXC78" s="137"/>
      <c r="IXD78" s="137"/>
      <c r="IXE78" s="137"/>
      <c r="IXF78" s="137"/>
      <c r="IXG78" s="137"/>
      <c r="IXH78" s="137"/>
      <c r="IXI78" s="137"/>
      <c r="IXJ78" s="137"/>
      <c r="IXK78" s="137"/>
      <c r="IXL78" s="137"/>
      <c r="IXM78" s="137"/>
      <c r="IXN78" s="137"/>
      <c r="IXO78" s="137"/>
      <c r="IXP78" s="137"/>
      <c r="IXQ78" s="137"/>
      <c r="IXR78" s="137"/>
      <c r="IXS78" s="137"/>
      <c r="IXT78" s="137"/>
      <c r="IXU78" s="137"/>
      <c r="IXV78" s="137"/>
      <c r="IXW78" s="137"/>
      <c r="IXX78" s="137"/>
      <c r="IXY78" s="137"/>
      <c r="IXZ78" s="137"/>
      <c r="IYA78" s="137"/>
      <c r="IYB78" s="137"/>
      <c r="IYC78" s="137"/>
      <c r="IYD78" s="137"/>
      <c r="IYE78" s="137"/>
      <c r="IYF78" s="137"/>
      <c r="IYG78" s="137"/>
      <c r="IYH78" s="137"/>
      <c r="IYI78" s="137"/>
      <c r="IYJ78" s="137"/>
      <c r="IYK78" s="137"/>
      <c r="IYL78" s="137"/>
      <c r="IYM78" s="137"/>
      <c r="IYN78" s="137"/>
      <c r="IYO78" s="137"/>
      <c r="IYP78" s="137"/>
      <c r="IYQ78" s="137"/>
      <c r="IYR78" s="137"/>
      <c r="IYS78" s="137"/>
      <c r="IYT78" s="137"/>
      <c r="IYU78" s="137"/>
      <c r="IYV78" s="137"/>
      <c r="IYW78" s="137"/>
      <c r="IYX78" s="137"/>
      <c r="IYY78" s="137"/>
      <c r="IYZ78" s="137"/>
      <c r="IZA78" s="137"/>
      <c r="IZB78" s="137"/>
      <c r="IZC78" s="137"/>
      <c r="IZD78" s="137"/>
      <c r="IZE78" s="137"/>
      <c r="IZF78" s="137"/>
      <c r="IZG78" s="137"/>
      <c r="IZH78" s="137"/>
      <c r="IZI78" s="137"/>
      <c r="IZJ78" s="137"/>
      <c r="IZK78" s="137"/>
      <c r="IZL78" s="137"/>
      <c r="IZM78" s="137"/>
      <c r="IZN78" s="137"/>
      <c r="IZO78" s="137"/>
      <c r="IZP78" s="137"/>
      <c r="IZQ78" s="137"/>
      <c r="IZR78" s="137"/>
      <c r="IZS78" s="137"/>
      <c r="IZT78" s="137"/>
      <c r="IZU78" s="137"/>
      <c r="IZV78" s="137"/>
      <c r="IZW78" s="137"/>
      <c r="IZX78" s="137"/>
      <c r="IZY78" s="137"/>
      <c r="IZZ78" s="137"/>
      <c r="JAA78" s="137"/>
      <c r="JAB78" s="137"/>
      <c r="JAC78" s="137"/>
      <c r="JAD78" s="137"/>
      <c r="JAE78" s="137"/>
      <c r="JAF78" s="137"/>
      <c r="JAG78" s="137"/>
      <c r="JAH78" s="137"/>
      <c r="JAI78" s="137"/>
      <c r="JAJ78" s="137"/>
      <c r="JAK78" s="137"/>
      <c r="JAL78" s="137"/>
      <c r="JAM78" s="137"/>
      <c r="JAN78" s="137"/>
      <c r="JAO78" s="137"/>
      <c r="JAP78" s="137"/>
      <c r="JAQ78" s="137"/>
      <c r="JAR78" s="137"/>
      <c r="JAS78" s="137"/>
      <c r="JAT78" s="137"/>
      <c r="JAU78" s="137"/>
      <c r="JAV78" s="137"/>
      <c r="JAW78" s="137"/>
      <c r="JAX78" s="137"/>
      <c r="JAY78" s="137"/>
      <c r="JAZ78" s="137"/>
      <c r="JBA78" s="137"/>
      <c r="JBB78" s="137"/>
      <c r="JBC78" s="137"/>
      <c r="JBD78" s="137"/>
      <c r="JBE78" s="137"/>
      <c r="JBF78" s="137"/>
      <c r="JBG78" s="137"/>
      <c r="JBH78" s="137"/>
      <c r="JBI78" s="137"/>
      <c r="JBJ78" s="137"/>
      <c r="JBK78" s="137"/>
      <c r="JBL78" s="137"/>
      <c r="JBM78" s="137"/>
      <c r="JBN78" s="137"/>
      <c r="JBO78" s="137"/>
      <c r="JBP78" s="137"/>
      <c r="JBQ78" s="137"/>
      <c r="JBR78" s="137"/>
      <c r="JBS78" s="137"/>
      <c r="JBT78" s="137"/>
      <c r="JBU78" s="137"/>
      <c r="JBV78" s="137"/>
      <c r="JBW78" s="137"/>
      <c r="JBX78" s="137"/>
      <c r="JBY78" s="137"/>
      <c r="JBZ78" s="137"/>
      <c r="JCA78" s="137"/>
      <c r="JCB78" s="137"/>
      <c r="JCC78" s="137"/>
      <c r="JCD78" s="137"/>
      <c r="JCE78" s="137"/>
      <c r="JCF78" s="137"/>
      <c r="JCG78" s="137"/>
      <c r="JCH78" s="137"/>
      <c r="JCI78" s="137"/>
      <c r="JCJ78" s="137"/>
      <c r="JCK78" s="137"/>
      <c r="JCL78" s="137"/>
      <c r="JCM78" s="137"/>
      <c r="JCN78" s="137"/>
      <c r="JCO78" s="137"/>
      <c r="JCP78" s="137"/>
      <c r="JCQ78" s="137"/>
      <c r="JCR78" s="137"/>
      <c r="JCS78" s="137"/>
      <c r="JCT78" s="137"/>
      <c r="JCU78" s="137"/>
      <c r="JCV78" s="137"/>
      <c r="JCW78" s="137"/>
      <c r="JCX78" s="137"/>
      <c r="JCY78" s="137"/>
      <c r="JCZ78" s="137"/>
      <c r="JDA78" s="137"/>
      <c r="JDB78" s="137"/>
      <c r="JDC78" s="137"/>
      <c r="JDD78" s="137"/>
      <c r="JDE78" s="137"/>
      <c r="JDF78" s="137"/>
      <c r="JDG78" s="137"/>
      <c r="JDH78" s="137"/>
      <c r="JDI78" s="137"/>
      <c r="JDJ78" s="137"/>
      <c r="JDK78" s="137"/>
      <c r="JDL78" s="137"/>
      <c r="JDM78" s="137"/>
      <c r="JDN78" s="137"/>
      <c r="JDO78" s="137"/>
      <c r="JDP78" s="137"/>
      <c r="JDQ78" s="137"/>
      <c r="JDR78" s="137"/>
      <c r="JDS78" s="137"/>
      <c r="JDT78" s="137"/>
      <c r="JDU78" s="137"/>
      <c r="JDV78" s="137"/>
      <c r="JDW78" s="137"/>
      <c r="JDX78" s="137"/>
      <c r="JDY78" s="137"/>
      <c r="JDZ78" s="137"/>
      <c r="JEA78" s="137"/>
      <c r="JEB78" s="137"/>
      <c r="JEC78" s="137"/>
      <c r="JED78" s="137"/>
      <c r="JEE78" s="137"/>
      <c r="JEF78" s="137"/>
      <c r="JEG78" s="137"/>
      <c r="JEH78" s="137"/>
      <c r="JEI78" s="137"/>
      <c r="JEJ78" s="137"/>
      <c r="JEK78" s="137"/>
      <c r="JEL78" s="137"/>
      <c r="JEM78" s="137"/>
      <c r="JEN78" s="137"/>
      <c r="JEO78" s="137"/>
      <c r="JEP78" s="137"/>
      <c r="JEQ78" s="137"/>
      <c r="JER78" s="137"/>
      <c r="JES78" s="137"/>
      <c r="JET78" s="137"/>
      <c r="JEU78" s="137"/>
      <c r="JEV78" s="137"/>
      <c r="JEW78" s="137"/>
      <c r="JEX78" s="137"/>
      <c r="JEY78" s="137"/>
      <c r="JEZ78" s="137"/>
      <c r="JFA78" s="137"/>
      <c r="JFB78" s="137"/>
      <c r="JFC78" s="137"/>
      <c r="JFD78" s="137"/>
      <c r="JFE78" s="137"/>
      <c r="JFF78" s="137"/>
      <c r="JFG78" s="137"/>
      <c r="JFH78" s="137"/>
      <c r="JFI78" s="137"/>
      <c r="JFJ78" s="137"/>
      <c r="JFK78" s="137"/>
      <c r="JFL78" s="137"/>
      <c r="JFM78" s="137"/>
      <c r="JFN78" s="137"/>
      <c r="JFO78" s="137"/>
      <c r="JFP78" s="137"/>
      <c r="JFQ78" s="137"/>
      <c r="JFR78" s="137"/>
      <c r="JFS78" s="137"/>
      <c r="JFT78" s="137"/>
      <c r="JFU78" s="137"/>
      <c r="JFV78" s="137"/>
      <c r="JFW78" s="137"/>
      <c r="JFX78" s="137"/>
      <c r="JFY78" s="137"/>
      <c r="JFZ78" s="137"/>
      <c r="JGA78" s="137"/>
      <c r="JGB78" s="137"/>
      <c r="JGC78" s="137"/>
      <c r="JGD78" s="137"/>
      <c r="JGE78" s="137"/>
      <c r="JGF78" s="137"/>
      <c r="JGG78" s="137"/>
      <c r="JGH78" s="137"/>
      <c r="JGI78" s="137"/>
      <c r="JGJ78" s="137"/>
      <c r="JGK78" s="137"/>
      <c r="JGL78" s="137"/>
      <c r="JGM78" s="137"/>
      <c r="JGN78" s="137"/>
      <c r="JGO78" s="137"/>
      <c r="JGP78" s="137"/>
      <c r="JGQ78" s="137"/>
      <c r="JGR78" s="137"/>
      <c r="JGS78" s="137"/>
      <c r="JGT78" s="137"/>
      <c r="JGU78" s="137"/>
      <c r="JGV78" s="137"/>
      <c r="JGW78" s="137"/>
      <c r="JGX78" s="137"/>
      <c r="JGY78" s="137"/>
      <c r="JGZ78" s="137"/>
      <c r="JHA78" s="137"/>
      <c r="JHB78" s="137"/>
      <c r="JHC78" s="137"/>
      <c r="JHD78" s="137"/>
      <c r="JHE78" s="137"/>
      <c r="JHF78" s="137"/>
      <c r="JHG78" s="137"/>
      <c r="JHH78" s="137"/>
      <c r="JHI78" s="137"/>
      <c r="JHJ78" s="137"/>
      <c r="JHK78" s="137"/>
      <c r="JHL78" s="137"/>
      <c r="JHM78" s="137"/>
      <c r="JHN78" s="137"/>
      <c r="JHO78" s="137"/>
      <c r="JHP78" s="137"/>
      <c r="JHQ78" s="137"/>
      <c r="JHR78" s="137"/>
      <c r="JHS78" s="137"/>
      <c r="JHT78" s="137"/>
      <c r="JHU78" s="137"/>
      <c r="JHV78" s="137"/>
      <c r="JHW78" s="137"/>
      <c r="JHX78" s="137"/>
      <c r="JHY78" s="137"/>
      <c r="JHZ78" s="137"/>
      <c r="JIA78" s="137"/>
      <c r="JIB78" s="137"/>
      <c r="JIC78" s="137"/>
      <c r="JID78" s="137"/>
      <c r="JIE78" s="137"/>
      <c r="JIF78" s="137"/>
      <c r="JIG78" s="137"/>
      <c r="JIH78" s="137"/>
      <c r="JII78" s="137"/>
      <c r="JIJ78" s="137"/>
      <c r="JIK78" s="137"/>
      <c r="JIL78" s="137"/>
      <c r="JIM78" s="137"/>
      <c r="JIN78" s="137"/>
      <c r="JIO78" s="137"/>
      <c r="JIP78" s="137"/>
      <c r="JIQ78" s="137"/>
      <c r="JIR78" s="137"/>
      <c r="JIS78" s="137"/>
      <c r="JIT78" s="137"/>
      <c r="JIU78" s="137"/>
      <c r="JIV78" s="137"/>
      <c r="JIW78" s="137"/>
      <c r="JIX78" s="137"/>
      <c r="JIY78" s="137"/>
      <c r="JIZ78" s="137"/>
      <c r="JJA78" s="137"/>
      <c r="JJB78" s="137"/>
      <c r="JJC78" s="137"/>
      <c r="JJD78" s="137"/>
      <c r="JJE78" s="137"/>
      <c r="JJF78" s="137"/>
      <c r="JJG78" s="137"/>
      <c r="JJH78" s="137"/>
      <c r="JJI78" s="137"/>
      <c r="JJJ78" s="137"/>
      <c r="JJK78" s="137"/>
      <c r="JJL78" s="137"/>
      <c r="JJM78" s="137"/>
      <c r="JJN78" s="137"/>
      <c r="JJO78" s="137"/>
      <c r="JJP78" s="137"/>
      <c r="JJQ78" s="137"/>
      <c r="JJR78" s="137"/>
      <c r="JJS78" s="137"/>
      <c r="JJT78" s="137"/>
      <c r="JJU78" s="137"/>
      <c r="JJV78" s="137"/>
      <c r="JJW78" s="137"/>
      <c r="JJX78" s="137"/>
      <c r="JJY78" s="137"/>
      <c r="JJZ78" s="137"/>
      <c r="JKA78" s="137"/>
      <c r="JKB78" s="137"/>
      <c r="JKC78" s="137"/>
      <c r="JKD78" s="137"/>
      <c r="JKE78" s="137"/>
      <c r="JKF78" s="137"/>
      <c r="JKG78" s="137"/>
      <c r="JKH78" s="137"/>
      <c r="JKI78" s="137"/>
      <c r="JKJ78" s="137"/>
      <c r="JKK78" s="137"/>
      <c r="JKL78" s="137"/>
      <c r="JKM78" s="137"/>
      <c r="JKN78" s="137"/>
      <c r="JKO78" s="137"/>
      <c r="JKP78" s="137"/>
      <c r="JKQ78" s="137"/>
      <c r="JKR78" s="137"/>
      <c r="JKS78" s="137"/>
      <c r="JKT78" s="137"/>
      <c r="JKU78" s="137"/>
      <c r="JKV78" s="137"/>
      <c r="JKW78" s="137"/>
      <c r="JKX78" s="137"/>
      <c r="JKY78" s="137"/>
      <c r="JKZ78" s="137"/>
      <c r="JLA78" s="137"/>
      <c r="JLB78" s="137"/>
      <c r="JLC78" s="137"/>
      <c r="JLD78" s="137"/>
      <c r="JLE78" s="137"/>
      <c r="JLF78" s="137"/>
      <c r="JLG78" s="137"/>
      <c r="JLH78" s="137"/>
      <c r="JLI78" s="137"/>
      <c r="JLJ78" s="137"/>
      <c r="JLK78" s="137"/>
      <c r="JLL78" s="137"/>
      <c r="JLM78" s="137"/>
      <c r="JLN78" s="137"/>
      <c r="JLO78" s="137"/>
      <c r="JLP78" s="137"/>
      <c r="JLQ78" s="137"/>
      <c r="JLR78" s="137"/>
      <c r="JLS78" s="137"/>
      <c r="JLT78" s="137"/>
      <c r="JLU78" s="137"/>
      <c r="JLV78" s="137"/>
      <c r="JLW78" s="137"/>
      <c r="JLX78" s="137"/>
      <c r="JLY78" s="137"/>
      <c r="JLZ78" s="137"/>
      <c r="JMA78" s="137"/>
      <c r="JMB78" s="137"/>
      <c r="JMC78" s="137"/>
      <c r="JMD78" s="137"/>
      <c r="JME78" s="137"/>
      <c r="JMF78" s="137"/>
      <c r="JMG78" s="137"/>
      <c r="JMH78" s="137"/>
      <c r="JMI78" s="137"/>
      <c r="JMJ78" s="137"/>
      <c r="JMK78" s="137"/>
      <c r="JML78" s="137"/>
      <c r="JMM78" s="137"/>
      <c r="JMN78" s="137"/>
      <c r="JMO78" s="137"/>
      <c r="JMP78" s="137"/>
      <c r="JMQ78" s="137"/>
      <c r="JMR78" s="137"/>
      <c r="JMS78" s="137"/>
      <c r="JMT78" s="137"/>
      <c r="JMU78" s="137"/>
      <c r="JMV78" s="137"/>
      <c r="JMW78" s="137"/>
      <c r="JMX78" s="137"/>
      <c r="JMY78" s="137"/>
      <c r="JMZ78" s="137"/>
      <c r="JNA78" s="137"/>
      <c r="JNB78" s="137"/>
      <c r="JNC78" s="137"/>
      <c r="JND78" s="137"/>
      <c r="JNE78" s="137"/>
      <c r="JNF78" s="137"/>
      <c r="JNG78" s="137"/>
      <c r="JNH78" s="137"/>
      <c r="JNI78" s="137"/>
      <c r="JNJ78" s="137"/>
      <c r="JNK78" s="137"/>
      <c r="JNL78" s="137"/>
      <c r="JNM78" s="137"/>
      <c r="JNN78" s="137"/>
      <c r="JNO78" s="137"/>
      <c r="JNP78" s="137"/>
      <c r="JNQ78" s="137"/>
      <c r="JNR78" s="137"/>
      <c r="JNS78" s="137"/>
      <c r="JNT78" s="137"/>
      <c r="JNU78" s="137"/>
      <c r="JNV78" s="137"/>
      <c r="JNW78" s="137"/>
      <c r="JNX78" s="137"/>
      <c r="JNY78" s="137"/>
      <c r="JNZ78" s="137"/>
      <c r="JOA78" s="137"/>
      <c r="JOB78" s="137"/>
      <c r="JOC78" s="137"/>
      <c r="JOD78" s="137"/>
      <c r="JOE78" s="137"/>
      <c r="JOF78" s="137"/>
      <c r="JOG78" s="137"/>
      <c r="JOH78" s="137"/>
      <c r="JOI78" s="137"/>
      <c r="JOJ78" s="137"/>
      <c r="JOK78" s="137"/>
      <c r="JOL78" s="137"/>
      <c r="JOM78" s="137"/>
      <c r="JON78" s="137"/>
      <c r="JOO78" s="137"/>
      <c r="JOP78" s="137"/>
      <c r="JOQ78" s="137"/>
      <c r="JOR78" s="137"/>
      <c r="JOS78" s="137"/>
      <c r="JOT78" s="137"/>
      <c r="JOU78" s="137"/>
      <c r="JOV78" s="137"/>
      <c r="JOW78" s="137"/>
      <c r="JOX78" s="137"/>
      <c r="JOY78" s="137"/>
      <c r="JOZ78" s="137"/>
      <c r="JPA78" s="137"/>
      <c r="JPB78" s="137"/>
      <c r="JPC78" s="137"/>
      <c r="JPD78" s="137"/>
      <c r="JPE78" s="137"/>
      <c r="JPF78" s="137"/>
      <c r="JPG78" s="137"/>
      <c r="JPH78" s="137"/>
      <c r="JPI78" s="137"/>
      <c r="JPJ78" s="137"/>
      <c r="JPK78" s="137"/>
      <c r="JPL78" s="137"/>
      <c r="JPM78" s="137"/>
      <c r="JPN78" s="137"/>
      <c r="JPO78" s="137"/>
      <c r="JPP78" s="137"/>
      <c r="JPQ78" s="137"/>
      <c r="JPR78" s="137"/>
      <c r="JPS78" s="137"/>
      <c r="JPT78" s="137"/>
      <c r="JPU78" s="137"/>
      <c r="JPV78" s="137"/>
      <c r="JPW78" s="137"/>
      <c r="JPX78" s="137"/>
      <c r="JPY78" s="137"/>
      <c r="JPZ78" s="137"/>
      <c r="JQA78" s="137"/>
      <c r="JQB78" s="137"/>
      <c r="JQC78" s="137"/>
      <c r="JQD78" s="137"/>
      <c r="JQE78" s="137"/>
      <c r="JQF78" s="137"/>
      <c r="JQG78" s="137"/>
      <c r="JQH78" s="137"/>
      <c r="JQI78" s="137"/>
      <c r="JQJ78" s="137"/>
      <c r="JQK78" s="137"/>
      <c r="JQL78" s="137"/>
      <c r="JQM78" s="137"/>
      <c r="JQN78" s="137"/>
      <c r="JQO78" s="137"/>
      <c r="JQP78" s="137"/>
      <c r="JQQ78" s="137"/>
      <c r="JQR78" s="137"/>
      <c r="JQS78" s="137"/>
      <c r="JQT78" s="137"/>
      <c r="JQU78" s="137"/>
      <c r="JQV78" s="137"/>
      <c r="JQW78" s="137"/>
      <c r="JQX78" s="137"/>
      <c r="JQY78" s="137"/>
      <c r="JQZ78" s="137"/>
      <c r="JRA78" s="137"/>
      <c r="JRB78" s="137"/>
      <c r="JRC78" s="137"/>
      <c r="JRD78" s="137"/>
      <c r="JRE78" s="137"/>
      <c r="JRF78" s="137"/>
      <c r="JRG78" s="137"/>
      <c r="JRH78" s="137"/>
      <c r="JRI78" s="137"/>
      <c r="JRJ78" s="137"/>
      <c r="JRK78" s="137"/>
      <c r="JRL78" s="137"/>
      <c r="JRM78" s="137"/>
      <c r="JRN78" s="137"/>
      <c r="JRO78" s="137"/>
      <c r="JRP78" s="137"/>
      <c r="JRQ78" s="137"/>
      <c r="JRR78" s="137"/>
      <c r="JRS78" s="137"/>
      <c r="JRT78" s="137"/>
      <c r="JRU78" s="137"/>
      <c r="JRV78" s="137"/>
      <c r="JRW78" s="137"/>
      <c r="JRX78" s="137"/>
      <c r="JRY78" s="137"/>
      <c r="JRZ78" s="137"/>
      <c r="JSA78" s="137"/>
      <c r="JSB78" s="137"/>
      <c r="JSC78" s="137"/>
      <c r="JSD78" s="137"/>
      <c r="JSE78" s="137"/>
      <c r="JSF78" s="137"/>
      <c r="JSG78" s="137"/>
      <c r="JSH78" s="137"/>
      <c r="JSI78" s="137"/>
      <c r="JSJ78" s="137"/>
      <c r="JSK78" s="137"/>
      <c r="JSL78" s="137"/>
      <c r="JSM78" s="137"/>
      <c r="JSN78" s="137"/>
      <c r="JSO78" s="137"/>
      <c r="JSP78" s="137"/>
      <c r="JSQ78" s="137"/>
      <c r="JSR78" s="137"/>
      <c r="JSS78" s="137"/>
      <c r="JST78" s="137"/>
      <c r="JSU78" s="137"/>
      <c r="JSV78" s="137"/>
      <c r="JSW78" s="137"/>
      <c r="JSX78" s="137"/>
      <c r="JSY78" s="137"/>
      <c r="JSZ78" s="137"/>
      <c r="JTA78" s="137"/>
      <c r="JTB78" s="137"/>
      <c r="JTC78" s="137"/>
      <c r="JTD78" s="137"/>
      <c r="JTE78" s="137"/>
      <c r="JTF78" s="137"/>
      <c r="JTG78" s="137"/>
      <c r="JTH78" s="137"/>
      <c r="JTI78" s="137"/>
      <c r="JTJ78" s="137"/>
      <c r="JTK78" s="137"/>
      <c r="JTL78" s="137"/>
      <c r="JTM78" s="137"/>
      <c r="JTN78" s="137"/>
      <c r="JTO78" s="137"/>
      <c r="JTP78" s="137"/>
      <c r="JTQ78" s="137"/>
      <c r="JTR78" s="137"/>
      <c r="JTS78" s="137"/>
      <c r="JTT78" s="137"/>
      <c r="JTU78" s="137"/>
      <c r="JTV78" s="137"/>
      <c r="JTW78" s="137"/>
      <c r="JTX78" s="137"/>
      <c r="JTY78" s="137"/>
      <c r="JTZ78" s="137"/>
      <c r="JUA78" s="137"/>
      <c r="JUB78" s="137"/>
      <c r="JUC78" s="137"/>
      <c r="JUD78" s="137"/>
      <c r="JUE78" s="137"/>
      <c r="JUF78" s="137"/>
      <c r="JUG78" s="137"/>
      <c r="JUH78" s="137"/>
      <c r="JUI78" s="137"/>
      <c r="JUJ78" s="137"/>
      <c r="JUK78" s="137"/>
      <c r="JUL78" s="137"/>
      <c r="JUM78" s="137"/>
      <c r="JUN78" s="137"/>
      <c r="JUO78" s="137"/>
      <c r="JUP78" s="137"/>
      <c r="JUQ78" s="137"/>
      <c r="JUR78" s="137"/>
      <c r="JUS78" s="137"/>
      <c r="JUT78" s="137"/>
      <c r="JUU78" s="137"/>
      <c r="JUV78" s="137"/>
      <c r="JUW78" s="137"/>
      <c r="JUX78" s="137"/>
      <c r="JUY78" s="137"/>
      <c r="JUZ78" s="137"/>
      <c r="JVA78" s="137"/>
      <c r="JVB78" s="137"/>
      <c r="JVC78" s="137"/>
      <c r="JVD78" s="137"/>
      <c r="JVE78" s="137"/>
      <c r="JVF78" s="137"/>
      <c r="JVG78" s="137"/>
      <c r="JVH78" s="137"/>
      <c r="JVI78" s="137"/>
      <c r="JVJ78" s="137"/>
      <c r="JVK78" s="137"/>
      <c r="JVL78" s="137"/>
      <c r="JVM78" s="137"/>
      <c r="JVN78" s="137"/>
      <c r="JVO78" s="137"/>
      <c r="JVP78" s="137"/>
      <c r="JVQ78" s="137"/>
      <c r="JVR78" s="137"/>
      <c r="JVS78" s="137"/>
      <c r="JVT78" s="137"/>
      <c r="JVU78" s="137"/>
      <c r="JVV78" s="137"/>
      <c r="JVW78" s="137"/>
      <c r="JVX78" s="137"/>
      <c r="JVY78" s="137"/>
      <c r="JVZ78" s="137"/>
      <c r="JWA78" s="137"/>
      <c r="JWB78" s="137"/>
      <c r="JWC78" s="137"/>
      <c r="JWD78" s="137"/>
      <c r="JWE78" s="137"/>
      <c r="JWF78" s="137"/>
      <c r="JWG78" s="137"/>
      <c r="JWH78" s="137"/>
      <c r="JWI78" s="137"/>
      <c r="JWJ78" s="137"/>
      <c r="JWK78" s="137"/>
      <c r="JWL78" s="137"/>
      <c r="JWM78" s="137"/>
      <c r="JWN78" s="137"/>
      <c r="JWO78" s="137"/>
      <c r="JWP78" s="137"/>
      <c r="JWQ78" s="137"/>
      <c r="JWR78" s="137"/>
      <c r="JWS78" s="137"/>
      <c r="JWT78" s="137"/>
      <c r="JWU78" s="137"/>
      <c r="JWV78" s="137"/>
      <c r="JWW78" s="137"/>
      <c r="JWX78" s="137"/>
      <c r="JWY78" s="137"/>
      <c r="JWZ78" s="137"/>
      <c r="JXA78" s="137"/>
      <c r="JXB78" s="137"/>
      <c r="JXC78" s="137"/>
      <c r="JXD78" s="137"/>
      <c r="JXE78" s="137"/>
      <c r="JXF78" s="137"/>
      <c r="JXG78" s="137"/>
      <c r="JXH78" s="137"/>
      <c r="JXI78" s="137"/>
      <c r="JXJ78" s="137"/>
      <c r="JXK78" s="137"/>
      <c r="JXL78" s="137"/>
      <c r="JXM78" s="137"/>
      <c r="JXN78" s="137"/>
      <c r="JXO78" s="137"/>
      <c r="JXP78" s="137"/>
      <c r="JXQ78" s="137"/>
      <c r="JXR78" s="137"/>
      <c r="JXS78" s="137"/>
      <c r="JXT78" s="137"/>
      <c r="JXU78" s="137"/>
      <c r="JXV78" s="137"/>
      <c r="JXW78" s="137"/>
      <c r="JXX78" s="137"/>
      <c r="JXY78" s="137"/>
      <c r="JXZ78" s="137"/>
      <c r="JYA78" s="137"/>
      <c r="JYB78" s="137"/>
      <c r="JYC78" s="137"/>
      <c r="JYD78" s="137"/>
      <c r="JYE78" s="137"/>
      <c r="JYF78" s="137"/>
      <c r="JYG78" s="137"/>
      <c r="JYH78" s="137"/>
      <c r="JYI78" s="137"/>
      <c r="JYJ78" s="137"/>
      <c r="JYK78" s="137"/>
      <c r="JYL78" s="137"/>
      <c r="JYM78" s="137"/>
      <c r="JYN78" s="137"/>
      <c r="JYO78" s="137"/>
      <c r="JYP78" s="137"/>
      <c r="JYQ78" s="137"/>
      <c r="JYR78" s="137"/>
      <c r="JYS78" s="137"/>
      <c r="JYT78" s="137"/>
      <c r="JYU78" s="137"/>
      <c r="JYV78" s="137"/>
      <c r="JYW78" s="137"/>
      <c r="JYX78" s="137"/>
      <c r="JYY78" s="137"/>
      <c r="JYZ78" s="137"/>
      <c r="JZA78" s="137"/>
      <c r="JZB78" s="137"/>
      <c r="JZC78" s="137"/>
      <c r="JZD78" s="137"/>
      <c r="JZE78" s="137"/>
      <c r="JZF78" s="137"/>
      <c r="JZG78" s="137"/>
      <c r="JZH78" s="137"/>
      <c r="JZI78" s="137"/>
      <c r="JZJ78" s="137"/>
      <c r="JZK78" s="137"/>
      <c r="JZL78" s="137"/>
      <c r="JZM78" s="137"/>
      <c r="JZN78" s="137"/>
      <c r="JZO78" s="137"/>
      <c r="JZP78" s="137"/>
      <c r="JZQ78" s="137"/>
      <c r="JZR78" s="137"/>
      <c r="JZS78" s="137"/>
      <c r="JZT78" s="137"/>
      <c r="JZU78" s="137"/>
      <c r="JZV78" s="137"/>
      <c r="JZW78" s="137"/>
      <c r="JZX78" s="137"/>
      <c r="JZY78" s="137"/>
      <c r="JZZ78" s="137"/>
      <c r="KAA78" s="137"/>
      <c r="KAB78" s="137"/>
      <c r="KAC78" s="137"/>
      <c r="KAD78" s="137"/>
      <c r="KAE78" s="137"/>
      <c r="KAF78" s="137"/>
      <c r="KAG78" s="137"/>
      <c r="KAH78" s="137"/>
      <c r="KAI78" s="137"/>
      <c r="KAJ78" s="137"/>
      <c r="KAK78" s="137"/>
      <c r="KAL78" s="137"/>
      <c r="KAM78" s="137"/>
      <c r="KAN78" s="137"/>
      <c r="KAO78" s="137"/>
      <c r="KAP78" s="137"/>
      <c r="KAQ78" s="137"/>
      <c r="KAR78" s="137"/>
      <c r="KAS78" s="137"/>
      <c r="KAT78" s="137"/>
      <c r="KAU78" s="137"/>
      <c r="KAV78" s="137"/>
      <c r="KAW78" s="137"/>
      <c r="KAX78" s="137"/>
      <c r="KAY78" s="137"/>
      <c r="KAZ78" s="137"/>
      <c r="KBA78" s="137"/>
      <c r="KBB78" s="137"/>
      <c r="KBC78" s="137"/>
      <c r="KBD78" s="137"/>
      <c r="KBE78" s="137"/>
      <c r="KBF78" s="137"/>
      <c r="KBG78" s="137"/>
      <c r="KBH78" s="137"/>
      <c r="KBI78" s="137"/>
      <c r="KBJ78" s="137"/>
      <c r="KBK78" s="137"/>
      <c r="KBL78" s="137"/>
      <c r="KBM78" s="137"/>
      <c r="KBN78" s="137"/>
      <c r="KBO78" s="137"/>
      <c r="KBP78" s="137"/>
      <c r="KBQ78" s="137"/>
      <c r="KBR78" s="137"/>
      <c r="KBS78" s="137"/>
      <c r="KBT78" s="137"/>
      <c r="KBU78" s="137"/>
      <c r="KBV78" s="137"/>
      <c r="KBW78" s="137"/>
      <c r="KBX78" s="137"/>
      <c r="KBY78" s="137"/>
      <c r="KBZ78" s="137"/>
      <c r="KCA78" s="137"/>
      <c r="KCB78" s="137"/>
      <c r="KCC78" s="137"/>
      <c r="KCD78" s="137"/>
      <c r="KCE78" s="137"/>
      <c r="KCF78" s="137"/>
      <c r="KCG78" s="137"/>
      <c r="KCH78" s="137"/>
      <c r="KCI78" s="137"/>
      <c r="KCJ78" s="137"/>
      <c r="KCK78" s="137"/>
      <c r="KCL78" s="137"/>
      <c r="KCM78" s="137"/>
      <c r="KCN78" s="137"/>
      <c r="KCO78" s="137"/>
      <c r="KCP78" s="137"/>
      <c r="KCQ78" s="137"/>
      <c r="KCR78" s="137"/>
      <c r="KCS78" s="137"/>
      <c r="KCT78" s="137"/>
      <c r="KCU78" s="137"/>
      <c r="KCV78" s="137"/>
      <c r="KCW78" s="137"/>
      <c r="KCX78" s="137"/>
      <c r="KCY78" s="137"/>
      <c r="KCZ78" s="137"/>
      <c r="KDA78" s="137"/>
      <c r="KDB78" s="137"/>
      <c r="KDC78" s="137"/>
      <c r="KDD78" s="137"/>
      <c r="KDE78" s="137"/>
      <c r="KDF78" s="137"/>
      <c r="KDG78" s="137"/>
      <c r="KDH78" s="137"/>
      <c r="KDI78" s="137"/>
      <c r="KDJ78" s="137"/>
      <c r="KDK78" s="137"/>
      <c r="KDL78" s="137"/>
      <c r="KDM78" s="137"/>
      <c r="KDN78" s="137"/>
      <c r="KDO78" s="137"/>
      <c r="KDP78" s="137"/>
      <c r="KDQ78" s="137"/>
      <c r="KDR78" s="137"/>
      <c r="KDS78" s="137"/>
      <c r="KDT78" s="137"/>
      <c r="KDU78" s="137"/>
      <c r="KDV78" s="137"/>
      <c r="KDW78" s="137"/>
      <c r="KDX78" s="137"/>
      <c r="KDY78" s="137"/>
      <c r="KDZ78" s="137"/>
      <c r="KEA78" s="137"/>
      <c r="KEB78" s="137"/>
      <c r="KEC78" s="137"/>
      <c r="KED78" s="137"/>
      <c r="KEE78" s="137"/>
      <c r="KEF78" s="137"/>
      <c r="KEG78" s="137"/>
      <c r="KEH78" s="137"/>
      <c r="KEI78" s="137"/>
      <c r="KEJ78" s="137"/>
      <c r="KEK78" s="137"/>
      <c r="KEL78" s="137"/>
      <c r="KEM78" s="137"/>
      <c r="KEN78" s="137"/>
      <c r="KEO78" s="137"/>
      <c r="KEP78" s="137"/>
      <c r="KEQ78" s="137"/>
      <c r="KER78" s="137"/>
      <c r="KES78" s="137"/>
      <c r="KET78" s="137"/>
      <c r="KEU78" s="137"/>
      <c r="KEV78" s="137"/>
      <c r="KEW78" s="137"/>
      <c r="KEX78" s="137"/>
      <c r="KEY78" s="137"/>
      <c r="KEZ78" s="137"/>
      <c r="KFA78" s="137"/>
      <c r="KFB78" s="137"/>
      <c r="KFC78" s="137"/>
      <c r="KFD78" s="137"/>
      <c r="KFE78" s="137"/>
      <c r="KFF78" s="137"/>
      <c r="KFG78" s="137"/>
      <c r="KFH78" s="137"/>
      <c r="KFI78" s="137"/>
      <c r="KFJ78" s="137"/>
      <c r="KFK78" s="137"/>
      <c r="KFL78" s="137"/>
      <c r="KFM78" s="137"/>
      <c r="KFN78" s="137"/>
      <c r="KFO78" s="137"/>
      <c r="KFP78" s="137"/>
      <c r="KFQ78" s="137"/>
      <c r="KFR78" s="137"/>
      <c r="KFS78" s="137"/>
      <c r="KFT78" s="137"/>
      <c r="KFU78" s="137"/>
      <c r="KFV78" s="137"/>
      <c r="KFW78" s="137"/>
      <c r="KFX78" s="137"/>
      <c r="KFY78" s="137"/>
      <c r="KFZ78" s="137"/>
      <c r="KGA78" s="137"/>
      <c r="KGB78" s="137"/>
      <c r="KGC78" s="137"/>
      <c r="KGD78" s="137"/>
      <c r="KGE78" s="137"/>
      <c r="KGF78" s="137"/>
      <c r="KGG78" s="137"/>
      <c r="KGH78" s="137"/>
      <c r="KGI78" s="137"/>
      <c r="KGJ78" s="137"/>
      <c r="KGK78" s="137"/>
      <c r="KGL78" s="137"/>
      <c r="KGM78" s="137"/>
      <c r="KGN78" s="137"/>
      <c r="KGO78" s="137"/>
      <c r="KGP78" s="137"/>
      <c r="KGQ78" s="137"/>
      <c r="KGR78" s="137"/>
      <c r="KGS78" s="137"/>
      <c r="KGT78" s="137"/>
      <c r="KGU78" s="137"/>
      <c r="KGV78" s="137"/>
      <c r="KGW78" s="137"/>
      <c r="KGX78" s="137"/>
      <c r="KGY78" s="137"/>
      <c r="KGZ78" s="137"/>
      <c r="KHA78" s="137"/>
      <c r="KHB78" s="137"/>
      <c r="KHC78" s="137"/>
      <c r="KHD78" s="137"/>
      <c r="KHE78" s="137"/>
      <c r="KHF78" s="137"/>
      <c r="KHG78" s="137"/>
      <c r="KHH78" s="137"/>
      <c r="KHI78" s="137"/>
      <c r="KHJ78" s="137"/>
      <c r="KHK78" s="137"/>
      <c r="KHL78" s="137"/>
      <c r="KHM78" s="137"/>
      <c r="KHN78" s="137"/>
      <c r="KHO78" s="137"/>
      <c r="KHP78" s="137"/>
      <c r="KHQ78" s="137"/>
      <c r="KHR78" s="137"/>
      <c r="KHS78" s="137"/>
      <c r="KHT78" s="137"/>
      <c r="KHU78" s="137"/>
      <c r="KHV78" s="137"/>
      <c r="KHW78" s="137"/>
      <c r="KHX78" s="137"/>
      <c r="KHY78" s="137"/>
      <c r="KHZ78" s="137"/>
      <c r="KIA78" s="137"/>
      <c r="KIB78" s="137"/>
      <c r="KIC78" s="137"/>
      <c r="KID78" s="137"/>
      <c r="KIE78" s="137"/>
      <c r="KIF78" s="137"/>
      <c r="KIG78" s="137"/>
      <c r="KIH78" s="137"/>
      <c r="KII78" s="137"/>
      <c r="KIJ78" s="137"/>
      <c r="KIK78" s="137"/>
      <c r="KIL78" s="137"/>
      <c r="KIM78" s="137"/>
      <c r="KIN78" s="137"/>
      <c r="KIO78" s="137"/>
      <c r="KIP78" s="137"/>
      <c r="KIQ78" s="137"/>
      <c r="KIR78" s="137"/>
      <c r="KIS78" s="137"/>
      <c r="KIT78" s="137"/>
      <c r="KIU78" s="137"/>
      <c r="KIV78" s="137"/>
      <c r="KIW78" s="137"/>
      <c r="KIX78" s="137"/>
      <c r="KIY78" s="137"/>
      <c r="KIZ78" s="137"/>
      <c r="KJA78" s="137"/>
      <c r="KJB78" s="137"/>
      <c r="KJC78" s="137"/>
      <c r="KJD78" s="137"/>
      <c r="KJE78" s="137"/>
      <c r="KJF78" s="137"/>
      <c r="KJG78" s="137"/>
      <c r="KJH78" s="137"/>
      <c r="KJI78" s="137"/>
      <c r="KJJ78" s="137"/>
      <c r="KJK78" s="137"/>
      <c r="KJL78" s="137"/>
      <c r="KJM78" s="137"/>
      <c r="KJN78" s="137"/>
      <c r="KJO78" s="137"/>
      <c r="KJP78" s="137"/>
      <c r="KJQ78" s="137"/>
      <c r="KJR78" s="137"/>
      <c r="KJS78" s="137"/>
      <c r="KJT78" s="137"/>
      <c r="KJU78" s="137"/>
      <c r="KJV78" s="137"/>
      <c r="KJW78" s="137"/>
      <c r="KJX78" s="137"/>
      <c r="KJY78" s="137"/>
      <c r="KJZ78" s="137"/>
      <c r="KKA78" s="137"/>
      <c r="KKB78" s="137"/>
      <c r="KKC78" s="137"/>
      <c r="KKD78" s="137"/>
      <c r="KKE78" s="137"/>
      <c r="KKF78" s="137"/>
      <c r="KKG78" s="137"/>
      <c r="KKH78" s="137"/>
      <c r="KKI78" s="137"/>
      <c r="KKJ78" s="137"/>
      <c r="KKK78" s="137"/>
      <c r="KKL78" s="137"/>
      <c r="KKM78" s="137"/>
      <c r="KKN78" s="137"/>
      <c r="KKO78" s="137"/>
      <c r="KKP78" s="137"/>
      <c r="KKQ78" s="137"/>
      <c r="KKR78" s="137"/>
      <c r="KKS78" s="137"/>
      <c r="KKT78" s="137"/>
      <c r="KKU78" s="137"/>
      <c r="KKV78" s="137"/>
      <c r="KKW78" s="137"/>
      <c r="KKX78" s="137"/>
      <c r="KKY78" s="137"/>
      <c r="KKZ78" s="137"/>
      <c r="KLA78" s="137"/>
      <c r="KLB78" s="137"/>
      <c r="KLC78" s="137"/>
      <c r="KLD78" s="137"/>
      <c r="KLE78" s="137"/>
      <c r="KLF78" s="137"/>
      <c r="KLG78" s="137"/>
      <c r="KLH78" s="137"/>
      <c r="KLI78" s="137"/>
      <c r="KLJ78" s="137"/>
      <c r="KLK78" s="137"/>
      <c r="KLL78" s="137"/>
      <c r="KLM78" s="137"/>
      <c r="KLN78" s="137"/>
      <c r="KLO78" s="137"/>
      <c r="KLP78" s="137"/>
      <c r="KLQ78" s="137"/>
      <c r="KLR78" s="137"/>
      <c r="KLS78" s="137"/>
      <c r="KLT78" s="137"/>
      <c r="KLU78" s="137"/>
      <c r="KLV78" s="137"/>
      <c r="KLW78" s="137"/>
      <c r="KLX78" s="137"/>
      <c r="KLY78" s="137"/>
      <c r="KLZ78" s="137"/>
      <c r="KMA78" s="137"/>
      <c r="KMB78" s="137"/>
      <c r="KMC78" s="137"/>
      <c r="KMD78" s="137"/>
      <c r="KME78" s="137"/>
      <c r="KMF78" s="137"/>
      <c r="KMG78" s="137"/>
      <c r="KMH78" s="137"/>
      <c r="KMI78" s="137"/>
      <c r="KMJ78" s="137"/>
      <c r="KMK78" s="137"/>
      <c r="KML78" s="137"/>
      <c r="KMM78" s="137"/>
      <c r="KMN78" s="137"/>
      <c r="KMO78" s="137"/>
      <c r="KMP78" s="137"/>
      <c r="KMQ78" s="137"/>
      <c r="KMR78" s="137"/>
      <c r="KMS78" s="137"/>
      <c r="KMT78" s="137"/>
      <c r="KMU78" s="137"/>
      <c r="KMV78" s="137"/>
      <c r="KMW78" s="137"/>
      <c r="KMX78" s="137"/>
      <c r="KMY78" s="137"/>
      <c r="KMZ78" s="137"/>
      <c r="KNA78" s="137"/>
      <c r="KNB78" s="137"/>
      <c r="KNC78" s="137"/>
      <c r="KND78" s="137"/>
      <c r="KNE78" s="137"/>
      <c r="KNF78" s="137"/>
      <c r="KNG78" s="137"/>
      <c r="KNH78" s="137"/>
      <c r="KNI78" s="137"/>
      <c r="KNJ78" s="137"/>
      <c r="KNK78" s="137"/>
      <c r="KNL78" s="137"/>
      <c r="KNM78" s="137"/>
      <c r="KNN78" s="137"/>
      <c r="KNO78" s="137"/>
      <c r="KNP78" s="137"/>
      <c r="KNQ78" s="137"/>
      <c r="KNR78" s="137"/>
      <c r="KNS78" s="137"/>
      <c r="KNT78" s="137"/>
      <c r="KNU78" s="137"/>
      <c r="KNV78" s="137"/>
      <c r="KNW78" s="137"/>
      <c r="KNX78" s="137"/>
      <c r="KNY78" s="137"/>
      <c r="KNZ78" s="137"/>
      <c r="KOA78" s="137"/>
      <c r="KOB78" s="137"/>
      <c r="KOC78" s="137"/>
      <c r="KOD78" s="137"/>
      <c r="KOE78" s="137"/>
      <c r="KOF78" s="137"/>
      <c r="KOG78" s="137"/>
      <c r="KOH78" s="137"/>
      <c r="KOI78" s="137"/>
      <c r="KOJ78" s="137"/>
      <c r="KOK78" s="137"/>
      <c r="KOL78" s="137"/>
      <c r="KOM78" s="137"/>
      <c r="KON78" s="137"/>
      <c r="KOO78" s="137"/>
      <c r="KOP78" s="137"/>
      <c r="KOQ78" s="137"/>
      <c r="KOR78" s="137"/>
      <c r="KOS78" s="137"/>
      <c r="KOT78" s="137"/>
      <c r="KOU78" s="137"/>
      <c r="KOV78" s="137"/>
      <c r="KOW78" s="137"/>
      <c r="KOX78" s="137"/>
      <c r="KOY78" s="137"/>
      <c r="KOZ78" s="137"/>
      <c r="KPA78" s="137"/>
      <c r="KPB78" s="137"/>
      <c r="KPC78" s="137"/>
      <c r="KPD78" s="137"/>
      <c r="KPE78" s="137"/>
      <c r="KPF78" s="137"/>
      <c r="KPG78" s="137"/>
      <c r="KPH78" s="137"/>
      <c r="KPI78" s="137"/>
      <c r="KPJ78" s="137"/>
      <c r="KPK78" s="137"/>
      <c r="KPL78" s="137"/>
      <c r="KPM78" s="137"/>
      <c r="KPN78" s="137"/>
      <c r="KPO78" s="137"/>
      <c r="KPP78" s="137"/>
      <c r="KPQ78" s="137"/>
      <c r="KPR78" s="137"/>
      <c r="KPS78" s="137"/>
      <c r="KPT78" s="137"/>
      <c r="KPU78" s="137"/>
      <c r="KPV78" s="137"/>
      <c r="KPW78" s="137"/>
      <c r="KPX78" s="137"/>
      <c r="KPY78" s="137"/>
      <c r="KPZ78" s="137"/>
      <c r="KQA78" s="137"/>
      <c r="KQB78" s="137"/>
      <c r="KQC78" s="137"/>
      <c r="KQD78" s="137"/>
      <c r="KQE78" s="137"/>
      <c r="KQF78" s="137"/>
      <c r="KQG78" s="137"/>
      <c r="KQH78" s="137"/>
      <c r="KQI78" s="137"/>
      <c r="KQJ78" s="137"/>
      <c r="KQK78" s="137"/>
      <c r="KQL78" s="137"/>
      <c r="KQM78" s="137"/>
      <c r="KQN78" s="137"/>
      <c r="KQO78" s="137"/>
      <c r="KQP78" s="137"/>
      <c r="KQQ78" s="137"/>
      <c r="KQR78" s="137"/>
      <c r="KQS78" s="137"/>
      <c r="KQT78" s="137"/>
      <c r="KQU78" s="137"/>
      <c r="KQV78" s="137"/>
      <c r="KQW78" s="137"/>
      <c r="KQX78" s="137"/>
      <c r="KQY78" s="137"/>
      <c r="KQZ78" s="137"/>
      <c r="KRA78" s="137"/>
      <c r="KRB78" s="137"/>
      <c r="KRC78" s="137"/>
      <c r="KRD78" s="137"/>
      <c r="KRE78" s="137"/>
      <c r="KRF78" s="137"/>
      <c r="KRG78" s="137"/>
      <c r="KRH78" s="137"/>
      <c r="KRI78" s="137"/>
      <c r="KRJ78" s="137"/>
      <c r="KRK78" s="137"/>
      <c r="KRL78" s="137"/>
      <c r="KRM78" s="137"/>
      <c r="KRN78" s="137"/>
      <c r="KRO78" s="137"/>
      <c r="KRP78" s="137"/>
      <c r="KRQ78" s="137"/>
      <c r="KRR78" s="137"/>
      <c r="KRS78" s="137"/>
      <c r="KRT78" s="137"/>
      <c r="KRU78" s="137"/>
      <c r="KRV78" s="137"/>
      <c r="KRW78" s="137"/>
      <c r="KRX78" s="137"/>
      <c r="KRY78" s="137"/>
      <c r="KRZ78" s="137"/>
      <c r="KSA78" s="137"/>
      <c r="KSB78" s="137"/>
      <c r="KSC78" s="137"/>
      <c r="KSD78" s="137"/>
      <c r="KSE78" s="137"/>
      <c r="KSF78" s="137"/>
      <c r="KSG78" s="137"/>
      <c r="KSH78" s="137"/>
      <c r="KSI78" s="137"/>
      <c r="KSJ78" s="137"/>
      <c r="KSK78" s="137"/>
      <c r="KSL78" s="137"/>
      <c r="KSM78" s="137"/>
      <c r="KSN78" s="137"/>
      <c r="KSO78" s="137"/>
      <c r="KSP78" s="137"/>
      <c r="KSQ78" s="137"/>
      <c r="KSR78" s="137"/>
      <c r="KSS78" s="137"/>
      <c r="KST78" s="137"/>
      <c r="KSU78" s="137"/>
      <c r="KSV78" s="137"/>
      <c r="KSW78" s="137"/>
      <c r="KSX78" s="137"/>
      <c r="KSY78" s="137"/>
      <c r="KSZ78" s="137"/>
      <c r="KTA78" s="137"/>
      <c r="KTB78" s="137"/>
      <c r="KTC78" s="137"/>
      <c r="KTD78" s="137"/>
      <c r="KTE78" s="137"/>
      <c r="KTF78" s="137"/>
      <c r="KTG78" s="137"/>
      <c r="KTH78" s="137"/>
      <c r="KTI78" s="137"/>
      <c r="KTJ78" s="137"/>
      <c r="KTK78" s="137"/>
      <c r="KTL78" s="137"/>
      <c r="KTM78" s="137"/>
      <c r="KTN78" s="137"/>
      <c r="KTO78" s="137"/>
      <c r="KTP78" s="137"/>
      <c r="KTQ78" s="137"/>
      <c r="KTR78" s="137"/>
      <c r="KTS78" s="137"/>
      <c r="KTT78" s="137"/>
      <c r="KTU78" s="137"/>
      <c r="KTV78" s="137"/>
      <c r="KTW78" s="137"/>
      <c r="KTX78" s="137"/>
      <c r="KTY78" s="137"/>
      <c r="KTZ78" s="137"/>
      <c r="KUA78" s="137"/>
      <c r="KUB78" s="137"/>
      <c r="KUC78" s="137"/>
      <c r="KUD78" s="137"/>
      <c r="KUE78" s="137"/>
      <c r="KUF78" s="137"/>
      <c r="KUG78" s="137"/>
      <c r="KUH78" s="137"/>
      <c r="KUI78" s="137"/>
      <c r="KUJ78" s="137"/>
      <c r="KUK78" s="137"/>
      <c r="KUL78" s="137"/>
      <c r="KUM78" s="137"/>
      <c r="KUN78" s="137"/>
      <c r="KUO78" s="137"/>
      <c r="KUP78" s="137"/>
      <c r="KUQ78" s="137"/>
      <c r="KUR78" s="137"/>
      <c r="KUS78" s="137"/>
      <c r="KUT78" s="137"/>
      <c r="KUU78" s="137"/>
      <c r="KUV78" s="137"/>
      <c r="KUW78" s="137"/>
      <c r="KUX78" s="137"/>
      <c r="KUY78" s="137"/>
      <c r="KUZ78" s="137"/>
      <c r="KVA78" s="137"/>
      <c r="KVB78" s="137"/>
      <c r="KVC78" s="137"/>
      <c r="KVD78" s="137"/>
      <c r="KVE78" s="137"/>
      <c r="KVF78" s="137"/>
      <c r="KVG78" s="137"/>
      <c r="KVH78" s="137"/>
      <c r="KVI78" s="137"/>
      <c r="KVJ78" s="137"/>
      <c r="KVK78" s="137"/>
      <c r="KVL78" s="137"/>
      <c r="KVM78" s="137"/>
      <c r="KVN78" s="137"/>
      <c r="KVO78" s="137"/>
      <c r="KVP78" s="137"/>
      <c r="KVQ78" s="137"/>
      <c r="KVR78" s="137"/>
      <c r="KVS78" s="137"/>
      <c r="KVT78" s="137"/>
      <c r="KVU78" s="137"/>
      <c r="KVV78" s="137"/>
      <c r="KVW78" s="137"/>
      <c r="KVX78" s="137"/>
      <c r="KVY78" s="137"/>
      <c r="KVZ78" s="137"/>
      <c r="KWA78" s="137"/>
      <c r="KWB78" s="137"/>
      <c r="KWC78" s="137"/>
      <c r="KWD78" s="137"/>
      <c r="KWE78" s="137"/>
      <c r="KWF78" s="137"/>
      <c r="KWG78" s="137"/>
      <c r="KWH78" s="137"/>
      <c r="KWI78" s="137"/>
      <c r="KWJ78" s="137"/>
      <c r="KWK78" s="137"/>
      <c r="KWL78" s="137"/>
      <c r="KWM78" s="137"/>
      <c r="KWN78" s="137"/>
      <c r="KWO78" s="137"/>
      <c r="KWP78" s="137"/>
      <c r="KWQ78" s="137"/>
      <c r="KWR78" s="137"/>
      <c r="KWS78" s="137"/>
      <c r="KWT78" s="137"/>
      <c r="KWU78" s="137"/>
      <c r="KWV78" s="137"/>
      <c r="KWW78" s="137"/>
      <c r="KWX78" s="137"/>
      <c r="KWY78" s="137"/>
      <c r="KWZ78" s="137"/>
      <c r="KXA78" s="137"/>
      <c r="KXB78" s="137"/>
      <c r="KXC78" s="137"/>
      <c r="KXD78" s="137"/>
      <c r="KXE78" s="137"/>
      <c r="KXF78" s="137"/>
      <c r="KXG78" s="137"/>
      <c r="KXH78" s="137"/>
      <c r="KXI78" s="137"/>
      <c r="KXJ78" s="137"/>
      <c r="KXK78" s="137"/>
      <c r="KXL78" s="137"/>
      <c r="KXM78" s="137"/>
      <c r="KXN78" s="137"/>
      <c r="KXO78" s="137"/>
      <c r="KXP78" s="137"/>
      <c r="KXQ78" s="137"/>
      <c r="KXR78" s="137"/>
      <c r="KXS78" s="137"/>
      <c r="KXT78" s="137"/>
      <c r="KXU78" s="137"/>
      <c r="KXV78" s="137"/>
      <c r="KXW78" s="137"/>
      <c r="KXX78" s="137"/>
      <c r="KXY78" s="137"/>
      <c r="KXZ78" s="137"/>
      <c r="KYA78" s="137"/>
      <c r="KYB78" s="137"/>
      <c r="KYC78" s="137"/>
      <c r="KYD78" s="137"/>
      <c r="KYE78" s="137"/>
      <c r="KYF78" s="137"/>
      <c r="KYG78" s="137"/>
      <c r="KYH78" s="137"/>
      <c r="KYI78" s="137"/>
      <c r="KYJ78" s="137"/>
      <c r="KYK78" s="137"/>
      <c r="KYL78" s="137"/>
      <c r="KYM78" s="137"/>
      <c r="KYN78" s="137"/>
      <c r="KYO78" s="137"/>
      <c r="KYP78" s="137"/>
      <c r="KYQ78" s="137"/>
      <c r="KYR78" s="137"/>
      <c r="KYS78" s="137"/>
      <c r="KYT78" s="137"/>
      <c r="KYU78" s="137"/>
      <c r="KYV78" s="137"/>
      <c r="KYW78" s="137"/>
      <c r="KYX78" s="137"/>
      <c r="KYY78" s="137"/>
      <c r="KYZ78" s="137"/>
      <c r="KZA78" s="137"/>
      <c r="KZB78" s="137"/>
      <c r="KZC78" s="137"/>
      <c r="KZD78" s="137"/>
      <c r="KZE78" s="137"/>
      <c r="KZF78" s="137"/>
      <c r="KZG78" s="137"/>
      <c r="KZH78" s="137"/>
      <c r="KZI78" s="137"/>
      <c r="KZJ78" s="137"/>
      <c r="KZK78" s="137"/>
      <c r="KZL78" s="137"/>
      <c r="KZM78" s="137"/>
      <c r="KZN78" s="137"/>
      <c r="KZO78" s="137"/>
      <c r="KZP78" s="137"/>
      <c r="KZQ78" s="137"/>
      <c r="KZR78" s="137"/>
      <c r="KZS78" s="137"/>
      <c r="KZT78" s="137"/>
      <c r="KZU78" s="137"/>
      <c r="KZV78" s="137"/>
      <c r="KZW78" s="137"/>
      <c r="KZX78" s="137"/>
      <c r="KZY78" s="137"/>
      <c r="KZZ78" s="137"/>
      <c r="LAA78" s="137"/>
      <c r="LAB78" s="137"/>
      <c r="LAC78" s="137"/>
      <c r="LAD78" s="137"/>
      <c r="LAE78" s="137"/>
      <c r="LAF78" s="137"/>
      <c r="LAG78" s="137"/>
      <c r="LAH78" s="137"/>
      <c r="LAI78" s="137"/>
      <c r="LAJ78" s="137"/>
      <c r="LAK78" s="137"/>
      <c r="LAL78" s="137"/>
      <c r="LAM78" s="137"/>
      <c r="LAN78" s="137"/>
      <c r="LAO78" s="137"/>
      <c r="LAP78" s="137"/>
      <c r="LAQ78" s="137"/>
      <c r="LAR78" s="137"/>
      <c r="LAS78" s="137"/>
      <c r="LAT78" s="137"/>
      <c r="LAU78" s="137"/>
      <c r="LAV78" s="137"/>
      <c r="LAW78" s="137"/>
      <c r="LAX78" s="137"/>
      <c r="LAY78" s="137"/>
      <c r="LAZ78" s="137"/>
      <c r="LBA78" s="137"/>
      <c r="LBB78" s="137"/>
      <c r="LBC78" s="137"/>
      <c r="LBD78" s="137"/>
      <c r="LBE78" s="137"/>
      <c r="LBF78" s="137"/>
      <c r="LBG78" s="137"/>
      <c r="LBH78" s="137"/>
      <c r="LBI78" s="137"/>
      <c r="LBJ78" s="137"/>
      <c r="LBK78" s="137"/>
      <c r="LBL78" s="137"/>
      <c r="LBM78" s="137"/>
      <c r="LBN78" s="137"/>
      <c r="LBO78" s="137"/>
      <c r="LBP78" s="137"/>
      <c r="LBQ78" s="137"/>
      <c r="LBR78" s="137"/>
      <c r="LBS78" s="137"/>
      <c r="LBT78" s="137"/>
      <c r="LBU78" s="137"/>
      <c r="LBV78" s="137"/>
      <c r="LBW78" s="137"/>
      <c r="LBX78" s="137"/>
      <c r="LBY78" s="137"/>
      <c r="LBZ78" s="137"/>
      <c r="LCA78" s="137"/>
      <c r="LCB78" s="137"/>
      <c r="LCC78" s="137"/>
      <c r="LCD78" s="137"/>
      <c r="LCE78" s="137"/>
      <c r="LCF78" s="137"/>
      <c r="LCG78" s="137"/>
      <c r="LCH78" s="137"/>
      <c r="LCI78" s="137"/>
      <c r="LCJ78" s="137"/>
      <c r="LCK78" s="137"/>
      <c r="LCL78" s="137"/>
      <c r="LCM78" s="137"/>
      <c r="LCN78" s="137"/>
      <c r="LCO78" s="137"/>
      <c r="LCP78" s="137"/>
      <c r="LCQ78" s="137"/>
      <c r="LCR78" s="137"/>
      <c r="LCS78" s="137"/>
      <c r="LCT78" s="137"/>
      <c r="LCU78" s="137"/>
      <c r="LCV78" s="137"/>
      <c r="LCW78" s="137"/>
      <c r="LCX78" s="137"/>
      <c r="LCY78" s="137"/>
      <c r="LCZ78" s="137"/>
      <c r="LDA78" s="137"/>
      <c r="LDB78" s="137"/>
      <c r="LDC78" s="137"/>
      <c r="LDD78" s="137"/>
      <c r="LDE78" s="137"/>
      <c r="LDF78" s="137"/>
      <c r="LDG78" s="137"/>
      <c r="LDH78" s="137"/>
      <c r="LDI78" s="137"/>
      <c r="LDJ78" s="137"/>
      <c r="LDK78" s="137"/>
      <c r="LDL78" s="137"/>
      <c r="LDM78" s="137"/>
      <c r="LDN78" s="137"/>
      <c r="LDO78" s="137"/>
      <c r="LDP78" s="137"/>
      <c r="LDQ78" s="137"/>
      <c r="LDR78" s="137"/>
      <c r="LDS78" s="137"/>
      <c r="LDT78" s="137"/>
      <c r="LDU78" s="137"/>
      <c r="LDV78" s="137"/>
      <c r="LDW78" s="137"/>
      <c r="LDX78" s="137"/>
      <c r="LDY78" s="137"/>
      <c r="LDZ78" s="137"/>
      <c r="LEA78" s="137"/>
      <c r="LEB78" s="137"/>
      <c r="LEC78" s="137"/>
      <c r="LED78" s="137"/>
      <c r="LEE78" s="137"/>
      <c r="LEF78" s="137"/>
      <c r="LEG78" s="137"/>
      <c r="LEH78" s="137"/>
      <c r="LEI78" s="137"/>
      <c r="LEJ78" s="137"/>
      <c r="LEK78" s="137"/>
      <c r="LEL78" s="137"/>
      <c r="LEM78" s="137"/>
      <c r="LEN78" s="137"/>
      <c r="LEO78" s="137"/>
      <c r="LEP78" s="137"/>
      <c r="LEQ78" s="137"/>
      <c r="LER78" s="137"/>
      <c r="LES78" s="137"/>
      <c r="LET78" s="137"/>
      <c r="LEU78" s="137"/>
      <c r="LEV78" s="137"/>
      <c r="LEW78" s="137"/>
      <c r="LEX78" s="137"/>
      <c r="LEY78" s="137"/>
      <c r="LEZ78" s="137"/>
      <c r="LFA78" s="137"/>
      <c r="LFB78" s="137"/>
      <c r="LFC78" s="137"/>
      <c r="LFD78" s="137"/>
      <c r="LFE78" s="137"/>
      <c r="LFF78" s="137"/>
      <c r="LFG78" s="137"/>
      <c r="LFH78" s="137"/>
      <c r="LFI78" s="137"/>
      <c r="LFJ78" s="137"/>
      <c r="LFK78" s="137"/>
      <c r="LFL78" s="137"/>
      <c r="LFM78" s="137"/>
      <c r="LFN78" s="137"/>
      <c r="LFO78" s="137"/>
      <c r="LFP78" s="137"/>
      <c r="LFQ78" s="137"/>
      <c r="LFR78" s="137"/>
      <c r="LFS78" s="137"/>
      <c r="LFT78" s="137"/>
      <c r="LFU78" s="137"/>
      <c r="LFV78" s="137"/>
      <c r="LFW78" s="137"/>
      <c r="LFX78" s="137"/>
      <c r="LFY78" s="137"/>
      <c r="LFZ78" s="137"/>
      <c r="LGA78" s="137"/>
      <c r="LGB78" s="137"/>
      <c r="LGC78" s="137"/>
      <c r="LGD78" s="137"/>
      <c r="LGE78" s="137"/>
      <c r="LGF78" s="137"/>
      <c r="LGG78" s="137"/>
      <c r="LGH78" s="137"/>
      <c r="LGI78" s="137"/>
      <c r="LGJ78" s="137"/>
      <c r="LGK78" s="137"/>
      <c r="LGL78" s="137"/>
      <c r="LGM78" s="137"/>
      <c r="LGN78" s="137"/>
      <c r="LGO78" s="137"/>
      <c r="LGP78" s="137"/>
      <c r="LGQ78" s="137"/>
      <c r="LGR78" s="137"/>
      <c r="LGS78" s="137"/>
      <c r="LGT78" s="137"/>
      <c r="LGU78" s="137"/>
      <c r="LGV78" s="137"/>
      <c r="LGW78" s="137"/>
      <c r="LGX78" s="137"/>
      <c r="LGY78" s="137"/>
      <c r="LGZ78" s="137"/>
      <c r="LHA78" s="137"/>
      <c r="LHB78" s="137"/>
      <c r="LHC78" s="137"/>
      <c r="LHD78" s="137"/>
      <c r="LHE78" s="137"/>
      <c r="LHF78" s="137"/>
      <c r="LHG78" s="137"/>
      <c r="LHH78" s="137"/>
      <c r="LHI78" s="137"/>
      <c r="LHJ78" s="137"/>
      <c r="LHK78" s="137"/>
      <c r="LHL78" s="137"/>
      <c r="LHM78" s="137"/>
      <c r="LHN78" s="137"/>
      <c r="LHO78" s="137"/>
      <c r="LHP78" s="137"/>
      <c r="LHQ78" s="137"/>
      <c r="LHR78" s="137"/>
      <c r="LHS78" s="137"/>
      <c r="LHT78" s="137"/>
      <c r="LHU78" s="137"/>
      <c r="LHV78" s="137"/>
      <c r="LHW78" s="137"/>
      <c r="LHX78" s="137"/>
      <c r="LHY78" s="137"/>
      <c r="LHZ78" s="137"/>
      <c r="LIA78" s="137"/>
      <c r="LIB78" s="137"/>
      <c r="LIC78" s="137"/>
      <c r="LID78" s="137"/>
      <c r="LIE78" s="137"/>
      <c r="LIF78" s="137"/>
      <c r="LIG78" s="137"/>
      <c r="LIH78" s="137"/>
      <c r="LII78" s="137"/>
      <c r="LIJ78" s="137"/>
      <c r="LIK78" s="137"/>
      <c r="LIL78" s="137"/>
      <c r="LIM78" s="137"/>
      <c r="LIN78" s="137"/>
      <c r="LIO78" s="137"/>
      <c r="LIP78" s="137"/>
      <c r="LIQ78" s="137"/>
      <c r="LIR78" s="137"/>
      <c r="LIS78" s="137"/>
      <c r="LIT78" s="137"/>
      <c r="LIU78" s="137"/>
      <c r="LIV78" s="137"/>
      <c r="LIW78" s="137"/>
      <c r="LIX78" s="137"/>
      <c r="LIY78" s="137"/>
      <c r="LIZ78" s="137"/>
      <c r="LJA78" s="137"/>
      <c r="LJB78" s="137"/>
      <c r="LJC78" s="137"/>
      <c r="LJD78" s="137"/>
      <c r="LJE78" s="137"/>
      <c r="LJF78" s="137"/>
      <c r="LJG78" s="137"/>
      <c r="LJH78" s="137"/>
      <c r="LJI78" s="137"/>
      <c r="LJJ78" s="137"/>
      <c r="LJK78" s="137"/>
      <c r="LJL78" s="137"/>
      <c r="LJM78" s="137"/>
      <c r="LJN78" s="137"/>
      <c r="LJO78" s="137"/>
      <c r="LJP78" s="137"/>
      <c r="LJQ78" s="137"/>
      <c r="LJR78" s="137"/>
      <c r="LJS78" s="137"/>
      <c r="LJT78" s="137"/>
      <c r="LJU78" s="137"/>
      <c r="LJV78" s="137"/>
      <c r="LJW78" s="137"/>
      <c r="LJX78" s="137"/>
      <c r="LJY78" s="137"/>
      <c r="LJZ78" s="137"/>
      <c r="LKA78" s="137"/>
      <c r="LKB78" s="137"/>
      <c r="LKC78" s="137"/>
      <c r="LKD78" s="137"/>
      <c r="LKE78" s="137"/>
      <c r="LKF78" s="137"/>
      <c r="LKG78" s="137"/>
      <c r="LKH78" s="137"/>
      <c r="LKI78" s="137"/>
      <c r="LKJ78" s="137"/>
      <c r="LKK78" s="137"/>
      <c r="LKL78" s="137"/>
      <c r="LKM78" s="137"/>
      <c r="LKN78" s="137"/>
      <c r="LKO78" s="137"/>
      <c r="LKP78" s="137"/>
      <c r="LKQ78" s="137"/>
      <c r="LKR78" s="137"/>
      <c r="LKS78" s="137"/>
      <c r="LKT78" s="137"/>
      <c r="LKU78" s="137"/>
      <c r="LKV78" s="137"/>
      <c r="LKW78" s="137"/>
      <c r="LKX78" s="137"/>
      <c r="LKY78" s="137"/>
      <c r="LKZ78" s="137"/>
      <c r="LLA78" s="137"/>
      <c r="LLB78" s="137"/>
      <c r="LLC78" s="137"/>
      <c r="LLD78" s="137"/>
      <c r="LLE78" s="137"/>
      <c r="LLF78" s="137"/>
      <c r="LLG78" s="137"/>
      <c r="LLH78" s="137"/>
      <c r="LLI78" s="137"/>
      <c r="LLJ78" s="137"/>
      <c r="LLK78" s="137"/>
      <c r="LLL78" s="137"/>
      <c r="LLM78" s="137"/>
      <c r="LLN78" s="137"/>
      <c r="LLO78" s="137"/>
      <c r="LLP78" s="137"/>
      <c r="LLQ78" s="137"/>
      <c r="LLR78" s="137"/>
      <c r="LLS78" s="137"/>
      <c r="LLT78" s="137"/>
      <c r="LLU78" s="137"/>
      <c r="LLV78" s="137"/>
      <c r="LLW78" s="137"/>
      <c r="LLX78" s="137"/>
      <c r="LLY78" s="137"/>
      <c r="LLZ78" s="137"/>
      <c r="LMA78" s="137"/>
      <c r="LMB78" s="137"/>
      <c r="LMC78" s="137"/>
      <c r="LMD78" s="137"/>
      <c r="LME78" s="137"/>
      <c r="LMF78" s="137"/>
      <c r="LMG78" s="137"/>
      <c r="LMH78" s="137"/>
      <c r="LMI78" s="137"/>
      <c r="LMJ78" s="137"/>
      <c r="LMK78" s="137"/>
      <c r="LML78" s="137"/>
      <c r="LMM78" s="137"/>
      <c r="LMN78" s="137"/>
      <c r="LMO78" s="137"/>
      <c r="LMP78" s="137"/>
      <c r="LMQ78" s="137"/>
      <c r="LMR78" s="137"/>
      <c r="LMS78" s="137"/>
      <c r="LMT78" s="137"/>
      <c r="LMU78" s="137"/>
      <c r="LMV78" s="137"/>
      <c r="LMW78" s="137"/>
      <c r="LMX78" s="137"/>
      <c r="LMY78" s="137"/>
      <c r="LMZ78" s="137"/>
      <c r="LNA78" s="137"/>
      <c r="LNB78" s="137"/>
      <c r="LNC78" s="137"/>
      <c r="LND78" s="137"/>
      <c r="LNE78" s="137"/>
      <c r="LNF78" s="137"/>
      <c r="LNG78" s="137"/>
      <c r="LNH78" s="137"/>
      <c r="LNI78" s="137"/>
      <c r="LNJ78" s="137"/>
      <c r="LNK78" s="137"/>
      <c r="LNL78" s="137"/>
      <c r="LNM78" s="137"/>
      <c r="LNN78" s="137"/>
      <c r="LNO78" s="137"/>
      <c r="LNP78" s="137"/>
      <c r="LNQ78" s="137"/>
      <c r="LNR78" s="137"/>
      <c r="LNS78" s="137"/>
      <c r="LNT78" s="137"/>
      <c r="LNU78" s="137"/>
      <c r="LNV78" s="137"/>
      <c r="LNW78" s="137"/>
      <c r="LNX78" s="137"/>
      <c r="LNY78" s="137"/>
      <c r="LNZ78" s="137"/>
      <c r="LOA78" s="137"/>
      <c r="LOB78" s="137"/>
      <c r="LOC78" s="137"/>
      <c r="LOD78" s="137"/>
      <c r="LOE78" s="137"/>
      <c r="LOF78" s="137"/>
      <c r="LOG78" s="137"/>
      <c r="LOH78" s="137"/>
      <c r="LOI78" s="137"/>
      <c r="LOJ78" s="137"/>
      <c r="LOK78" s="137"/>
      <c r="LOL78" s="137"/>
      <c r="LOM78" s="137"/>
      <c r="LON78" s="137"/>
      <c r="LOO78" s="137"/>
      <c r="LOP78" s="137"/>
      <c r="LOQ78" s="137"/>
      <c r="LOR78" s="137"/>
      <c r="LOS78" s="137"/>
      <c r="LOT78" s="137"/>
      <c r="LOU78" s="137"/>
      <c r="LOV78" s="137"/>
      <c r="LOW78" s="137"/>
      <c r="LOX78" s="137"/>
      <c r="LOY78" s="137"/>
      <c r="LOZ78" s="137"/>
      <c r="LPA78" s="137"/>
      <c r="LPB78" s="137"/>
      <c r="LPC78" s="137"/>
      <c r="LPD78" s="137"/>
      <c r="LPE78" s="137"/>
      <c r="LPF78" s="137"/>
      <c r="LPG78" s="137"/>
      <c r="LPH78" s="137"/>
      <c r="LPI78" s="137"/>
      <c r="LPJ78" s="137"/>
      <c r="LPK78" s="137"/>
      <c r="LPL78" s="137"/>
      <c r="LPM78" s="137"/>
      <c r="LPN78" s="137"/>
      <c r="LPO78" s="137"/>
      <c r="LPP78" s="137"/>
      <c r="LPQ78" s="137"/>
      <c r="LPR78" s="137"/>
      <c r="LPS78" s="137"/>
      <c r="LPT78" s="137"/>
      <c r="LPU78" s="137"/>
      <c r="LPV78" s="137"/>
      <c r="LPW78" s="137"/>
      <c r="LPX78" s="137"/>
      <c r="LPY78" s="137"/>
      <c r="LPZ78" s="137"/>
      <c r="LQA78" s="137"/>
      <c r="LQB78" s="137"/>
      <c r="LQC78" s="137"/>
      <c r="LQD78" s="137"/>
      <c r="LQE78" s="137"/>
      <c r="LQF78" s="137"/>
      <c r="LQG78" s="137"/>
      <c r="LQH78" s="137"/>
      <c r="LQI78" s="137"/>
      <c r="LQJ78" s="137"/>
      <c r="LQK78" s="137"/>
      <c r="LQL78" s="137"/>
      <c r="LQM78" s="137"/>
      <c r="LQN78" s="137"/>
      <c r="LQO78" s="137"/>
      <c r="LQP78" s="137"/>
      <c r="LQQ78" s="137"/>
      <c r="LQR78" s="137"/>
      <c r="LQS78" s="137"/>
      <c r="LQT78" s="137"/>
      <c r="LQU78" s="137"/>
      <c r="LQV78" s="137"/>
      <c r="LQW78" s="137"/>
      <c r="LQX78" s="137"/>
      <c r="LQY78" s="137"/>
      <c r="LQZ78" s="137"/>
      <c r="LRA78" s="137"/>
      <c r="LRB78" s="137"/>
      <c r="LRC78" s="137"/>
      <c r="LRD78" s="137"/>
      <c r="LRE78" s="137"/>
      <c r="LRF78" s="137"/>
      <c r="LRG78" s="137"/>
      <c r="LRH78" s="137"/>
      <c r="LRI78" s="137"/>
      <c r="LRJ78" s="137"/>
      <c r="LRK78" s="137"/>
      <c r="LRL78" s="137"/>
      <c r="LRM78" s="137"/>
      <c r="LRN78" s="137"/>
      <c r="LRO78" s="137"/>
      <c r="LRP78" s="137"/>
      <c r="LRQ78" s="137"/>
      <c r="LRR78" s="137"/>
      <c r="LRS78" s="137"/>
      <c r="LRT78" s="137"/>
      <c r="LRU78" s="137"/>
      <c r="LRV78" s="137"/>
      <c r="LRW78" s="137"/>
      <c r="LRX78" s="137"/>
      <c r="LRY78" s="137"/>
      <c r="LRZ78" s="137"/>
      <c r="LSA78" s="137"/>
      <c r="LSB78" s="137"/>
      <c r="LSC78" s="137"/>
      <c r="LSD78" s="137"/>
      <c r="LSE78" s="137"/>
      <c r="LSF78" s="137"/>
      <c r="LSG78" s="137"/>
      <c r="LSH78" s="137"/>
      <c r="LSI78" s="137"/>
      <c r="LSJ78" s="137"/>
      <c r="LSK78" s="137"/>
      <c r="LSL78" s="137"/>
      <c r="LSM78" s="137"/>
      <c r="LSN78" s="137"/>
      <c r="LSO78" s="137"/>
      <c r="LSP78" s="137"/>
      <c r="LSQ78" s="137"/>
      <c r="LSR78" s="137"/>
      <c r="LSS78" s="137"/>
      <c r="LST78" s="137"/>
      <c r="LSU78" s="137"/>
      <c r="LSV78" s="137"/>
      <c r="LSW78" s="137"/>
      <c r="LSX78" s="137"/>
      <c r="LSY78" s="137"/>
      <c r="LSZ78" s="137"/>
      <c r="LTA78" s="137"/>
      <c r="LTB78" s="137"/>
      <c r="LTC78" s="137"/>
      <c r="LTD78" s="137"/>
      <c r="LTE78" s="137"/>
      <c r="LTF78" s="137"/>
      <c r="LTG78" s="137"/>
      <c r="LTH78" s="137"/>
      <c r="LTI78" s="137"/>
      <c r="LTJ78" s="137"/>
      <c r="LTK78" s="137"/>
      <c r="LTL78" s="137"/>
      <c r="LTM78" s="137"/>
      <c r="LTN78" s="137"/>
      <c r="LTO78" s="137"/>
      <c r="LTP78" s="137"/>
      <c r="LTQ78" s="137"/>
      <c r="LTR78" s="137"/>
      <c r="LTS78" s="137"/>
      <c r="LTT78" s="137"/>
      <c r="LTU78" s="137"/>
      <c r="LTV78" s="137"/>
      <c r="LTW78" s="137"/>
      <c r="LTX78" s="137"/>
      <c r="LTY78" s="137"/>
      <c r="LTZ78" s="137"/>
      <c r="LUA78" s="137"/>
      <c r="LUB78" s="137"/>
      <c r="LUC78" s="137"/>
      <c r="LUD78" s="137"/>
      <c r="LUE78" s="137"/>
      <c r="LUF78" s="137"/>
      <c r="LUG78" s="137"/>
      <c r="LUH78" s="137"/>
      <c r="LUI78" s="137"/>
      <c r="LUJ78" s="137"/>
      <c r="LUK78" s="137"/>
      <c r="LUL78" s="137"/>
      <c r="LUM78" s="137"/>
      <c r="LUN78" s="137"/>
      <c r="LUO78" s="137"/>
      <c r="LUP78" s="137"/>
      <c r="LUQ78" s="137"/>
      <c r="LUR78" s="137"/>
      <c r="LUS78" s="137"/>
      <c r="LUT78" s="137"/>
      <c r="LUU78" s="137"/>
      <c r="LUV78" s="137"/>
      <c r="LUW78" s="137"/>
      <c r="LUX78" s="137"/>
      <c r="LUY78" s="137"/>
      <c r="LUZ78" s="137"/>
      <c r="LVA78" s="137"/>
      <c r="LVB78" s="137"/>
      <c r="LVC78" s="137"/>
      <c r="LVD78" s="137"/>
      <c r="LVE78" s="137"/>
      <c r="LVF78" s="137"/>
      <c r="LVG78" s="137"/>
      <c r="LVH78" s="137"/>
      <c r="LVI78" s="137"/>
      <c r="LVJ78" s="137"/>
      <c r="LVK78" s="137"/>
      <c r="LVL78" s="137"/>
      <c r="LVM78" s="137"/>
      <c r="LVN78" s="137"/>
      <c r="LVO78" s="137"/>
      <c r="LVP78" s="137"/>
      <c r="LVQ78" s="137"/>
      <c r="LVR78" s="137"/>
      <c r="LVS78" s="137"/>
      <c r="LVT78" s="137"/>
      <c r="LVU78" s="137"/>
      <c r="LVV78" s="137"/>
      <c r="LVW78" s="137"/>
      <c r="LVX78" s="137"/>
      <c r="LVY78" s="137"/>
      <c r="LVZ78" s="137"/>
      <c r="LWA78" s="137"/>
      <c r="LWB78" s="137"/>
      <c r="LWC78" s="137"/>
      <c r="LWD78" s="137"/>
      <c r="LWE78" s="137"/>
      <c r="LWF78" s="137"/>
      <c r="LWG78" s="137"/>
      <c r="LWH78" s="137"/>
      <c r="LWI78" s="137"/>
      <c r="LWJ78" s="137"/>
      <c r="LWK78" s="137"/>
      <c r="LWL78" s="137"/>
      <c r="LWM78" s="137"/>
      <c r="LWN78" s="137"/>
      <c r="LWO78" s="137"/>
      <c r="LWP78" s="137"/>
      <c r="LWQ78" s="137"/>
      <c r="LWR78" s="137"/>
      <c r="LWS78" s="137"/>
      <c r="LWT78" s="137"/>
      <c r="LWU78" s="137"/>
      <c r="LWV78" s="137"/>
      <c r="LWW78" s="137"/>
      <c r="LWX78" s="137"/>
      <c r="LWY78" s="137"/>
      <c r="LWZ78" s="137"/>
      <c r="LXA78" s="137"/>
      <c r="LXB78" s="137"/>
      <c r="LXC78" s="137"/>
      <c r="LXD78" s="137"/>
      <c r="LXE78" s="137"/>
      <c r="LXF78" s="137"/>
      <c r="LXG78" s="137"/>
      <c r="LXH78" s="137"/>
      <c r="LXI78" s="137"/>
      <c r="LXJ78" s="137"/>
      <c r="LXK78" s="137"/>
      <c r="LXL78" s="137"/>
      <c r="LXM78" s="137"/>
      <c r="LXN78" s="137"/>
      <c r="LXO78" s="137"/>
      <c r="LXP78" s="137"/>
      <c r="LXQ78" s="137"/>
      <c r="LXR78" s="137"/>
      <c r="LXS78" s="137"/>
      <c r="LXT78" s="137"/>
      <c r="LXU78" s="137"/>
      <c r="LXV78" s="137"/>
      <c r="LXW78" s="137"/>
      <c r="LXX78" s="137"/>
      <c r="LXY78" s="137"/>
      <c r="LXZ78" s="137"/>
      <c r="LYA78" s="137"/>
      <c r="LYB78" s="137"/>
      <c r="LYC78" s="137"/>
      <c r="LYD78" s="137"/>
      <c r="LYE78" s="137"/>
      <c r="LYF78" s="137"/>
      <c r="LYG78" s="137"/>
      <c r="LYH78" s="137"/>
      <c r="LYI78" s="137"/>
      <c r="LYJ78" s="137"/>
      <c r="LYK78" s="137"/>
      <c r="LYL78" s="137"/>
      <c r="LYM78" s="137"/>
      <c r="LYN78" s="137"/>
      <c r="LYO78" s="137"/>
      <c r="LYP78" s="137"/>
      <c r="LYQ78" s="137"/>
      <c r="LYR78" s="137"/>
      <c r="LYS78" s="137"/>
      <c r="LYT78" s="137"/>
      <c r="LYU78" s="137"/>
      <c r="LYV78" s="137"/>
      <c r="LYW78" s="137"/>
      <c r="LYX78" s="137"/>
      <c r="LYY78" s="137"/>
      <c r="LYZ78" s="137"/>
      <c r="LZA78" s="137"/>
      <c r="LZB78" s="137"/>
      <c r="LZC78" s="137"/>
      <c r="LZD78" s="137"/>
      <c r="LZE78" s="137"/>
      <c r="LZF78" s="137"/>
      <c r="LZG78" s="137"/>
      <c r="LZH78" s="137"/>
      <c r="LZI78" s="137"/>
      <c r="LZJ78" s="137"/>
      <c r="LZK78" s="137"/>
      <c r="LZL78" s="137"/>
      <c r="LZM78" s="137"/>
      <c r="LZN78" s="137"/>
      <c r="LZO78" s="137"/>
      <c r="LZP78" s="137"/>
      <c r="LZQ78" s="137"/>
      <c r="LZR78" s="137"/>
      <c r="LZS78" s="137"/>
      <c r="LZT78" s="137"/>
      <c r="LZU78" s="137"/>
      <c r="LZV78" s="137"/>
      <c r="LZW78" s="137"/>
      <c r="LZX78" s="137"/>
      <c r="LZY78" s="137"/>
      <c r="LZZ78" s="137"/>
      <c r="MAA78" s="137"/>
      <c r="MAB78" s="137"/>
      <c r="MAC78" s="137"/>
      <c r="MAD78" s="137"/>
      <c r="MAE78" s="137"/>
      <c r="MAF78" s="137"/>
      <c r="MAG78" s="137"/>
      <c r="MAH78" s="137"/>
      <c r="MAI78" s="137"/>
      <c r="MAJ78" s="137"/>
      <c r="MAK78" s="137"/>
      <c r="MAL78" s="137"/>
      <c r="MAM78" s="137"/>
      <c r="MAN78" s="137"/>
      <c r="MAO78" s="137"/>
      <c r="MAP78" s="137"/>
      <c r="MAQ78" s="137"/>
      <c r="MAR78" s="137"/>
      <c r="MAS78" s="137"/>
      <c r="MAT78" s="137"/>
      <c r="MAU78" s="137"/>
      <c r="MAV78" s="137"/>
      <c r="MAW78" s="137"/>
      <c r="MAX78" s="137"/>
      <c r="MAY78" s="137"/>
      <c r="MAZ78" s="137"/>
      <c r="MBA78" s="137"/>
      <c r="MBB78" s="137"/>
      <c r="MBC78" s="137"/>
      <c r="MBD78" s="137"/>
      <c r="MBE78" s="137"/>
      <c r="MBF78" s="137"/>
      <c r="MBG78" s="137"/>
      <c r="MBH78" s="137"/>
      <c r="MBI78" s="137"/>
      <c r="MBJ78" s="137"/>
      <c r="MBK78" s="137"/>
      <c r="MBL78" s="137"/>
      <c r="MBM78" s="137"/>
      <c r="MBN78" s="137"/>
      <c r="MBO78" s="137"/>
      <c r="MBP78" s="137"/>
      <c r="MBQ78" s="137"/>
      <c r="MBR78" s="137"/>
      <c r="MBS78" s="137"/>
      <c r="MBT78" s="137"/>
      <c r="MBU78" s="137"/>
      <c r="MBV78" s="137"/>
      <c r="MBW78" s="137"/>
      <c r="MBX78" s="137"/>
      <c r="MBY78" s="137"/>
      <c r="MBZ78" s="137"/>
      <c r="MCA78" s="137"/>
      <c r="MCB78" s="137"/>
      <c r="MCC78" s="137"/>
      <c r="MCD78" s="137"/>
      <c r="MCE78" s="137"/>
      <c r="MCF78" s="137"/>
      <c r="MCG78" s="137"/>
      <c r="MCH78" s="137"/>
      <c r="MCI78" s="137"/>
      <c r="MCJ78" s="137"/>
      <c r="MCK78" s="137"/>
      <c r="MCL78" s="137"/>
      <c r="MCM78" s="137"/>
      <c r="MCN78" s="137"/>
      <c r="MCO78" s="137"/>
      <c r="MCP78" s="137"/>
      <c r="MCQ78" s="137"/>
      <c r="MCR78" s="137"/>
      <c r="MCS78" s="137"/>
      <c r="MCT78" s="137"/>
      <c r="MCU78" s="137"/>
      <c r="MCV78" s="137"/>
      <c r="MCW78" s="137"/>
      <c r="MCX78" s="137"/>
      <c r="MCY78" s="137"/>
      <c r="MCZ78" s="137"/>
      <c r="MDA78" s="137"/>
      <c r="MDB78" s="137"/>
      <c r="MDC78" s="137"/>
      <c r="MDD78" s="137"/>
      <c r="MDE78" s="137"/>
      <c r="MDF78" s="137"/>
      <c r="MDG78" s="137"/>
      <c r="MDH78" s="137"/>
      <c r="MDI78" s="137"/>
      <c r="MDJ78" s="137"/>
      <c r="MDK78" s="137"/>
      <c r="MDL78" s="137"/>
      <c r="MDM78" s="137"/>
      <c r="MDN78" s="137"/>
      <c r="MDO78" s="137"/>
      <c r="MDP78" s="137"/>
      <c r="MDQ78" s="137"/>
      <c r="MDR78" s="137"/>
      <c r="MDS78" s="137"/>
      <c r="MDT78" s="137"/>
      <c r="MDU78" s="137"/>
      <c r="MDV78" s="137"/>
      <c r="MDW78" s="137"/>
      <c r="MDX78" s="137"/>
      <c r="MDY78" s="137"/>
      <c r="MDZ78" s="137"/>
      <c r="MEA78" s="137"/>
      <c r="MEB78" s="137"/>
      <c r="MEC78" s="137"/>
      <c r="MED78" s="137"/>
      <c r="MEE78" s="137"/>
      <c r="MEF78" s="137"/>
      <c r="MEG78" s="137"/>
      <c r="MEH78" s="137"/>
      <c r="MEI78" s="137"/>
      <c r="MEJ78" s="137"/>
      <c r="MEK78" s="137"/>
      <c r="MEL78" s="137"/>
      <c r="MEM78" s="137"/>
      <c r="MEN78" s="137"/>
      <c r="MEO78" s="137"/>
      <c r="MEP78" s="137"/>
      <c r="MEQ78" s="137"/>
      <c r="MER78" s="137"/>
      <c r="MES78" s="137"/>
      <c r="MET78" s="137"/>
      <c r="MEU78" s="137"/>
      <c r="MEV78" s="137"/>
      <c r="MEW78" s="137"/>
      <c r="MEX78" s="137"/>
      <c r="MEY78" s="137"/>
      <c r="MEZ78" s="137"/>
      <c r="MFA78" s="137"/>
      <c r="MFB78" s="137"/>
      <c r="MFC78" s="137"/>
      <c r="MFD78" s="137"/>
      <c r="MFE78" s="137"/>
      <c r="MFF78" s="137"/>
      <c r="MFG78" s="137"/>
      <c r="MFH78" s="137"/>
      <c r="MFI78" s="137"/>
      <c r="MFJ78" s="137"/>
      <c r="MFK78" s="137"/>
      <c r="MFL78" s="137"/>
      <c r="MFM78" s="137"/>
      <c r="MFN78" s="137"/>
      <c r="MFO78" s="137"/>
      <c r="MFP78" s="137"/>
      <c r="MFQ78" s="137"/>
      <c r="MFR78" s="137"/>
      <c r="MFS78" s="137"/>
      <c r="MFT78" s="137"/>
      <c r="MFU78" s="137"/>
      <c r="MFV78" s="137"/>
      <c r="MFW78" s="137"/>
      <c r="MFX78" s="137"/>
      <c r="MFY78" s="137"/>
      <c r="MFZ78" s="137"/>
      <c r="MGA78" s="137"/>
      <c r="MGB78" s="137"/>
      <c r="MGC78" s="137"/>
      <c r="MGD78" s="137"/>
      <c r="MGE78" s="137"/>
      <c r="MGF78" s="137"/>
      <c r="MGG78" s="137"/>
      <c r="MGH78" s="137"/>
      <c r="MGI78" s="137"/>
      <c r="MGJ78" s="137"/>
      <c r="MGK78" s="137"/>
      <c r="MGL78" s="137"/>
      <c r="MGM78" s="137"/>
      <c r="MGN78" s="137"/>
      <c r="MGO78" s="137"/>
      <c r="MGP78" s="137"/>
      <c r="MGQ78" s="137"/>
      <c r="MGR78" s="137"/>
      <c r="MGS78" s="137"/>
      <c r="MGT78" s="137"/>
      <c r="MGU78" s="137"/>
      <c r="MGV78" s="137"/>
      <c r="MGW78" s="137"/>
      <c r="MGX78" s="137"/>
      <c r="MGY78" s="137"/>
      <c r="MGZ78" s="137"/>
      <c r="MHA78" s="137"/>
      <c r="MHB78" s="137"/>
      <c r="MHC78" s="137"/>
      <c r="MHD78" s="137"/>
      <c r="MHE78" s="137"/>
      <c r="MHF78" s="137"/>
      <c r="MHG78" s="137"/>
      <c r="MHH78" s="137"/>
      <c r="MHI78" s="137"/>
      <c r="MHJ78" s="137"/>
      <c r="MHK78" s="137"/>
      <c r="MHL78" s="137"/>
      <c r="MHM78" s="137"/>
      <c r="MHN78" s="137"/>
      <c r="MHO78" s="137"/>
      <c r="MHP78" s="137"/>
      <c r="MHQ78" s="137"/>
      <c r="MHR78" s="137"/>
      <c r="MHS78" s="137"/>
      <c r="MHT78" s="137"/>
      <c r="MHU78" s="137"/>
      <c r="MHV78" s="137"/>
      <c r="MHW78" s="137"/>
      <c r="MHX78" s="137"/>
      <c r="MHY78" s="137"/>
      <c r="MHZ78" s="137"/>
      <c r="MIA78" s="137"/>
      <c r="MIB78" s="137"/>
      <c r="MIC78" s="137"/>
      <c r="MID78" s="137"/>
      <c r="MIE78" s="137"/>
      <c r="MIF78" s="137"/>
      <c r="MIG78" s="137"/>
      <c r="MIH78" s="137"/>
      <c r="MII78" s="137"/>
      <c r="MIJ78" s="137"/>
      <c r="MIK78" s="137"/>
      <c r="MIL78" s="137"/>
      <c r="MIM78" s="137"/>
      <c r="MIN78" s="137"/>
      <c r="MIO78" s="137"/>
      <c r="MIP78" s="137"/>
      <c r="MIQ78" s="137"/>
      <c r="MIR78" s="137"/>
      <c r="MIS78" s="137"/>
      <c r="MIT78" s="137"/>
      <c r="MIU78" s="137"/>
      <c r="MIV78" s="137"/>
      <c r="MIW78" s="137"/>
      <c r="MIX78" s="137"/>
      <c r="MIY78" s="137"/>
      <c r="MIZ78" s="137"/>
      <c r="MJA78" s="137"/>
      <c r="MJB78" s="137"/>
      <c r="MJC78" s="137"/>
      <c r="MJD78" s="137"/>
      <c r="MJE78" s="137"/>
      <c r="MJF78" s="137"/>
      <c r="MJG78" s="137"/>
      <c r="MJH78" s="137"/>
      <c r="MJI78" s="137"/>
      <c r="MJJ78" s="137"/>
      <c r="MJK78" s="137"/>
      <c r="MJL78" s="137"/>
      <c r="MJM78" s="137"/>
      <c r="MJN78" s="137"/>
      <c r="MJO78" s="137"/>
      <c r="MJP78" s="137"/>
      <c r="MJQ78" s="137"/>
      <c r="MJR78" s="137"/>
      <c r="MJS78" s="137"/>
      <c r="MJT78" s="137"/>
      <c r="MJU78" s="137"/>
      <c r="MJV78" s="137"/>
      <c r="MJW78" s="137"/>
      <c r="MJX78" s="137"/>
      <c r="MJY78" s="137"/>
      <c r="MJZ78" s="137"/>
      <c r="MKA78" s="137"/>
      <c r="MKB78" s="137"/>
      <c r="MKC78" s="137"/>
      <c r="MKD78" s="137"/>
      <c r="MKE78" s="137"/>
      <c r="MKF78" s="137"/>
      <c r="MKG78" s="137"/>
      <c r="MKH78" s="137"/>
      <c r="MKI78" s="137"/>
      <c r="MKJ78" s="137"/>
      <c r="MKK78" s="137"/>
      <c r="MKL78" s="137"/>
      <c r="MKM78" s="137"/>
      <c r="MKN78" s="137"/>
      <c r="MKO78" s="137"/>
      <c r="MKP78" s="137"/>
      <c r="MKQ78" s="137"/>
      <c r="MKR78" s="137"/>
      <c r="MKS78" s="137"/>
      <c r="MKT78" s="137"/>
      <c r="MKU78" s="137"/>
      <c r="MKV78" s="137"/>
      <c r="MKW78" s="137"/>
      <c r="MKX78" s="137"/>
      <c r="MKY78" s="137"/>
      <c r="MKZ78" s="137"/>
      <c r="MLA78" s="137"/>
      <c r="MLB78" s="137"/>
      <c r="MLC78" s="137"/>
      <c r="MLD78" s="137"/>
      <c r="MLE78" s="137"/>
      <c r="MLF78" s="137"/>
      <c r="MLG78" s="137"/>
      <c r="MLH78" s="137"/>
      <c r="MLI78" s="137"/>
      <c r="MLJ78" s="137"/>
      <c r="MLK78" s="137"/>
      <c r="MLL78" s="137"/>
      <c r="MLM78" s="137"/>
      <c r="MLN78" s="137"/>
      <c r="MLO78" s="137"/>
      <c r="MLP78" s="137"/>
      <c r="MLQ78" s="137"/>
      <c r="MLR78" s="137"/>
      <c r="MLS78" s="137"/>
      <c r="MLT78" s="137"/>
      <c r="MLU78" s="137"/>
      <c r="MLV78" s="137"/>
      <c r="MLW78" s="137"/>
      <c r="MLX78" s="137"/>
      <c r="MLY78" s="137"/>
      <c r="MLZ78" s="137"/>
      <c r="MMA78" s="137"/>
      <c r="MMB78" s="137"/>
      <c r="MMC78" s="137"/>
      <c r="MMD78" s="137"/>
      <c r="MME78" s="137"/>
      <c r="MMF78" s="137"/>
      <c r="MMG78" s="137"/>
      <c r="MMH78" s="137"/>
      <c r="MMI78" s="137"/>
      <c r="MMJ78" s="137"/>
      <c r="MMK78" s="137"/>
      <c r="MML78" s="137"/>
      <c r="MMM78" s="137"/>
      <c r="MMN78" s="137"/>
      <c r="MMO78" s="137"/>
      <c r="MMP78" s="137"/>
      <c r="MMQ78" s="137"/>
      <c r="MMR78" s="137"/>
      <c r="MMS78" s="137"/>
      <c r="MMT78" s="137"/>
      <c r="MMU78" s="137"/>
      <c r="MMV78" s="137"/>
      <c r="MMW78" s="137"/>
      <c r="MMX78" s="137"/>
      <c r="MMY78" s="137"/>
      <c r="MMZ78" s="137"/>
      <c r="MNA78" s="137"/>
      <c r="MNB78" s="137"/>
      <c r="MNC78" s="137"/>
      <c r="MND78" s="137"/>
      <c r="MNE78" s="137"/>
      <c r="MNF78" s="137"/>
      <c r="MNG78" s="137"/>
      <c r="MNH78" s="137"/>
      <c r="MNI78" s="137"/>
      <c r="MNJ78" s="137"/>
      <c r="MNK78" s="137"/>
      <c r="MNL78" s="137"/>
      <c r="MNM78" s="137"/>
      <c r="MNN78" s="137"/>
      <c r="MNO78" s="137"/>
      <c r="MNP78" s="137"/>
      <c r="MNQ78" s="137"/>
      <c r="MNR78" s="137"/>
      <c r="MNS78" s="137"/>
      <c r="MNT78" s="137"/>
      <c r="MNU78" s="137"/>
      <c r="MNV78" s="137"/>
      <c r="MNW78" s="137"/>
      <c r="MNX78" s="137"/>
      <c r="MNY78" s="137"/>
      <c r="MNZ78" s="137"/>
      <c r="MOA78" s="137"/>
      <c r="MOB78" s="137"/>
      <c r="MOC78" s="137"/>
      <c r="MOD78" s="137"/>
      <c r="MOE78" s="137"/>
      <c r="MOF78" s="137"/>
      <c r="MOG78" s="137"/>
      <c r="MOH78" s="137"/>
      <c r="MOI78" s="137"/>
      <c r="MOJ78" s="137"/>
      <c r="MOK78" s="137"/>
      <c r="MOL78" s="137"/>
      <c r="MOM78" s="137"/>
      <c r="MON78" s="137"/>
      <c r="MOO78" s="137"/>
      <c r="MOP78" s="137"/>
      <c r="MOQ78" s="137"/>
      <c r="MOR78" s="137"/>
      <c r="MOS78" s="137"/>
      <c r="MOT78" s="137"/>
      <c r="MOU78" s="137"/>
      <c r="MOV78" s="137"/>
      <c r="MOW78" s="137"/>
      <c r="MOX78" s="137"/>
      <c r="MOY78" s="137"/>
      <c r="MOZ78" s="137"/>
      <c r="MPA78" s="137"/>
      <c r="MPB78" s="137"/>
      <c r="MPC78" s="137"/>
      <c r="MPD78" s="137"/>
      <c r="MPE78" s="137"/>
      <c r="MPF78" s="137"/>
      <c r="MPG78" s="137"/>
      <c r="MPH78" s="137"/>
      <c r="MPI78" s="137"/>
      <c r="MPJ78" s="137"/>
      <c r="MPK78" s="137"/>
      <c r="MPL78" s="137"/>
      <c r="MPM78" s="137"/>
      <c r="MPN78" s="137"/>
      <c r="MPO78" s="137"/>
      <c r="MPP78" s="137"/>
      <c r="MPQ78" s="137"/>
      <c r="MPR78" s="137"/>
      <c r="MPS78" s="137"/>
      <c r="MPT78" s="137"/>
      <c r="MPU78" s="137"/>
      <c r="MPV78" s="137"/>
      <c r="MPW78" s="137"/>
      <c r="MPX78" s="137"/>
      <c r="MPY78" s="137"/>
      <c r="MPZ78" s="137"/>
      <c r="MQA78" s="137"/>
      <c r="MQB78" s="137"/>
      <c r="MQC78" s="137"/>
      <c r="MQD78" s="137"/>
      <c r="MQE78" s="137"/>
      <c r="MQF78" s="137"/>
      <c r="MQG78" s="137"/>
      <c r="MQH78" s="137"/>
      <c r="MQI78" s="137"/>
      <c r="MQJ78" s="137"/>
      <c r="MQK78" s="137"/>
      <c r="MQL78" s="137"/>
      <c r="MQM78" s="137"/>
      <c r="MQN78" s="137"/>
      <c r="MQO78" s="137"/>
      <c r="MQP78" s="137"/>
      <c r="MQQ78" s="137"/>
      <c r="MQR78" s="137"/>
      <c r="MQS78" s="137"/>
      <c r="MQT78" s="137"/>
      <c r="MQU78" s="137"/>
      <c r="MQV78" s="137"/>
      <c r="MQW78" s="137"/>
      <c r="MQX78" s="137"/>
      <c r="MQY78" s="137"/>
      <c r="MQZ78" s="137"/>
      <c r="MRA78" s="137"/>
      <c r="MRB78" s="137"/>
      <c r="MRC78" s="137"/>
      <c r="MRD78" s="137"/>
      <c r="MRE78" s="137"/>
      <c r="MRF78" s="137"/>
      <c r="MRG78" s="137"/>
      <c r="MRH78" s="137"/>
      <c r="MRI78" s="137"/>
      <c r="MRJ78" s="137"/>
      <c r="MRK78" s="137"/>
      <c r="MRL78" s="137"/>
      <c r="MRM78" s="137"/>
      <c r="MRN78" s="137"/>
      <c r="MRO78" s="137"/>
      <c r="MRP78" s="137"/>
      <c r="MRQ78" s="137"/>
      <c r="MRR78" s="137"/>
      <c r="MRS78" s="137"/>
      <c r="MRT78" s="137"/>
      <c r="MRU78" s="137"/>
      <c r="MRV78" s="137"/>
      <c r="MRW78" s="137"/>
      <c r="MRX78" s="137"/>
      <c r="MRY78" s="137"/>
      <c r="MRZ78" s="137"/>
      <c r="MSA78" s="137"/>
      <c r="MSB78" s="137"/>
      <c r="MSC78" s="137"/>
      <c r="MSD78" s="137"/>
      <c r="MSE78" s="137"/>
      <c r="MSF78" s="137"/>
      <c r="MSG78" s="137"/>
      <c r="MSH78" s="137"/>
      <c r="MSI78" s="137"/>
      <c r="MSJ78" s="137"/>
      <c r="MSK78" s="137"/>
      <c r="MSL78" s="137"/>
      <c r="MSM78" s="137"/>
      <c r="MSN78" s="137"/>
      <c r="MSO78" s="137"/>
      <c r="MSP78" s="137"/>
      <c r="MSQ78" s="137"/>
      <c r="MSR78" s="137"/>
      <c r="MSS78" s="137"/>
      <c r="MST78" s="137"/>
      <c r="MSU78" s="137"/>
      <c r="MSV78" s="137"/>
      <c r="MSW78" s="137"/>
      <c r="MSX78" s="137"/>
      <c r="MSY78" s="137"/>
      <c r="MSZ78" s="137"/>
      <c r="MTA78" s="137"/>
      <c r="MTB78" s="137"/>
      <c r="MTC78" s="137"/>
      <c r="MTD78" s="137"/>
      <c r="MTE78" s="137"/>
      <c r="MTF78" s="137"/>
      <c r="MTG78" s="137"/>
      <c r="MTH78" s="137"/>
      <c r="MTI78" s="137"/>
      <c r="MTJ78" s="137"/>
      <c r="MTK78" s="137"/>
      <c r="MTL78" s="137"/>
      <c r="MTM78" s="137"/>
      <c r="MTN78" s="137"/>
      <c r="MTO78" s="137"/>
      <c r="MTP78" s="137"/>
      <c r="MTQ78" s="137"/>
      <c r="MTR78" s="137"/>
      <c r="MTS78" s="137"/>
      <c r="MTT78" s="137"/>
      <c r="MTU78" s="137"/>
      <c r="MTV78" s="137"/>
      <c r="MTW78" s="137"/>
      <c r="MTX78" s="137"/>
      <c r="MTY78" s="137"/>
      <c r="MTZ78" s="137"/>
      <c r="MUA78" s="137"/>
      <c r="MUB78" s="137"/>
      <c r="MUC78" s="137"/>
      <c r="MUD78" s="137"/>
      <c r="MUE78" s="137"/>
      <c r="MUF78" s="137"/>
      <c r="MUG78" s="137"/>
      <c r="MUH78" s="137"/>
      <c r="MUI78" s="137"/>
      <c r="MUJ78" s="137"/>
      <c r="MUK78" s="137"/>
      <c r="MUL78" s="137"/>
      <c r="MUM78" s="137"/>
      <c r="MUN78" s="137"/>
      <c r="MUO78" s="137"/>
      <c r="MUP78" s="137"/>
      <c r="MUQ78" s="137"/>
      <c r="MUR78" s="137"/>
      <c r="MUS78" s="137"/>
      <c r="MUT78" s="137"/>
      <c r="MUU78" s="137"/>
      <c r="MUV78" s="137"/>
      <c r="MUW78" s="137"/>
      <c r="MUX78" s="137"/>
      <c r="MUY78" s="137"/>
      <c r="MUZ78" s="137"/>
      <c r="MVA78" s="137"/>
      <c r="MVB78" s="137"/>
      <c r="MVC78" s="137"/>
      <c r="MVD78" s="137"/>
      <c r="MVE78" s="137"/>
      <c r="MVF78" s="137"/>
      <c r="MVG78" s="137"/>
      <c r="MVH78" s="137"/>
      <c r="MVI78" s="137"/>
      <c r="MVJ78" s="137"/>
      <c r="MVK78" s="137"/>
      <c r="MVL78" s="137"/>
      <c r="MVM78" s="137"/>
      <c r="MVN78" s="137"/>
      <c r="MVO78" s="137"/>
      <c r="MVP78" s="137"/>
      <c r="MVQ78" s="137"/>
      <c r="MVR78" s="137"/>
      <c r="MVS78" s="137"/>
      <c r="MVT78" s="137"/>
      <c r="MVU78" s="137"/>
      <c r="MVV78" s="137"/>
      <c r="MVW78" s="137"/>
      <c r="MVX78" s="137"/>
      <c r="MVY78" s="137"/>
      <c r="MVZ78" s="137"/>
      <c r="MWA78" s="137"/>
      <c r="MWB78" s="137"/>
      <c r="MWC78" s="137"/>
      <c r="MWD78" s="137"/>
      <c r="MWE78" s="137"/>
      <c r="MWF78" s="137"/>
      <c r="MWG78" s="137"/>
      <c r="MWH78" s="137"/>
      <c r="MWI78" s="137"/>
      <c r="MWJ78" s="137"/>
      <c r="MWK78" s="137"/>
      <c r="MWL78" s="137"/>
      <c r="MWM78" s="137"/>
      <c r="MWN78" s="137"/>
      <c r="MWO78" s="137"/>
      <c r="MWP78" s="137"/>
      <c r="MWQ78" s="137"/>
      <c r="MWR78" s="137"/>
      <c r="MWS78" s="137"/>
      <c r="MWT78" s="137"/>
      <c r="MWU78" s="137"/>
      <c r="MWV78" s="137"/>
      <c r="MWW78" s="137"/>
      <c r="MWX78" s="137"/>
      <c r="MWY78" s="137"/>
      <c r="MWZ78" s="137"/>
      <c r="MXA78" s="137"/>
      <c r="MXB78" s="137"/>
      <c r="MXC78" s="137"/>
      <c r="MXD78" s="137"/>
      <c r="MXE78" s="137"/>
      <c r="MXF78" s="137"/>
      <c r="MXG78" s="137"/>
      <c r="MXH78" s="137"/>
      <c r="MXI78" s="137"/>
      <c r="MXJ78" s="137"/>
      <c r="MXK78" s="137"/>
      <c r="MXL78" s="137"/>
      <c r="MXM78" s="137"/>
      <c r="MXN78" s="137"/>
      <c r="MXO78" s="137"/>
      <c r="MXP78" s="137"/>
      <c r="MXQ78" s="137"/>
      <c r="MXR78" s="137"/>
      <c r="MXS78" s="137"/>
      <c r="MXT78" s="137"/>
      <c r="MXU78" s="137"/>
      <c r="MXV78" s="137"/>
      <c r="MXW78" s="137"/>
      <c r="MXX78" s="137"/>
      <c r="MXY78" s="137"/>
      <c r="MXZ78" s="137"/>
      <c r="MYA78" s="137"/>
      <c r="MYB78" s="137"/>
      <c r="MYC78" s="137"/>
      <c r="MYD78" s="137"/>
      <c r="MYE78" s="137"/>
      <c r="MYF78" s="137"/>
      <c r="MYG78" s="137"/>
      <c r="MYH78" s="137"/>
      <c r="MYI78" s="137"/>
      <c r="MYJ78" s="137"/>
      <c r="MYK78" s="137"/>
      <c r="MYL78" s="137"/>
      <c r="MYM78" s="137"/>
      <c r="MYN78" s="137"/>
      <c r="MYO78" s="137"/>
      <c r="MYP78" s="137"/>
      <c r="MYQ78" s="137"/>
      <c r="MYR78" s="137"/>
      <c r="MYS78" s="137"/>
      <c r="MYT78" s="137"/>
      <c r="MYU78" s="137"/>
      <c r="MYV78" s="137"/>
      <c r="MYW78" s="137"/>
      <c r="MYX78" s="137"/>
      <c r="MYY78" s="137"/>
      <c r="MYZ78" s="137"/>
      <c r="MZA78" s="137"/>
      <c r="MZB78" s="137"/>
      <c r="MZC78" s="137"/>
      <c r="MZD78" s="137"/>
      <c r="MZE78" s="137"/>
      <c r="MZF78" s="137"/>
      <c r="MZG78" s="137"/>
      <c r="MZH78" s="137"/>
      <c r="MZI78" s="137"/>
      <c r="MZJ78" s="137"/>
      <c r="MZK78" s="137"/>
      <c r="MZL78" s="137"/>
      <c r="MZM78" s="137"/>
      <c r="MZN78" s="137"/>
      <c r="MZO78" s="137"/>
      <c r="MZP78" s="137"/>
      <c r="MZQ78" s="137"/>
      <c r="MZR78" s="137"/>
      <c r="MZS78" s="137"/>
      <c r="MZT78" s="137"/>
      <c r="MZU78" s="137"/>
      <c r="MZV78" s="137"/>
      <c r="MZW78" s="137"/>
      <c r="MZX78" s="137"/>
      <c r="MZY78" s="137"/>
      <c r="MZZ78" s="137"/>
      <c r="NAA78" s="137"/>
      <c r="NAB78" s="137"/>
      <c r="NAC78" s="137"/>
      <c r="NAD78" s="137"/>
      <c r="NAE78" s="137"/>
      <c r="NAF78" s="137"/>
      <c r="NAG78" s="137"/>
      <c r="NAH78" s="137"/>
      <c r="NAI78" s="137"/>
      <c r="NAJ78" s="137"/>
      <c r="NAK78" s="137"/>
      <c r="NAL78" s="137"/>
      <c r="NAM78" s="137"/>
      <c r="NAN78" s="137"/>
      <c r="NAO78" s="137"/>
      <c r="NAP78" s="137"/>
      <c r="NAQ78" s="137"/>
      <c r="NAR78" s="137"/>
      <c r="NAS78" s="137"/>
      <c r="NAT78" s="137"/>
      <c r="NAU78" s="137"/>
      <c r="NAV78" s="137"/>
      <c r="NAW78" s="137"/>
      <c r="NAX78" s="137"/>
      <c r="NAY78" s="137"/>
      <c r="NAZ78" s="137"/>
      <c r="NBA78" s="137"/>
      <c r="NBB78" s="137"/>
      <c r="NBC78" s="137"/>
      <c r="NBD78" s="137"/>
      <c r="NBE78" s="137"/>
      <c r="NBF78" s="137"/>
      <c r="NBG78" s="137"/>
      <c r="NBH78" s="137"/>
      <c r="NBI78" s="137"/>
      <c r="NBJ78" s="137"/>
      <c r="NBK78" s="137"/>
      <c r="NBL78" s="137"/>
      <c r="NBM78" s="137"/>
      <c r="NBN78" s="137"/>
      <c r="NBO78" s="137"/>
      <c r="NBP78" s="137"/>
      <c r="NBQ78" s="137"/>
      <c r="NBR78" s="137"/>
      <c r="NBS78" s="137"/>
      <c r="NBT78" s="137"/>
      <c r="NBU78" s="137"/>
      <c r="NBV78" s="137"/>
      <c r="NBW78" s="137"/>
      <c r="NBX78" s="137"/>
      <c r="NBY78" s="137"/>
      <c r="NBZ78" s="137"/>
      <c r="NCA78" s="137"/>
      <c r="NCB78" s="137"/>
      <c r="NCC78" s="137"/>
      <c r="NCD78" s="137"/>
      <c r="NCE78" s="137"/>
      <c r="NCF78" s="137"/>
      <c r="NCG78" s="137"/>
      <c r="NCH78" s="137"/>
      <c r="NCI78" s="137"/>
      <c r="NCJ78" s="137"/>
      <c r="NCK78" s="137"/>
      <c r="NCL78" s="137"/>
      <c r="NCM78" s="137"/>
      <c r="NCN78" s="137"/>
      <c r="NCO78" s="137"/>
      <c r="NCP78" s="137"/>
      <c r="NCQ78" s="137"/>
      <c r="NCR78" s="137"/>
      <c r="NCS78" s="137"/>
      <c r="NCT78" s="137"/>
      <c r="NCU78" s="137"/>
      <c r="NCV78" s="137"/>
      <c r="NCW78" s="137"/>
      <c r="NCX78" s="137"/>
      <c r="NCY78" s="137"/>
      <c r="NCZ78" s="137"/>
      <c r="NDA78" s="137"/>
      <c r="NDB78" s="137"/>
      <c r="NDC78" s="137"/>
      <c r="NDD78" s="137"/>
      <c r="NDE78" s="137"/>
      <c r="NDF78" s="137"/>
      <c r="NDG78" s="137"/>
      <c r="NDH78" s="137"/>
      <c r="NDI78" s="137"/>
      <c r="NDJ78" s="137"/>
      <c r="NDK78" s="137"/>
      <c r="NDL78" s="137"/>
      <c r="NDM78" s="137"/>
      <c r="NDN78" s="137"/>
      <c r="NDO78" s="137"/>
      <c r="NDP78" s="137"/>
      <c r="NDQ78" s="137"/>
      <c r="NDR78" s="137"/>
      <c r="NDS78" s="137"/>
      <c r="NDT78" s="137"/>
      <c r="NDU78" s="137"/>
      <c r="NDV78" s="137"/>
      <c r="NDW78" s="137"/>
      <c r="NDX78" s="137"/>
      <c r="NDY78" s="137"/>
      <c r="NDZ78" s="137"/>
      <c r="NEA78" s="137"/>
      <c r="NEB78" s="137"/>
      <c r="NEC78" s="137"/>
      <c r="NED78" s="137"/>
      <c r="NEE78" s="137"/>
      <c r="NEF78" s="137"/>
      <c r="NEG78" s="137"/>
      <c r="NEH78" s="137"/>
      <c r="NEI78" s="137"/>
      <c r="NEJ78" s="137"/>
      <c r="NEK78" s="137"/>
      <c r="NEL78" s="137"/>
      <c r="NEM78" s="137"/>
      <c r="NEN78" s="137"/>
      <c r="NEO78" s="137"/>
      <c r="NEP78" s="137"/>
      <c r="NEQ78" s="137"/>
      <c r="NER78" s="137"/>
      <c r="NES78" s="137"/>
      <c r="NET78" s="137"/>
      <c r="NEU78" s="137"/>
      <c r="NEV78" s="137"/>
      <c r="NEW78" s="137"/>
      <c r="NEX78" s="137"/>
      <c r="NEY78" s="137"/>
      <c r="NEZ78" s="137"/>
      <c r="NFA78" s="137"/>
      <c r="NFB78" s="137"/>
      <c r="NFC78" s="137"/>
      <c r="NFD78" s="137"/>
      <c r="NFE78" s="137"/>
      <c r="NFF78" s="137"/>
      <c r="NFG78" s="137"/>
      <c r="NFH78" s="137"/>
      <c r="NFI78" s="137"/>
      <c r="NFJ78" s="137"/>
      <c r="NFK78" s="137"/>
      <c r="NFL78" s="137"/>
      <c r="NFM78" s="137"/>
      <c r="NFN78" s="137"/>
      <c r="NFO78" s="137"/>
      <c r="NFP78" s="137"/>
      <c r="NFQ78" s="137"/>
      <c r="NFR78" s="137"/>
      <c r="NFS78" s="137"/>
      <c r="NFT78" s="137"/>
      <c r="NFU78" s="137"/>
      <c r="NFV78" s="137"/>
      <c r="NFW78" s="137"/>
      <c r="NFX78" s="137"/>
      <c r="NFY78" s="137"/>
      <c r="NFZ78" s="137"/>
      <c r="NGA78" s="137"/>
      <c r="NGB78" s="137"/>
      <c r="NGC78" s="137"/>
      <c r="NGD78" s="137"/>
      <c r="NGE78" s="137"/>
      <c r="NGF78" s="137"/>
      <c r="NGG78" s="137"/>
      <c r="NGH78" s="137"/>
      <c r="NGI78" s="137"/>
      <c r="NGJ78" s="137"/>
      <c r="NGK78" s="137"/>
      <c r="NGL78" s="137"/>
      <c r="NGM78" s="137"/>
      <c r="NGN78" s="137"/>
      <c r="NGO78" s="137"/>
      <c r="NGP78" s="137"/>
      <c r="NGQ78" s="137"/>
      <c r="NGR78" s="137"/>
      <c r="NGS78" s="137"/>
      <c r="NGT78" s="137"/>
      <c r="NGU78" s="137"/>
      <c r="NGV78" s="137"/>
      <c r="NGW78" s="137"/>
      <c r="NGX78" s="137"/>
      <c r="NGY78" s="137"/>
      <c r="NGZ78" s="137"/>
      <c r="NHA78" s="137"/>
      <c r="NHB78" s="137"/>
      <c r="NHC78" s="137"/>
      <c r="NHD78" s="137"/>
      <c r="NHE78" s="137"/>
      <c r="NHF78" s="137"/>
      <c r="NHG78" s="137"/>
      <c r="NHH78" s="137"/>
      <c r="NHI78" s="137"/>
      <c r="NHJ78" s="137"/>
      <c r="NHK78" s="137"/>
      <c r="NHL78" s="137"/>
      <c r="NHM78" s="137"/>
      <c r="NHN78" s="137"/>
      <c r="NHO78" s="137"/>
      <c r="NHP78" s="137"/>
      <c r="NHQ78" s="137"/>
      <c r="NHR78" s="137"/>
      <c r="NHS78" s="137"/>
      <c r="NHT78" s="137"/>
      <c r="NHU78" s="137"/>
      <c r="NHV78" s="137"/>
      <c r="NHW78" s="137"/>
      <c r="NHX78" s="137"/>
      <c r="NHY78" s="137"/>
      <c r="NHZ78" s="137"/>
      <c r="NIA78" s="137"/>
      <c r="NIB78" s="137"/>
      <c r="NIC78" s="137"/>
      <c r="NID78" s="137"/>
      <c r="NIE78" s="137"/>
      <c r="NIF78" s="137"/>
      <c r="NIG78" s="137"/>
      <c r="NIH78" s="137"/>
      <c r="NII78" s="137"/>
      <c r="NIJ78" s="137"/>
      <c r="NIK78" s="137"/>
      <c r="NIL78" s="137"/>
      <c r="NIM78" s="137"/>
      <c r="NIN78" s="137"/>
      <c r="NIO78" s="137"/>
      <c r="NIP78" s="137"/>
      <c r="NIQ78" s="137"/>
      <c r="NIR78" s="137"/>
      <c r="NIS78" s="137"/>
      <c r="NIT78" s="137"/>
      <c r="NIU78" s="137"/>
      <c r="NIV78" s="137"/>
      <c r="NIW78" s="137"/>
      <c r="NIX78" s="137"/>
      <c r="NIY78" s="137"/>
      <c r="NIZ78" s="137"/>
      <c r="NJA78" s="137"/>
      <c r="NJB78" s="137"/>
      <c r="NJC78" s="137"/>
      <c r="NJD78" s="137"/>
      <c r="NJE78" s="137"/>
      <c r="NJF78" s="137"/>
      <c r="NJG78" s="137"/>
      <c r="NJH78" s="137"/>
      <c r="NJI78" s="137"/>
      <c r="NJJ78" s="137"/>
      <c r="NJK78" s="137"/>
      <c r="NJL78" s="137"/>
      <c r="NJM78" s="137"/>
      <c r="NJN78" s="137"/>
      <c r="NJO78" s="137"/>
      <c r="NJP78" s="137"/>
      <c r="NJQ78" s="137"/>
      <c r="NJR78" s="137"/>
      <c r="NJS78" s="137"/>
      <c r="NJT78" s="137"/>
      <c r="NJU78" s="137"/>
      <c r="NJV78" s="137"/>
      <c r="NJW78" s="137"/>
      <c r="NJX78" s="137"/>
      <c r="NJY78" s="137"/>
      <c r="NJZ78" s="137"/>
      <c r="NKA78" s="137"/>
      <c r="NKB78" s="137"/>
      <c r="NKC78" s="137"/>
      <c r="NKD78" s="137"/>
      <c r="NKE78" s="137"/>
      <c r="NKF78" s="137"/>
      <c r="NKG78" s="137"/>
      <c r="NKH78" s="137"/>
      <c r="NKI78" s="137"/>
      <c r="NKJ78" s="137"/>
      <c r="NKK78" s="137"/>
      <c r="NKL78" s="137"/>
      <c r="NKM78" s="137"/>
      <c r="NKN78" s="137"/>
      <c r="NKO78" s="137"/>
      <c r="NKP78" s="137"/>
      <c r="NKQ78" s="137"/>
      <c r="NKR78" s="137"/>
      <c r="NKS78" s="137"/>
      <c r="NKT78" s="137"/>
      <c r="NKU78" s="137"/>
      <c r="NKV78" s="137"/>
      <c r="NKW78" s="137"/>
      <c r="NKX78" s="137"/>
      <c r="NKY78" s="137"/>
      <c r="NKZ78" s="137"/>
      <c r="NLA78" s="137"/>
      <c r="NLB78" s="137"/>
      <c r="NLC78" s="137"/>
      <c r="NLD78" s="137"/>
      <c r="NLE78" s="137"/>
      <c r="NLF78" s="137"/>
      <c r="NLG78" s="137"/>
      <c r="NLH78" s="137"/>
      <c r="NLI78" s="137"/>
      <c r="NLJ78" s="137"/>
      <c r="NLK78" s="137"/>
      <c r="NLL78" s="137"/>
      <c r="NLM78" s="137"/>
      <c r="NLN78" s="137"/>
      <c r="NLO78" s="137"/>
      <c r="NLP78" s="137"/>
      <c r="NLQ78" s="137"/>
      <c r="NLR78" s="137"/>
      <c r="NLS78" s="137"/>
      <c r="NLT78" s="137"/>
      <c r="NLU78" s="137"/>
      <c r="NLV78" s="137"/>
      <c r="NLW78" s="137"/>
      <c r="NLX78" s="137"/>
      <c r="NLY78" s="137"/>
      <c r="NLZ78" s="137"/>
      <c r="NMA78" s="137"/>
      <c r="NMB78" s="137"/>
      <c r="NMC78" s="137"/>
      <c r="NMD78" s="137"/>
      <c r="NME78" s="137"/>
      <c r="NMF78" s="137"/>
      <c r="NMG78" s="137"/>
      <c r="NMH78" s="137"/>
      <c r="NMI78" s="137"/>
      <c r="NMJ78" s="137"/>
      <c r="NMK78" s="137"/>
      <c r="NML78" s="137"/>
      <c r="NMM78" s="137"/>
      <c r="NMN78" s="137"/>
      <c r="NMO78" s="137"/>
      <c r="NMP78" s="137"/>
      <c r="NMQ78" s="137"/>
      <c r="NMR78" s="137"/>
      <c r="NMS78" s="137"/>
      <c r="NMT78" s="137"/>
      <c r="NMU78" s="137"/>
      <c r="NMV78" s="137"/>
      <c r="NMW78" s="137"/>
      <c r="NMX78" s="137"/>
      <c r="NMY78" s="137"/>
      <c r="NMZ78" s="137"/>
      <c r="NNA78" s="137"/>
      <c r="NNB78" s="137"/>
      <c r="NNC78" s="137"/>
      <c r="NND78" s="137"/>
      <c r="NNE78" s="137"/>
      <c r="NNF78" s="137"/>
      <c r="NNG78" s="137"/>
      <c r="NNH78" s="137"/>
      <c r="NNI78" s="137"/>
      <c r="NNJ78" s="137"/>
      <c r="NNK78" s="137"/>
      <c r="NNL78" s="137"/>
      <c r="NNM78" s="137"/>
      <c r="NNN78" s="137"/>
      <c r="NNO78" s="137"/>
      <c r="NNP78" s="137"/>
      <c r="NNQ78" s="137"/>
      <c r="NNR78" s="137"/>
      <c r="NNS78" s="137"/>
      <c r="NNT78" s="137"/>
      <c r="NNU78" s="137"/>
      <c r="NNV78" s="137"/>
      <c r="NNW78" s="137"/>
      <c r="NNX78" s="137"/>
      <c r="NNY78" s="137"/>
      <c r="NNZ78" s="137"/>
      <c r="NOA78" s="137"/>
      <c r="NOB78" s="137"/>
      <c r="NOC78" s="137"/>
      <c r="NOD78" s="137"/>
      <c r="NOE78" s="137"/>
      <c r="NOF78" s="137"/>
      <c r="NOG78" s="137"/>
      <c r="NOH78" s="137"/>
      <c r="NOI78" s="137"/>
      <c r="NOJ78" s="137"/>
      <c r="NOK78" s="137"/>
      <c r="NOL78" s="137"/>
      <c r="NOM78" s="137"/>
      <c r="NON78" s="137"/>
      <c r="NOO78" s="137"/>
      <c r="NOP78" s="137"/>
      <c r="NOQ78" s="137"/>
      <c r="NOR78" s="137"/>
      <c r="NOS78" s="137"/>
      <c r="NOT78" s="137"/>
      <c r="NOU78" s="137"/>
      <c r="NOV78" s="137"/>
      <c r="NOW78" s="137"/>
      <c r="NOX78" s="137"/>
      <c r="NOY78" s="137"/>
      <c r="NOZ78" s="137"/>
      <c r="NPA78" s="137"/>
      <c r="NPB78" s="137"/>
      <c r="NPC78" s="137"/>
      <c r="NPD78" s="137"/>
      <c r="NPE78" s="137"/>
      <c r="NPF78" s="137"/>
      <c r="NPG78" s="137"/>
      <c r="NPH78" s="137"/>
      <c r="NPI78" s="137"/>
      <c r="NPJ78" s="137"/>
      <c r="NPK78" s="137"/>
      <c r="NPL78" s="137"/>
      <c r="NPM78" s="137"/>
      <c r="NPN78" s="137"/>
      <c r="NPO78" s="137"/>
      <c r="NPP78" s="137"/>
      <c r="NPQ78" s="137"/>
      <c r="NPR78" s="137"/>
      <c r="NPS78" s="137"/>
      <c r="NPT78" s="137"/>
      <c r="NPU78" s="137"/>
      <c r="NPV78" s="137"/>
      <c r="NPW78" s="137"/>
      <c r="NPX78" s="137"/>
      <c r="NPY78" s="137"/>
      <c r="NPZ78" s="137"/>
      <c r="NQA78" s="137"/>
      <c r="NQB78" s="137"/>
      <c r="NQC78" s="137"/>
      <c r="NQD78" s="137"/>
      <c r="NQE78" s="137"/>
      <c r="NQF78" s="137"/>
      <c r="NQG78" s="137"/>
      <c r="NQH78" s="137"/>
      <c r="NQI78" s="137"/>
      <c r="NQJ78" s="137"/>
      <c r="NQK78" s="137"/>
      <c r="NQL78" s="137"/>
      <c r="NQM78" s="137"/>
      <c r="NQN78" s="137"/>
      <c r="NQO78" s="137"/>
      <c r="NQP78" s="137"/>
      <c r="NQQ78" s="137"/>
      <c r="NQR78" s="137"/>
      <c r="NQS78" s="137"/>
      <c r="NQT78" s="137"/>
      <c r="NQU78" s="137"/>
      <c r="NQV78" s="137"/>
      <c r="NQW78" s="137"/>
      <c r="NQX78" s="137"/>
      <c r="NQY78" s="137"/>
      <c r="NQZ78" s="137"/>
      <c r="NRA78" s="137"/>
      <c r="NRB78" s="137"/>
      <c r="NRC78" s="137"/>
      <c r="NRD78" s="137"/>
      <c r="NRE78" s="137"/>
      <c r="NRF78" s="137"/>
      <c r="NRG78" s="137"/>
      <c r="NRH78" s="137"/>
      <c r="NRI78" s="137"/>
      <c r="NRJ78" s="137"/>
      <c r="NRK78" s="137"/>
      <c r="NRL78" s="137"/>
      <c r="NRM78" s="137"/>
      <c r="NRN78" s="137"/>
      <c r="NRO78" s="137"/>
      <c r="NRP78" s="137"/>
      <c r="NRQ78" s="137"/>
      <c r="NRR78" s="137"/>
      <c r="NRS78" s="137"/>
      <c r="NRT78" s="137"/>
      <c r="NRU78" s="137"/>
      <c r="NRV78" s="137"/>
      <c r="NRW78" s="137"/>
      <c r="NRX78" s="137"/>
      <c r="NRY78" s="137"/>
      <c r="NRZ78" s="137"/>
      <c r="NSA78" s="137"/>
      <c r="NSB78" s="137"/>
      <c r="NSC78" s="137"/>
      <c r="NSD78" s="137"/>
      <c r="NSE78" s="137"/>
      <c r="NSF78" s="137"/>
      <c r="NSG78" s="137"/>
      <c r="NSH78" s="137"/>
      <c r="NSI78" s="137"/>
      <c r="NSJ78" s="137"/>
      <c r="NSK78" s="137"/>
      <c r="NSL78" s="137"/>
      <c r="NSM78" s="137"/>
      <c r="NSN78" s="137"/>
      <c r="NSO78" s="137"/>
      <c r="NSP78" s="137"/>
      <c r="NSQ78" s="137"/>
      <c r="NSR78" s="137"/>
      <c r="NSS78" s="137"/>
      <c r="NST78" s="137"/>
      <c r="NSU78" s="137"/>
      <c r="NSV78" s="137"/>
      <c r="NSW78" s="137"/>
      <c r="NSX78" s="137"/>
      <c r="NSY78" s="137"/>
      <c r="NSZ78" s="137"/>
      <c r="NTA78" s="137"/>
      <c r="NTB78" s="137"/>
      <c r="NTC78" s="137"/>
      <c r="NTD78" s="137"/>
      <c r="NTE78" s="137"/>
      <c r="NTF78" s="137"/>
      <c r="NTG78" s="137"/>
      <c r="NTH78" s="137"/>
      <c r="NTI78" s="137"/>
      <c r="NTJ78" s="137"/>
      <c r="NTK78" s="137"/>
      <c r="NTL78" s="137"/>
      <c r="NTM78" s="137"/>
      <c r="NTN78" s="137"/>
      <c r="NTO78" s="137"/>
      <c r="NTP78" s="137"/>
      <c r="NTQ78" s="137"/>
      <c r="NTR78" s="137"/>
      <c r="NTS78" s="137"/>
      <c r="NTT78" s="137"/>
      <c r="NTU78" s="137"/>
      <c r="NTV78" s="137"/>
      <c r="NTW78" s="137"/>
      <c r="NTX78" s="137"/>
      <c r="NTY78" s="137"/>
      <c r="NTZ78" s="137"/>
      <c r="NUA78" s="137"/>
      <c r="NUB78" s="137"/>
      <c r="NUC78" s="137"/>
      <c r="NUD78" s="137"/>
      <c r="NUE78" s="137"/>
      <c r="NUF78" s="137"/>
      <c r="NUG78" s="137"/>
      <c r="NUH78" s="137"/>
      <c r="NUI78" s="137"/>
      <c r="NUJ78" s="137"/>
      <c r="NUK78" s="137"/>
      <c r="NUL78" s="137"/>
      <c r="NUM78" s="137"/>
      <c r="NUN78" s="137"/>
      <c r="NUO78" s="137"/>
      <c r="NUP78" s="137"/>
      <c r="NUQ78" s="137"/>
      <c r="NUR78" s="137"/>
      <c r="NUS78" s="137"/>
      <c r="NUT78" s="137"/>
      <c r="NUU78" s="137"/>
      <c r="NUV78" s="137"/>
      <c r="NUW78" s="137"/>
      <c r="NUX78" s="137"/>
      <c r="NUY78" s="137"/>
      <c r="NUZ78" s="137"/>
      <c r="NVA78" s="137"/>
      <c r="NVB78" s="137"/>
      <c r="NVC78" s="137"/>
      <c r="NVD78" s="137"/>
      <c r="NVE78" s="137"/>
      <c r="NVF78" s="137"/>
      <c r="NVG78" s="137"/>
      <c r="NVH78" s="137"/>
      <c r="NVI78" s="137"/>
      <c r="NVJ78" s="137"/>
      <c r="NVK78" s="137"/>
      <c r="NVL78" s="137"/>
      <c r="NVM78" s="137"/>
      <c r="NVN78" s="137"/>
      <c r="NVO78" s="137"/>
      <c r="NVP78" s="137"/>
      <c r="NVQ78" s="137"/>
      <c r="NVR78" s="137"/>
      <c r="NVS78" s="137"/>
      <c r="NVT78" s="137"/>
      <c r="NVU78" s="137"/>
      <c r="NVV78" s="137"/>
      <c r="NVW78" s="137"/>
      <c r="NVX78" s="137"/>
      <c r="NVY78" s="137"/>
      <c r="NVZ78" s="137"/>
      <c r="NWA78" s="137"/>
      <c r="NWB78" s="137"/>
      <c r="NWC78" s="137"/>
      <c r="NWD78" s="137"/>
      <c r="NWE78" s="137"/>
      <c r="NWF78" s="137"/>
      <c r="NWG78" s="137"/>
      <c r="NWH78" s="137"/>
      <c r="NWI78" s="137"/>
      <c r="NWJ78" s="137"/>
      <c r="NWK78" s="137"/>
      <c r="NWL78" s="137"/>
      <c r="NWM78" s="137"/>
      <c r="NWN78" s="137"/>
      <c r="NWO78" s="137"/>
      <c r="NWP78" s="137"/>
      <c r="NWQ78" s="137"/>
      <c r="NWR78" s="137"/>
      <c r="NWS78" s="137"/>
      <c r="NWT78" s="137"/>
      <c r="NWU78" s="137"/>
      <c r="NWV78" s="137"/>
      <c r="NWW78" s="137"/>
      <c r="NWX78" s="137"/>
      <c r="NWY78" s="137"/>
      <c r="NWZ78" s="137"/>
      <c r="NXA78" s="137"/>
      <c r="NXB78" s="137"/>
      <c r="NXC78" s="137"/>
      <c r="NXD78" s="137"/>
      <c r="NXE78" s="137"/>
      <c r="NXF78" s="137"/>
      <c r="NXG78" s="137"/>
      <c r="NXH78" s="137"/>
      <c r="NXI78" s="137"/>
      <c r="NXJ78" s="137"/>
      <c r="NXK78" s="137"/>
      <c r="NXL78" s="137"/>
      <c r="NXM78" s="137"/>
      <c r="NXN78" s="137"/>
      <c r="NXO78" s="137"/>
      <c r="NXP78" s="137"/>
      <c r="NXQ78" s="137"/>
      <c r="NXR78" s="137"/>
      <c r="NXS78" s="137"/>
      <c r="NXT78" s="137"/>
      <c r="NXU78" s="137"/>
      <c r="NXV78" s="137"/>
      <c r="NXW78" s="137"/>
      <c r="NXX78" s="137"/>
      <c r="NXY78" s="137"/>
      <c r="NXZ78" s="137"/>
      <c r="NYA78" s="137"/>
      <c r="NYB78" s="137"/>
      <c r="NYC78" s="137"/>
      <c r="NYD78" s="137"/>
      <c r="NYE78" s="137"/>
      <c r="NYF78" s="137"/>
      <c r="NYG78" s="137"/>
      <c r="NYH78" s="137"/>
      <c r="NYI78" s="137"/>
      <c r="NYJ78" s="137"/>
      <c r="NYK78" s="137"/>
      <c r="NYL78" s="137"/>
      <c r="NYM78" s="137"/>
      <c r="NYN78" s="137"/>
      <c r="NYO78" s="137"/>
      <c r="NYP78" s="137"/>
      <c r="NYQ78" s="137"/>
      <c r="NYR78" s="137"/>
      <c r="NYS78" s="137"/>
      <c r="NYT78" s="137"/>
      <c r="NYU78" s="137"/>
      <c r="NYV78" s="137"/>
      <c r="NYW78" s="137"/>
      <c r="NYX78" s="137"/>
      <c r="NYY78" s="137"/>
      <c r="NYZ78" s="137"/>
      <c r="NZA78" s="137"/>
      <c r="NZB78" s="137"/>
      <c r="NZC78" s="137"/>
      <c r="NZD78" s="137"/>
      <c r="NZE78" s="137"/>
      <c r="NZF78" s="137"/>
      <c r="NZG78" s="137"/>
      <c r="NZH78" s="137"/>
      <c r="NZI78" s="137"/>
      <c r="NZJ78" s="137"/>
      <c r="NZK78" s="137"/>
      <c r="NZL78" s="137"/>
      <c r="NZM78" s="137"/>
      <c r="NZN78" s="137"/>
      <c r="NZO78" s="137"/>
      <c r="NZP78" s="137"/>
      <c r="NZQ78" s="137"/>
      <c r="NZR78" s="137"/>
      <c r="NZS78" s="137"/>
      <c r="NZT78" s="137"/>
      <c r="NZU78" s="137"/>
      <c r="NZV78" s="137"/>
      <c r="NZW78" s="137"/>
      <c r="NZX78" s="137"/>
      <c r="NZY78" s="137"/>
      <c r="NZZ78" s="137"/>
      <c r="OAA78" s="137"/>
      <c r="OAB78" s="137"/>
      <c r="OAC78" s="137"/>
      <c r="OAD78" s="137"/>
      <c r="OAE78" s="137"/>
      <c r="OAF78" s="137"/>
      <c r="OAG78" s="137"/>
      <c r="OAH78" s="137"/>
      <c r="OAI78" s="137"/>
      <c r="OAJ78" s="137"/>
      <c r="OAK78" s="137"/>
      <c r="OAL78" s="137"/>
      <c r="OAM78" s="137"/>
      <c r="OAN78" s="137"/>
      <c r="OAO78" s="137"/>
      <c r="OAP78" s="137"/>
      <c r="OAQ78" s="137"/>
      <c r="OAR78" s="137"/>
      <c r="OAS78" s="137"/>
      <c r="OAT78" s="137"/>
      <c r="OAU78" s="137"/>
      <c r="OAV78" s="137"/>
      <c r="OAW78" s="137"/>
      <c r="OAX78" s="137"/>
      <c r="OAY78" s="137"/>
      <c r="OAZ78" s="137"/>
      <c r="OBA78" s="137"/>
      <c r="OBB78" s="137"/>
      <c r="OBC78" s="137"/>
      <c r="OBD78" s="137"/>
      <c r="OBE78" s="137"/>
      <c r="OBF78" s="137"/>
      <c r="OBG78" s="137"/>
      <c r="OBH78" s="137"/>
      <c r="OBI78" s="137"/>
      <c r="OBJ78" s="137"/>
      <c r="OBK78" s="137"/>
      <c r="OBL78" s="137"/>
      <c r="OBM78" s="137"/>
      <c r="OBN78" s="137"/>
      <c r="OBO78" s="137"/>
      <c r="OBP78" s="137"/>
      <c r="OBQ78" s="137"/>
      <c r="OBR78" s="137"/>
      <c r="OBS78" s="137"/>
      <c r="OBT78" s="137"/>
      <c r="OBU78" s="137"/>
      <c r="OBV78" s="137"/>
      <c r="OBW78" s="137"/>
      <c r="OBX78" s="137"/>
      <c r="OBY78" s="137"/>
      <c r="OBZ78" s="137"/>
      <c r="OCA78" s="137"/>
      <c r="OCB78" s="137"/>
      <c r="OCC78" s="137"/>
      <c r="OCD78" s="137"/>
      <c r="OCE78" s="137"/>
      <c r="OCF78" s="137"/>
      <c r="OCG78" s="137"/>
      <c r="OCH78" s="137"/>
      <c r="OCI78" s="137"/>
      <c r="OCJ78" s="137"/>
      <c r="OCK78" s="137"/>
      <c r="OCL78" s="137"/>
      <c r="OCM78" s="137"/>
      <c r="OCN78" s="137"/>
      <c r="OCO78" s="137"/>
      <c r="OCP78" s="137"/>
      <c r="OCQ78" s="137"/>
      <c r="OCR78" s="137"/>
      <c r="OCS78" s="137"/>
      <c r="OCT78" s="137"/>
      <c r="OCU78" s="137"/>
      <c r="OCV78" s="137"/>
      <c r="OCW78" s="137"/>
      <c r="OCX78" s="137"/>
      <c r="OCY78" s="137"/>
      <c r="OCZ78" s="137"/>
      <c r="ODA78" s="137"/>
      <c r="ODB78" s="137"/>
      <c r="ODC78" s="137"/>
      <c r="ODD78" s="137"/>
      <c r="ODE78" s="137"/>
      <c r="ODF78" s="137"/>
      <c r="ODG78" s="137"/>
      <c r="ODH78" s="137"/>
      <c r="ODI78" s="137"/>
      <c r="ODJ78" s="137"/>
      <c r="ODK78" s="137"/>
      <c r="ODL78" s="137"/>
      <c r="ODM78" s="137"/>
      <c r="ODN78" s="137"/>
      <c r="ODO78" s="137"/>
      <c r="ODP78" s="137"/>
      <c r="ODQ78" s="137"/>
      <c r="ODR78" s="137"/>
      <c r="ODS78" s="137"/>
      <c r="ODT78" s="137"/>
      <c r="ODU78" s="137"/>
      <c r="ODV78" s="137"/>
      <c r="ODW78" s="137"/>
      <c r="ODX78" s="137"/>
      <c r="ODY78" s="137"/>
      <c r="ODZ78" s="137"/>
      <c r="OEA78" s="137"/>
      <c r="OEB78" s="137"/>
      <c r="OEC78" s="137"/>
      <c r="OED78" s="137"/>
      <c r="OEE78" s="137"/>
      <c r="OEF78" s="137"/>
      <c r="OEG78" s="137"/>
      <c r="OEH78" s="137"/>
      <c r="OEI78" s="137"/>
      <c r="OEJ78" s="137"/>
      <c r="OEK78" s="137"/>
      <c r="OEL78" s="137"/>
      <c r="OEM78" s="137"/>
      <c r="OEN78" s="137"/>
      <c r="OEO78" s="137"/>
      <c r="OEP78" s="137"/>
      <c r="OEQ78" s="137"/>
      <c r="OER78" s="137"/>
      <c r="OES78" s="137"/>
      <c r="OET78" s="137"/>
      <c r="OEU78" s="137"/>
      <c r="OEV78" s="137"/>
      <c r="OEW78" s="137"/>
      <c r="OEX78" s="137"/>
      <c r="OEY78" s="137"/>
      <c r="OEZ78" s="137"/>
      <c r="OFA78" s="137"/>
      <c r="OFB78" s="137"/>
      <c r="OFC78" s="137"/>
      <c r="OFD78" s="137"/>
      <c r="OFE78" s="137"/>
      <c r="OFF78" s="137"/>
      <c r="OFG78" s="137"/>
      <c r="OFH78" s="137"/>
      <c r="OFI78" s="137"/>
      <c r="OFJ78" s="137"/>
      <c r="OFK78" s="137"/>
      <c r="OFL78" s="137"/>
      <c r="OFM78" s="137"/>
      <c r="OFN78" s="137"/>
      <c r="OFO78" s="137"/>
      <c r="OFP78" s="137"/>
      <c r="OFQ78" s="137"/>
      <c r="OFR78" s="137"/>
      <c r="OFS78" s="137"/>
      <c r="OFT78" s="137"/>
      <c r="OFU78" s="137"/>
      <c r="OFV78" s="137"/>
      <c r="OFW78" s="137"/>
      <c r="OFX78" s="137"/>
      <c r="OFY78" s="137"/>
      <c r="OFZ78" s="137"/>
      <c r="OGA78" s="137"/>
      <c r="OGB78" s="137"/>
      <c r="OGC78" s="137"/>
      <c r="OGD78" s="137"/>
      <c r="OGE78" s="137"/>
      <c r="OGF78" s="137"/>
      <c r="OGG78" s="137"/>
      <c r="OGH78" s="137"/>
      <c r="OGI78" s="137"/>
      <c r="OGJ78" s="137"/>
      <c r="OGK78" s="137"/>
      <c r="OGL78" s="137"/>
      <c r="OGM78" s="137"/>
      <c r="OGN78" s="137"/>
      <c r="OGO78" s="137"/>
      <c r="OGP78" s="137"/>
      <c r="OGQ78" s="137"/>
      <c r="OGR78" s="137"/>
      <c r="OGS78" s="137"/>
      <c r="OGT78" s="137"/>
      <c r="OGU78" s="137"/>
      <c r="OGV78" s="137"/>
      <c r="OGW78" s="137"/>
      <c r="OGX78" s="137"/>
      <c r="OGY78" s="137"/>
      <c r="OGZ78" s="137"/>
      <c r="OHA78" s="137"/>
      <c r="OHB78" s="137"/>
      <c r="OHC78" s="137"/>
      <c r="OHD78" s="137"/>
      <c r="OHE78" s="137"/>
      <c r="OHF78" s="137"/>
      <c r="OHG78" s="137"/>
      <c r="OHH78" s="137"/>
      <c r="OHI78" s="137"/>
      <c r="OHJ78" s="137"/>
      <c r="OHK78" s="137"/>
      <c r="OHL78" s="137"/>
      <c r="OHM78" s="137"/>
      <c r="OHN78" s="137"/>
      <c r="OHO78" s="137"/>
      <c r="OHP78" s="137"/>
      <c r="OHQ78" s="137"/>
      <c r="OHR78" s="137"/>
      <c r="OHS78" s="137"/>
      <c r="OHT78" s="137"/>
      <c r="OHU78" s="137"/>
      <c r="OHV78" s="137"/>
      <c r="OHW78" s="137"/>
      <c r="OHX78" s="137"/>
      <c r="OHY78" s="137"/>
      <c r="OHZ78" s="137"/>
      <c r="OIA78" s="137"/>
      <c r="OIB78" s="137"/>
      <c r="OIC78" s="137"/>
      <c r="OID78" s="137"/>
      <c r="OIE78" s="137"/>
      <c r="OIF78" s="137"/>
      <c r="OIG78" s="137"/>
      <c r="OIH78" s="137"/>
      <c r="OII78" s="137"/>
      <c r="OIJ78" s="137"/>
      <c r="OIK78" s="137"/>
      <c r="OIL78" s="137"/>
      <c r="OIM78" s="137"/>
      <c r="OIN78" s="137"/>
      <c r="OIO78" s="137"/>
      <c r="OIP78" s="137"/>
      <c r="OIQ78" s="137"/>
      <c r="OIR78" s="137"/>
      <c r="OIS78" s="137"/>
      <c r="OIT78" s="137"/>
      <c r="OIU78" s="137"/>
      <c r="OIV78" s="137"/>
      <c r="OIW78" s="137"/>
      <c r="OIX78" s="137"/>
      <c r="OIY78" s="137"/>
      <c r="OIZ78" s="137"/>
      <c r="OJA78" s="137"/>
      <c r="OJB78" s="137"/>
      <c r="OJC78" s="137"/>
      <c r="OJD78" s="137"/>
      <c r="OJE78" s="137"/>
      <c r="OJF78" s="137"/>
      <c r="OJG78" s="137"/>
      <c r="OJH78" s="137"/>
      <c r="OJI78" s="137"/>
      <c r="OJJ78" s="137"/>
      <c r="OJK78" s="137"/>
      <c r="OJL78" s="137"/>
      <c r="OJM78" s="137"/>
      <c r="OJN78" s="137"/>
      <c r="OJO78" s="137"/>
      <c r="OJP78" s="137"/>
      <c r="OJQ78" s="137"/>
      <c r="OJR78" s="137"/>
      <c r="OJS78" s="137"/>
      <c r="OJT78" s="137"/>
      <c r="OJU78" s="137"/>
      <c r="OJV78" s="137"/>
      <c r="OJW78" s="137"/>
      <c r="OJX78" s="137"/>
      <c r="OJY78" s="137"/>
      <c r="OJZ78" s="137"/>
      <c r="OKA78" s="137"/>
      <c r="OKB78" s="137"/>
      <c r="OKC78" s="137"/>
      <c r="OKD78" s="137"/>
      <c r="OKE78" s="137"/>
      <c r="OKF78" s="137"/>
      <c r="OKG78" s="137"/>
      <c r="OKH78" s="137"/>
      <c r="OKI78" s="137"/>
      <c r="OKJ78" s="137"/>
      <c r="OKK78" s="137"/>
      <c r="OKL78" s="137"/>
      <c r="OKM78" s="137"/>
      <c r="OKN78" s="137"/>
      <c r="OKO78" s="137"/>
      <c r="OKP78" s="137"/>
      <c r="OKQ78" s="137"/>
      <c r="OKR78" s="137"/>
      <c r="OKS78" s="137"/>
      <c r="OKT78" s="137"/>
      <c r="OKU78" s="137"/>
      <c r="OKV78" s="137"/>
      <c r="OKW78" s="137"/>
      <c r="OKX78" s="137"/>
      <c r="OKY78" s="137"/>
      <c r="OKZ78" s="137"/>
      <c r="OLA78" s="137"/>
      <c r="OLB78" s="137"/>
      <c r="OLC78" s="137"/>
      <c r="OLD78" s="137"/>
      <c r="OLE78" s="137"/>
      <c r="OLF78" s="137"/>
      <c r="OLG78" s="137"/>
      <c r="OLH78" s="137"/>
      <c r="OLI78" s="137"/>
      <c r="OLJ78" s="137"/>
      <c r="OLK78" s="137"/>
      <c r="OLL78" s="137"/>
      <c r="OLM78" s="137"/>
      <c r="OLN78" s="137"/>
      <c r="OLO78" s="137"/>
      <c r="OLP78" s="137"/>
      <c r="OLQ78" s="137"/>
      <c r="OLR78" s="137"/>
      <c r="OLS78" s="137"/>
      <c r="OLT78" s="137"/>
      <c r="OLU78" s="137"/>
      <c r="OLV78" s="137"/>
      <c r="OLW78" s="137"/>
      <c r="OLX78" s="137"/>
      <c r="OLY78" s="137"/>
      <c r="OLZ78" s="137"/>
      <c r="OMA78" s="137"/>
      <c r="OMB78" s="137"/>
      <c r="OMC78" s="137"/>
      <c r="OMD78" s="137"/>
      <c r="OME78" s="137"/>
      <c r="OMF78" s="137"/>
      <c r="OMG78" s="137"/>
      <c r="OMH78" s="137"/>
      <c r="OMI78" s="137"/>
      <c r="OMJ78" s="137"/>
      <c r="OMK78" s="137"/>
      <c r="OML78" s="137"/>
      <c r="OMM78" s="137"/>
      <c r="OMN78" s="137"/>
      <c r="OMO78" s="137"/>
      <c r="OMP78" s="137"/>
      <c r="OMQ78" s="137"/>
      <c r="OMR78" s="137"/>
      <c r="OMS78" s="137"/>
      <c r="OMT78" s="137"/>
      <c r="OMU78" s="137"/>
      <c r="OMV78" s="137"/>
      <c r="OMW78" s="137"/>
      <c r="OMX78" s="137"/>
      <c r="OMY78" s="137"/>
      <c r="OMZ78" s="137"/>
      <c r="ONA78" s="137"/>
      <c r="ONB78" s="137"/>
      <c r="ONC78" s="137"/>
      <c r="OND78" s="137"/>
      <c r="ONE78" s="137"/>
      <c r="ONF78" s="137"/>
      <c r="ONG78" s="137"/>
      <c r="ONH78" s="137"/>
      <c r="ONI78" s="137"/>
      <c r="ONJ78" s="137"/>
      <c r="ONK78" s="137"/>
      <c r="ONL78" s="137"/>
      <c r="ONM78" s="137"/>
      <c r="ONN78" s="137"/>
      <c r="ONO78" s="137"/>
      <c r="ONP78" s="137"/>
      <c r="ONQ78" s="137"/>
      <c r="ONR78" s="137"/>
      <c r="ONS78" s="137"/>
      <c r="ONT78" s="137"/>
      <c r="ONU78" s="137"/>
      <c r="ONV78" s="137"/>
      <c r="ONW78" s="137"/>
      <c r="ONX78" s="137"/>
      <c r="ONY78" s="137"/>
      <c r="ONZ78" s="137"/>
      <c r="OOA78" s="137"/>
      <c r="OOB78" s="137"/>
      <c r="OOC78" s="137"/>
      <c r="OOD78" s="137"/>
      <c r="OOE78" s="137"/>
      <c r="OOF78" s="137"/>
      <c r="OOG78" s="137"/>
      <c r="OOH78" s="137"/>
      <c r="OOI78" s="137"/>
      <c r="OOJ78" s="137"/>
      <c r="OOK78" s="137"/>
      <c r="OOL78" s="137"/>
      <c r="OOM78" s="137"/>
      <c r="OON78" s="137"/>
      <c r="OOO78" s="137"/>
      <c r="OOP78" s="137"/>
      <c r="OOQ78" s="137"/>
      <c r="OOR78" s="137"/>
      <c r="OOS78" s="137"/>
      <c r="OOT78" s="137"/>
      <c r="OOU78" s="137"/>
      <c r="OOV78" s="137"/>
      <c r="OOW78" s="137"/>
      <c r="OOX78" s="137"/>
      <c r="OOY78" s="137"/>
      <c r="OOZ78" s="137"/>
      <c r="OPA78" s="137"/>
      <c r="OPB78" s="137"/>
      <c r="OPC78" s="137"/>
      <c r="OPD78" s="137"/>
      <c r="OPE78" s="137"/>
      <c r="OPF78" s="137"/>
      <c r="OPG78" s="137"/>
      <c r="OPH78" s="137"/>
      <c r="OPI78" s="137"/>
      <c r="OPJ78" s="137"/>
      <c r="OPK78" s="137"/>
      <c r="OPL78" s="137"/>
      <c r="OPM78" s="137"/>
      <c r="OPN78" s="137"/>
      <c r="OPO78" s="137"/>
      <c r="OPP78" s="137"/>
      <c r="OPQ78" s="137"/>
      <c r="OPR78" s="137"/>
      <c r="OPS78" s="137"/>
      <c r="OPT78" s="137"/>
      <c r="OPU78" s="137"/>
      <c r="OPV78" s="137"/>
      <c r="OPW78" s="137"/>
      <c r="OPX78" s="137"/>
      <c r="OPY78" s="137"/>
      <c r="OPZ78" s="137"/>
      <c r="OQA78" s="137"/>
      <c r="OQB78" s="137"/>
      <c r="OQC78" s="137"/>
      <c r="OQD78" s="137"/>
      <c r="OQE78" s="137"/>
      <c r="OQF78" s="137"/>
      <c r="OQG78" s="137"/>
      <c r="OQH78" s="137"/>
      <c r="OQI78" s="137"/>
      <c r="OQJ78" s="137"/>
      <c r="OQK78" s="137"/>
      <c r="OQL78" s="137"/>
      <c r="OQM78" s="137"/>
      <c r="OQN78" s="137"/>
      <c r="OQO78" s="137"/>
      <c r="OQP78" s="137"/>
      <c r="OQQ78" s="137"/>
      <c r="OQR78" s="137"/>
      <c r="OQS78" s="137"/>
      <c r="OQT78" s="137"/>
      <c r="OQU78" s="137"/>
      <c r="OQV78" s="137"/>
      <c r="OQW78" s="137"/>
      <c r="OQX78" s="137"/>
      <c r="OQY78" s="137"/>
      <c r="OQZ78" s="137"/>
      <c r="ORA78" s="137"/>
      <c r="ORB78" s="137"/>
      <c r="ORC78" s="137"/>
      <c r="ORD78" s="137"/>
      <c r="ORE78" s="137"/>
      <c r="ORF78" s="137"/>
      <c r="ORG78" s="137"/>
      <c r="ORH78" s="137"/>
      <c r="ORI78" s="137"/>
      <c r="ORJ78" s="137"/>
      <c r="ORK78" s="137"/>
      <c r="ORL78" s="137"/>
      <c r="ORM78" s="137"/>
      <c r="ORN78" s="137"/>
      <c r="ORO78" s="137"/>
      <c r="ORP78" s="137"/>
      <c r="ORQ78" s="137"/>
      <c r="ORR78" s="137"/>
      <c r="ORS78" s="137"/>
      <c r="ORT78" s="137"/>
      <c r="ORU78" s="137"/>
      <c r="ORV78" s="137"/>
      <c r="ORW78" s="137"/>
      <c r="ORX78" s="137"/>
      <c r="ORY78" s="137"/>
      <c r="ORZ78" s="137"/>
      <c r="OSA78" s="137"/>
      <c r="OSB78" s="137"/>
      <c r="OSC78" s="137"/>
      <c r="OSD78" s="137"/>
      <c r="OSE78" s="137"/>
      <c r="OSF78" s="137"/>
      <c r="OSG78" s="137"/>
      <c r="OSH78" s="137"/>
      <c r="OSI78" s="137"/>
      <c r="OSJ78" s="137"/>
      <c r="OSK78" s="137"/>
      <c r="OSL78" s="137"/>
      <c r="OSM78" s="137"/>
      <c r="OSN78" s="137"/>
      <c r="OSO78" s="137"/>
      <c r="OSP78" s="137"/>
      <c r="OSQ78" s="137"/>
      <c r="OSR78" s="137"/>
      <c r="OSS78" s="137"/>
      <c r="OST78" s="137"/>
      <c r="OSU78" s="137"/>
      <c r="OSV78" s="137"/>
      <c r="OSW78" s="137"/>
      <c r="OSX78" s="137"/>
      <c r="OSY78" s="137"/>
      <c r="OSZ78" s="137"/>
      <c r="OTA78" s="137"/>
      <c r="OTB78" s="137"/>
      <c r="OTC78" s="137"/>
      <c r="OTD78" s="137"/>
      <c r="OTE78" s="137"/>
      <c r="OTF78" s="137"/>
      <c r="OTG78" s="137"/>
      <c r="OTH78" s="137"/>
      <c r="OTI78" s="137"/>
      <c r="OTJ78" s="137"/>
      <c r="OTK78" s="137"/>
      <c r="OTL78" s="137"/>
      <c r="OTM78" s="137"/>
      <c r="OTN78" s="137"/>
      <c r="OTO78" s="137"/>
      <c r="OTP78" s="137"/>
      <c r="OTQ78" s="137"/>
      <c r="OTR78" s="137"/>
      <c r="OTS78" s="137"/>
      <c r="OTT78" s="137"/>
      <c r="OTU78" s="137"/>
      <c r="OTV78" s="137"/>
      <c r="OTW78" s="137"/>
      <c r="OTX78" s="137"/>
      <c r="OTY78" s="137"/>
      <c r="OTZ78" s="137"/>
      <c r="OUA78" s="137"/>
      <c r="OUB78" s="137"/>
      <c r="OUC78" s="137"/>
      <c r="OUD78" s="137"/>
      <c r="OUE78" s="137"/>
      <c r="OUF78" s="137"/>
      <c r="OUG78" s="137"/>
      <c r="OUH78" s="137"/>
      <c r="OUI78" s="137"/>
      <c r="OUJ78" s="137"/>
      <c r="OUK78" s="137"/>
      <c r="OUL78" s="137"/>
      <c r="OUM78" s="137"/>
      <c r="OUN78" s="137"/>
      <c r="OUO78" s="137"/>
      <c r="OUP78" s="137"/>
      <c r="OUQ78" s="137"/>
      <c r="OUR78" s="137"/>
      <c r="OUS78" s="137"/>
      <c r="OUT78" s="137"/>
      <c r="OUU78" s="137"/>
      <c r="OUV78" s="137"/>
      <c r="OUW78" s="137"/>
      <c r="OUX78" s="137"/>
      <c r="OUY78" s="137"/>
      <c r="OUZ78" s="137"/>
      <c r="OVA78" s="137"/>
      <c r="OVB78" s="137"/>
      <c r="OVC78" s="137"/>
      <c r="OVD78" s="137"/>
      <c r="OVE78" s="137"/>
      <c r="OVF78" s="137"/>
      <c r="OVG78" s="137"/>
      <c r="OVH78" s="137"/>
      <c r="OVI78" s="137"/>
      <c r="OVJ78" s="137"/>
      <c r="OVK78" s="137"/>
      <c r="OVL78" s="137"/>
      <c r="OVM78" s="137"/>
      <c r="OVN78" s="137"/>
      <c r="OVO78" s="137"/>
      <c r="OVP78" s="137"/>
      <c r="OVQ78" s="137"/>
      <c r="OVR78" s="137"/>
      <c r="OVS78" s="137"/>
      <c r="OVT78" s="137"/>
      <c r="OVU78" s="137"/>
      <c r="OVV78" s="137"/>
      <c r="OVW78" s="137"/>
      <c r="OVX78" s="137"/>
      <c r="OVY78" s="137"/>
      <c r="OVZ78" s="137"/>
      <c r="OWA78" s="137"/>
      <c r="OWB78" s="137"/>
      <c r="OWC78" s="137"/>
      <c r="OWD78" s="137"/>
      <c r="OWE78" s="137"/>
      <c r="OWF78" s="137"/>
      <c r="OWG78" s="137"/>
      <c r="OWH78" s="137"/>
      <c r="OWI78" s="137"/>
      <c r="OWJ78" s="137"/>
      <c r="OWK78" s="137"/>
      <c r="OWL78" s="137"/>
      <c r="OWM78" s="137"/>
      <c r="OWN78" s="137"/>
      <c r="OWO78" s="137"/>
      <c r="OWP78" s="137"/>
      <c r="OWQ78" s="137"/>
      <c r="OWR78" s="137"/>
      <c r="OWS78" s="137"/>
      <c r="OWT78" s="137"/>
      <c r="OWU78" s="137"/>
      <c r="OWV78" s="137"/>
      <c r="OWW78" s="137"/>
      <c r="OWX78" s="137"/>
      <c r="OWY78" s="137"/>
      <c r="OWZ78" s="137"/>
      <c r="OXA78" s="137"/>
      <c r="OXB78" s="137"/>
      <c r="OXC78" s="137"/>
      <c r="OXD78" s="137"/>
      <c r="OXE78" s="137"/>
      <c r="OXF78" s="137"/>
      <c r="OXG78" s="137"/>
      <c r="OXH78" s="137"/>
      <c r="OXI78" s="137"/>
      <c r="OXJ78" s="137"/>
      <c r="OXK78" s="137"/>
      <c r="OXL78" s="137"/>
      <c r="OXM78" s="137"/>
      <c r="OXN78" s="137"/>
      <c r="OXO78" s="137"/>
      <c r="OXP78" s="137"/>
      <c r="OXQ78" s="137"/>
      <c r="OXR78" s="137"/>
      <c r="OXS78" s="137"/>
      <c r="OXT78" s="137"/>
      <c r="OXU78" s="137"/>
      <c r="OXV78" s="137"/>
      <c r="OXW78" s="137"/>
      <c r="OXX78" s="137"/>
      <c r="OXY78" s="137"/>
      <c r="OXZ78" s="137"/>
      <c r="OYA78" s="137"/>
      <c r="OYB78" s="137"/>
      <c r="OYC78" s="137"/>
      <c r="OYD78" s="137"/>
      <c r="OYE78" s="137"/>
      <c r="OYF78" s="137"/>
      <c r="OYG78" s="137"/>
      <c r="OYH78" s="137"/>
      <c r="OYI78" s="137"/>
      <c r="OYJ78" s="137"/>
      <c r="OYK78" s="137"/>
      <c r="OYL78" s="137"/>
      <c r="OYM78" s="137"/>
      <c r="OYN78" s="137"/>
      <c r="OYO78" s="137"/>
      <c r="OYP78" s="137"/>
      <c r="OYQ78" s="137"/>
      <c r="OYR78" s="137"/>
      <c r="OYS78" s="137"/>
      <c r="OYT78" s="137"/>
      <c r="OYU78" s="137"/>
      <c r="OYV78" s="137"/>
      <c r="OYW78" s="137"/>
      <c r="OYX78" s="137"/>
      <c r="OYY78" s="137"/>
      <c r="OYZ78" s="137"/>
      <c r="OZA78" s="137"/>
      <c r="OZB78" s="137"/>
      <c r="OZC78" s="137"/>
      <c r="OZD78" s="137"/>
      <c r="OZE78" s="137"/>
      <c r="OZF78" s="137"/>
      <c r="OZG78" s="137"/>
      <c r="OZH78" s="137"/>
      <c r="OZI78" s="137"/>
      <c r="OZJ78" s="137"/>
      <c r="OZK78" s="137"/>
      <c r="OZL78" s="137"/>
      <c r="OZM78" s="137"/>
      <c r="OZN78" s="137"/>
      <c r="OZO78" s="137"/>
      <c r="OZP78" s="137"/>
      <c r="OZQ78" s="137"/>
      <c r="OZR78" s="137"/>
      <c r="OZS78" s="137"/>
      <c r="OZT78" s="137"/>
      <c r="OZU78" s="137"/>
      <c r="OZV78" s="137"/>
      <c r="OZW78" s="137"/>
      <c r="OZX78" s="137"/>
      <c r="OZY78" s="137"/>
      <c r="OZZ78" s="137"/>
      <c r="PAA78" s="137"/>
      <c r="PAB78" s="137"/>
      <c r="PAC78" s="137"/>
      <c r="PAD78" s="137"/>
      <c r="PAE78" s="137"/>
      <c r="PAF78" s="137"/>
      <c r="PAG78" s="137"/>
      <c r="PAH78" s="137"/>
      <c r="PAI78" s="137"/>
      <c r="PAJ78" s="137"/>
      <c r="PAK78" s="137"/>
      <c r="PAL78" s="137"/>
      <c r="PAM78" s="137"/>
      <c r="PAN78" s="137"/>
      <c r="PAO78" s="137"/>
      <c r="PAP78" s="137"/>
      <c r="PAQ78" s="137"/>
      <c r="PAR78" s="137"/>
      <c r="PAS78" s="137"/>
      <c r="PAT78" s="137"/>
      <c r="PAU78" s="137"/>
      <c r="PAV78" s="137"/>
      <c r="PAW78" s="137"/>
      <c r="PAX78" s="137"/>
      <c r="PAY78" s="137"/>
      <c r="PAZ78" s="137"/>
      <c r="PBA78" s="137"/>
      <c r="PBB78" s="137"/>
      <c r="PBC78" s="137"/>
      <c r="PBD78" s="137"/>
      <c r="PBE78" s="137"/>
      <c r="PBF78" s="137"/>
      <c r="PBG78" s="137"/>
      <c r="PBH78" s="137"/>
      <c r="PBI78" s="137"/>
      <c r="PBJ78" s="137"/>
      <c r="PBK78" s="137"/>
      <c r="PBL78" s="137"/>
      <c r="PBM78" s="137"/>
      <c r="PBN78" s="137"/>
      <c r="PBO78" s="137"/>
      <c r="PBP78" s="137"/>
      <c r="PBQ78" s="137"/>
      <c r="PBR78" s="137"/>
      <c r="PBS78" s="137"/>
      <c r="PBT78" s="137"/>
      <c r="PBU78" s="137"/>
      <c r="PBV78" s="137"/>
      <c r="PBW78" s="137"/>
      <c r="PBX78" s="137"/>
      <c r="PBY78" s="137"/>
      <c r="PBZ78" s="137"/>
      <c r="PCA78" s="137"/>
      <c r="PCB78" s="137"/>
      <c r="PCC78" s="137"/>
      <c r="PCD78" s="137"/>
      <c r="PCE78" s="137"/>
      <c r="PCF78" s="137"/>
      <c r="PCG78" s="137"/>
      <c r="PCH78" s="137"/>
      <c r="PCI78" s="137"/>
      <c r="PCJ78" s="137"/>
      <c r="PCK78" s="137"/>
      <c r="PCL78" s="137"/>
      <c r="PCM78" s="137"/>
      <c r="PCN78" s="137"/>
      <c r="PCO78" s="137"/>
      <c r="PCP78" s="137"/>
      <c r="PCQ78" s="137"/>
      <c r="PCR78" s="137"/>
      <c r="PCS78" s="137"/>
      <c r="PCT78" s="137"/>
      <c r="PCU78" s="137"/>
      <c r="PCV78" s="137"/>
      <c r="PCW78" s="137"/>
      <c r="PCX78" s="137"/>
      <c r="PCY78" s="137"/>
      <c r="PCZ78" s="137"/>
      <c r="PDA78" s="137"/>
      <c r="PDB78" s="137"/>
      <c r="PDC78" s="137"/>
      <c r="PDD78" s="137"/>
      <c r="PDE78" s="137"/>
      <c r="PDF78" s="137"/>
      <c r="PDG78" s="137"/>
      <c r="PDH78" s="137"/>
      <c r="PDI78" s="137"/>
      <c r="PDJ78" s="137"/>
      <c r="PDK78" s="137"/>
      <c r="PDL78" s="137"/>
      <c r="PDM78" s="137"/>
      <c r="PDN78" s="137"/>
      <c r="PDO78" s="137"/>
      <c r="PDP78" s="137"/>
      <c r="PDQ78" s="137"/>
      <c r="PDR78" s="137"/>
      <c r="PDS78" s="137"/>
      <c r="PDT78" s="137"/>
      <c r="PDU78" s="137"/>
      <c r="PDV78" s="137"/>
      <c r="PDW78" s="137"/>
      <c r="PDX78" s="137"/>
      <c r="PDY78" s="137"/>
      <c r="PDZ78" s="137"/>
      <c r="PEA78" s="137"/>
      <c r="PEB78" s="137"/>
      <c r="PEC78" s="137"/>
      <c r="PED78" s="137"/>
      <c r="PEE78" s="137"/>
      <c r="PEF78" s="137"/>
      <c r="PEG78" s="137"/>
      <c r="PEH78" s="137"/>
      <c r="PEI78" s="137"/>
      <c r="PEJ78" s="137"/>
      <c r="PEK78" s="137"/>
      <c r="PEL78" s="137"/>
      <c r="PEM78" s="137"/>
      <c r="PEN78" s="137"/>
      <c r="PEO78" s="137"/>
      <c r="PEP78" s="137"/>
      <c r="PEQ78" s="137"/>
      <c r="PER78" s="137"/>
      <c r="PES78" s="137"/>
      <c r="PET78" s="137"/>
      <c r="PEU78" s="137"/>
      <c r="PEV78" s="137"/>
      <c r="PEW78" s="137"/>
      <c r="PEX78" s="137"/>
      <c r="PEY78" s="137"/>
      <c r="PEZ78" s="137"/>
      <c r="PFA78" s="137"/>
      <c r="PFB78" s="137"/>
      <c r="PFC78" s="137"/>
      <c r="PFD78" s="137"/>
      <c r="PFE78" s="137"/>
      <c r="PFF78" s="137"/>
      <c r="PFG78" s="137"/>
      <c r="PFH78" s="137"/>
      <c r="PFI78" s="137"/>
      <c r="PFJ78" s="137"/>
      <c r="PFK78" s="137"/>
      <c r="PFL78" s="137"/>
      <c r="PFM78" s="137"/>
      <c r="PFN78" s="137"/>
      <c r="PFO78" s="137"/>
      <c r="PFP78" s="137"/>
      <c r="PFQ78" s="137"/>
      <c r="PFR78" s="137"/>
      <c r="PFS78" s="137"/>
      <c r="PFT78" s="137"/>
      <c r="PFU78" s="137"/>
      <c r="PFV78" s="137"/>
      <c r="PFW78" s="137"/>
      <c r="PFX78" s="137"/>
      <c r="PFY78" s="137"/>
      <c r="PFZ78" s="137"/>
      <c r="PGA78" s="137"/>
      <c r="PGB78" s="137"/>
      <c r="PGC78" s="137"/>
      <c r="PGD78" s="137"/>
      <c r="PGE78" s="137"/>
      <c r="PGF78" s="137"/>
      <c r="PGG78" s="137"/>
      <c r="PGH78" s="137"/>
      <c r="PGI78" s="137"/>
      <c r="PGJ78" s="137"/>
      <c r="PGK78" s="137"/>
      <c r="PGL78" s="137"/>
      <c r="PGM78" s="137"/>
      <c r="PGN78" s="137"/>
      <c r="PGO78" s="137"/>
      <c r="PGP78" s="137"/>
      <c r="PGQ78" s="137"/>
      <c r="PGR78" s="137"/>
      <c r="PGS78" s="137"/>
      <c r="PGT78" s="137"/>
      <c r="PGU78" s="137"/>
      <c r="PGV78" s="137"/>
      <c r="PGW78" s="137"/>
      <c r="PGX78" s="137"/>
      <c r="PGY78" s="137"/>
      <c r="PGZ78" s="137"/>
      <c r="PHA78" s="137"/>
      <c r="PHB78" s="137"/>
      <c r="PHC78" s="137"/>
      <c r="PHD78" s="137"/>
      <c r="PHE78" s="137"/>
      <c r="PHF78" s="137"/>
      <c r="PHG78" s="137"/>
      <c r="PHH78" s="137"/>
      <c r="PHI78" s="137"/>
      <c r="PHJ78" s="137"/>
      <c r="PHK78" s="137"/>
      <c r="PHL78" s="137"/>
      <c r="PHM78" s="137"/>
      <c r="PHN78" s="137"/>
      <c r="PHO78" s="137"/>
      <c r="PHP78" s="137"/>
      <c r="PHQ78" s="137"/>
      <c r="PHR78" s="137"/>
      <c r="PHS78" s="137"/>
      <c r="PHT78" s="137"/>
      <c r="PHU78" s="137"/>
      <c r="PHV78" s="137"/>
      <c r="PHW78" s="137"/>
      <c r="PHX78" s="137"/>
      <c r="PHY78" s="137"/>
      <c r="PHZ78" s="137"/>
      <c r="PIA78" s="137"/>
      <c r="PIB78" s="137"/>
      <c r="PIC78" s="137"/>
      <c r="PID78" s="137"/>
      <c r="PIE78" s="137"/>
      <c r="PIF78" s="137"/>
      <c r="PIG78" s="137"/>
      <c r="PIH78" s="137"/>
      <c r="PII78" s="137"/>
      <c r="PIJ78" s="137"/>
      <c r="PIK78" s="137"/>
      <c r="PIL78" s="137"/>
      <c r="PIM78" s="137"/>
      <c r="PIN78" s="137"/>
      <c r="PIO78" s="137"/>
      <c r="PIP78" s="137"/>
      <c r="PIQ78" s="137"/>
      <c r="PIR78" s="137"/>
      <c r="PIS78" s="137"/>
      <c r="PIT78" s="137"/>
      <c r="PIU78" s="137"/>
      <c r="PIV78" s="137"/>
      <c r="PIW78" s="137"/>
      <c r="PIX78" s="137"/>
      <c r="PIY78" s="137"/>
      <c r="PIZ78" s="137"/>
      <c r="PJA78" s="137"/>
      <c r="PJB78" s="137"/>
      <c r="PJC78" s="137"/>
      <c r="PJD78" s="137"/>
      <c r="PJE78" s="137"/>
      <c r="PJF78" s="137"/>
      <c r="PJG78" s="137"/>
      <c r="PJH78" s="137"/>
      <c r="PJI78" s="137"/>
      <c r="PJJ78" s="137"/>
      <c r="PJK78" s="137"/>
      <c r="PJL78" s="137"/>
      <c r="PJM78" s="137"/>
      <c r="PJN78" s="137"/>
      <c r="PJO78" s="137"/>
      <c r="PJP78" s="137"/>
      <c r="PJQ78" s="137"/>
      <c r="PJR78" s="137"/>
      <c r="PJS78" s="137"/>
      <c r="PJT78" s="137"/>
      <c r="PJU78" s="137"/>
      <c r="PJV78" s="137"/>
      <c r="PJW78" s="137"/>
      <c r="PJX78" s="137"/>
      <c r="PJY78" s="137"/>
      <c r="PJZ78" s="137"/>
      <c r="PKA78" s="137"/>
      <c r="PKB78" s="137"/>
      <c r="PKC78" s="137"/>
      <c r="PKD78" s="137"/>
      <c r="PKE78" s="137"/>
      <c r="PKF78" s="137"/>
      <c r="PKG78" s="137"/>
      <c r="PKH78" s="137"/>
      <c r="PKI78" s="137"/>
      <c r="PKJ78" s="137"/>
      <c r="PKK78" s="137"/>
      <c r="PKL78" s="137"/>
      <c r="PKM78" s="137"/>
      <c r="PKN78" s="137"/>
      <c r="PKO78" s="137"/>
      <c r="PKP78" s="137"/>
      <c r="PKQ78" s="137"/>
      <c r="PKR78" s="137"/>
      <c r="PKS78" s="137"/>
      <c r="PKT78" s="137"/>
      <c r="PKU78" s="137"/>
      <c r="PKV78" s="137"/>
      <c r="PKW78" s="137"/>
      <c r="PKX78" s="137"/>
      <c r="PKY78" s="137"/>
      <c r="PKZ78" s="137"/>
      <c r="PLA78" s="137"/>
      <c r="PLB78" s="137"/>
      <c r="PLC78" s="137"/>
      <c r="PLD78" s="137"/>
      <c r="PLE78" s="137"/>
      <c r="PLF78" s="137"/>
      <c r="PLG78" s="137"/>
      <c r="PLH78" s="137"/>
      <c r="PLI78" s="137"/>
      <c r="PLJ78" s="137"/>
      <c r="PLK78" s="137"/>
      <c r="PLL78" s="137"/>
      <c r="PLM78" s="137"/>
      <c r="PLN78" s="137"/>
      <c r="PLO78" s="137"/>
      <c r="PLP78" s="137"/>
      <c r="PLQ78" s="137"/>
      <c r="PLR78" s="137"/>
      <c r="PLS78" s="137"/>
      <c r="PLT78" s="137"/>
      <c r="PLU78" s="137"/>
      <c r="PLV78" s="137"/>
      <c r="PLW78" s="137"/>
      <c r="PLX78" s="137"/>
      <c r="PLY78" s="137"/>
      <c r="PLZ78" s="137"/>
      <c r="PMA78" s="137"/>
      <c r="PMB78" s="137"/>
      <c r="PMC78" s="137"/>
      <c r="PMD78" s="137"/>
      <c r="PME78" s="137"/>
      <c r="PMF78" s="137"/>
      <c r="PMG78" s="137"/>
      <c r="PMH78" s="137"/>
      <c r="PMI78" s="137"/>
      <c r="PMJ78" s="137"/>
      <c r="PMK78" s="137"/>
      <c r="PML78" s="137"/>
      <c r="PMM78" s="137"/>
      <c r="PMN78" s="137"/>
      <c r="PMO78" s="137"/>
      <c r="PMP78" s="137"/>
      <c r="PMQ78" s="137"/>
      <c r="PMR78" s="137"/>
      <c r="PMS78" s="137"/>
      <c r="PMT78" s="137"/>
      <c r="PMU78" s="137"/>
      <c r="PMV78" s="137"/>
      <c r="PMW78" s="137"/>
      <c r="PMX78" s="137"/>
      <c r="PMY78" s="137"/>
      <c r="PMZ78" s="137"/>
      <c r="PNA78" s="137"/>
      <c r="PNB78" s="137"/>
      <c r="PNC78" s="137"/>
      <c r="PND78" s="137"/>
      <c r="PNE78" s="137"/>
      <c r="PNF78" s="137"/>
      <c r="PNG78" s="137"/>
      <c r="PNH78" s="137"/>
      <c r="PNI78" s="137"/>
      <c r="PNJ78" s="137"/>
      <c r="PNK78" s="137"/>
      <c r="PNL78" s="137"/>
      <c r="PNM78" s="137"/>
      <c r="PNN78" s="137"/>
      <c r="PNO78" s="137"/>
      <c r="PNP78" s="137"/>
      <c r="PNQ78" s="137"/>
      <c r="PNR78" s="137"/>
      <c r="PNS78" s="137"/>
      <c r="PNT78" s="137"/>
      <c r="PNU78" s="137"/>
      <c r="PNV78" s="137"/>
      <c r="PNW78" s="137"/>
      <c r="PNX78" s="137"/>
      <c r="PNY78" s="137"/>
      <c r="PNZ78" s="137"/>
      <c r="POA78" s="137"/>
      <c r="POB78" s="137"/>
      <c r="POC78" s="137"/>
      <c r="POD78" s="137"/>
      <c r="POE78" s="137"/>
      <c r="POF78" s="137"/>
      <c r="POG78" s="137"/>
      <c r="POH78" s="137"/>
      <c r="POI78" s="137"/>
      <c r="POJ78" s="137"/>
      <c r="POK78" s="137"/>
      <c r="POL78" s="137"/>
      <c r="POM78" s="137"/>
      <c r="PON78" s="137"/>
      <c r="POO78" s="137"/>
      <c r="POP78" s="137"/>
      <c r="POQ78" s="137"/>
      <c r="POR78" s="137"/>
      <c r="POS78" s="137"/>
      <c r="POT78" s="137"/>
      <c r="POU78" s="137"/>
      <c r="POV78" s="137"/>
      <c r="POW78" s="137"/>
      <c r="POX78" s="137"/>
      <c r="POY78" s="137"/>
      <c r="POZ78" s="137"/>
      <c r="PPA78" s="137"/>
      <c r="PPB78" s="137"/>
      <c r="PPC78" s="137"/>
      <c r="PPD78" s="137"/>
      <c r="PPE78" s="137"/>
      <c r="PPF78" s="137"/>
      <c r="PPG78" s="137"/>
      <c r="PPH78" s="137"/>
      <c r="PPI78" s="137"/>
      <c r="PPJ78" s="137"/>
      <c r="PPK78" s="137"/>
      <c r="PPL78" s="137"/>
      <c r="PPM78" s="137"/>
      <c r="PPN78" s="137"/>
      <c r="PPO78" s="137"/>
      <c r="PPP78" s="137"/>
      <c r="PPQ78" s="137"/>
      <c r="PPR78" s="137"/>
      <c r="PPS78" s="137"/>
      <c r="PPT78" s="137"/>
      <c r="PPU78" s="137"/>
      <c r="PPV78" s="137"/>
      <c r="PPW78" s="137"/>
      <c r="PPX78" s="137"/>
      <c r="PPY78" s="137"/>
      <c r="PPZ78" s="137"/>
      <c r="PQA78" s="137"/>
      <c r="PQB78" s="137"/>
      <c r="PQC78" s="137"/>
      <c r="PQD78" s="137"/>
      <c r="PQE78" s="137"/>
      <c r="PQF78" s="137"/>
      <c r="PQG78" s="137"/>
      <c r="PQH78" s="137"/>
      <c r="PQI78" s="137"/>
      <c r="PQJ78" s="137"/>
      <c r="PQK78" s="137"/>
      <c r="PQL78" s="137"/>
      <c r="PQM78" s="137"/>
      <c r="PQN78" s="137"/>
      <c r="PQO78" s="137"/>
      <c r="PQP78" s="137"/>
      <c r="PQQ78" s="137"/>
      <c r="PQR78" s="137"/>
      <c r="PQS78" s="137"/>
      <c r="PQT78" s="137"/>
      <c r="PQU78" s="137"/>
      <c r="PQV78" s="137"/>
      <c r="PQW78" s="137"/>
      <c r="PQX78" s="137"/>
      <c r="PQY78" s="137"/>
      <c r="PQZ78" s="137"/>
      <c r="PRA78" s="137"/>
      <c r="PRB78" s="137"/>
      <c r="PRC78" s="137"/>
      <c r="PRD78" s="137"/>
      <c r="PRE78" s="137"/>
      <c r="PRF78" s="137"/>
      <c r="PRG78" s="137"/>
      <c r="PRH78" s="137"/>
      <c r="PRI78" s="137"/>
      <c r="PRJ78" s="137"/>
      <c r="PRK78" s="137"/>
      <c r="PRL78" s="137"/>
      <c r="PRM78" s="137"/>
      <c r="PRN78" s="137"/>
      <c r="PRO78" s="137"/>
      <c r="PRP78" s="137"/>
      <c r="PRQ78" s="137"/>
      <c r="PRR78" s="137"/>
      <c r="PRS78" s="137"/>
      <c r="PRT78" s="137"/>
      <c r="PRU78" s="137"/>
      <c r="PRV78" s="137"/>
      <c r="PRW78" s="137"/>
      <c r="PRX78" s="137"/>
      <c r="PRY78" s="137"/>
      <c r="PRZ78" s="137"/>
      <c r="PSA78" s="137"/>
      <c r="PSB78" s="137"/>
      <c r="PSC78" s="137"/>
      <c r="PSD78" s="137"/>
      <c r="PSE78" s="137"/>
      <c r="PSF78" s="137"/>
      <c r="PSG78" s="137"/>
      <c r="PSH78" s="137"/>
      <c r="PSI78" s="137"/>
      <c r="PSJ78" s="137"/>
      <c r="PSK78" s="137"/>
      <c r="PSL78" s="137"/>
      <c r="PSM78" s="137"/>
      <c r="PSN78" s="137"/>
      <c r="PSO78" s="137"/>
      <c r="PSP78" s="137"/>
      <c r="PSQ78" s="137"/>
      <c r="PSR78" s="137"/>
      <c r="PSS78" s="137"/>
      <c r="PST78" s="137"/>
      <c r="PSU78" s="137"/>
      <c r="PSV78" s="137"/>
      <c r="PSW78" s="137"/>
      <c r="PSX78" s="137"/>
      <c r="PSY78" s="137"/>
      <c r="PSZ78" s="137"/>
      <c r="PTA78" s="137"/>
      <c r="PTB78" s="137"/>
      <c r="PTC78" s="137"/>
      <c r="PTD78" s="137"/>
      <c r="PTE78" s="137"/>
      <c r="PTF78" s="137"/>
      <c r="PTG78" s="137"/>
      <c r="PTH78" s="137"/>
      <c r="PTI78" s="137"/>
      <c r="PTJ78" s="137"/>
      <c r="PTK78" s="137"/>
      <c r="PTL78" s="137"/>
      <c r="PTM78" s="137"/>
      <c r="PTN78" s="137"/>
      <c r="PTO78" s="137"/>
      <c r="PTP78" s="137"/>
      <c r="PTQ78" s="137"/>
      <c r="PTR78" s="137"/>
      <c r="PTS78" s="137"/>
      <c r="PTT78" s="137"/>
      <c r="PTU78" s="137"/>
      <c r="PTV78" s="137"/>
      <c r="PTW78" s="137"/>
      <c r="PTX78" s="137"/>
      <c r="PTY78" s="137"/>
      <c r="PTZ78" s="137"/>
      <c r="PUA78" s="137"/>
      <c r="PUB78" s="137"/>
      <c r="PUC78" s="137"/>
      <c r="PUD78" s="137"/>
      <c r="PUE78" s="137"/>
      <c r="PUF78" s="137"/>
      <c r="PUG78" s="137"/>
      <c r="PUH78" s="137"/>
      <c r="PUI78" s="137"/>
      <c r="PUJ78" s="137"/>
      <c r="PUK78" s="137"/>
      <c r="PUL78" s="137"/>
      <c r="PUM78" s="137"/>
      <c r="PUN78" s="137"/>
      <c r="PUO78" s="137"/>
      <c r="PUP78" s="137"/>
      <c r="PUQ78" s="137"/>
      <c r="PUR78" s="137"/>
      <c r="PUS78" s="137"/>
      <c r="PUT78" s="137"/>
      <c r="PUU78" s="137"/>
      <c r="PUV78" s="137"/>
      <c r="PUW78" s="137"/>
      <c r="PUX78" s="137"/>
      <c r="PUY78" s="137"/>
      <c r="PUZ78" s="137"/>
      <c r="PVA78" s="137"/>
      <c r="PVB78" s="137"/>
      <c r="PVC78" s="137"/>
      <c r="PVD78" s="137"/>
      <c r="PVE78" s="137"/>
      <c r="PVF78" s="137"/>
      <c r="PVG78" s="137"/>
      <c r="PVH78" s="137"/>
      <c r="PVI78" s="137"/>
      <c r="PVJ78" s="137"/>
      <c r="PVK78" s="137"/>
      <c r="PVL78" s="137"/>
      <c r="PVM78" s="137"/>
      <c r="PVN78" s="137"/>
      <c r="PVO78" s="137"/>
      <c r="PVP78" s="137"/>
      <c r="PVQ78" s="137"/>
      <c r="PVR78" s="137"/>
      <c r="PVS78" s="137"/>
      <c r="PVT78" s="137"/>
      <c r="PVU78" s="137"/>
      <c r="PVV78" s="137"/>
      <c r="PVW78" s="137"/>
      <c r="PVX78" s="137"/>
      <c r="PVY78" s="137"/>
      <c r="PVZ78" s="137"/>
      <c r="PWA78" s="137"/>
      <c r="PWB78" s="137"/>
      <c r="PWC78" s="137"/>
      <c r="PWD78" s="137"/>
      <c r="PWE78" s="137"/>
      <c r="PWF78" s="137"/>
      <c r="PWG78" s="137"/>
      <c r="PWH78" s="137"/>
      <c r="PWI78" s="137"/>
      <c r="PWJ78" s="137"/>
      <c r="PWK78" s="137"/>
      <c r="PWL78" s="137"/>
      <c r="PWM78" s="137"/>
      <c r="PWN78" s="137"/>
      <c r="PWO78" s="137"/>
      <c r="PWP78" s="137"/>
      <c r="PWQ78" s="137"/>
      <c r="PWR78" s="137"/>
      <c r="PWS78" s="137"/>
      <c r="PWT78" s="137"/>
      <c r="PWU78" s="137"/>
      <c r="PWV78" s="137"/>
      <c r="PWW78" s="137"/>
      <c r="PWX78" s="137"/>
      <c r="PWY78" s="137"/>
      <c r="PWZ78" s="137"/>
      <c r="PXA78" s="137"/>
      <c r="PXB78" s="137"/>
      <c r="PXC78" s="137"/>
      <c r="PXD78" s="137"/>
      <c r="PXE78" s="137"/>
      <c r="PXF78" s="137"/>
      <c r="PXG78" s="137"/>
      <c r="PXH78" s="137"/>
      <c r="PXI78" s="137"/>
      <c r="PXJ78" s="137"/>
      <c r="PXK78" s="137"/>
      <c r="PXL78" s="137"/>
      <c r="PXM78" s="137"/>
      <c r="PXN78" s="137"/>
      <c r="PXO78" s="137"/>
      <c r="PXP78" s="137"/>
      <c r="PXQ78" s="137"/>
      <c r="PXR78" s="137"/>
      <c r="PXS78" s="137"/>
      <c r="PXT78" s="137"/>
      <c r="PXU78" s="137"/>
      <c r="PXV78" s="137"/>
      <c r="PXW78" s="137"/>
      <c r="PXX78" s="137"/>
      <c r="PXY78" s="137"/>
      <c r="PXZ78" s="137"/>
      <c r="PYA78" s="137"/>
      <c r="PYB78" s="137"/>
      <c r="PYC78" s="137"/>
      <c r="PYD78" s="137"/>
      <c r="PYE78" s="137"/>
      <c r="PYF78" s="137"/>
      <c r="PYG78" s="137"/>
      <c r="PYH78" s="137"/>
      <c r="PYI78" s="137"/>
      <c r="PYJ78" s="137"/>
      <c r="PYK78" s="137"/>
      <c r="PYL78" s="137"/>
      <c r="PYM78" s="137"/>
      <c r="PYN78" s="137"/>
      <c r="PYO78" s="137"/>
      <c r="PYP78" s="137"/>
      <c r="PYQ78" s="137"/>
      <c r="PYR78" s="137"/>
      <c r="PYS78" s="137"/>
      <c r="PYT78" s="137"/>
      <c r="PYU78" s="137"/>
      <c r="PYV78" s="137"/>
      <c r="PYW78" s="137"/>
      <c r="PYX78" s="137"/>
      <c r="PYY78" s="137"/>
      <c r="PYZ78" s="137"/>
      <c r="PZA78" s="137"/>
      <c r="PZB78" s="137"/>
      <c r="PZC78" s="137"/>
      <c r="PZD78" s="137"/>
      <c r="PZE78" s="137"/>
      <c r="PZF78" s="137"/>
      <c r="PZG78" s="137"/>
      <c r="PZH78" s="137"/>
      <c r="PZI78" s="137"/>
      <c r="PZJ78" s="137"/>
      <c r="PZK78" s="137"/>
      <c r="PZL78" s="137"/>
      <c r="PZM78" s="137"/>
      <c r="PZN78" s="137"/>
      <c r="PZO78" s="137"/>
      <c r="PZP78" s="137"/>
      <c r="PZQ78" s="137"/>
      <c r="PZR78" s="137"/>
      <c r="PZS78" s="137"/>
      <c r="PZT78" s="137"/>
      <c r="PZU78" s="137"/>
      <c r="PZV78" s="137"/>
      <c r="PZW78" s="137"/>
      <c r="PZX78" s="137"/>
      <c r="PZY78" s="137"/>
      <c r="PZZ78" s="137"/>
      <c r="QAA78" s="137"/>
      <c r="QAB78" s="137"/>
      <c r="QAC78" s="137"/>
      <c r="QAD78" s="137"/>
      <c r="QAE78" s="137"/>
      <c r="QAF78" s="137"/>
      <c r="QAG78" s="137"/>
      <c r="QAH78" s="137"/>
      <c r="QAI78" s="137"/>
      <c r="QAJ78" s="137"/>
      <c r="QAK78" s="137"/>
      <c r="QAL78" s="137"/>
      <c r="QAM78" s="137"/>
      <c r="QAN78" s="137"/>
      <c r="QAO78" s="137"/>
      <c r="QAP78" s="137"/>
      <c r="QAQ78" s="137"/>
      <c r="QAR78" s="137"/>
      <c r="QAS78" s="137"/>
      <c r="QAT78" s="137"/>
      <c r="QAU78" s="137"/>
      <c r="QAV78" s="137"/>
      <c r="QAW78" s="137"/>
      <c r="QAX78" s="137"/>
      <c r="QAY78" s="137"/>
      <c r="QAZ78" s="137"/>
      <c r="QBA78" s="137"/>
      <c r="QBB78" s="137"/>
      <c r="QBC78" s="137"/>
      <c r="QBD78" s="137"/>
      <c r="QBE78" s="137"/>
      <c r="QBF78" s="137"/>
      <c r="QBG78" s="137"/>
      <c r="QBH78" s="137"/>
      <c r="QBI78" s="137"/>
      <c r="QBJ78" s="137"/>
      <c r="QBK78" s="137"/>
      <c r="QBL78" s="137"/>
      <c r="QBM78" s="137"/>
      <c r="QBN78" s="137"/>
      <c r="QBO78" s="137"/>
      <c r="QBP78" s="137"/>
      <c r="QBQ78" s="137"/>
      <c r="QBR78" s="137"/>
      <c r="QBS78" s="137"/>
      <c r="QBT78" s="137"/>
      <c r="QBU78" s="137"/>
      <c r="QBV78" s="137"/>
      <c r="QBW78" s="137"/>
      <c r="QBX78" s="137"/>
      <c r="QBY78" s="137"/>
      <c r="QBZ78" s="137"/>
      <c r="QCA78" s="137"/>
      <c r="QCB78" s="137"/>
      <c r="QCC78" s="137"/>
      <c r="QCD78" s="137"/>
      <c r="QCE78" s="137"/>
      <c r="QCF78" s="137"/>
      <c r="QCG78" s="137"/>
      <c r="QCH78" s="137"/>
      <c r="QCI78" s="137"/>
      <c r="QCJ78" s="137"/>
      <c r="QCK78" s="137"/>
      <c r="QCL78" s="137"/>
      <c r="QCM78" s="137"/>
      <c r="QCN78" s="137"/>
      <c r="QCO78" s="137"/>
      <c r="QCP78" s="137"/>
      <c r="QCQ78" s="137"/>
      <c r="QCR78" s="137"/>
      <c r="QCS78" s="137"/>
      <c r="QCT78" s="137"/>
      <c r="QCU78" s="137"/>
      <c r="QCV78" s="137"/>
      <c r="QCW78" s="137"/>
      <c r="QCX78" s="137"/>
      <c r="QCY78" s="137"/>
      <c r="QCZ78" s="137"/>
      <c r="QDA78" s="137"/>
      <c r="QDB78" s="137"/>
      <c r="QDC78" s="137"/>
      <c r="QDD78" s="137"/>
      <c r="QDE78" s="137"/>
      <c r="QDF78" s="137"/>
      <c r="QDG78" s="137"/>
      <c r="QDH78" s="137"/>
      <c r="QDI78" s="137"/>
      <c r="QDJ78" s="137"/>
      <c r="QDK78" s="137"/>
      <c r="QDL78" s="137"/>
      <c r="QDM78" s="137"/>
      <c r="QDN78" s="137"/>
      <c r="QDO78" s="137"/>
      <c r="QDP78" s="137"/>
      <c r="QDQ78" s="137"/>
      <c r="QDR78" s="137"/>
      <c r="QDS78" s="137"/>
      <c r="QDT78" s="137"/>
      <c r="QDU78" s="137"/>
      <c r="QDV78" s="137"/>
      <c r="QDW78" s="137"/>
      <c r="QDX78" s="137"/>
      <c r="QDY78" s="137"/>
      <c r="QDZ78" s="137"/>
      <c r="QEA78" s="137"/>
      <c r="QEB78" s="137"/>
      <c r="QEC78" s="137"/>
      <c r="QED78" s="137"/>
      <c r="QEE78" s="137"/>
      <c r="QEF78" s="137"/>
      <c r="QEG78" s="137"/>
      <c r="QEH78" s="137"/>
      <c r="QEI78" s="137"/>
      <c r="QEJ78" s="137"/>
      <c r="QEK78" s="137"/>
      <c r="QEL78" s="137"/>
      <c r="QEM78" s="137"/>
      <c r="QEN78" s="137"/>
      <c r="QEO78" s="137"/>
      <c r="QEP78" s="137"/>
      <c r="QEQ78" s="137"/>
      <c r="QER78" s="137"/>
      <c r="QES78" s="137"/>
      <c r="QET78" s="137"/>
      <c r="QEU78" s="137"/>
      <c r="QEV78" s="137"/>
      <c r="QEW78" s="137"/>
      <c r="QEX78" s="137"/>
      <c r="QEY78" s="137"/>
      <c r="QEZ78" s="137"/>
      <c r="QFA78" s="137"/>
      <c r="QFB78" s="137"/>
      <c r="QFC78" s="137"/>
      <c r="QFD78" s="137"/>
      <c r="QFE78" s="137"/>
      <c r="QFF78" s="137"/>
      <c r="QFG78" s="137"/>
      <c r="QFH78" s="137"/>
      <c r="QFI78" s="137"/>
      <c r="QFJ78" s="137"/>
      <c r="QFK78" s="137"/>
      <c r="QFL78" s="137"/>
      <c r="QFM78" s="137"/>
      <c r="QFN78" s="137"/>
      <c r="QFO78" s="137"/>
      <c r="QFP78" s="137"/>
      <c r="QFQ78" s="137"/>
      <c r="QFR78" s="137"/>
      <c r="QFS78" s="137"/>
      <c r="QFT78" s="137"/>
      <c r="QFU78" s="137"/>
      <c r="QFV78" s="137"/>
      <c r="QFW78" s="137"/>
      <c r="QFX78" s="137"/>
      <c r="QFY78" s="137"/>
      <c r="QFZ78" s="137"/>
      <c r="QGA78" s="137"/>
      <c r="QGB78" s="137"/>
      <c r="QGC78" s="137"/>
      <c r="QGD78" s="137"/>
      <c r="QGE78" s="137"/>
      <c r="QGF78" s="137"/>
      <c r="QGG78" s="137"/>
      <c r="QGH78" s="137"/>
      <c r="QGI78" s="137"/>
      <c r="QGJ78" s="137"/>
      <c r="QGK78" s="137"/>
      <c r="QGL78" s="137"/>
      <c r="QGM78" s="137"/>
      <c r="QGN78" s="137"/>
      <c r="QGO78" s="137"/>
      <c r="QGP78" s="137"/>
      <c r="QGQ78" s="137"/>
      <c r="QGR78" s="137"/>
      <c r="QGS78" s="137"/>
      <c r="QGT78" s="137"/>
      <c r="QGU78" s="137"/>
      <c r="QGV78" s="137"/>
      <c r="QGW78" s="137"/>
      <c r="QGX78" s="137"/>
      <c r="QGY78" s="137"/>
      <c r="QGZ78" s="137"/>
      <c r="QHA78" s="137"/>
      <c r="QHB78" s="137"/>
      <c r="QHC78" s="137"/>
      <c r="QHD78" s="137"/>
      <c r="QHE78" s="137"/>
      <c r="QHF78" s="137"/>
      <c r="QHG78" s="137"/>
      <c r="QHH78" s="137"/>
      <c r="QHI78" s="137"/>
      <c r="QHJ78" s="137"/>
      <c r="QHK78" s="137"/>
      <c r="QHL78" s="137"/>
      <c r="QHM78" s="137"/>
      <c r="QHN78" s="137"/>
      <c r="QHO78" s="137"/>
      <c r="QHP78" s="137"/>
      <c r="QHQ78" s="137"/>
      <c r="QHR78" s="137"/>
      <c r="QHS78" s="137"/>
      <c r="QHT78" s="137"/>
      <c r="QHU78" s="137"/>
      <c r="QHV78" s="137"/>
      <c r="QHW78" s="137"/>
      <c r="QHX78" s="137"/>
      <c r="QHY78" s="137"/>
      <c r="QHZ78" s="137"/>
      <c r="QIA78" s="137"/>
      <c r="QIB78" s="137"/>
      <c r="QIC78" s="137"/>
      <c r="QID78" s="137"/>
      <c r="QIE78" s="137"/>
      <c r="QIF78" s="137"/>
      <c r="QIG78" s="137"/>
      <c r="QIH78" s="137"/>
      <c r="QII78" s="137"/>
      <c r="QIJ78" s="137"/>
      <c r="QIK78" s="137"/>
      <c r="QIL78" s="137"/>
      <c r="QIM78" s="137"/>
      <c r="QIN78" s="137"/>
      <c r="QIO78" s="137"/>
      <c r="QIP78" s="137"/>
      <c r="QIQ78" s="137"/>
      <c r="QIR78" s="137"/>
      <c r="QIS78" s="137"/>
      <c r="QIT78" s="137"/>
      <c r="QIU78" s="137"/>
      <c r="QIV78" s="137"/>
      <c r="QIW78" s="137"/>
      <c r="QIX78" s="137"/>
      <c r="QIY78" s="137"/>
      <c r="QIZ78" s="137"/>
      <c r="QJA78" s="137"/>
      <c r="QJB78" s="137"/>
      <c r="QJC78" s="137"/>
      <c r="QJD78" s="137"/>
      <c r="QJE78" s="137"/>
      <c r="QJF78" s="137"/>
      <c r="QJG78" s="137"/>
      <c r="QJH78" s="137"/>
      <c r="QJI78" s="137"/>
      <c r="QJJ78" s="137"/>
      <c r="QJK78" s="137"/>
      <c r="QJL78" s="137"/>
      <c r="QJM78" s="137"/>
      <c r="QJN78" s="137"/>
      <c r="QJO78" s="137"/>
      <c r="QJP78" s="137"/>
      <c r="QJQ78" s="137"/>
      <c r="QJR78" s="137"/>
      <c r="QJS78" s="137"/>
      <c r="QJT78" s="137"/>
      <c r="QJU78" s="137"/>
      <c r="QJV78" s="137"/>
      <c r="QJW78" s="137"/>
      <c r="QJX78" s="137"/>
      <c r="QJY78" s="137"/>
      <c r="QJZ78" s="137"/>
      <c r="QKA78" s="137"/>
      <c r="QKB78" s="137"/>
      <c r="QKC78" s="137"/>
      <c r="QKD78" s="137"/>
      <c r="QKE78" s="137"/>
      <c r="QKF78" s="137"/>
      <c r="QKG78" s="137"/>
      <c r="QKH78" s="137"/>
      <c r="QKI78" s="137"/>
      <c r="QKJ78" s="137"/>
      <c r="QKK78" s="137"/>
      <c r="QKL78" s="137"/>
      <c r="QKM78" s="137"/>
      <c r="QKN78" s="137"/>
      <c r="QKO78" s="137"/>
      <c r="QKP78" s="137"/>
      <c r="QKQ78" s="137"/>
      <c r="QKR78" s="137"/>
      <c r="QKS78" s="137"/>
      <c r="QKT78" s="137"/>
      <c r="QKU78" s="137"/>
      <c r="QKV78" s="137"/>
      <c r="QKW78" s="137"/>
      <c r="QKX78" s="137"/>
      <c r="QKY78" s="137"/>
      <c r="QKZ78" s="137"/>
      <c r="QLA78" s="137"/>
      <c r="QLB78" s="137"/>
      <c r="QLC78" s="137"/>
      <c r="QLD78" s="137"/>
      <c r="QLE78" s="137"/>
      <c r="QLF78" s="137"/>
      <c r="QLG78" s="137"/>
      <c r="QLH78" s="137"/>
      <c r="QLI78" s="137"/>
      <c r="QLJ78" s="137"/>
      <c r="QLK78" s="137"/>
      <c r="QLL78" s="137"/>
      <c r="QLM78" s="137"/>
      <c r="QLN78" s="137"/>
      <c r="QLO78" s="137"/>
      <c r="QLP78" s="137"/>
      <c r="QLQ78" s="137"/>
      <c r="QLR78" s="137"/>
      <c r="QLS78" s="137"/>
      <c r="QLT78" s="137"/>
      <c r="QLU78" s="137"/>
      <c r="QLV78" s="137"/>
      <c r="QLW78" s="137"/>
      <c r="QLX78" s="137"/>
      <c r="QLY78" s="137"/>
      <c r="QLZ78" s="137"/>
      <c r="QMA78" s="137"/>
      <c r="QMB78" s="137"/>
      <c r="QMC78" s="137"/>
      <c r="QMD78" s="137"/>
      <c r="QME78" s="137"/>
      <c r="QMF78" s="137"/>
      <c r="QMG78" s="137"/>
      <c r="QMH78" s="137"/>
      <c r="QMI78" s="137"/>
      <c r="QMJ78" s="137"/>
      <c r="QMK78" s="137"/>
      <c r="QML78" s="137"/>
      <c r="QMM78" s="137"/>
      <c r="QMN78" s="137"/>
      <c r="QMO78" s="137"/>
      <c r="QMP78" s="137"/>
      <c r="QMQ78" s="137"/>
      <c r="QMR78" s="137"/>
      <c r="QMS78" s="137"/>
      <c r="QMT78" s="137"/>
      <c r="QMU78" s="137"/>
      <c r="QMV78" s="137"/>
      <c r="QMW78" s="137"/>
      <c r="QMX78" s="137"/>
      <c r="QMY78" s="137"/>
      <c r="QMZ78" s="137"/>
      <c r="QNA78" s="137"/>
      <c r="QNB78" s="137"/>
      <c r="QNC78" s="137"/>
      <c r="QND78" s="137"/>
      <c r="QNE78" s="137"/>
      <c r="QNF78" s="137"/>
      <c r="QNG78" s="137"/>
      <c r="QNH78" s="137"/>
      <c r="QNI78" s="137"/>
      <c r="QNJ78" s="137"/>
      <c r="QNK78" s="137"/>
      <c r="QNL78" s="137"/>
      <c r="QNM78" s="137"/>
      <c r="QNN78" s="137"/>
      <c r="QNO78" s="137"/>
      <c r="QNP78" s="137"/>
      <c r="QNQ78" s="137"/>
      <c r="QNR78" s="137"/>
      <c r="QNS78" s="137"/>
      <c r="QNT78" s="137"/>
      <c r="QNU78" s="137"/>
      <c r="QNV78" s="137"/>
      <c r="QNW78" s="137"/>
      <c r="QNX78" s="137"/>
      <c r="QNY78" s="137"/>
      <c r="QNZ78" s="137"/>
      <c r="QOA78" s="137"/>
      <c r="QOB78" s="137"/>
      <c r="QOC78" s="137"/>
      <c r="QOD78" s="137"/>
      <c r="QOE78" s="137"/>
      <c r="QOF78" s="137"/>
      <c r="QOG78" s="137"/>
      <c r="QOH78" s="137"/>
      <c r="QOI78" s="137"/>
      <c r="QOJ78" s="137"/>
      <c r="QOK78" s="137"/>
      <c r="QOL78" s="137"/>
      <c r="QOM78" s="137"/>
      <c r="QON78" s="137"/>
      <c r="QOO78" s="137"/>
      <c r="QOP78" s="137"/>
      <c r="QOQ78" s="137"/>
      <c r="QOR78" s="137"/>
      <c r="QOS78" s="137"/>
      <c r="QOT78" s="137"/>
      <c r="QOU78" s="137"/>
      <c r="QOV78" s="137"/>
      <c r="QOW78" s="137"/>
      <c r="QOX78" s="137"/>
      <c r="QOY78" s="137"/>
      <c r="QOZ78" s="137"/>
      <c r="QPA78" s="137"/>
      <c r="QPB78" s="137"/>
      <c r="QPC78" s="137"/>
      <c r="QPD78" s="137"/>
      <c r="QPE78" s="137"/>
      <c r="QPF78" s="137"/>
      <c r="QPG78" s="137"/>
      <c r="QPH78" s="137"/>
      <c r="QPI78" s="137"/>
      <c r="QPJ78" s="137"/>
      <c r="QPK78" s="137"/>
      <c r="QPL78" s="137"/>
      <c r="QPM78" s="137"/>
      <c r="QPN78" s="137"/>
      <c r="QPO78" s="137"/>
      <c r="QPP78" s="137"/>
      <c r="QPQ78" s="137"/>
      <c r="QPR78" s="137"/>
      <c r="QPS78" s="137"/>
      <c r="QPT78" s="137"/>
      <c r="QPU78" s="137"/>
      <c r="QPV78" s="137"/>
      <c r="QPW78" s="137"/>
      <c r="QPX78" s="137"/>
      <c r="QPY78" s="137"/>
      <c r="QPZ78" s="137"/>
      <c r="QQA78" s="137"/>
      <c r="QQB78" s="137"/>
      <c r="QQC78" s="137"/>
      <c r="QQD78" s="137"/>
      <c r="QQE78" s="137"/>
      <c r="QQF78" s="137"/>
      <c r="QQG78" s="137"/>
      <c r="QQH78" s="137"/>
      <c r="QQI78" s="137"/>
      <c r="QQJ78" s="137"/>
      <c r="QQK78" s="137"/>
      <c r="QQL78" s="137"/>
      <c r="QQM78" s="137"/>
      <c r="QQN78" s="137"/>
      <c r="QQO78" s="137"/>
      <c r="QQP78" s="137"/>
      <c r="QQQ78" s="137"/>
      <c r="QQR78" s="137"/>
      <c r="QQS78" s="137"/>
      <c r="QQT78" s="137"/>
      <c r="QQU78" s="137"/>
      <c r="QQV78" s="137"/>
      <c r="QQW78" s="137"/>
      <c r="QQX78" s="137"/>
      <c r="QQY78" s="137"/>
      <c r="QQZ78" s="137"/>
      <c r="QRA78" s="137"/>
      <c r="QRB78" s="137"/>
      <c r="QRC78" s="137"/>
      <c r="QRD78" s="137"/>
      <c r="QRE78" s="137"/>
      <c r="QRF78" s="137"/>
      <c r="QRG78" s="137"/>
      <c r="QRH78" s="137"/>
      <c r="QRI78" s="137"/>
      <c r="QRJ78" s="137"/>
      <c r="QRK78" s="137"/>
      <c r="QRL78" s="137"/>
      <c r="QRM78" s="137"/>
      <c r="QRN78" s="137"/>
      <c r="QRO78" s="137"/>
      <c r="QRP78" s="137"/>
      <c r="QRQ78" s="137"/>
      <c r="QRR78" s="137"/>
      <c r="QRS78" s="137"/>
      <c r="QRT78" s="137"/>
      <c r="QRU78" s="137"/>
      <c r="QRV78" s="137"/>
      <c r="QRW78" s="137"/>
      <c r="QRX78" s="137"/>
      <c r="QRY78" s="137"/>
      <c r="QRZ78" s="137"/>
      <c r="QSA78" s="137"/>
      <c r="QSB78" s="137"/>
      <c r="QSC78" s="137"/>
      <c r="QSD78" s="137"/>
      <c r="QSE78" s="137"/>
      <c r="QSF78" s="137"/>
      <c r="QSG78" s="137"/>
      <c r="QSH78" s="137"/>
      <c r="QSI78" s="137"/>
      <c r="QSJ78" s="137"/>
      <c r="QSK78" s="137"/>
      <c r="QSL78" s="137"/>
      <c r="QSM78" s="137"/>
      <c r="QSN78" s="137"/>
      <c r="QSO78" s="137"/>
      <c r="QSP78" s="137"/>
      <c r="QSQ78" s="137"/>
      <c r="QSR78" s="137"/>
      <c r="QSS78" s="137"/>
      <c r="QST78" s="137"/>
      <c r="QSU78" s="137"/>
      <c r="QSV78" s="137"/>
      <c r="QSW78" s="137"/>
      <c r="QSX78" s="137"/>
      <c r="QSY78" s="137"/>
      <c r="QSZ78" s="137"/>
      <c r="QTA78" s="137"/>
      <c r="QTB78" s="137"/>
      <c r="QTC78" s="137"/>
      <c r="QTD78" s="137"/>
      <c r="QTE78" s="137"/>
      <c r="QTF78" s="137"/>
      <c r="QTG78" s="137"/>
      <c r="QTH78" s="137"/>
      <c r="QTI78" s="137"/>
      <c r="QTJ78" s="137"/>
      <c r="QTK78" s="137"/>
      <c r="QTL78" s="137"/>
      <c r="QTM78" s="137"/>
      <c r="QTN78" s="137"/>
      <c r="QTO78" s="137"/>
      <c r="QTP78" s="137"/>
      <c r="QTQ78" s="137"/>
      <c r="QTR78" s="137"/>
      <c r="QTS78" s="137"/>
      <c r="QTT78" s="137"/>
      <c r="QTU78" s="137"/>
      <c r="QTV78" s="137"/>
      <c r="QTW78" s="137"/>
      <c r="QTX78" s="137"/>
      <c r="QTY78" s="137"/>
      <c r="QTZ78" s="137"/>
      <c r="QUA78" s="137"/>
      <c r="QUB78" s="137"/>
      <c r="QUC78" s="137"/>
      <c r="QUD78" s="137"/>
      <c r="QUE78" s="137"/>
      <c r="QUF78" s="137"/>
      <c r="QUG78" s="137"/>
      <c r="QUH78" s="137"/>
      <c r="QUI78" s="137"/>
      <c r="QUJ78" s="137"/>
      <c r="QUK78" s="137"/>
      <c r="QUL78" s="137"/>
      <c r="QUM78" s="137"/>
      <c r="QUN78" s="137"/>
      <c r="QUO78" s="137"/>
      <c r="QUP78" s="137"/>
      <c r="QUQ78" s="137"/>
      <c r="QUR78" s="137"/>
      <c r="QUS78" s="137"/>
      <c r="QUT78" s="137"/>
      <c r="QUU78" s="137"/>
      <c r="QUV78" s="137"/>
      <c r="QUW78" s="137"/>
      <c r="QUX78" s="137"/>
      <c r="QUY78" s="137"/>
      <c r="QUZ78" s="137"/>
      <c r="QVA78" s="137"/>
      <c r="QVB78" s="137"/>
      <c r="QVC78" s="137"/>
      <c r="QVD78" s="137"/>
      <c r="QVE78" s="137"/>
      <c r="QVF78" s="137"/>
      <c r="QVG78" s="137"/>
      <c r="QVH78" s="137"/>
      <c r="QVI78" s="137"/>
      <c r="QVJ78" s="137"/>
      <c r="QVK78" s="137"/>
      <c r="QVL78" s="137"/>
      <c r="QVM78" s="137"/>
      <c r="QVN78" s="137"/>
      <c r="QVO78" s="137"/>
      <c r="QVP78" s="137"/>
      <c r="QVQ78" s="137"/>
      <c r="QVR78" s="137"/>
      <c r="QVS78" s="137"/>
      <c r="QVT78" s="137"/>
      <c r="QVU78" s="137"/>
      <c r="QVV78" s="137"/>
      <c r="QVW78" s="137"/>
      <c r="QVX78" s="137"/>
      <c r="QVY78" s="137"/>
      <c r="QVZ78" s="137"/>
      <c r="QWA78" s="137"/>
      <c r="QWB78" s="137"/>
      <c r="QWC78" s="137"/>
      <c r="QWD78" s="137"/>
      <c r="QWE78" s="137"/>
      <c r="QWF78" s="137"/>
      <c r="QWG78" s="137"/>
      <c r="QWH78" s="137"/>
      <c r="QWI78" s="137"/>
      <c r="QWJ78" s="137"/>
      <c r="QWK78" s="137"/>
      <c r="QWL78" s="137"/>
      <c r="QWM78" s="137"/>
      <c r="QWN78" s="137"/>
      <c r="QWO78" s="137"/>
      <c r="QWP78" s="137"/>
      <c r="QWQ78" s="137"/>
      <c r="QWR78" s="137"/>
      <c r="QWS78" s="137"/>
      <c r="QWT78" s="137"/>
      <c r="QWU78" s="137"/>
      <c r="QWV78" s="137"/>
      <c r="QWW78" s="137"/>
      <c r="QWX78" s="137"/>
      <c r="QWY78" s="137"/>
      <c r="QWZ78" s="137"/>
      <c r="QXA78" s="137"/>
      <c r="QXB78" s="137"/>
      <c r="QXC78" s="137"/>
      <c r="QXD78" s="137"/>
      <c r="QXE78" s="137"/>
      <c r="QXF78" s="137"/>
      <c r="QXG78" s="137"/>
      <c r="QXH78" s="137"/>
      <c r="QXI78" s="137"/>
      <c r="QXJ78" s="137"/>
      <c r="QXK78" s="137"/>
      <c r="QXL78" s="137"/>
      <c r="QXM78" s="137"/>
      <c r="QXN78" s="137"/>
      <c r="QXO78" s="137"/>
      <c r="QXP78" s="137"/>
      <c r="QXQ78" s="137"/>
      <c r="QXR78" s="137"/>
      <c r="QXS78" s="137"/>
      <c r="QXT78" s="137"/>
      <c r="QXU78" s="137"/>
      <c r="QXV78" s="137"/>
      <c r="QXW78" s="137"/>
      <c r="QXX78" s="137"/>
      <c r="QXY78" s="137"/>
      <c r="QXZ78" s="137"/>
      <c r="QYA78" s="137"/>
      <c r="QYB78" s="137"/>
      <c r="QYC78" s="137"/>
      <c r="QYD78" s="137"/>
      <c r="QYE78" s="137"/>
      <c r="QYF78" s="137"/>
      <c r="QYG78" s="137"/>
      <c r="QYH78" s="137"/>
      <c r="QYI78" s="137"/>
      <c r="QYJ78" s="137"/>
      <c r="QYK78" s="137"/>
      <c r="QYL78" s="137"/>
      <c r="QYM78" s="137"/>
      <c r="QYN78" s="137"/>
      <c r="QYO78" s="137"/>
      <c r="QYP78" s="137"/>
      <c r="QYQ78" s="137"/>
      <c r="QYR78" s="137"/>
      <c r="QYS78" s="137"/>
      <c r="QYT78" s="137"/>
      <c r="QYU78" s="137"/>
      <c r="QYV78" s="137"/>
      <c r="QYW78" s="137"/>
      <c r="QYX78" s="137"/>
      <c r="QYY78" s="137"/>
      <c r="QYZ78" s="137"/>
      <c r="QZA78" s="137"/>
      <c r="QZB78" s="137"/>
      <c r="QZC78" s="137"/>
      <c r="QZD78" s="137"/>
      <c r="QZE78" s="137"/>
      <c r="QZF78" s="137"/>
      <c r="QZG78" s="137"/>
      <c r="QZH78" s="137"/>
      <c r="QZI78" s="137"/>
      <c r="QZJ78" s="137"/>
      <c r="QZK78" s="137"/>
      <c r="QZL78" s="137"/>
      <c r="QZM78" s="137"/>
      <c r="QZN78" s="137"/>
      <c r="QZO78" s="137"/>
      <c r="QZP78" s="137"/>
      <c r="QZQ78" s="137"/>
      <c r="QZR78" s="137"/>
      <c r="QZS78" s="137"/>
      <c r="QZT78" s="137"/>
      <c r="QZU78" s="137"/>
      <c r="QZV78" s="137"/>
      <c r="QZW78" s="137"/>
      <c r="QZX78" s="137"/>
      <c r="QZY78" s="137"/>
      <c r="QZZ78" s="137"/>
      <c r="RAA78" s="137"/>
      <c r="RAB78" s="137"/>
      <c r="RAC78" s="137"/>
      <c r="RAD78" s="137"/>
      <c r="RAE78" s="137"/>
      <c r="RAF78" s="137"/>
      <c r="RAG78" s="137"/>
      <c r="RAH78" s="137"/>
      <c r="RAI78" s="137"/>
      <c r="RAJ78" s="137"/>
      <c r="RAK78" s="137"/>
      <c r="RAL78" s="137"/>
      <c r="RAM78" s="137"/>
      <c r="RAN78" s="137"/>
      <c r="RAO78" s="137"/>
      <c r="RAP78" s="137"/>
      <c r="RAQ78" s="137"/>
      <c r="RAR78" s="137"/>
      <c r="RAS78" s="137"/>
      <c r="RAT78" s="137"/>
      <c r="RAU78" s="137"/>
      <c r="RAV78" s="137"/>
      <c r="RAW78" s="137"/>
      <c r="RAX78" s="137"/>
      <c r="RAY78" s="137"/>
      <c r="RAZ78" s="137"/>
      <c r="RBA78" s="137"/>
      <c r="RBB78" s="137"/>
      <c r="RBC78" s="137"/>
      <c r="RBD78" s="137"/>
      <c r="RBE78" s="137"/>
      <c r="RBF78" s="137"/>
      <c r="RBG78" s="137"/>
      <c r="RBH78" s="137"/>
      <c r="RBI78" s="137"/>
      <c r="RBJ78" s="137"/>
      <c r="RBK78" s="137"/>
      <c r="RBL78" s="137"/>
      <c r="RBM78" s="137"/>
      <c r="RBN78" s="137"/>
      <c r="RBO78" s="137"/>
      <c r="RBP78" s="137"/>
      <c r="RBQ78" s="137"/>
      <c r="RBR78" s="137"/>
      <c r="RBS78" s="137"/>
      <c r="RBT78" s="137"/>
      <c r="RBU78" s="137"/>
      <c r="RBV78" s="137"/>
      <c r="RBW78" s="137"/>
      <c r="RBX78" s="137"/>
      <c r="RBY78" s="137"/>
      <c r="RBZ78" s="137"/>
      <c r="RCA78" s="137"/>
      <c r="RCB78" s="137"/>
      <c r="RCC78" s="137"/>
      <c r="RCD78" s="137"/>
      <c r="RCE78" s="137"/>
      <c r="RCF78" s="137"/>
      <c r="RCG78" s="137"/>
      <c r="RCH78" s="137"/>
      <c r="RCI78" s="137"/>
      <c r="RCJ78" s="137"/>
      <c r="RCK78" s="137"/>
      <c r="RCL78" s="137"/>
      <c r="RCM78" s="137"/>
      <c r="RCN78" s="137"/>
      <c r="RCO78" s="137"/>
      <c r="RCP78" s="137"/>
      <c r="RCQ78" s="137"/>
      <c r="RCR78" s="137"/>
      <c r="RCS78" s="137"/>
      <c r="RCT78" s="137"/>
      <c r="RCU78" s="137"/>
      <c r="RCV78" s="137"/>
      <c r="RCW78" s="137"/>
      <c r="RCX78" s="137"/>
      <c r="RCY78" s="137"/>
      <c r="RCZ78" s="137"/>
      <c r="RDA78" s="137"/>
      <c r="RDB78" s="137"/>
      <c r="RDC78" s="137"/>
      <c r="RDD78" s="137"/>
      <c r="RDE78" s="137"/>
      <c r="RDF78" s="137"/>
      <c r="RDG78" s="137"/>
      <c r="RDH78" s="137"/>
      <c r="RDI78" s="137"/>
      <c r="RDJ78" s="137"/>
      <c r="RDK78" s="137"/>
      <c r="RDL78" s="137"/>
      <c r="RDM78" s="137"/>
      <c r="RDN78" s="137"/>
      <c r="RDO78" s="137"/>
      <c r="RDP78" s="137"/>
      <c r="RDQ78" s="137"/>
      <c r="RDR78" s="137"/>
      <c r="RDS78" s="137"/>
      <c r="RDT78" s="137"/>
      <c r="RDU78" s="137"/>
      <c r="RDV78" s="137"/>
      <c r="RDW78" s="137"/>
      <c r="RDX78" s="137"/>
      <c r="RDY78" s="137"/>
      <c r="RDZ78" s="137"/>
      <c r="REA78" s="137"/>
      <c r="REB78" s="137"/>
      <c r="REC78" s="137"/>
      <c r="RED78" s="137"/>
      <c r="REE78" s="137"/>
      <c r="REF78" s="137"/>
      <c r="REG78" s="137"/>
      <c r="REH78" s="137"/>
      <c r="REI78" s="137"/>
      <c r="REJ78" s="137"/>
      <c r="REK78" s="137"/>
      <c r="REL78" s="137"/>
      <c r="REM78" s="137"/>
      <c r="REN78" s="137"/>
      <c r="REO78" s="137"/>
      <c r="REP78" s="137"/>
      <c r="REQ78" s="137"/>
      <c r="RER78" s="137"/>
      <c r="RES78" s="137"/>
      <c r="RET78" s="137"/>
      <c r="REU78" s="137"/>
      <c r="REV78" s="137"/>
      <c r="REW78" s="137"/>
      <c r="REX78" s="137"/>
      <c r="REY78" s="137"/>
      <c r="REZ78" s="137"/>
      <c r="RFA78" s="137"/>
      <c r="RFB78" s="137"/>
      <c r="RFC78" s="137"/>
      <c r="RFD78" s="137"/>
      <c r="RFE78" s="137"/>
      <c r="RFF78" s="137"/>
      <c r="RFG78" s="137"/>
      <c r="RFH78" s="137"/>
      <c r="RFI78" s="137"/>
      <c r="RFJ78" s="137"/>
      <c r="RFK78" s="137"/>
      <c r="RFL78" s="137"/>
      <c r="RFM78" s="137"/>
      <c r="RFN78" s="137"/>
      <c r="RFO78" s="137"/>
      <c r="RFP78" s="137"/>
      <c r="RFQ78" s="137"/>
      <c r="RFR78" s="137"/>
      <c r="RFS78" s="137"/>
      <c r="RFT78" s="137"/>
      <c r="RFU78" s="137"/>
      <c r="RFV78" s="137"/>
      <c r="RFW78" s="137"/>
      <c r="RFX78" s="137"/>
      <c r="RFY78" s="137"/>
      <c r="RFZ78" s="137"/>
      <c r="RGA78" s="137"/>
      <c r="RGB78" s="137"/>
      <c r="RGC78" s="137"/>
      <c r="RGD78" s="137"/>
      <c r="RGE78" s="137"/>
      <c r="RGF78" s="137"/>
      <c r="RGG78" s="137"/>
      <c r="RGH78" s="137"/>
      <c r="RGI78" s="137"/>
      <c r="RGJ78" s="137"/>
      <c r="RGK78" s="137"/>
      <c r="RGL78" s="137"/>
      <c r="RGM78" s="137"/>
      <c r="RGN78" s="137"/>
      <c r="RGO78" s="137"/>
      <c r="RGP78" s="137"/>
      <c r="RGQ78" s="137"/>
      <c r="RGR78" s="137"/>
      <c r="RGS78" s="137"/>
      <c r="RGT78" s="137"/>
      <c r="RGU78" s="137"/>
      <c r="RGV78" s="137"/>
      <c r="RGW78" s="137"/>
      <c r="RGX78" s="137"/>
      <c r="RGY78" s="137"/>
      <c r="RGZ78" s="137"/>
      <c r="RHA78" s="137"/>
      <c r="RHB78" s="137"/>
      <c r="RHC78" s="137"/>
      <c r="RHD78" s="137"/>
      <c r="RHE78" s="137"/>
      <c r="RHF78" s="137"/>
      <c r="RHG78" s="137"/>
      <c r="RHH78" s="137"/>
      <c r="RHI78" s="137"/>
      <c r="RHJ78" s="137"/>
      <c r="RHK78" s="137"/>
      <c r="RHL78" s="137"/>
      <c r="RHM78" s="137"/>
      <c r="RHN78" s="137"/>
      <c r="RHO78" s="137"/>
      <c r="RHP78" s="137"/>
      <c r="RHQ78" s="137"/>
      <c r="RHR78" s="137"/>
      <c r="RHS78" s="137"/>
      <c r="RHT78" s="137"/>
      <c r="RHU78" s="137"/>
      <c r="RHV78" s="137"/>
      <c r="RHW78" s="137"/>
      <c r="RHX78" s="137"/>
      <c r="RHY78" s="137"/>
      <c r="RHZ78" s="137"/>
      <c r="RIA78" s="137"/>
      <c r="RIB78" s="137"/>
      <c r="RIC78" s="137"/>
      <c r="RID78" s="137"/>
      <c r="RIE78" s="137"/>
      <c r="RIF78" s="137"/>
      <c r="RIG78" s="137"/>
      <c r="RIH78" s="137"/>
      <c r="RII78" s="137"/>
      <c r="RIJ78" s="137"/>
      <c r="RIK78" s="137"/>
      <c r="RIL78" s="137"/>
      <c r="RIM78" s="137"/>
      <c r="RIN78" s="137"/>
      <c r="RIO78" s="137"/>
      <c r="RIP78" s="137"/>
      <c r="RIQ78" s="137"/>
      <c r="RIR78" s="137"/>
      <c r="RIS78" s="137"/>
      <c r="RIT78" s="137"/>
      <c r="RIU78" s="137"/>
      <c r="RIV78" s="137"/>
      <c r="RIW78" s="137"/>
      <c r="RIX78" s="137"/>
      <c r="RIY78" s="137"/>
      <c r="RIZ78" s="137"/>
      <c r="RJA78" s="137"/>
      <c r="RJB78" s="137"/>
      <c r="RJC78" s="137"/>
      <c r="RJD78" s="137"/>
      <c r="RJE78" s="137"/>
      <c r="RJF78" s="137"/>
      <c r="RJG78" s="137"/>
      <c r="RJH78" s="137"/>
      <c r="RJI78" s="137"/>
      <c r="RJJ78" s="137"/>
      <c r="RJK78" s="137"/>
      <c r="RJL78" s="137"/>
      <c r="RJM78" s="137"/>
      <c r="RJN78" s="137"/>
      <c r="RJO78" s="137"/>
      <c r="RJP78" s="137"/>
      <c r="RJQ78" s="137"/>
      <c r="RJR78" s="137"/>
      <c r="RJS78" s="137"/>
      <c r="RJT78" s="137"/>
      <c r="RJU78" s="137"/>
      <c r="RJV78" s="137"/>
      <c r="RJW78" s="137"/>
      <c r="RJX78" s="137"/>
      <c r="RJY78" s="137"/>
      <c r="RJZ78" s="137"/>
      <c r="RKA78" s="137"/>
      <c r="RKB78" s="137"/>
      <c r="RKC78" s="137"/>
      <c r="RKD78" s="137"/>
      <c r="RKE78" s="137"/>
      <c r="RKF78" s="137"/>
      <c r="RKG78" s="137"/>
      <c r="RKH78" s="137"/>
      <c r="RKI78" s="137"/>
      <c r="RKJ78" s="137"/>
      <c r="RKK78" s="137"/>
      <c r="RKL78" s="137"/>
      <c r="RKM78" s="137"/>
      <c r="RKN78" s="137"/>
      <c r="RKO78" s="137"/>
      <c r="RKP78" s="137"/>
      <c r="RKQ78" s="137"/>
      <c r="RKR78" s="137"/>
      <c r="RKS78" s="137"/>
      <c r="RKT78" s="137"/>
      <c r="RKU78" s="137"/>
      <c r="RKV78" s="137"/>
      <c r="RKW78" s="137"/>
      <c r="RKX78" s="137"/>
      <c r="RKY78" s="137"/>
      <c r="RKZ78" s="137"/>
      <c r="RLA78" s="137"/>
      <c r="RLB78" s="137"/>
      <c r="RLC78" s="137"/>
      <c r="RLD78" s="137"/>
      <c r="RLE78" s="137"/>
      <c r="RLF78" s="137"/>
      <c r="RLG78" s="137"/>
      <c r="RLH78" s="137"/>
      <c r="RLI78" s="137"/>
      <c r="RLJ78" s="137"/>
      <c r="RLK78" s="137"/>
      <c r="RLL78" s="137"/>
      <c r="RLM78" s="137"/>
      <c r="RLN78" s="137"/>
      <c r="RLO78" s="137"/>
      <c r="RLP78" s="137"/>
      <c r="RLQ78" s="137"/>
      <c r="RLR78" s="137"/>
      <c r="RLS78" s="137"/>
      <c r="RLT78" s="137"/>
      <c r="RLU78" s="137"/>
      <c r="RLV78" s="137"/>
      <c r="RLW78" s="137"/>
      <c r="RLX78" s="137"/>
      <c r="RLY78" s="137"/>
      <c r="RLZ78" s="137"/>
      <c r="RMA78" s="137"/>
      <c r="RMB78" s="137"/>
      <c r="RMC78" s="137"/>
      <c r="RMD78" s="137"/>
      <c r="RME78" s="137"/>
      <c r="RMF78" s="137"/>
      <c r="RMG78" s="137"/>
      <c r="RMH78" s="137"/>
      <c r="RMI78" s="137"/>
      <c r="RMJ78" s="137"/>
      <c r="RMK78" s="137"/>
      <c r="RML78" s="137"/>
      <c r="RMM78" s="137"/>
      <c r="RMN78" s="137"/>
      <c r="RMO78" s="137"/>
      <c r="RMP78" s="137"/>
      <c r="RMQ78" s="137"/>
      <c r="RMR78" s="137"/>
      <c r="RMS78" s="137"/>
      <c r="RMT78" s="137"/>
      <c r="RMU78" s="137"/>
      <c r="RMV78" s="137"/>
      <c r="RMW78" s="137"/>
      <c r="RMX78" s="137"/>
      <c r="RMY78" s="137"/>
      <c r="RMZ78" s="137"/>
      <c r="RNA78" s="137"/>
      <c r="RNB78" s="137"/>
      <c r="RNC78" s="137"/>
      <c r="RND78" s="137"/>
      <c r="RNE78" s="137"/>
      <c r="RNF78" s="137"/>
      <c r="RNG78" s="137"/>
      <c r="RNH78" s="137"/>
      <c r="RNI78" s="137"/>
      <c r="RNJ78" s="137"/>
      <c r="RNK78" s="137"/>
      <c r="RNL78" s="137"/>
      <c r="RNM78" s="137"/>
      <c r="RNN78" s="137"/>
      <c r="RNO78" s="137"/>
      <c r="RNP78" s="137"/>
      <c r="RNQ78" s="137"/>
      <c r="RNR78" s="137"/>
      <c r="RNS78" s="137"/>
      <c r="RNT78" s="137"/>
      <c r="RNU78" s="137"/>
      <c r="RNV78" s="137"/>
      <c r="RNW78" s="137"/>
      <c r="RNX78" s="137"/>
      <c r="RNY78" s="137"/>
      <c r="RNZ78" s="137"/>
      <c r="ROA78" s="137"/>
      <c r="ROB78" s="137"/>
      <c r="ROC78" s="137"/>
      <c r="ROD78" s="137"/>
      <c r="ROE78" s="137"/>
      <c r="ROF78" s="137"/>
      <c r="ROG78" s="137"/>
      <c r="ROH78" s="137"/>
      <c r="ROI78" s="137"/>
      <c r="ROJ78" s="137"/>
      <c r="ROK78" s="137"/>
      <c r="ROL78" s="137"/>
      <c r="ROM78" s="137"/>
      <c r="RON78" s="137"/>
      <c r="ROO78" s="137"/>
      <c r="ROP78" s="137"/>
      <c r="ROQ78" s="137"/>
      <c r="ROR78" s="137"/>
      <c r="ROS78" s="137"/>
      <c r="ROT78" s="137"/>
      <c r="ROU78" s="137"/>
      <c r="ROV78" s="137"/>
      <c r="ROW78" s="137"/>
      <c r="ROX78" s="137"/>
      <c r="ROY78" s="137"/>
      <c r="ROZ78" s="137"/>
      <c r="RPA78" s="137"/>
      <c r="RPB78" s="137"/>
      <c r="RPC78" s="137"/>
      <c r="RPD78" s="137"/>
      <c r="RPE78" s="137"/>
      <c r="RPF78" s="137"/>
      <c r="RPG78" s="137"/>
      <c r="RPH78" s="137"/>
      <c r="RPI78" s="137"/>
      <c r="RPJ78" s="137"/>
      <c r="RPK78" s="137"/>
      <c r="RPL78" s="137"/>
      <c r="RPM78" s="137"/>
      <c r="RPN78" s="137"/>
      <c r="RPO78" s="137"/>
      <c r="RPP78" s="137"/>
      <c r="RPQ78" s="137"/>
      <c r="RPR78" s="137"/>
      <c r="RPS78" s="137"/>
      <c r="RPT78" s="137"/>
      <c r="RPU78" s="137"/>
      <c r="RPV78" s="137"/>
      <c r="RPW78" s="137"/>
      <c r="RPX78" s="137"/>
      <c r="RPY78" s="137"/>
      <c r="RPZ78" s="137"/>
      <c r="RQA78" s="137"/>
      <c r="RQB78" s="137"/>
      <c r="RQC78" s="137"/>
      <c r="RQD78" s="137"/>
      <c r="RQE78" s="137"/>
      <c r="RQF78" s="137"/>
      <c r="RQG78" s="137"/>
      <c r="RQH78" s="137"/>
      <c r="RQI78" s="137"/>
      <c r="RQJ78" s="137"/>
      <c r="RQK78" s="137"/>
      <c r="RQL78" s="137"/>
      <c r="RQM78" s="137"/>
      <c r="RQN78" s="137"/>
      <c r="RQO78" s="137"/>
      <c r="RQP78" s="137"/>
      <c r="RQQ78" s="137"/>
      <c r="RQR78" s="137"/>
      <c r="RQS78" s="137"/>
      <c r="RQT78" s="137"/>
      <c r="RQU78" s="137"/>
      <c r="RQV78" s="137"/>
      <c r="RQW78" s="137"/>
      <c r="RQX78" s="137"/>
      <c r="RQY78" s="137"/>
      <c r="RQZ78" s="137"/>
      <c r="RRA78" s="137"/>
      <c r="RRB78" s="137"/>
      <c r="RRC78" s="137"/>
      <c r="RRD78" s="137"/>
      <c r="RRE78" s="137"/>
      <c r="RRF78" s="137"/>
      <c r="RRG78" s="137"/>
      <c r="RRH78" s="137"/>
      <c r="RRI78" s="137"/>
      <c r="RRJ78" s="137"/>
      <c r="RRK78" s="137"/>
      <c r="RRL78" s="137"/>
      <c r="RRM78" s="137"/>
      <c r="RRN78" s="137"/>
      <c r="RRO78" s="137"/>
      <c r="RRP78" s="137"/>
      <c r="RRQ78" s="137"/>
      <c r="RRR78" s="137"/>
      <c r="RRS78" s="137"/>
      <c r="RRT78" s="137"/>
      <c r="RRU78" s="137"/>
      <c r="RRV78" s="137"/>
      <c r="RRW78" s="137"/>
      <c r="RRX78" s="137"/>
      <c r="RRY78" s="137"/>
      <c r="RRZ78" s="137"/>
      <c r="RSA78" s="137"/>
      <c r="RSB78" s="137"/>
      <c r="RSC78" s="137"/>
      <c r="RSD78" s="137"/>
      <c r="RSE78" s="137"/>
      <c r="RSF78" s="137"/>
      <c r="RSG78" s="137"/>
      <c r="RSH78" s="137"/>
      <c r="RSI78" s="137"/>
      <c r="RSJ78" s="137"/>
      <c r="RSK78" s="137"/>
      <c r="RSL78" s="137"/>
      <c r="RSM78" s="137"/>
      <c r="RSN78" s="137"/>
      <c r="RSO78" s="137"/>
      <c r="RSP78" s="137"/>
      <c r="RSQ78" s="137"/>
      <c r="RSR78" s="137"/>
      <c r="RSS78" s="137"/>
      <c r="RST78" s="137"/>
      <c r="RSU78" s="137"/>
      <c r="RSV78" s="137"/>
      <c r="RSW78" s="137"/>
      <c r="RSX78" s="137"/>
      <c r="RSY78" s="137"/>
      <c r="RSZ78" s="137"/>
      <c r="RTA78" s="137"/>
      <c r="RTB78" s="137"/>
      <c r="RTC78" s="137"/>
      <c r="RTD78" s="137"/>
      <c r="RTE78" s="137"/>
      <c r="RTF78" s="137"/>
      <c r="RTG78" s="137"/>
      <c r="RTH78" s="137"/>
      <c r="RTI78" s="137"/>
      <c r="RTJ78" s="137"/>
      <c r="RTK78" s="137"/>
      <c r="RTL78" s="137"/>
      <c r="RTM78" s="137"/>
      <c r="RTN78" s="137"/>
      <c r="RTO78" s="137"/>
      <c r="RTP78" s="137"/>
      <c r="RTQ78" s="137"/>
      <c r="RTR78" s="137"/>
      <c r="RTS78" s="137"/>
      <c r="RTT78" s="137"/>
      <c r="RTU78" s="137"/>
      <c r="RTV78" s="137"/>
      <c r="RTW78" s="137"/>
      <c r="RTX78" s="137"/>
      <c r="RTY78" s="137"/>
      <c r="RTZ78" s="137"/>
      <c r="RUA78" s="137"/>
      <c r="RUB78" s="137"/>
      <c r="RUC78" s="137"/>
      <c r="RUD78" s="137"/>
      <c r="RUE78" s="137"/>
      <c r="RUF78" s="137"/>
      <c r="RUG78" s="137"/>
      <c r="RUH78" s="137"/>
      <c r="RUI78" s="137"/>
      <c r="RUJ78" s="137"/>
      <c r="RUK78" s="137"/>
      <c r="RUL78" s="137"/>
      <c r="RUM78" s="137"/>
      <c r="RUN78" s="137"/>
      <c r="RUO78" s="137"/>
      <c r="RUP78" s="137"/>
      <c r="RUQ78" s="137"/>
      <c r="RUR78" s="137"/>
      <c r="RUS78" s="137"/>
      <c r="RUT78" s="137"/>
      <c r="RUU78" s="137"/>
      <c r="RUV78" s="137"/>
      <c r="RUW78" s="137"/>
      <c r="RUX78" s="137"/>
      <c r="RUY78" s="137"/>
      <c r="RUZ78" s="137"/>
      <c r="RVA78" s="137"/>
      <c r="RVB78" s="137"/>
      <c r="RVC78" s="137"/>
      <c r="RVD78" s="137"/>
      <c r="RVE78" s="137"/>
      <c r="RVF78" s="137"/>
      <c r="RVG78" s="137"/>
      <c r="RVH78" s="137"/>
      <c r="RVI78" s="137"/>
      <c r="RVJ78" s="137"/>
      <c r="RVK78" s="137"/>
      <c r="RVL78" s="137"/>
      <c r="RVM78" s="137"/>
      <c r="RVN78" s="137"/>
      <c r="RVO78" s="137"/>
      <c r="RVP78" s="137"/>
      <c r="RVQ78" s="137"/>
      <c r="RVR78" s="137"/>
      <c r="RVS78" s="137"/>
      <c r="RVT78" s="137"/>
      <c r="RVU78" s="137"/>
      <c r="RVV78" s="137"/>
      <c r="RVW78" s="137"/>
      <c r="RVX78" s="137"/>
      <c r="RVY78" s="137"/>
      <c r="RVZ78" s="137"/>
      <c r="RWA78" s="137"/>
      <c r="RWB78" s="137"/>
      <c r="RWC78" s="137"/>
      <c r="RWD78" s="137"/>
      <c r="RWE78" s="137"/>
      <c r="RWF78" s="137"/>
      <c r="RWG78" s="137"/>
      <c r="RWH78" s="137"/>
      <c r="RWI78" s="137"/>
      <c r="RWJ78" s="137"/>
      <c r="RWK78" s="137"/>
      <c r="RWL78" s="137"/>
      <c r="RWM78" s="137"/>
      <c r="RWN78" s="137"/>
      <c r="RWO78" s="137"/>
      <c r="RWP78" s="137"/>
      <c r="RWQ78" s="137"/>
      <c r="RWR78" s="137"/>
      <c r="RWS78" s="137"/>
      <c r="RWT78" s="137"/>
      <c r="RWU78" s="137"/>
      <c r="RWV78" s="137"/>
      <c r="RWW78" s="137"/>
      <c r="RWX78" s="137"/>
      <c r="RWY78" s="137"/>
      <c r="RWZ78" s="137"/>
      <c r="RXA78" s="137"/>
      <c r="RXB78" s="137"/>
      <c r="RXC78" s="137"/>
      <c r="RXD78" s="137"/>
      <c r="RXE78" s="137"/>
      <c r="RXF78" s="137"/>
      <c r="RXG78" s="137"/>
      <c r="RXH78" s="137"/>
      <c r="RXI78" s="137"/>
      <c r="RXJ78" s="137"/>
      <c r="RXK78" s="137"/>
      <c r="RXL78" s="137"/>
      <c r="RXM78" s="137"/>
      <c r="RXN78" s="137"/>
      <c r="RXO78" s="137"/>
      <c r="RXP78" s="137"/>
      <c r="RXQ78" s="137"/>
      <c r="RXR78" s="137"/>
      <c r="RXS78" s="137"/>
      <c r="RXT78" s="137"/>
      <c r="RXU78" s="137"/>
      <c r="RXV78" s="137"/>
      <c r="RXW78" s="137"/>
      <c r="RXX78" s="137"/>
      <c r="RXY78" s="137"/>
      <c r="RXZ78" s="137"/>
      <c r="RYA78" s="137"/>
      <c r="RYB78" s="137"/>
      <c r="RYC78" s="137"/>
      <c r="RYD78" s="137"/>
      <c r="RYE78" s="137"/>
      <c r="RYF78" s="137"/>
      <c r="RYG78" s="137"/>
      <c r="RYH78" s="137"/>
      <c r="RYI78" s="137"/>
      <c r="RYJ78" s="137"/>
      <c r="RYK78" s="137"/>
      <c r="RYL78" s="137"/>
      <c r="RYM78" s="137"/>
      <c r="RYN78" s="137"/>
      <c r="RYO78" s="137"/>
      <c r="RYP78" s="137"/>
      <c r="RYQ78" s="137"/>
      <c r="RYR78" s="137"/>
      <c r="RYS78" s="137"/>
      <c r="RYT78" s="137"/>
      <c r="RYU78" s="137"/>
      <c r="RYV78" s="137"/>
      <c r="RYW78" s="137"/>
      <c r="RYX78" s="137"/>
      <c r="RYY78" s="137"/>
      <c r="RYZ78" s="137"/>
      <c r="RZA78" s="137"/>
      <c r="RZB78" s="137"/>
      <c r="RZC78" s="137"/>
      <c r="RZD78" s="137"/>
      <c r="RZE78" s="137"/>
      <c r="RZF78" s="137"/>
      <c r="RZG78" s="137"/>
      <c r="RZH78" s="137"/>
      <c r="RZI78" s="137"/>
      <c r="RZJ78" s="137"/>
      <c r="RZK78" s="137"/>
      <c r="RZL78" s="137"/>
      <c r="RZM78" s="137"/>
      <c r="RZN78" s="137"/>
      <c r="RZO78" s="137"/>
      <c r="RZP78" s="137"/>
      <c r="RZQ78" s="137"/>
      <c r="RZR78" s="137"/>
      <c r="RZS78" s="137"/>
      <c r="RZT78" s="137"/>
      <c r="RZU78" s="137"/>
      <c r="RZV78" s="137"/>
      <c r="RZW78" s="137"/>
      <c r="RZX78" s="137"/>
      <c r="RZY78" s="137"/>
      <c r="RZZ78" s="137"/>
      <c r="SAA78" s="137"/>
      <c r="SAB78" s="137"/>
      <c r="SAC78" s="137"/>
      <c r="SAD78" s="137"/>
      <c r="SAE78" s="137"/>
      <c r="SAF78" s="137"/>
      <c r="SAG78" s="137"/>
      <c r="SAH78" s="137"/>
      <c r="SAI78" s="137"/>
      <c r="SAJ78" s="137"/>
      <c r="SAK78" s="137"/>
      <c r="SAL78" s="137"/>
      <c r="SAM78" s="137"/>
      <c r="SAN78" s="137"/>
      <c r="SAO78" s="137"/>
      <c r="SAP78" s="137"/>
      <c r="SAQ78" s="137"/>
      <c r="SAR78" s="137"/>
      <c r="SAS78" s="137"/>
      <c r="SAT78" s="137"/>
      <c r="SAU78" s="137"/>
      <c r="SAV78" s="137"/>
      <c r="SAW78" s="137"/>
      <c r="SAX78" s="137"/>
      <c r="SAY78" s="137"/>
      <c r="SAZ78" s="137"/>
      <c r="SBA78" s="137"/>
      <c r="SBB78" s="137"/>
      <c r="SBC78" s="137"/>
      <c r="SBD78" s="137"/>
      <c r="SBE78" s="137"/>
      <c r="SBF78" s="137"/>
      <c r="SBG78" s="137"/>
      <c r="SBH78" s="137"/>
      <c r="SBI78" s="137"/>
      <c r="SBJ78" s="137"/>
      <c r="SBK78" s="137"/>
      <c r="SBL78" s="137"/>
      <c r="SBM78" s="137"/>
      <c r="SBN78" s="137"/>
      <c r="SBO78" s="137"/>
      <c r="SBP78" s="137"/>
      <c r="SBQ78" s="137"/>
      <c r="SBR78" s="137"/>
      <c r="SBS78" s="137"/>
      <c r="SBT78" s="137"/>
      <c r="SBU78" s="137"/>
      <c r="SBV78" s="137"/>
      <c r="SBW78" s="137"/>
      <c r="SBX78" s="137"/>
      <c r="SBY78" s="137"/>
      <c r="SBZ78" s="137"/>
      <c r="SCA78" s="137"/>
      <c r="SCB78" s="137"/>
      <c r="SCC78" s="137"/>
      <c r="SCD78" s="137"/>
      <c r="SCE78" s="137"/>
      <c r="SCF78" s="137"/>
      <c r="SCG78" s="137"/>
      <c r="SCH78" s="137"/>
      <c r="SCI78" s="137"/>
      <c r="SCJ78" s="137"/>
      <c r="SCK78" s="137"/>
      <c r="SCL78" s="137"/>
      <c r="SCM78" s="137"/>
      <c r="SCN78" s="137"/>
      <c r="SCO78" s="137"/>
      <c r="SCP78" s="137"/>
      <c r="SCQ78" s="137"/>
      <c r="SCR78" s="137"/>
      <c r="SCS78" s="137"/>
      <c r="SCT78" s="137"/>
      <c r="SCU78" s="137"/>
      <c r="SCV78" s="137"/>
      <c r="SCW78" s="137"/>
      <c r="SCX78" s="137"/>
      <c r="SCY78" s="137"/>
      <c r="SCZ78" s="137"/>
      <c r="SDA78" s="137"/>
      <c r="SDB78" s="137"/>
      <c r="SDC78" s="137"/>
      <c r="SDD78" s="137"/>
      <c r="SDE78" s="137"/>
      <c r="SDF78" s="137"/>
      <c r="SDG78" s="137"/>
      <c r="SDH78" s="137"/>
      <c r="SDI78" s="137"/>
      <c r="SDJ78" s="137"/>
      <c r="SDK78" s="137"/>
      <c r="SDL78" s="137"/>
      <c r="SDM78" s="137"/>
      <c r="SDN78" s="137"/>
      <c r="SDO78" s="137"/>
      <c r="SDP78" s="137"/>
      <c r="SDQ78" s="137"/>
      <c r="SDR78" s="137"/>
      <c r="SDS78" s="137"/>
      <c r="SDT78" s="137"/>
      <c r="SDU78" s="137"/>
      <c r="SDV78" s="137"/>
      <c r="SDW78" s="137"/>
      <c r="SDX78" s="137"/>
      <c r="SDY78" s="137"/>
      <c r="SDZ78" s="137"/>
      <c r="SEA78" s="137"/>
      <c r="SEB78" s="137"/>
      <c r="SEC78" s="137"/>
      <c r="SED78" s="137"/>
      <c r="SEE78" s="137"/>
      <c r="SEF78" s="137"/>
      <c r="SEG78" s="137"/>
      <c r="SEH78" s="137"/>
      <c r="SEI78" s="137"/>
      <c r="SEJ78" s="137"/>
      <c r="SEK78" s="137"/>
      <c r="SEL78" s="137"/>
      <c r="SEM78" s="137"/>
      <c r="SEN78" s="137"/>
      <c r="SEO78" s="137"/>
      <c r="SEP78" s="137"/>
      <c r="SEQ78" s="137"/>
      <c r="SER78" s="137"/>
      <c r="SES78" s="137"/>
      <c r="SET78" s="137"/>
      <c r="SEU78" s="137"/>
      <c r="SEV78" s="137"/>
      <c r="SEW78" s="137"/>
      <c r="SEX78" s="137"/>
      <c r="SEY78" s="137"/>
      <c r="SEZ78" s="137"/>
      <c r="SFA78" s="137"/>
      <c r="SFB78" s="137"/>
      <c r="SFC78" s="137"/>
      <c r="SFD78" s="137"/>
      <c r="SFE78" s="137"/>
      <c r="SFF78" s="137"/>
      <c r="SFG78" s="137"/>
      <c r="SFH78" s="137"/>
      <c r="SFI78" s="137"/>
      <c r="SFJ78" s="137"/>
      <c r="SFK78" s="137"/>
      <c r="SFL78" s="137"/>
      <c r="SFM78" s="137"/>
      <c r="SFN78" s="137"/>
      <c r="SFO78" s="137"/>
      <c r="SFP78" s="137"/>
      <c r="SFQ78" s="137"/>
      <c r="SFR78" s="137"/>
      <c r="SFS78" s="137"/>
      <c r="SFT78" s="137"/>
      <c r="SFU78" s="137"/>
      <c r="SFV78" s="137"/>
      <c r="SFW78" s="137"/>
      <c r="SFX78" s="137"/>
      <c r="SFY78" s="137"/>
      <c r="SFZ78" s="137"/>
      <c r="SGA78" s="137"/>
      <c r="SGB78" s="137"/>
      <c r="SGC78" s="137"/>
      <c r="SGD78" s="137"/>
      <c r="SGE78" s="137"/>
      <c r="SGF78" s="137"/>
      <c r="SGG78" s="137"/>
      <c r="SGH78" s="137"/>
      <c r="SGI78" s="137"/>
      <c r="SGJ78" s="137"/>
      <c r="SGK78" s="137"/>
      <c r="SGL78" s="137"/>
      <c r="SGM78" s="137"/>
      <c r="SGN78" s="137"/>
      <c r="SGO78" s="137"/>
      <c r="SGP78" s="137"/>
      <c r="SGQ78" s="137"/>
      <c r="SGR78" s="137"/>
      <c r="SGS78" s="137"/>
      <c r="SGT78" s="137"/>
      <c r="SGU78" s="137"/>
      <c r="SGV78" s="137"/>
      <c r="SGW78" s="137"/>
      <c r="SGX78" s="137"/>
      <c r="SGY78" s="137"/>
      <c r="SGZ78" s="137"/>
      <c r="SHA78" s="137"/>
      <c r="SHB78" s="137"/>
      <c r="SHC78" s="137"/>
      <c r="SHD78" s="137"/>
      <c r="SHE78" s="137"/>
      <c r="SHF78" s="137"/>
      <c r="SHG78" s="137"/>
      <c r="SHH78" s="137"/>
      <c r="SHI78" s="137"/>
      <c r="SHJ78" s="137"/>
      <c r="SHK78" s="137"/>
      <c r="SHL78" s="137"/>
      <c r="SHM78" s="137"/>
      <c r="SHN78" s="137"/>
      <c r="SHO78" s="137"/>
      <c r="SHP78" s="137"/>
      <c r="SHQ78" s="137"/>
      <c r="SHR78" s="137"/>
      <c r="SHS78" s="137"/>
      <c r="SHT78" s="137"/>
      <c r="SHU78" s="137"/>
      <c r="SHV78" s="137"/>
      <c r="SHW78" s="137"/>
      <c r="SHX78" s="137"/>
      <c r="SHY78" s="137"/>
      <c r="SHZ78" s="137"/>
      <c r="SIA78" s="137"/>
      <c r="SIB78" s="137"/>
      <c r="SIC78" s="137"/>
      <c r="SID78" s="137"/>
      <c r="SIE78" s="137"/>
      <c r="SIF78" s="137"/>
      <c r="SIG78" s="137"/>
      <c r="SIH78" s="137"/>
      <c r="SII78" s="137"/>
      <c r="SIJ78" s="137"/>
      <c r="SIK78" s="137"/>
      <c r="SIL78" s="137"/>
      <c r="SIM78" s="137"/>
      <c r="SIN78" s="137"/>
      <c r="SIO78" s="137"/>
      <c r="SIP78" s="137"/>
      <c r="SIQ78" s="137"/>
      <c r="SIR78" s="137"/>
      <c r="SIS78" s="137"/>
      <c r="SIT78" s="137"/>
      <c r="SIU78" s="137"/>
      <c r="SIV78" s="137"/>
      <c r="SIW78" s="137"/>
      <c r="SIX78" s="137"/>
      <c r="SIY78" s="137"/>
      <c r="SIZ78" s="137"/>
      <c r="SJA78" s="137"/>
      <c r="SJB78" s="137"/>
      <c r="SJC78" s="137"/>
      <c r="SJD78" s="137"/>
      <c r="SJE78" s="137"/>
      <c r="SJF78" s="137"/>
      <c r="SJG78" s="137"/>
      <c r="SJH78" s="137"/>
      <c r="SJI78" s="137"/>
      <c r="SJJ78" s="137"/>
      <c r="SJK78" s="137"/>
      <c r="SJL78" s="137"/>
      <c r="SJM78" s="137"/>
      <c r="SJN78" s="137"/>
      <c r="SJO78" s="137"/>
      <c r="SJP78" s="137"/>
      <c r="SJQ78" s="137"/>
      <c r="SJR78" s="137"/>
      <c r="SJS78" s="137"/>
      <c r="SJT78" s="137"/>
      <c r="SJU78" s="137"/>
      <c r="SJV78" s="137"/>
      <c r="SJW78" s="137"/>
      <c r="SJX78" s="137"/>
      <c r="SJY78" s="137"/>
      <c r="SJZ78" s="137"/>
      <c r="SKA78" s="137"/>
      <c r="SKB78" s="137"/>
      <c r="SKC78" s="137"/>
      <c r="SKD78" s="137"/>
      <c r="SKE78" s="137"/>
      <c r="SKF78" s="137"/>
      <c r="SKG78" s="137"/>
      <c r="SKH78" s="137"/>
      <c r="SKI78" s="137"/>
      <c r="SKJ78" s="137"/>
      <c r="SKK78" s="137"/>
      <c r="SKL78" s="137"/>
      <c r="SKM78" s="137"/>
      <c r="SKN78" s="137"/>
      <c r="SKO78" s="137"/>
      <c r="SKP78" s="137"/>
      <c r="SKQ78" s="137"/>
      <c r="SKR78" s="137"/>
      <c r="SKS78" s="137"/>
      <c r="SKT78" s="137"/>
      <c r="SKU78" s="137"/>
      <c r="SKV78" s="137"/>
      <c r="SKW78" s="137"/>
      <c r="SKX78" s="137"/>
      <c r="SKY78" s="137"/>
      <c r="SKZ78" s="137"/>
      <c r="SLA78" s="137"/>
      <c r="SLB78" s="137"/>
      <c r="SLC78" s="137"/>
      <c r="SLD78" s="137"/>
      <c r="SLE78" s="137"/>
      <c r="SLF78" s="137"/>
      <c r="SLG78" s="137"/>
      <c r="SLH78" s="137"/>
      <c r="SLI78" s="137"/>
      <c r="SLJ78" s="137"/>
      <c r="SLK78" s="137"/>
      <c r="SLL78" s="137"/>
      <c r="SLM78" s="137"/>
      <c r="SLN78" s="137"/>
      <c r="SLO78" s="137"/>
      <c r="SLP78" s="137"/>
      <c r="SLQ78" s="137"/>
      <c r="SLR78" s="137"/>
      <c r="SLS78" s="137"/>
      <c r="SLT78" s="137"/>
      <c r="SLU78" s="137"/>
      <c r="SLV78" s="137"/>
      <c r="SLW78" s="137"/>
      <c r="SLX78" s="137"/>
      <c r="SLY78" s="137"/>
      <c r="SLZ78" s="137"/>
      <c r="SMA78" s="137"/>
      <c r="SMB78" s="137"/>
      <c r="SMC78" s="137"/>
      <c r="SMD78" s="137"/>
      <c r="SME78" s="137"/>
      <c r="SMF78" s="137"/>
      <c r="SMG78" s="137"/>
      <c r="SMH78" s="137"/>
      <c r="SMI78" s="137"/>
      <c r="SMJ78" s="137"/>
      <c r="SMK78" s="137"/>
      <c r="SML78" s="137"/>
      <c r="SMM78" s="137"/>
      <c r="SMN78" s="137"/>
      <c r="SMO78" s="137"/>
      <c r="SMP78" s="137"/>
      <c r="SMQ78" s="137"/>
      <c r="SMR78" s="137"/>
      <c r="SMS78" s="137"/>
      <c r="SMT78" s="137"/>
      <c r="SMU78" s="137"/>
      <c r="SMV78" s="137"/>
      <c r="SMW78" s="137"/>
      <c r="SMX78" s="137"/>
      <c r="SMY78" s="137"/>
      <c r="SMZ78" s="137"/>
      <c r="SNA78" s="137"/>
      <c r="SNB78" s="137"/>
      <c r="SNC78" s="137"/>
      <c r="SND78" s="137"/>
      <c r="SNE78" s="137"/>
      <c r="SNF78" s="137"/>
      <c r="SNG78" s="137"/>
      <c r="SNH78" s="137"/>
      <c r="SNI78" s="137"/>
      <c r="SNJ78" s="137"/>
      <c r="SNK78" s="137"/>
      <c r="SNL78" s="137"/>
      <c r="SNM78" s="137"/>
      <c r="SNN78" s="137"/>
      <c r="SNO78" s="137"/>
      <c r="SNP78" s="137"/>
      <c r="SNQ78" s="137"/>
      <c r="SNR78" s="137"/>
      <c r="SNS78" s="137"/>
      <c r="SNT78" s="137"/>
      <c r="SNU78" s="137"/>
      <c r="SNV78" s="137"/>
      <c r="SNW78" s="137"/>
      <c r="SNX78" s="137"/>
      <c r="SNY78" s="137"/>
      <c r="SNZ78" s="137"/>
      <c r="SOA78" s="137"/>
      <c r="SOB78" s="137"/>
      <c r="SOC78" s="137"/>
      <c r="SOD78" s="137"/>
      <c r="SOE78" s="137"/>
      <c r="SOF78" s="137"/>
      <c r="SOG78" s="137"/>
      <c r="SOH78" s="137"/>
      <c r="SOI78" s="137"/>
      <c r="SOJ78" s="137"/>
      <c r="SOK78" s="137"/>
      <c r="SOL78" s="137"/>
      <c r="SOM78" s="137"/>
      <c r="SON78" s="137"/>
      <c r="SOO78" s="137"/>
      <c r="SOP78" s="137"/>
      <c r="SOQ78" s="137"/>
      <c r="SOR78" s="137"/>
      <c r="SOS78" s="137"/>
      <c r="SOT78" s="137"/>
      <c r="SOU78" s="137"/>
      <c r="SOV78" s="137"/>
      <c r="SOW78" s="137"/>
      <c r="SOX78" s="137"/>
      <c r="SOY78" s="137"/>
      <c r="SOZ78" s="137"/>
      <c r="SPA78" s="137"/>
      <c r="SPB78" s="137"/>
      <c r="SPC78" s="137"/>
      <c r="SPD78" s="137"/>
      <c r="SPE78" s="137"/>
      <c r="SPF78" s="137"/>
      <c r="SPG78" s="137"/>
      <c r="SPH78" s="137"/>
      <c r="SPI78" s="137"/>
      <c r="SPJ78" s="137"/>
      <c r="SPK78" s="137"/>
      <c r="SPL78" s="137"/>
      <c r="SPM78" s="137"/>
      <c r="SPN78" s="137"/>
      <c r="SPO78" s="137"/>
      <c r="SPP78" s="137"/>
      <c r="SPQ78" s="137"/>
      <c r="SPR78" s="137"/>
      <c r="SPS78" s="137"/>
      <c r="SPT78" s="137"/>
      <c r="SPU78" s="137"/>
      <c r="SPV78" s="137"/>
      <c r="SPW78" s="137"/>
      <c r="SPX78" s="137"/>
      <c r="SPY78" s="137"/>
      <c r="SPZ78" s="137"/>
      <c r="SQA78" s="137"/>
      <c r="SQB78" s="137"/>
      <c r="SQC78" s="137"/>
      <c r="SQD78" s="137"/>
      <c r="SQE78" s="137"/>
      <c r="SQF78" s="137"/>
      <c r="SQG78" s="137"/>
      <c r="SQH78" s="137"/>
      <c r="SQI78" s="137"/>
      <c r="SQJ78" s="137"/>
      <c r="SQK78" s="137"/>
      <c r="SQL78" s="137"/>
      <c r="SQM78" s="137"/>
      <c r="SQN78" s="137"/>
      <c r="SQO78" s="137"/>
      <c r="SQP78" s="137"/>
      <c r="SQQ78" s="137"/>
      <c r="SQR78" s="137"/>
      <c r="SQS78" s="137"/>
      <c r="SQT78" s="137"/>
      <c r="SQU78" s="137"/>
      <c r="SQV78" s="137"/>
      <c r="SQW78" s="137"/>
      <c r="SQX78" s="137"/>
      <c r="SQY78" s="137"/>
      <c r="SQZ78" s="137"/>
      <c r="SRA78" s="137"/>
      <c r="SRB78" s="137"/>
      <c r="SRC78" s="137"/>
      <c r="SRD78" s="137"/>
      <c r="SRE78" s="137"/>
      <c r="SRF78" s="137"/>
      <c r="SRG78" s="137"/>
      <c r="SRH78" s="137"/>
      <c r="SRI78" s="137"/>
      <c r="SRJ78" s="137"/>
      <c r="SRK78" s="137"/>
      <c r="SRL78" s="137"/>
      <c r="SRM78" s="137"/>
      <c r="SRN78" s="137"/>
      <c r="SRO78" s="137"/>
      <c r="SRP78" s="137"/>
      <c r="SRQ78" s="137"/>
      <c r="SRR78" s="137"/>
      <c r="SRS78" s="137"/>
      <c r="SRT78" s="137"/>
      <c r="SRU78" s="137"/>
      <c r="SRV78" s="137"/>
      <c r="SRW78" s="137"/>
      <c r="SRX78" s="137"/>
      <c r="SRY78" s="137"/>
      <c r="SRZ78" s="137"/>
      <c r="SSA78" s="137"/>
      <c r="SSB78" s="137"/>
      <c r="SSC78" s="137"/>
      <c r="SSD78" s="137"/>
      <c r="SSE78" s="137"/>
      <c r="SSF78" s="137"/>
      <c r="SSG78" s="137"/>
      <c r="SSH78" s="137"/>
      <c r="SSI78" s="137"/>
      <c r="SSJ78" s="137"/>
      <c r="SSK78" s="137"/>
      <c r="SSL78" s="137"/>
      <c r="SSM78" s="137"/>
      <c r="SSN78" s="137"/>
      <c r="SSO78" s="137"/>
      <c r="SSP78" s="137"/>
      <c r="SSQ78" s="137"/>
      <c r="SSR78" s="137"/>
      <c r="SSS78" s="137"/>
      <c r="SST78" s="137"/>
      <c r="SSU78" s="137"/>
      <c r="SSV78" s="137"/>
      <c r="SSW78" s="137"/>
      <c r="SSX78" s="137"/>
      <c r="SSY78" s="137"/>
      <c r="SSZ78" s="137"/>
      <c r="STA78" s="137"/>
      <c r="STB78" s="137"/>
      <c r="STC78" s="137"/>
      <c r="STD78" s="137"/>
      <c r="STE78" s="137"/>
      <c r="STF78" s="137"/>
      <c r="STG78" s="137"/>
      <c r="STH78" s="137"/>
      <c r="STI78" s="137"/>
      <c r="STJ78" s="137"/>
      <c r="STK78" s="137"/>
      <c r="STL78" s="137"/>
      <c r="STM78" s="137"/>
      <c r="STN78" s="137"/>
      <c r="STO78" s="137"/>
      <c r="STP78" s="137"/>
      <c r="STQ78" s="137"/>
      <c r="STR78" s="137"/>
      <c r="STS78" s="137"/>
      <c r="STT78" s="137"/>
      <c r="STU78" s="137"/>
      <c r="STV78" s="137"/>
      <c r="STW78" s="137"/>
      <c r="STX78" s="137"/>
      <c r="STY78" s="137"/>
      <c r="STZ78" s="137"/>
      <c r="SUA78" s="137"/>
      <c r="SUB78" s="137"/>
      <c r="SUC78" s="137"/>
      <c r="SUD78" s="137"/>
      <c r="SUE78" s="137"/>
      <c r="SUF78" s="137"/>
      <c r="SUG78" s="137"/>
      <c r="SUH78" s="137"/>
      <c r="SUI78" s="137"/>
      <c r="SUJ78" s="137"/>
      <c r="SUK78" s="137"/>
      <c r="SUL78" s="137"/>
      <c r="SUM78" s="137"/>
      <c r="SUN78" s="137"/>
      <c r="SUO78" s="137"/>
      <c r="SUP78" s="137"/>
      <c r="SUQ78" s="137"/>
      <c r="SUR78" s="137"/>
      <c r="SUS78" s="137"/>
      <c r="SUT78" s="137"/>
      <c r="SUU78" s="137"/>
      <c r="SUV78" s="137"/>
      <c r="SUW78" s="137"/>
      <c r="SUX78" s="137"/>
      <c r="SUY78" s="137"/>
      <c r="SUZ78" s="137"/>
      <c r="SVA78" s="137"/>
      <c r="SVB78" s="137"/>
      <c r="SVC78" s="137"/>
      <c r="SVD78" s="137"/>
      <c r="SVE78" s="137"/>
      <c r="SVF78" s="137"/>
      <c r="SVG78" s="137"/>
      <c r="SVH78" s="137"/>
      <c r="SVI78" s="137"/>
      <c r="SVJ78" s="137"/>
      <c r="SVK78" s="137"/>
      <c r="SVL78" s="137"/>
      <c r="SVM78" s="137"/>
      <c r="SVN78" s="137"/>
      <c r="SVO78" s="137"/>
      <c r="SVP78" s="137"/>
      <c r="SVQ78" s="137"/>
      <c r="SVR78" s="137"/>
      <c r="SVS78" s="137"/>
      <c r="SVT78" s="137"/>
      <c r="SVU78" s="137"/>
      <c r="SVV78" s="137"/>
      <c r="SVW78" s="137"/>
      <c r="SVX78" s="137"/>
      <c r="SVY78" s="137"/>
      <c r="SVZ78" s="137"/>
      <c r="SWA78" s="137"/>
      <c r="SWB78" s="137"/>
      <c r="SWC78" s="137"/>
      <c r="SWD78" s="137"/>
      <c r="SWE78" s="137"/>
      <c r="SWF78" s="137"/>
      <c r="SWG78" s="137"/>
      <c r="SWH78" s="137"/>
      <c r="SWI78" s="137"/>
      <c r="SWJ78" s="137"/>
      <c r="SWK78" s="137"/>
      <c r="SWL78" s="137"/>
      <c r="SWM78" s="137"/>
      <c r="SWN78" s="137"/>
      <c r="SWO78" s="137"/>
      <c r="SWP78" s="137"/>
      <c r="SWQ78" s="137"/>
      <c r="SWR78" s="137"/>
      <c r="SWS78" s="137"/>
      <c r="SWT78" s="137"/>
      <c r="SWU78" s="137"/>
      <c r="SWV78" s="137"/>
      <c r="SWW78" s="137"/>
      <c r="SWX78" s="137"/>
      <c r="SWY78" s="137"/>
      <c r="SWZ78" s="137"/>
      <c r="SXA78" s="137"/>
      <c r="SXB78" s="137"/>
      <c r="SXC78" s="137"/>
      <c r="SXD78" s="137"/>
      <c r="SXE78" s="137"/>
      <c r="SXF78" s="137"/>
      <c r="SXG78" s="137"/>
      <c r="SXH78" s="137"/>
      <c r="SXI78" s="137"/>
      <c r="SXJ78" s="137"/>
      <c r="SXK78" s="137"/>
      <c r="SXL78" s="137"/>
      <c r="SXM78" s="137"/>
      <c r="SXN78" s="137"/>
      <c r="SXO78" s="137"/>
      <c r="SXP78" s="137"/>
      <c r="SXQ78" s="137"/>
      <c r="SXR78" s="137"/>
      <c r="SXS78" s="137"/>
      <c r="SXT78" s="137"/>
      <c r="SXU78" s="137"/>
      <c r="SXV78" s="137"/>
      <c r="SXW78" s="137"/>
      <c r="SXX78" s="137"/>
      <c r="SXY78" s="137"/>
      <c r="SXZ78" s="137"/>
      <c r="SYA78" s="137"/>
      <c r="SYB78" s="137"/>
      <c r="SYC78" s="137"/>
      <c r="SYD78" s="137"/>
      <c r="SYE78" s="137"/>
      <c r="SYF78" s="137"/>
      <c r="SYG78" s="137"/>
      <c r="SYH78" s="137"/>
      <c r="SYI78" s="137"/>
      <c r="SYJ78" s="137"/>
      <c r="SYK78" s="137"/>
      <c r="SYL78" s="137"/>
      <c r="SYM78" s="137"/>
      <c r="SYN78" s="137"/>
      <c r="SYO78" s="137"/>
      <c r="SYP78" s="137"/>
      <c r="SYQ78" s="137"/>
      <c r="SYR78" s="137"/>
      <c r="SYS78" s="137"/>
      <c r="SYT78" s="137"/>
      <c r="SYU78" s="137"/>
      <c r="SYV78" s="137"/>
      <c r="SYW78" s="137"/>
      <c r="SYX78" s="137"/>
      <c r="SYY78" s="137"/>
      <c r="SYZ78" s="137"/>
      <c r="SZA78" s="137"/>
      <c r="SZB78" s="137"/>
      <c r="SZC78" s="137"/>
      <c r="SZD78" s="137"/>
      <c r="SZE78" s="137"/>
      <c r="SZF78" s="137"/>
      <c r="SZG78" s="137"/>
      <c r="SZH78" s="137"/>
      <c r="SZI78" s="137"/>
      <c r="SZJ78" s="137"/>
      <c r="SZK78" s="137"/>
      <c r="SZL78" s="137"/>
      <c r="SZM78" s="137"/>
      <c r="SZN78" s="137"/>
      <c r="SZO78" s="137"/>
      <c r="SZP78" s="137"/>
      <c r="SZQ78" s="137"/>
      <c r="SZR78" s="137"/>
      <c r="SZS78" s="137"/>
      <c r="SZT78" s="137"/>
      <c r="SZU78" s="137"/>
      <c r="SZV78" s="137"/>
      <c r="SZW78" s="137"/>
      <c r="SZX78" s="137"/>
      <c r="SZY78" s="137"/>
      <c r="SZZ78" s="137"/>
      <c r="TAA78" s="137"/>
      <c r="TAB78" s="137"/>
      <c r="TAC78" s="137"/>
      <c r="TAD78" s="137"/>
      <c r="TAE78" s="137"/>
      <c r="TAF78" s="137"/>
      <c r="TAG78" s="137"/>
      <c r="TAH78" s="137"/>
      <c r="TAI78" s="137"/>
      <c r="TAJ78" s="137"/>
      <c r="TAK78" s="137"/>
      <c r="TAL78" s="137"/>
      <c r="TAM78" s="137"/>
      <c r="TAN78" s="137"/>
      <c r="TAO78" s="137"/>
      <c r="TAP78" s="137"/>
      <c r="TAQ78" s="137"/>
      <c r="TAR78" s="137"/>
      <c r="TAS78" s="137"/>
      <c r="TAT78" s="137"/>
      <c r="TAU78" s="137"/>
      <c r="TAV78" s="137"/>
      <c r="TAW78" s="137"/>
      <c r="TAX78" s="137"/>
      <c r="TAY78" s="137"/>
      <c r="TAZ78" s="137"/>
      <c r="TBA78" s="137"/>
      <c r="TBB78" s="137"/>
      <c r="TBC78" s="137"/>
      <c r="TBD78" s="137"/>
      <c r="TBE78" s="137"/>
      <c r="TBF78" s="137"/>
      <c r="TBG78" s="137"/>
      <c r="TBH78" s="137"/>
      <c r="TBI78" s="137"/>
      <c r="TBJ78" s="137"/>
      <c r="TBK78" s="137"/>
      <c r="TBL78" s="137"/>
      <c r="TBM78" s="137"/>
      <c r="TBN78" s="137"/>
      <c r="TBO78" s="137"/>
      <c r="TBP78" s="137"/>
      <c r="TBQ78" s="137"/>
      <c r="TBR78" s="137"/>
      <c r="TBS78" s="137"/>
      <c r="TBT78" s="137"/>
      <c r="TBU78" s="137"/>
      <c r="TBV78" s="137"/>
      <c r="TBW78" s="137"/>
      <c r="TBX78" s="137"/>
      <c r="TBY78" s="137"/>
      <c r="TBZ78" s="137"/>
      <c r="TCA78" s="137"/>
      <c r="TCB78" s="137"/>
      <c r="TCC78" s="137"/>
      <c r="TCD78" s="137"/>
      <c r="TCE78" s="137"/>
      <c r="TCF78" s="137"/>
      <c r="TCG78" s="137"/>
      <c r="TCH78" s="137"/>
      <c r="TCI78" s="137"/>
      <c r="TCJ78" s="137"/>
      <c r="TCK78" s="137"/>
      <c r="TCL78" s="137"/>
      <c r="TCM78" s="137"/>
      <c r="TCN78" s="137"/>
      <c r="TCO78" s="137"/>
      <c r="TCP78" s="137"/>
      <c r="TCQ78" s="137"/>
      <c r="TCR78" s="137"/>
      <c r="TCS78" s="137"/>
      <c r="TCT78" s="137"/>
      <c r="TCU78" s="137"/>
      <c r="TCV78" s="137"/>
      <c r="TCW78" s="137"/>
      <c r="TCX78" s="137"/>
      <c r="TCY78" s="137"/>
      <c r="TCZ78" s="137"/>
      <c r="TDA78" s="137"/>
      <c r="TDB78" s="137"/>
      <c r="TDC78" s="137"/>
      <c r="TDD78" s="137"/>
      <c r="TDE78" s="137"/>
      <c r="TDF78" s="137"/>
      <c r="TDG78" s="137"/>
      <c r="TDH78" s="137"/>
      <c r="TDI78" s="137"/>
      <c r="TDJ78" s="137"/>
      <c r="TDK78" s="137"/>
      <c r="TDL78" s="137"/>
      <c r="TDM78" s="137"/>
      <c r="TDN78" s="137"/>
      <c r="TDO78" s="137"/>
      <c r="TDP78" s="137"/>
      <c r="TDQ78" s="137"/>
      <c r="TDR78" s="137"/>
      <c r="TDS78" s="137"/>
      <c r="TDT78" s="137"/>
      <c r="TDU78" s="137"/>
      <c r="TDV78" s="137"/>
      <c r="TDW78" s="137"/>
      <c r="TDX78" s="137"/>
      <c r="TDY78" s="137"/>
      <c r="TDZ78" s="137"/>
      <c r="TEA78" s="137"/>
      <c r="TEB78" s="137"/>
      <c r="TEC78" s="137"/>
      <c r="TED78" s="137"/>
      <c r="TEE78" s="137"/>
      <c r="TEF78" s="137"/>
      <c r="TEG78" s="137"/>
      <c r="TEH78" s="137"/>
      <c r="TEI78" s="137"/>
      <c r="TEJ78" s="137"/>
      <c r="TEK78" s="137"/>
      <c r="TEL78" s="137"/>
      <c r="TEM78" s="137"/>
      <c r="TEN78" s="137"/>
      <c r="TEO78" s="137"/>
      <c r="TEP78" s="137"/>
      <c r="TEQ78" s="137"/>
      <c r="TER78" s="137"/>
      <c r="TES78" s="137"/>
      <c r="TET78" s="137"/>
      <c r="TEU78" s="137"/>
      <c r="TEV78" s="137"/>
      <c r="TEW78" s="137"/>
      <c r="TEX78" s="137"/>
      <c r="TEY78" s="137"/>
      <c r="TEZ78" s="137"/>
      <c r="TFA78" s="137"/>
      <c r="TFB78" s="137"/>
      <c r="TFC78" s="137"/>
      <c r="TFD78" s="137"/>
      <c r="TFE78" s="137"/>
      <c r="TFF78" s="137"/>
      <c r="TFG78" s="137"/>
      <c r="TFH78" s="137"/>
      <c r="TFI78" s="137"/>
      <c r="TFJ78" s="137"/>
      <c r="TFK78" s="137"/>
      <c r="TFL78" s="137"/>
      <c r="TFM78" s="137"/>
      <c r="TFN78" s="137"/>
      <c r="TFO78" s="137"/>
      <c r="TFP78" s="137"/>
      <c r="TFQ78" s="137"/>
      <c r="TFR78" s="137"/>
      <c r="TFS78" s="137"/>
      <c r="TFT78" s="137"/>
      <c r="TFU78" s="137"/>
      <c r="TFV78" s="137"/>
      <c r="TFW78" s="137"/>
      <c r="TFX78" s="137"/>
      <c r="TFY78" s="137"/>
      <c r="TFZ78" s="137"/>
      <c r="TGA78" s="137"/>
      <c r="TGB78" s="137"/>
      <c r="TGC78" s="137"/>
      <c r="TGD78" s="137"/>
      <c r="TGE78" s="137"/>
      <c r="TGF78" s="137"/>
      <c r="TGG78" s="137"/>
      <c r="TGH78" s="137"/>
      <c r="TGI78" s="137"/>
      <c r="TGJ78" s="137"/>
      <c r="TGK78" s="137"/>
      <c r="TGL78" s="137"/>
      <c r="TGM78" s="137"/>
      <c r="TGN78" s="137"/>
      <c r="TGO78" s="137"/>
      <c r="TGP78" s="137"/>
      <c r="TGQ78" s="137"/>
      <c r="TGR78" s="137"/>
      <c r="TGS78" s="137"/>
      <c r="TGT78" s="137"/>
      <c r="TGU78" s="137"/>
      <c r="TGV78" s="137"/>
      <c r="TGW78" s="137"/>
      <c r="TGX78" s="137"/>
      <c r="TGY78" s="137"/>
      <c r="TGZ78" s="137"/>
      <c r="THA78" s="137"/>
      <c r="THB78" s="137"/>
      <c r="THC78" s="137"/>
      <c r="THD78" s="137"/>
      <c r="THE78" s="137"/>
      <c r="THF78" s="137"/>
      <c r="THG78" s="137"/>
      <c r="THH78" s="137"/>
      <c r="THI78" s="137"/>
      <c r="THJ78" s="137"/>
      <c r="THK78" s="137"/>
      <c r="THL78" s="137"/>
      <c r="THM78" s="137"/>
      <c r="THN78" s="137"/>
      <c r="THO78" s="137"/>
      <c r="THP78" s="137"/>
      <c r="THQ78" s="137"/>
      <c r="THR78" s="137"/>
      <c r="THS78" s="137"/>
      <c r="THT78" s="137"/>
      <c r="THU78" s="137"/>
      <c r="THV78" s="137"/>
      <c r="THW78" s="137"/>
      <c r="THX78" s="137"/>
      <c r="THY78" s="137"/>
      <c r="THZ78" s="137"/>
      <c r="TIA78" s="137"/>
      <c r="TIB78" s="137"/>
      <c r="TIC78" s="137"/>
      <c r="TID78" s="137"/>
      <c r="TIE78" s="137"/>
      <c r="TIF78" s="137"/>
      <c r="TIG78" s="137"/>
      <c r="TIH78" s="137"/>
      <c r="TII78" s="137"/>
      <c r="TIJ78" s="137"/>
      <c r="TIK78" s="137"/>
      <c r="TIL78" s="137"/>
      <c r="TIM78" s="137"/>
      <c r="TIN78" s="137"/>
      <c r="TIO78" s="137"/>
      <c r="TIP78" s="137"/>
      <c r="TIQ78" s="137"/>
      <c r="TIR78" s="137"/>
      <c r="TIS78" s="137"/>
      <c r="TIT78" s="137"/>
      <c r="TIU78" s="137"/>
      <c r="TIV78" s="137"/>
      <c r="TIW78" s="137"/>
      <c r="TIX78" s="137"/>
      <c r="TIY78" s="137"/>
      <c r="TIZ78" s="137"/>
      <c r="TJA78" s="137"/>
      <c r="TJB78" s="137"/>
      <c r="TJC78" s="137"/>
      <c r="TJD78" s="137"/>
      <c r="TJE78" s="137"/>
      <c r="TJF78" s="137"/>
      <c r="TJG78" s="137"/>
      <c r="TJH78" s="137"/>
      <c r="TJI78" s="137"/>
      <c r="TJJ78" s="137"/>
      <c r="TJK78" s="137"/>
      <c r="TJL78" s="137"/>
      <c r="TJM78" s="137"/>
      <c r="TJN78" s="137"/>
      <c r="TJO78" s="137"/>
      <c r="TJP78" s="137"/>
      <c r="TJQ78" s="137"/>
      <c r="TJR78" s="137"/>
      <c r="TJS78" s="137"/>
      <c r="TJT78" s="137"/>
      <c r="TJU78" s="137"/>
      <c r="TJV78" s="137"/>
      <c r="TJW78" s="137"/>
      <c r="TJX78" s="137"/>
      <c r="TJY78" s="137"/>
      <c r="TJZ78" s="137"/>
      <c r="TKA78" s="137"/>
      <c r="TKB78" s="137"/>
      <c r="TKC78" s="137"/>
      <c r="TKD78" s="137"/>
      <c r="TKE78" s="137"/>
      <c r="TKF78" s="137"/>
      <c r="TKG78" s="137"/>
      <c r="TKH78" s="137"/>
      <c r="TKI78" s="137"/>
      <c r="TKJ78" s="137"/>
      <c r="TKK78" s="137"/>
      <c r="TKL78" s="137"/>
      <c r="TKM78" s="137"/>
      <c r="TKN78" s="137"/>
      <c r="TKO78" s="137"/>
      <c r="TKP78" s="137"/>
      <c r="TKQ78" s="137"/>
      <c r="TKR78" s="137"/>
      <c r="TKS78" s="137"/>
      <c r="TKT78" s="137"/>
      <c r="TKU78" s="137"/>
      <c r="TKV78" s="137"/>
      <c r="TKW78" s="137"/>
      <c r="TKX78" s="137"/>
      <c r="TKY78" s="137"/>
      <c r="TKZ78" s="137"/>
      <c r="TLA78" s="137"/>
      <c r="TLB78" s="137"/>
      <c r="TLC78" s="137"/>
      <c r="TLD78" s="137"/>
      <c r="TLE78" s="137"/>
      <c r="TLF78" s="137"/>
      <c r="TLG78" s="137"/>
      <c r="TLH78" s="137"/>
      <c r="TLI78" s="137"/>
      <c r="TLJ78" s="137"/>
      <c r="TLK78" s="137"/>
      <c r="TLL78" s="137"/>
      <c r="TLM78" s="137"/>
      <c r="TLN78" s="137"/>
      <c r="TLO78" s="137"/>
      <c r="TLP78" s="137"/>
      <c r="TLQ78" s="137"/>
      <c r="TLR78" s="137"/>
      <c r="TLS78" s="137"/>
      <c r="TLT78" s="137"/>
      <c r="TLU78" s="137"/>
      <c r="TLV78" s="137"/>
      <c r="TLW78" s="137"/>
      <c r="TLX78" s="137"/>
      <c r="TLY78" s="137"/>
      <c r="TLZ78" s="137"/>
      <c r="TMA78" s="137"/>
      <c r="TMB78" s="137"/>
      <c r="TMC78" s="137"/>
      <c r="TMD78" s="137"/>
      <c r="TME78" s="137"/>
      <c r="TMF78" s="137"/>
      <c r="TMG78" s="137"/>
      <c r="TMH78" s="137"/>
      <c r="TMI78" s="137"/>
      <c r="TMJ78" s="137"/>
      <c r="TMK78" s="137"/>
      <c r="TML78" s="137"/>
      <c r="TMM78" s="137"/>
      <c r="TMN78" s="137"/>
      <c r="TMO78" s="137"/>
      <c r="TMP78" s="137"/>
      <c r="TMQ78" s="137"/>
      <c r="TMR78" s="137"/>
      <c r="TMS78" s="137"/>
      <c r="TMT78" s="137"/>
      <c r="TMU78" s="137"/>
      <c r="TMV78" s="137"/>
      <c r="TMW78" s="137"/>
      <c r="TMX78" s="137"/>
      <c r="TMY78" s="137"/>
      <c r="TMZ78" s="137"/>
      <c r="TNA78" s="137"/>
      <c r="TNB78" s="137"/>
      <c r="TNC78" s="137"/>
      <c r="TND78" s="137"/>
      <c r="TNE78" s="137"/>
      <c r="TNF78" s="137"/>
      <c r="TNG78" s="137"/>
      <c r="TNH78" s="137"/>
      <c r="TNI78" s="137"/>
      <c r="TNJ78" s="137"/>
      <c r="TNK78" s="137"/>
      <c r="TNL78" s="137"/>
      <c r="TNM78" s="137"/>
      <c r="TNN78" s="137"/>
      <c r="TNO78" s="137"/>
      <c r="TNP78" s="137"/>
      <c r="TNQ78" s="137"/>
      <c r="TNR78" s="137"/>
      <c r="TNS78" s="137"/>
      <c r="TNT78" s="137"/>
      <c r="TNU78" s="137"/>
      <c r="TNV78" s="137"/>
      <c r="TNW78" s="137"/>
      <c r="TNX78" s="137"/>
      <c r="TNY78" s="137"/>
      <c r="TNZ78" s="137"/>
      <c r="TOA78" s="137"/>
      <c r="TOB78" s="137"/>
      <c r="TOC78" s="137"/>
      <c r="TOD78" s="137"/>
      <c r="TOE78" s="137"/>
      <c r="TOF78" s="137"/>
      <c r="TOG78" s="137"/>
      <c r="TOH78" s="137"/>
      <c r="TOI78" s="137"/>
      <c r="TOJ78" s="137"/>
      <c r="TOK78" s="137"/>
      <c r="TOL78" s="137"/>
      <c r="TOM78" s="137"/>
      <c r="TON78" s="137"/>
      <c r="TOO78" s="137"/>
      <c r="TOP78" s="137"/>
      <c r="TOQ78" s="137"/>
      <c r="TOR78" s="137"/>
      <c r="TOS78" s="137"/>
      <c r="TOT78" s="137"/>
      <c r="TOU78" s="137"/>
      <c r="TOV78" s="137"/>
      <c r="TOW78" s="137"/>
      <c r="TOX78" s="137"/>
      <c r="TOY78" s="137"/>
      <c r="TOZ78" s="137"/>
      <c r="TPA78" s="137"/>
      <c r="TPB78" s="137"/>
      <c r="TPC78" s="137"/>
      <c r="TPD78" s="137"/>
      <c r="TPE78" s="137"/>
      <c r="TPF78" s="137"/>
      <c r="TPG78" s="137"/>
      <c r="TPH78" s="137"/>
      <c r="TPI78" s="137"/>
      <c r="TPJ78" s="137"/>
      <c r="TPK78" s="137"/>
      <c r="TPL78" s="137"/>
      <c r="TPM78" s="137"/>
      <c r="TPN78" s="137"/>
      <c r="TPO78" s="137"/>
      <c r="TPP78" s="137"/>
      <c r="TPQ78" s="137"/>
      <c r="TPR78" s="137"/>
      <c r="TPS78" s="137"/>
      <c r="TPT78" s="137"/>
      <c r="TPU78" s="137"/>
      <c r="TPV78" s="137"/>
      <c r="TPW78" s="137"/>
      <c r="TPX78" s="137"/>
      <c r="TPY78" s="137"/>
      <c r="TPZ78" s="137"/>
      <c r="TQA78" s="137"/>
      <c r="TQB78" s="137"/>
      <c r="TQC78" s="137"/>
      <c r="TQD78" s="137"/>
      <c r="TQE78" s="137"/>
      <c r="TQF78" s="137"/>
      <c r="TQG78" s="137"/>
      <c r="TQH78" s="137"/>
      <c r="TQI78" s="137"/>
      <c r="TQJ78" s="137"/>
      <c r="TQK78" s="137"/>
      <c r="TQL78" s="137"/>
      <c r="TQM78" s="137"/>
      <c r="TQN78" s="137"/>
      <c r="TQO78" s="137"/>
      <c r="TQP78" s="137"/>
      <c r="TQQ78" s="137"/>
      <c r="TQR78" s="137"/>
      <c r="TQS78" s="137"/>
      <c r="TQT78" s="137"/>
      <c r="TQU78" s="137"/>
      <c r="TQV78" s="137"/>
      <c r="TQW78" s="137"/>
      <c r="TQX78" s="137"/>
      <c r="TQY78" s="137"/>
      <c r="TQZ78" s="137"/>
      <c r="TRA78" s="137"/>
      <c r="TRB78" s="137"/>
      <c r="TRC78" s="137"/>
      <c r="TRD78" s="137"/>
      <c r="TRE78" s="137"/>
      <c r="TRF78" s="137"/>
      <c r="TRG78" s="137"/>
      <c r="TRH78" s="137"/>
      <c r="TRI78" s="137"/>
      <c r="TRJ78" s="137"/>
      <c r="TRK78" s="137"/>
      <c r="TRL78" s="137"/>
      <c r="TRM78" s="137"/>
      <c r="TRN78" s="137"/>
      <c r="TRO78" s="137"/>
      <c r="TRP78" s="137"/>
      <c r="TRQ78" s="137"/>
      <c r="TRR78" s="137"/>
      <c r="TRS78" s="137"/>
      <c r="TRT78" s="137"/>
      <c r="TRU78" s="137"/>
      <c r="TRV78" s="137"/>
      <c r="TRW78" s="137"/>
      <c r="TRX78" s="137"/>
      <c r="TRY78" s="137"/>
      <c r="TRZ78" s="137"/>
      <c r="TSA78" s="137"/>
      <c r="TSB78" s="137"/>
      <c r="TSC78" s="137"/>
      <c r="TSD78" s="137"/>
      <c r="TSE78" s="137"/>
      <c r="TSF78" s="137"/>
      <c r="TSG78" s="137"/>
      <c r="TSH78" s="137"/>
      <c r="TSI78" s="137"/>
      <c r="TSJ78" s="137"/>
      <c r="TSK78" s="137"/>
      <c r="TSL78" s="137"/>
      <c r="TSM78" s="137"/>
      <c r="TSN78" s="137"/>
      <c r="TSO78" s="137"/>
      <c r="TSP78" s="137"/>
      <c r="TSQ78" s="137"/>
      <c r="TSR78" s="137"/>
      <c r="TSS78" s="137"/>
      <c r="TST78" s="137"/>
      <c r="TSU78" s="137"/>
      <c r="TSV78" s="137"/>
      <c r="TSW78" s="137"/>
      <c r="TSX78" s="137"/>
      <c r="TSY78" s="137"/>
      <c r="TSZ78" s="137"/>
      <c r="TTA78" s="137"/>
      <c r="TTB78" s="137"/>
      <c r="TTC78" s="137"/>
      <c r="TTD78" s="137"/>
      <c r="TTE78" s="137"/>
      <c r="TTF78" s="137"/>
      <c r="TTG78" s="137"/>
      <c r="TTH78" s="137"/>
      <c r="TTI78" s="137"/>
      <c r="TTJ78" s="137"/>
      <c r="TTK78" s="137"/>
      <c r="TTL78" s="137"/>
      <c r="TTM78" s="137"/>
      <c r="TTN78" s="137"/>
      <c r="TTO78" s="137"/>
      <c r="TTP78" s="137"/>
      <c r="TTQ78" s="137"/>
      <c r="TTR78" s="137"/>
      <c r="TTS78" s="137"/>
      <c r="TTT78" s="137"/>
      <c r="TTU78" s="137"/>
      <c r="TTV78" s="137"/>
      <c r="TTW78" s="137"/>
      <c r="TTX78" s="137"/>
      <c r="TTY78" s="137"/>
      <c r="TTZ78" s="137"/>
      <c r="TUA78" s="137"/>
      <c r="TUB78" s="137"/>
      <c r="TUC78" s="137"/>
      <c r="TUD78" s="137"/>
      <c r="TUE78" s="137"/>
      <c r="TUF78" s="137"/>
      <c r="TUG78" s="137"/>
      <c r="TUH78" s="137"/>
      <c r="TUI78" s="137"/>
      <c r="TUJ78" s="137"/>
      <c r="TUK78" s="137"/>
      <c r="TUL78" s="137"/>
      <c r="TUM78" s="137"/>
      <c r="TUN78" s="137"/>
      <c r="TUO78" s="137"/>
      <c r="TUP78" s="137"/>
      <c r="TUQ78" s="137"/>
      <c r="TUR78" s="137"/>
      <c r="TUS78" s="137"/>
      <c r="TUT78" s="137"/>
      <c r="TUU78" s="137"/>
      <c r="TUV78" s="137"/>
      <c r="TUW78" s="137"/>
      <c r="TUX78" s="137"/>
      <c r="TUY78" s="137"/>
      <c r="TUZ78" s="137"/>
      <c r="TVA78" s="137"/>
      <c r="TVB78" s="137"/>
      <c r="TVC78" s="137"/>
      <c r="TVD78" s="137"/>
      <c r="TVE78" s="137"/>
      <c r="TVF78" s="137"/>
      <c r="TVG78" s="137"/>
      <c r="TVH78" s="137"/>
      <c r="TVI78" s="137"/>
      <c r="TVJ78" s="137"/>
      <c r="TVK78" s="137"/>
      <c r="TVL78" s="137"/>
      <c r="TVM78" s="137"/>
      <c r="TVN78" s="137"/>
      <c r="TVO78" s="137"/>
      <c r="TVP78" s="137"/>
      <c r="TVQ78" s="137"/>
      <c r="TVR78" s="137"/>
      <c r="TVS78" s="137"/>
      <c r="TVT78" s="137"/>
      <c r="TVU78" s="137"/>
      <c r="TVV78" s="137"/>
      <c r="TVW78" s="137"/>
      <c r="TVX78" s="137"/>
      <c r="TVY78" s="137"/>
      <c r="TVZ78" s="137"/>
      <c r="TWA78" s="137"/>
      <c r="TWB78" s="137"/>
      <c r="TWC78" s="137"/>
      <c r="TWD78" s="137"/>
      <c r="TWE78" s="137"/>
      <c r="TWF78" s="137"/>
      <c r="TWG78" s="137"/>
      <c r="TWH78" s="137"/>
      <c r="TWI78" s="137"/>
      <c r="TWJ78" s="137"/>
      <c r="TWK78" s="137"/>
      <c r="TWL78" s="137"/>
      <c r="TWM78" s="137"/>
      <c r="TWN78" s="137"/>
      <c r="TWO78" s="137"/>
      <c r="TWP78" s="137"/>
      <c r="TWQ78" s="137"/>
      <c r="TWR78" s="137"/>
      <c r="TWS78" s="137"/>
      <c r="TWT78" s="137"/>
      <c r="TWU78" s="137"/>
      <c r="TWV78" s="137"/>
      <c r="TWW78" s="137"/>
      <c r="TWX78" s="137"/>
      <c r="TWY78" s="137"/>
      <c r="TWZ78" s="137"/>
      <c r="TXA78" s="137"/>
      <c r="TXB78" s="137"/>
      <c r="TXC78" s="137"/>
      <c r="TXD78" s="137"/>
      <c r="TXE78" s="137"/>
      <c r="TXF78" s="137"/>
      <c r="TXG78" s="137"/>
      <c r="TXH78" s="137"/>
      <c r="TXI78" s="137"/>
      <c r="TXJ78" s="137"/>
      <c r="TXK78" s="137"/>
      <c r="TXL78" s="137"/>
      <c r="TXM78" s="137"/>
      <c r="TXN78" s="137"/>
      <c r="TXO78" s="137"/>
      <c r="TXP78" s="137"/>
      <c r="TXQ78" s="137"/>
      <c r="TXR78" s="137"/>
      <c r="TXS78" s="137"/>
      <c r="TXT78" s="137"/>
      <c r="TXU78" s="137"/>
      <c r="TXV78" s="137"/>
      <c r="TXW78" s="137"/>
      <c r="TXX78" s="137"/>
      <c r="TXY78" s="137"/>
      <c r="TXZ78" s="137"/>
      <c r="TYA78" s="137"/>
      <c r="TYB78" s="137"/>
      <c r="TYC78" s="137"/>
      <c r="TYD78" s="137"/>
      <c r="TYE78" s="137"/>
      <c r="TYF78" s="137"/>
      <c r="TYG78" s="137"/>
      <c r="TYH78" s="137"/>
      <c r="TYI78" s="137"/>
      <c r="TYJ78" s="137"/>
      <c r="TYK78" s="137"/>
      <c r="TYL78" s="137"/>
      <c r="TYM78" s="137"/>
      <c r="TYN78" s="137"/>
      <c r="TYO78" s="137"/>
      <c r="TYP78" s="137"/>
      <c r="TYQ78" s="137"/>
      <c r="TYR78" s="137"/>
      <c r="TYS78" s="137"/>
      <c r="TYT78" s="137"/>
      <c r="TYU78" s="137"/>
      <c r="TYV78" s="137"/>
      <c r="TYW78" s="137"/>
      <c r="TYX78" s="137"/>
      <c r="TYY78" s="137"/>
      <c r="TYZ78" s="137"/>
      <c r="TZA78" s="137"/>
      <c r="TZB78" s="137"/>
      <c r="TZC78" s="137"/>
      <c r="TZD78" s="137"/>
      <c r="TZE78" s="137"/>
      <c r="TZF78" s="137"/>
      <c r="TZG78" s="137"/>
      <c r="TZH78" s="137"/>
      <c r="TZI78" s="137"/>
      <c r="TZJ78" s="137"/>
      <c r="TZK78" s="137"/>
      <c r="TZL78" s="137"/>
      <c r="TZM78" s="137"/>
      <c r="TZN78" s="137"/>
      <c r="TZO78" s="137"/>
      <c r="TZP78" s="137"/>
      <c r="TZQ78" s="137"/>
      <c r="TZR78" s="137"/>
      <c r="TZS78" s="137"/>
      <c r="TZT78" s="137"/>
      <c r="TZU78" s="137"/>
      <c r="TZV78" s="137"/>
      <c r="TZW78" s="137"/>
      <c r="TZX78" s="137"/>
      <c r="TZY78" s="137"/>
      <c r="TZZ78" s="137"/>
      <c r="UAA78" s="137"/>
      <c r="UAB78" s="137"/>
      <c r="UAC78" s="137"/>
      <c r="UAD78" s="137"/>
      <c r="UAE78" s="137"/>
      <c r="UAF78" s="137"/>
      <c r="UAG78" s="137"/>
      <c r="UAH78" s="137"/>
      <c r="UAI78" s="137"/>
      <c r="UAJ78" s="137"/>
      <c r="UAK78" s="137"/>
      <c r="UAL78" s="137"/>
      <c r="UAM78" s="137"/>
      <c r="UAN78" s="137"/>
      <c r="UAO78" s="137"/>
      <c r="UAP78" s="137"/>
      <c r="UAQ78" s="137"/>
      <c r="UAR78" s="137"/>
      <c r="UAS78" s="137"/>
      <c r="UAT78" s="137"/>
      <c r="UAU78" s="137"/>
      <c r="UAV78" s="137"/>
      <c r="UAW78" s="137"/>
      <c r="UAX78" s="137"/>
      <c r="UAY78" s="137"/>
      <c r="UAZ78" s="137"/>
      <c r="UBA78" s="137"/>
      <c r="UBB78" s="137"/>
      <c r="UBC78" s="137"/>
      <c r="UBD78" s="137"/>
      <c r="UBE78" s="137"/>
      <c r="UBF78" s="137"/>
      <c r="UBG78" s="137"/>
      <c r="UBH78" s="137"/>
      <c r="UBI78" s="137"/>
      <c r="UBJ78" s="137"/>
      <c r="UBK78" s="137"/>
      <c r="UBL78" s="137"/>
      <c r="UBM78" s="137"/>
      <c r="UBN78" s="137"/>
      <c r="UBO78" s="137"/>
      <c r="UBP78" s="137"/>
      <c r="UBQ78" s="137"/>
      <c r="UBR78" s="137"/>
      <c r="UBS78" s="137"/>
      <c r="UBT78" s="137"/>
      <c r="UBU78" s="137"/>
      <c r="UBV78" s="137"/>
      <c r="UBW78" s="137"/>
      <c r="UBX78" s="137"/>
      <c r="UBY78" s="137"/>
      <c r="UBZ78" s="137"/>
      <c r="UCA78" s="137"/>
      <c r="UCB78" s="137"/>
      <c r="UCC78" s="137"/>
      <c r="UCD78" s="137"/>
      <c r="UCE78" s="137"/>
      <c r="UCF78" s="137"/>
      <c r="UCG78" s="137"/>
      <c r="UCH78" s="137"/>
      <c r="UCI78" s="137"/>
      <c r="UCJ78" s="137"/>
      <c r="UCK78" s="137"/>
      <c r="UCL78" s="137"/>
      <c r="UCM78" s="137"/>
      <c r="UCN78" s="137"/>
      <c r="UCO78" s="137"/>
      <c r="UCP78" s="137"/>
      <c r="UCQ78" s="137"/>
      <c r="UCR78" s="137"/>
      <c r="UCS78" s="137"/>
      <c r="UCT78" s="137"/>
      <c r="UCU78" s="137"/>
      <c r="UCV78" s="137"/>
      <c r="UCW78" s="137"/>
      <c r="UCX78" s="137"/>
      <c r="UCY78" s="137"/>
      <c r="UCZ78" s="137"/>
      <c r="UDA78" s="137"/>
      <c r="UDB78" s="137"/>
      <c r="UDC78" s="137"/>
      <c r="UDD78" s="137"/>
      <c r="UDE78" s="137"/>
      <c r="UDF78" s="137"/>
      <c r="UDG78" s="137"/>
      <c r="UDH78" s="137"/>
      <c r="UDI78" s="137"/>
      <c r="UDJ78" s="137"/>
      <c r="UDK78" s="137"/>
      <c r="UDL78" s="137"/>
      <c r="UDM78" s="137"/>
      <c r="UDN78" s="137"/>
      <c r="UDO78" s="137"/>
      <c r="UDP78" s="137"/>
      <c r="UDQ78" s="137"/>
      <c r="UDR78" s="137"/>
      <c r="UDS78" s="137"/>
      <c r="UDT78" s="137"/>
      <c r="UDU78" s="137"/>
      <c r="UDV78" s="137"/>
      <c r="UDW78" s="137"/>
      <c r="UDX78" s="137"/>
      <c r="UDY78" s="137"/>
      <c r="UDZ78" s="137"/>
      <c r="UEA78" s="137"/>
      <c r="UEB78" s="137"/>
      <c r="UEC78" s="137"/>
      <c r="UED78" s="137"/>
      <c r="UEE78" s="137"/>
      <c r="UEF78" s="137"/>
      <c r="UEG78" s="137"/>
      <c r="UEH78" s="137"/>
      <c r="UEI78" s="137"/>
      <c r="UEJ78" s="137"/>
      <c r="UEK78" s="137"/>
      <c r="UEL78" s="137"/>
      <c r="UEM78" s="137"/>
      <c r="UEN78" s="137"/>
      <c r="UEO78" s="137"/>
      <c r="UEP78" s="137"/>
      <c r="UEQ78" s="137"/>
      <c r="UER78" s="137"/>
      <c r="UES78" s="137"/>
      <c r="UET78" s="137"/>
      <c r="UEU78" s="137"/>
      <c r="UEV78" s="137"/>
      <c r="UEW78" s="137"/>
      <c r="UEX78" s="137"/>
      <c r="UEY78" s="137"/>
      <c r="UEZ78" s="137"/>
      <c r="UFA78" s="137"/>
      <c r="UFB78" s="137"/>
      <c r="UFC78" s="137"/>
      <c r="UFD78" s="137"/>
      <c r="UFE78" s="137"/>
      <c r="UFF78" s="137"/>
      <c r="UFG78" s="137"/>
      <c r="UFH78" s="137"/>
      <c r="UFI78" s="137"/>
      <c r="UFJ78" s="137"/>
      <c r="UFK78" s="137"/>
      <c r="UFL78" s="137"/>
      <c r="UFM78" s="137"/>
      <c r="UFN78" s="137"/>
      <c r="UFO78" s="137"/>
      <c r="UFP78" s="137"/>
      <c r="UFQ78" s="137"/>
      <c r="UFR78" s="137"/>
      <c r="UFS78" s="137"/>
      <c r="UFT78" s="137"/>
      <c r="UFU78" s="137"/>
      <c r="UFV78" s="137"/>
      <c r="UFW78" s="137"/>
      <c r="UFX78" s="137"/>
      <c r="UFY78" s="137"/>
      <c r="UFZ78" s="137"/>
      <c r="UGA78" s="137"/>
      <c r="UGB78" s="137"/>
      <c r="UGC78" s="137"/>
      <c r="UGD78" s="137"/>
      <c r="UGE78" s="137"/>
      <c r="UGF78" s="137"/>
      <c r="UGG78" s="137"/>
      <c r="UGH78" s="137"/>
      <c r="UGI78" s="137"/>
      <c r="UGJ78" s="137"/>
      <c r="UGK78" s="137"/>
      <c r="UGL78" s="137"/>
      <c r="UGM78" s="137"/>
      <c r="UGN78" s="137"/>
      <c r="UGO78" s="137"/>
      <c r="UGP78" s="137"/>
      <c r="UGQ78" s="137"/>
      <c r="UGR78" s="137"/>
      <c r="UGS78" s="137"/>
      <c r="UGT78" s="137"/>
      <c r="UGU78" s="137"/>
      <c r="UGV78" s="137"/>
      <c r="UGW78" s="137"/>
      <c r="UGX78" s="137"/>
      <c r="UGY78" s="137"/>
      <c r="UGZ78" s="137"/>
      <c r="UHA78" s="137"/>
      <c r="UHB78" s="137"/>
      <c r="UHC78" s="137"/>
      <c r="UHD78" s="137"/>
      <c r="UHE78" s="137"/>
      <c r="UHF78" s="137"/>
      <c r="UHG78" s="137"/>
      <c r="UHH78" s="137"/>
      <c r="UHI78" s="137"/>
      <c r="UHJ78" s="137"/>
      <c r="UHK78" s="137"/>
      <c r="UHL78" s="137"/>
      <c r="UHM78" s="137"/>
      <c r="UHN78" s="137"/>
      <c r="UHO78" s="137"/>
      <c r="UHP78" s="137"/>
      <c r="UHQ78" s="137"/>
      <c r="UHR78" s="137"/>
      <c r="UHS78" s="137"/>
      <c r="UHT78" s="137"/>
      <c r="UHU78" s="137"/>
      <c r="UHV78" s="137"/>
      <c r="UHW78" s="137"/>
      <c r="UHX78" s="137"/>
      <c r="UHY78" s="137"/>
      <c r="UHZ78" s="137"/>
      <c r="UIA78" s="137"/>
      <c r="UIB78" s="137"/>
      <c r="UIC78" s="137"/>
      <c r="UID78" s="137"/>
      <c r="UIE78" s="137"/>
      <c r="UIF78" s="137"/>
      <c r="UIG78" s="137"/>
      <c r="UIH78" s="137"/>
      <c r="UII78" s="137"/>
      <c r="UIJ78" s="137"/>
      <c r="UIK78" s="137"/>
      <c r="UIL78" s="137"/>
      <c r="UIM78" s="137"/>
      <c r="UIN78" s="137"/>
      <c r="UIO78" s="137"/>
      <c r="UIP78" s="137"/>
      <c r="UIQ78" s="137"/>
      <c r="UIR78" s="137"/>
      <c r="UIS78" s="137"/>
      <c r="UIT78" s="137"/>
      <c r="UIU78" s="137"/>
      <c r="UIV78" s="137"/>
      <c r="UIW78" s="137"/>
      <c r="UIX78" s="137"/>
      <c r="UIY78" s="137"/>
      <c r="UIZ78" s="137"/>
      <c r="UJA78" s="137"/>
      <c r="UJB78" s="137"/>
      <c r="UJC78" s="137"/>
      <c r="UJD78" s="137"/>
      <c r="UJE78" s="137"/>
      <c r="UJF78" s="137"/>
      <c r="UJG78" s="137"/>
      <c r="UJH78" s="137"/>
      <c r="UJI78" s="137"/>
      <c r="UJJ78" s="137"/>
      <c r="UJK78" s="137"/>
      <c r="UJL78" s="137"/>
      <c r="UJM78" s="137"/>
      <c r="UJN78" s="137"/>
      <c r="UJO78" s="137"/>
      <c r="UJP78" s="137"/>
      <c r="UJQ78" s="137"/>
      <c r="UJR78" s="137"/>
      <c r="UJS78" s="137"/>
      <c r="UJT78" s="137"/>
      <c r="UJU78" s="137"/>
      <c r="UJV78" s="137"/>
      <c r="UJW78" s="137"/>
      <c r="UJX78" s="137"/>
      <c r="UJY78" s="137"/>
      <c r="UJZ78" s="137"/>
      <c r="UKA78" s="137"/>
      <c r="UKB78" s="137"/>
      <c r="UKC78" s="137"/>
      <c r="UKD78" s="137"/>
      <c r="UKE78" s="137"/>
      <c r="UKF78" s="137"/>
      <c r="UKG78" s="137"/>
      <c r="UKH78" s="137"/>
      <c r="UKI78" s="137"/>
      <c r="UKJ78" s="137"/>
      <c r="UKK78" s="137"/>
      <c r="UKL78" s="137"/>
      <c r="UKM78" s="137"/>
      <c r="UKN78" s="137"/>
      <c r="UKO78" s="137"/>
      <c r="UKP78" s="137"/>
      <c r="UKQ78" s="137"/>
      <c r="UKR78" s="137"/>
      <c r="UKS78" s="137"/>
      <c r="UKT78" s="137"/>
      <c r="UKU78" s="137"/>
      <c r="UKV78" s="137"/>
      <c r="UKW78" s="137"/>
      <c r="UKX78" s="137"/>
      <c r="UKY78" s="137"/>
      <c r="UKZ78" s="137"/>
      <c r="ULA78" s="137"/>
      <c r="ULB78" s="137"/>
      <c r="ULC78" s="137"/>
      <c r="ULD78" s="137"/>
      <c r="ULE78" s="137"/>
      <c r="ULF78" s="137"/>
      <c r="ULG78" s="137"/>
      <c r="ULH78" s="137"/>
      <c r="ULI78" s="137"/>
      <c r="ULJ78" s="137"/>
      <c r="ULK78" s="137"/>
      <c r="ULL78" s="137"/>
      <c r="ULM78" s="137"/>
      <c r="ULN78" s="137"/>
      <c r="ULO78" s="137"/>
      <c r="ULP78" s="137"/>
      <c r="ULQ78" s="137"/>
      <c r="ULR78" s="137"/>
      <c r="ULS78" s="137"/>
      <c r="ULT78" s="137"/>
      <c r="ULU78" s="137"/>
      <c r="ULV78" s="137"/>
      <c r="ULW78" s="137"/>
      <c r="ULX78" s="137"/>
      <c r="ULY78" s="137"/>
      <c r="ULZ78" s="137"/>
      <c r="UMA78" s="137"/>
      <c r="UMB78" s="137"/>
      <c r="UMC78" s="137"/>
      <c r="UMD78" s="137"/>
      <c r="UME78" s="137"/>
      <c r="UMF78" s="137"/>
      <c r="UMG78" s="137"/>
      <c r="UMH78" s="137"/>
      <c r="UMI78" s="137"/>
      <c r="UMJ78" s="137"/>
      <c r="UMK78" s="137"/>
      <c r="UML78" s="137"/>
      <c r="UMM78" s="137"/>
      <c r="UMN78" s="137"/>
      <c r="UMO78" s="137"/>
      <c r="UMP78" s="137"/>
      <c r="UMQ78" s="137"/>
      <c r="UMR78" s="137"/>
      <c r="UMS78" s="137"/>
      <c r="UMT78" s="137"/>
      <c r="UMU78" s="137"/>
      <c r="UMV78" s="137"/>
      <c r="UMW78" s="137"/>
      <c r="UMX78" s="137"/>
      <c r="UMY78" s="137"/>
      <c r="UMZ78" s="137"/>
      <c r="UNA78" s="137"/>
      <c r="UNB78" s="137"/>
      <c r="UNC78" s="137"/>
      <c r="UND78" s="137"/>
      <c r="UNE78" s="137"/>
      <c r="UNF78" s="137"/>
      <c r="UNG78" s="137"/>
      <c r="UNH78" s="137"/>
      <c r="UNI78" s="137"/>
      <c r="UNJ78" s="137"/>
      <c r="UNK78" s="137"/>
      <c r="UNL78" s="137"/>
      <c r="UNM78" s="137"/>
      <c r="UNN78" s="137"/>
      <c r="UNO78" s="137"/>
      <c r="UNP78" s="137"/>
      <c r="UNQ78" s="137"/>
      <c r="UNR78" s="137"/>
      <c r="UNS78" s="137"/>
      <c r="UNT78" s="137"/>
      <c r="UNU78" s="137"/>
      <c r="UNV78" s="137"/>
      <c r="UNW78" s="137"/>
      <c r="UNX78" s="137"/>
      <c r="UNY78" s="137"/>
      <c r="UNZ78" s="137"/>
      <c r="UOA78" s="137"/>
      <c r="UOB78" s="137"/>
      <c r="UOC78" s="137"/>
      <c r="UOD78" s="137"/>
      <c r="UOE78" s="137"/>
      <c r="UOF78" s="137"/>
      <c r="UOG78" s="137"/>
      <c r="UOH78" s="137"/>
      <c r="UOI78" s="137"/>
      <c r="UOJ78" s="137"/>
      <c r="UOK78" s="137"/>
      <c r="UOL78" s="137"/>
      <c r="UOM78" s="137"/>
      <c r="UON78" s="137"/>
      <c r="UOO78" s="137"/>
      <c r="UOP78" s="137"/>
      <c r="UOQ78" s="137"/>
      <c r="UOR78" s="137"/>
      <c r="UOS78" s="137"/>
      <c r="UOT78" s="137"/>
      <c r="UOU78" s="137"/>
      <c r="UOV78" s="137"/>
      <c r="UOW78" s="137"/>
      <c r="UOX78" s="137"/>
      <c r="UOY78" s="137"/>
      <c r="UOZ78" s="137"/>
      <c r="UPA78" s="137"/>
      <c r="UPB78" s="137"/>
      <c r="UPC78" s="137"/>
      <c r="UPD78" s="137"/>
      <c r="UPE78" s="137"/>
      <c r="UPF78" s="137"/>
      <c r="UPG78" s="137"/>
      <c r="UPH78" s="137"/>
      <c r="UPI78" s="137"/>
      <c r="UPJ78" s="137"/>
      <c r="UPK78" s="137"/>
      <c r="UPL78" s="137"/>
      <c r="UPM78" s="137"/>
      <c r="UPN78" s="137"/>
      <c r="UPO78" s="137"/>
      <c r="UPP78" s="137"/>
      <c r="UPQ78" s="137"/>
      <c r="UPR78" s="137"/>
      <c r="UPS78" s="137"/>
      <c r="UPT78" s="137"/>
      <c r="UPU78" s="137"/>
      <c r="UPV78" s="137"/>
      <c r="UPW78" s="137"/>
      <c r="UPX78" s="137"/>
      <c r="UPY78" s="137"/>
      <c r="UPZ78" s="137"/>
      <c r="UQA78" s="137"/>
      <c r="UQB78" s="137"/>
      <c r="UQC78" s="137"/>
      <c r="UQD78" s="137"/>
      <c r="UQE78" s="137"/>
      <c r="UQF78" s="137"/>
      <c r="UQG78" s="137"/>
      <c r="UQH78" s="137"/>
      <c r="UQI78" s="137"/>
      <c r="UQJ78" s="137"/>
      <c r="UQK78" s="137"/>
      <c r="UQL78" s="137"/>
      <c r="UQM78" s="137"/>
      <c r="UQN78" s="137"/>
      <c r="UQO78" s="137"/>
      <c r="UQP78" s="137"/>
      <c r="UQQ78" s="137"/>
      <c r="UQR78" s="137"/>
      <c r="UQS78" s="137"/>
      <c r="UQT78" s="137"/>
      <c r="UQU78" s="137"/>
      <c r="UQV78" s="137"/>
      <c r="UQW78" s="137"/>
      <c r="UQX78" s="137"/>
      <c r="UQY78" s="137"/>
      <c r="UQZ78" s="137"/>
      <c r="URA78" s="137"/>
      <c r="URB78" s="137"/>
      <c r="URC78" s="137"/>
      <c r="URD78" s="137"/>
      <c r="URE78" s="137"/>
      <c r="URF78" s="137"/>
      <c r="URG78" s="137"/>
      <c r="URH78" s="137"/>
      <c r="URI78" s="137"/>
      <c r="URJ78" s="137"/>
      <c r="URK78" s="137"/>
      <c r="URL78" s="137"/>
      <c r="URM78" s="137"/>
      <c r="URN78" s="137"/>
      <c r="URO78" s="137"/>
      <c r="URP78" s="137"/>
      <c r="URQ78" s="137"/>
      <c r="URR78" s="137"/>
      <c r="URS78" s="137"/>
      <c r="URT78" s="137"/>
      <c r="URU78" s="137"/>
      <c r="URV78" s="137"/>
      <c r="URW78" s="137"/>
      <c r="URX78" s="137"/>
      <c r="URY78" s="137"/>
      <c r="URZ78" s="137"/>
      <c r="USA78" s="137"/>
      <c r="USB78" s="137"/>
      <c r="USC78" s="137"/>
      <c r="USD78" s="137"/>
      <c r="USE78" s="137"/>
      <c r="USF78" s="137"/>
      <c r="USG78" s="137"/>
      <c r="USH78" s="137"/>
      <c r="USI78" s="137"/>
      <c r="USJ78" s="137"/>
      <c r="USK78" s="137"/>
      <c r="USL78" s="137"/>
      <c r="USM78" s="137"/>
      <c r="USN78" s="137"/>
      <c r="USO78" s="137"/>
      <c r="USP78" s="137"/>
      <c r="USQ78" s="137"/>
      <c r="USR78" s="137"/>
      <c r="USS78" s="137"/>
      <c r="UST78" s="137"/>
      <c r="USU78" s="137"/>
      <c r="USV78" s="137"/>
      <c r="USW78" s="137"/>
      <c r="USX78" s="137"/>
      <c r="USY78" s="137"/>
      <c r="USZ78" s="137"/>
      <c r="UTA78" s="137"/>
      <c r="UTB78" s="137"/>
      <c r="UTC78" s="137"/>
      <c r="UTD78" s="137"/>
      <c r="UTE78" s="137"/>
      <c r="UTF78" s="137"/>
      <c r="UTG78" s="137"/>
      <c r="UTH78" s="137"/>
      <c r="UTI78" s="137"/>
      <c r="UTJ78" s="137"/>
      <c r="UTK78" s="137"/>
      <c r="UTL78" s="137"/>
      <c r="UTM78" s="137"/>
      <c r="UTN78" s="137"/>
      <c r="UTO78" s="137"/>
      <c r="UTP78" s="137"/>
      <c r="UTQ78" s="137"/>
      <c r="UTR78" s="137"/>
      <c r="UTS78" s="137"/>
      <c r="UTT78" s="137"/>
      <c r="UTU78" s="137"/>
      <c r="UTV78" s="137"/>
      <c r="UTW78" s="137"/>
      <c r="UTX78" s="137"/>
      <c r="UTY78" s="137"/>
      <c r="UTZ78" s="137"/>
      <c r="UUA78" s="137"/>
      <c r="UUB78" s="137"/>
      <c r="UUC78" s="137"/>
      <c r="UUD78" s="137"/>
      <c r="UUE78" s="137"/>
      <c r="UUF78" s="137"/>
      <c r="UUG78" s="137"/>
      <c r="UUH78" s="137"/>
      <c r="UUI78" s="137"/>
      <c r="UUJ78" s="137"/>
      <c r="UUK78" s="137"/>
      <c r="UUL78" s="137"/>
      <c r="UUM78" s="137"/>
      <c r="UUN78" s="137"/>
      <c r="UUO78" s="137"/>
      <c r="UUP78" s="137"/>
      <c r="UUQ78" s="137"/>
      <c r="UUR78" s="137"/>
      <c r="UUS78" s="137"/>
      <c r="UUT78" s="137"/>
      <c r="UUU78" s="137"/>
      <c r="UUV78" s="137"/>
      <c r="UUW78" s="137"/>
      <c r="UUX78" s="137"/>
      <c r="UUY78" s="137"/>
      <c r="UUZ78" s="137"/>
      <c r="UVA78" s="137"/>
      <c r="UVB78" s="137"/>
      <c r="UVC78" s="137"/>
      <c r="UVD78" s="137"/>
      <c r="UVE78" s="137"/>
      <c r="UVF78" s="137"/>
      <c r="UVG78" s="137"/>
      <c r="UVH78" s="137"/>
      <c r="UVI78" s="137"/>
      <c r="UVJ78" s="137"/>
      <c r="UVK78" s="137"/>
      <c r="UVL78" s="137"/>
      <c r="UVM78" s="137"/>
      <c r="UVN78" s="137"/>
      <c r="UVO78" s="137"/>
      <c r="UVP78" s="137"/>
      <c r="UVQ78" s="137"/>
      <c r="UVR78" s="137"/>
      <c r="UVS78" s="137"/>
      <c r="UVT78" s="137"/>
      <c r="UVU78" s="137"/>
      <c r="UVV78" s="137"/>
      <c r="UVW78" s="137"/>
      <c r="UVX78" s="137"/>
      <c r="UVY78" s="137"/>
      <c r="UVZ78" s="137"/>
      <c r="UWA78" s="137"/>
      <c r="UWB78" s="137"/>
      <c r="UWC78" s="137"/>
      <c r="UWD78" s="137"/>
      <c r="UWE78" s="137"/>
      <c r="UWF78" s="137"/>
      <c r="UWG78" s="137"/>
      <c r="UWH78" s="137"/>
      <c r="UWI78" s="137"/>
      <c r="UWJ78" s="137"/>
      <c r="UWK78" s="137"/>
      <c r="UWL78" s="137"/>
      <c r="UWM78" s="137"/>
      <c r="UWN78" s="137"/>
      <c r="UWO78" s="137"/>
      <c r="UWP78" s="137"/>
      <c r="UWQ78" s="137"/>
      <c r="UWR78" s="137"/>
      <c r="UWS78" s="137"/>
      <c r="UWT78" s="137"/>
      <c r="UWU78" s="137"/>
      <c r="UWV78" s="137"/>
      <c r="UWW78" s="137"/>
      <c r="UWX78" s="137"/>
      <c r="UWY78" s="137"/>
      <c r="UWZ78" s="137"/>
      <c r="UXA78" s="137"/>
      <c r="UXB78" s="137"/>
      <c r="UXC78" s="137"/>
      <c r="UXD78" s="137"/>
      <c r="UXE78" s="137"/>
      <c r="UXF78" s="137"/>
      <c r="UXG78" s="137"/>
      <c r="UXH78" s="137"/>
      <c r="UXI78" s="137"/>
      <c r="UXJ78" s="137"/>
      <c r="UXK78" s="137"/>
      <c r="UXL78" s="137"/>
      <c r="UXM78" s="137"/>
      <c r="UXN78" s="137"/>
      <c r="UXO78" s="137"/>
      <c r="UXP78" s="137"/>
      <c r="UXQ78" s="137"/>
      <c r="UXR78" s="137"/>
      <c r="UXS78" s="137"/>
      <c r="UXT78" s="137"/>
      <c r="UXU78" s="137"/>
      <c r="UXV78" s="137"/>
      <c r="UXW78" s="137"/>
      <c r="UXX78" s="137"/>
      <c r="UXY78" s="137"/>
      <c r="UXZ78" s="137"/>
      <c r="UYA78" s="137"/>
      <c r="UYB78" s="137"/>
      <c r="UYC78" s="137"/>
      <c r="UYD78" s="137"/>
      <c r="UYE78" s="137"/>
      <c r="UYF78" s="137"/>
      <c r="UYG78" s="137"/>
      <c r="UYH78" s="137"/>
      <c r="UYI78" s="137"/>
      <c r="UYJ78" s="137"/>
      <c r="UYK78" s="137"/>
      <c r="UYL78" s="137"/>
      <c r="UYM78" s="137"/>
      <c r="UYN78" s="137"/>
      <c r="UYO78" s="137"/>
      <c r="UYP78" s="137"/>
      <c r="UYQ78" s="137"/>
      <c r="UYR78" s="137"/>
      <c r="UYS78" s="137"/>
      <c r="UYT78" s="137"/>
      <c r="UYU78" s="137"/>
      <c r="UYV78" s="137"/>
      <c r="UYW78" s="137"/>
      <c r="UYX78" s="137"/>
      <c r="UYY78" s="137"/>
      <c r="UYZ78" s="137"/>
      <c r="UZA78" s="137"/>
      <c r="UZB78" s="137"/>
      <c r="UZC78" s="137"/>
      <c r="UZD78" s="137"/>
      <c r="UZE78" s="137"/>
      <c r="UZF78" s="137"/>
      <c r="UZG78" s="137"/>
      <c r="UZH78" s="137"/>
      <c r="UZI78" s="137"/>
      <c r="UZJ78" s="137"/>
      <c r="UZK78" s="137"/>
      <c r="UZL78" s="137"/>
      <c r="UZM78" s="137"/>
      <c r="UZN78" s="137"/>
      <c r="UZO78" s="137"/>
      <c r="UZP78" s="137"/>
      <c r="UZQ78" s="137"/>
      <c r="UZR78" s="137"/>
      <c r="UZS78" s="137"/>
      <c r="UZT78" s="137"/>
      <c r="UZU78" s="137"/>
      <c r="UZV78" s="137"/>
      <c r="UZW78" s="137"/>
      <c r="UZX78" s="137"/>
      <c r="UZY78" s="137"/>
      <c r="UZZ78" s="137"/>
      <c r="VAA78" s="137"/>
      <c r="VAB78" s="137"/>
      <c r="VAC78" s="137"/>
      <c r="VAD78" s="137"/>
      <c r="VAE78" s="137"/>
      <c r="VAF78" s="137"/>
      <c r="VAG78" s="137"/>
      <c r="VAH78" s="137"/>
      <c r="VAI78" s="137"/>
      <c r="VAJ78" s="137"/>
      <c r="VAK78" s="137"/>
      <c r="VAL78" s="137"/>
      <c r="VAM78" s="137"/>
      <c r="VAN78" s="137"/>
      <c r="VAO78" s="137"/>
      <c r="VAP78" s="137"/>
      <c r="VAQ78" s="137"/>
      <c r="VAR78" s="137"/>
      <c r="VAS78" s="137"/>
      <c r="VAT78" s="137"/>
      <c r="VAU78" s="137"/>
      <c r="VAV78" s="137"/>
      <c r="VAW78" s="137"/>
      <c r="VAX78" s="137"/>
      <c r="VAY78" s="137"/>
      <c r="VAZ78" s="137"/>
      <c r="VBA78" s="137"/>
      <c r="VBB78" s="137"/>
      <c r="VBC78" s="137"/>
      <c r="VBD78" s="137"/>
      <c r="VBE78" s="137"/>
      <c r="VBF78" s="137"/>
      <c r="VBG78" s="137"/>
      <c r="VBH78" s="137"/>
      <c r="VBI78" s="137"/>
      <c r="VBJ78" s="137"/>
      <c r="VBK78" s="137"/>
      <c r="VBL78" s="137"/>
      <c r="VBM78" s="137"/>
      <c r="VBN78" s="137"/>
      <c r="VBO78" s="137"/>
      <c r="VBP78" s="137"/>
      <c r="VBQ78" s="137"/>
      <c r="VBR78" s="137"/>
      <c r="VBS78" s="137"/>
      <c r="VBT78" s="137"/>
      <c r="VBU78" s="137"/>
      <c r="VBV78" s="137"/>
      <c r="VBW78" s="137"/>
      <c r="VBX78" s="137"/>
      <c r="VBY78" s="137"/>
      <c r="VBZ78" s="137"/>
      <c r="VCA78" s="137"/>
      <c r="VCB78" s="137"/>
      <c r="VCC78" s="137"/>
      <c r="VCD78" s="137"/>
      <c r="VCE78" s="137"/>
      <c r="VCF78" s="137"/>
      <c r="VCG78" s="137"/>
      <c r="VCH78" s="137"/>
      <c r="VCI78" s="137"/>
      <c r="VCJ78" s="137"/>
      <c r="VCK78" s="137"/>
      <c r="VCL78" s="137"/>
      <c r="VCM78" s="137"/>
      <c r="VCN78" s="137"/>
      <c r="VCO78" s="137"/>
      <c r="VCP78" s="137"/>
      <c r="VCQ78" s="137"/>
      <c r="VCR78" s="137"/>
      <c r="VCS78" s="137"/>
      <c r="VCT78" s="137"/>
      <c r="VCU78" s="137"/>
      <c r="VCV78" s="137"/>
      <c r="VCW78" s="137"/>
      <c r="VCX78" s="137"/>
      <c r="VCY78" s="137"/>
      <c r="VCZ78" s="137"/>
      <c r="VDA78" s="137"/>
      <c r="VDB78" s="137"/>
      <c r="VDC78" s="137"/>
      <c r="VDD78" s="137"/>
      <c r="VDE78" s="137"/>
      <c r="VDF78" s="137"/>
      <c r="VDG78" s="137"/>
      <c r="VDH78" s="137"/>
      <c r="VDI78" s="137"/>
      <c r="VDJ78" s="137"/>
      <c r="VDK78" s="137"/>
      <c r="VDL78" s="137"/>
      <c r="VDM78" s="137"/>
      <c r="VDN78" s="137"/>
      <c r="VDO78" s="137"/>
      <c r="VDP78" s="137"/>
      <c r="VDQ78" s="137"/>
      <c r="VDR78" s="137"/>
      <c r="VDS78" s="137"/>
      <c r="VDT78" s="137"/>
      <c r="VDU78" s="137"/>
      <c r="VDV78" s="137"/>
      <c r="VDW78" s="137"/>
      <c r="VDX78" s="137"/>
      <c r="VDY78" s="137"/>
      <c r="VDZ78" s="137"/>
      <c r="VEA78" s="137"/>
      <c r="VEB78" s="137"/>
      <c r="VEC78" s="137"/>
      <c r="VED78" s="137"/>
      <c r="VEE78" s="137"/>
      <c r="VEF78" s="137"/>
      <c r="VEG78" s="137"/>
      <c r="VEH78" s="137"/>
      <c r="VEI78" s="137"/>
      <c r="VEJ78" s="137"/>
      <c r="VEK78" s="137"/>
      <c r="VEL78" s="137"/>
      <c r="VEM78" s="137"/>
      <c r="VEN78" s="137"/>
      <c r="VEO78" s="137"/>
      <c r="VEP78" s="137"/>
      <c r="VEQ78" s="137"/>
      <c r="VER78" s="137"/>
      <c r="VES78" s="137"/>
      <c r="VET78" s="137"/>
      <c r="VEU78" s="137"/>
      <c r="VEV78" s="137"/>
      <c r="VEW78" s="137"/>
      <c r="VEX78" s="137"/>
      <c r="VEY78" s="137"/>
      <c r="VEZ78" s="137"/>
      <c r="VFA78" s="137"/>
      <c r="VFB78" s="137"/>
      <c r="VFC78" s="137"/>
      <c r="VFD78" s="137"/>
      <c r="VFE78" s="137"/>
      <c r="VFF78" s="137"/>
      <c r="VFG78" s="137"/>
      <c r="VFH78" s="137"/>
      <c r="VFI78" s="137"/>
      <c r="VFJ78" s="137"/>
      <c r="VFK78" s="137"/>
      <c r="VFL78" s="137"/>
      <c r="VFM78" s="137"/>
      <c r="VFN78" s="137"/>
      <c r="VFO78" s="137"/>
      <c r="VFP78" s="137"/>
      <c r="VFQ78" s="137"/>
      <c r="VFR78" s="137"/>
      <c r="VFS78" s="137"/>
      <c r="VFT78" s="137"/>
      <c r="VFU78" s="137"/>
      <c r="VFV78" s="137"/>
      <c r="VFW78" s="137"/>
      <c r="VFX78" s="137"/>
      <c r="VFY78" s="137"/>
      <c r="VFZ78" s="137"/>
      <c r="VGA78" s="137"/>
      <c r="VGB78" s="137"/>
      <c r="VGC78" s="137"/>
      <c r="VGD78" s="137"/>
      <c r="VGE78" s="137"/>
      <c r="VGF78" s="137"/>
      <c r="VGG78" s="137"/>
      <c r="VGH78" s="137"/>
      <c r="VGI78" s="137"/>
      <c r="VGJ78" s="137"/>
      <c r="VGK78" s="137"/>
      <c r="VGL78" s="137"/>
      <c r="VGM78" s="137"/>
      <c r="VGN78" s="137"/>
      <c r="VGO78" s="137"/>
      <c r="VGP78" s="137"/>
      <c r="VGQ78" s="137"/>
      <c r="VGR78" s="137"/>
      <c r="VGS78" s="137"/>
      <c r="VGT78" s="137"/>
      <c r="VGU78" s="137"/>
      <c r="VGV78" s="137"/>
      <c r="VGW78" s="137"/>
      <c r="VGX78" s="137"/>
      <c r="VGY78" s="137"/>
      <c r="VGZ78" s="137"/>
      <c r="VHA78" s="137"/>
      <c r="VHB78" s="137"/>
      <c r="VHC78" s="137"/>
      <c r="VHD78" s="137"/>
      <c r="VHE78" s="137"/>
      <c r="VHF78" s="137"/>
      <c r="VHG78" s="137"/>
      <c r="VHH78" s="137"/>
      <c r="VHI78" s="137"/>
      <c r="VHJ78" s="137"/>
      <c r="VHK78" s="137"/>
      <c r="VHL78" s="137"/>
      <c r="VHM78" s="137"/>
      <c r="VHN78" s="137"/>
      <c r="VHO78" s="137"/>
      <c r="VHP78" s="137"/>
      <c r="VHQ78" s="137"/>
      <c r="VHR78" s="137"/>
      <c r="VHS78" s="137"/>
      <c r="VHT78" s="137"/>
      <c r="VHU78" s="137"/>
      <c r="VHV78" s="137"/>
      <c r="VHW78" s="137"/>
      <c r="VHX78" s="137"/>
      <c r="VHY78" s="137"/>
      <c r="VHZ78" s="137"/>
      <c r="VIA78" s="137"/>
      <c r="VIB78" s="137"/>
      <c r="VIC78" s="137"/>
      <c r="VID78" s="137"/>
      <c r="VIE78" s="137"/>
      <c r="VIF78" s="137"/>
      <c r="VIG78" s="137"/>
      <c r="VIH78" s="137"/>
      <c r="VII78" s="137"/>
      <c r="VIJ78" s="137"/>
      <c r="VIK78" s="137"/>
      <c r="VIL78" s="137"/>
      <c r="VIM78" s="137"/>
      <c r="VIN78" s="137"/>
      <c r="VIO78" s="137"/>
      <c r="VIP78" s="137"/>
      <c r="VIQ78" s="137"/>
      <c r="VIR78" s="137"/>
      <c r="VIS78" s="137"/>
      <c r="VIT78" s="137"/>
      <c r="VIU78" s="137"/>
      <c r="VIV78" s="137"/>
      <c r="VIW78" s="137"/>
      <c r="VIX78" s="137"/>
      <c r="VIY78" s="137"/>
      <c r="VIZ78" s="137"/>
      <c r="VJA78" s="137"/>
      <c r="VJB78" s="137"/>
      <c r="VJC78" s="137"/>
      <c r="VJD78" s="137"/>
      <c r="VJE78" s="137"/>
      <c r="VJF78" s="137"/>
      <c r="VJG78" s="137"/>
      <c r="VJH78" s="137"/>
      <c r="VJI78" s="137"/>
      <c r="VJJ78" s="137"/>
      <c r="VJK78" s="137"/>
      <c r="VJL78" s="137"/>
      <c r="VJM78" s="137"/>
      <c r="VJN78" s="137"/>
      <c r="VJO78" s="137"/>
      <c r="VJP78" s="137"/>
      <c r="VJQ78" s="137"/>
      <c r="VJR78" s="137"/>
      <c r="VJS78" s="137"/>
      <c r="VJT78" s="137"/>
      <c r="VJU78" s="137"/>
      <c r="VJV78" s="137"/>
      <c r="VJW78" s="137"/>
      <c r="VJX78" s="137"/>
      <c r="VJY78" s="137"/>
      <c r="VJZ78" s="137"/>
      <c r="VKA78" s="137"/>
      <c r="VKB78" s="137"/>
      <c r="VKC78" s="137"/>
      <c r="VKD78" s="137"/>
      <c r="VKE78" s="137"/>
      <c r="VKF78" s="137"/>
      <c r="VKG78" s="137"/>
      <c r="VKH78" s="137"/>
      <c r="VKI78" s="137"/>
      <c r="VKJ78" s="137"/>
      <c r="VKK78" s="137"/>
      <c r="VKL78" s="137"/>
      <c r="VKM78" s="137"/>
      <c r="VKN78" s="137"/>
      <c r="VKO78" s="137"/>
      <c r="VKP78" s="137"/>
      <c r="VKQ78" s="137"/>
      <c r="VKR78" s="137"/>
      <c r="VKS78" s="137"/>
      <c r="VKT78" s="137"/>
      <c r="VKU78" s="137"/>
      <c r="VKV78" s="137"/>
      <c r="VKW78" s="137"/>
      <c r="VKX78" s="137"/>
      <c r="VKY78" s="137"/>
      <c r="VKZ78" s="137"/>
      <c r="VLA78" s="137"/>
      <c r="VLB78" s="137"/>
      <c r="VLC78" s="137"/>
      <c r="VLD78" s="137"/>
      <c r="VLE78" s="137"/>
      <c r="VLF78" s="137"/>
      <c r="VLG78" s="137"/>
      <c r="VLH78" s="137"/>
      <c r="VLI78" s="137"/>
      <c r="VLJ78" s="137"/>
      <c r="VLK78" s="137"/>
      <c r="VLL78" s="137"/>
      <c r="VLM78" s="137"/>
      <c r="VLN78" s="137"/>
      <c r="VLO78" s="137"/>
      <c r="VLP78" s="137"/>
      <c r="VLQ78" s="137"/>
      <c r="VLR78" s="137"/>
      <c r="VLS78" s="137"/>
      <c r="VLT78" s="137"/>
      <c r="VLU78" s="137"/>
      <c r="VLV78" s="137"/>
      <c r="VLW78" s="137"/>
      <c r="VLX78" s="137"/>
      <c r="VLY78" s="137"/>
      <c r="VLZ78" s="137"/>
      <c r="VMA78" s="137"/>
      <c r="VMB78" s="137"/>
      <c r="VMC78" s="137"/>
      <c r="VMD78" s="137"/>
      <c r="VME78" s="137"/>
      <c r="VMF78" s="137"/>
      <c r="VMG78" s="137"/>
      <c r="VMH78" s="137"/>
      <c r="VMI78" s="137"/>
      <c r="VMJ78" s="137"/>
      <c r="VMK78" s="137"/>
      <c r="VML78" s="137"/>
      <c r="VMM78" s="137"/>
      <c r="VMN78" s="137"/>
      <c r="VMO78" s="137"/>
      <c r="VMP78" s="137"/>
      <c r="VMQ78" s="137"/>
      <c r="VMR78" s="137"/>
      <c r="VMS78" s="137"/>
      <c r="VMT78" s="137"/>
      <c r="VMU78" s="137"/>
      <c r="VMV78" s="137"/>
      <c r="VMW78" s="137"/>
      <c r="VMX78" s="137"/>
      <c r="VMY78" s="137"/>
      <c r="VMZ78" s="137"/>
      <c r="VNA78" s="137"/>
      <c r="VNB78" s="137"/>
      <c r="VNC78" s="137"/>
      <c r="VND78" s="137"/>
      <c r="VNE78" s="137"/>
      <c r="VNF78" s="137"/>
      <c r="VNG78" s="137"/>
      <c r="VNH78" s="137"/>
      <c r="VNI78" s="137"/>
      <c r="VNJ78" s="137"/>
      <c r="VNK78" s="137"/>
      <c r="VNL78" s="137"/>
      <c r="VNM78" s="137"/>
      <c r="VNN78" s="137"/>
      <c r="VNO78" s="137"/>
      <c r="VNP78" s="137"/>
      <c r="VNQ78" s="137"/>
      <c r="VNR78" s="137"/>
      <c r="VNS78" s="137"/>
      <c r="VNT78" s="137"/>
      <c r="VNU78" s="137"/>
      <c r="VNV78" s="137"/>
      <c r="VNW78" s="137"/>
      <c r="VNX78" s="137"/>
      <c r="VNY78" s="137"/>
      <c r="VNZ78" s="137"/>
      <c r="VOA78" s="137"/>
      <c r="VOB78" s="137"/>
      <c r="VOC78" s="137"/>
      <c r="VOD78" s="137"/>
      <c r="VOE78" s="137"/>
      <c r="VOF78" s="137"/>
      <c r="VOG78" s="137"/>
      <c r="VOH78" s="137"/>
      <c r="VOI78" s="137"/>
      <c r="VOJ78" s="137"/>
      <c r="VOK78" s="137"/>
      <c r="VOL78" s="137"/>
      <c r="VOM78" s="137"/>
      <c r="VON78" s="137"/>
      <c r="VOO78" s="137"/>
      <c r="VOP78" s="137"/>
      <c r="VOQ78" s="137"/>
      <c r="VOR78" s="137"/>
      <c r="VOS78" s="137"/>
      <c r="VOT78" s="137"/>
      <c r="VOU78" s="137"/>
      <c r="VOV78" s="137"/>
      <c r="VOW78" s="137"/>
      <c r="VOX78" s="137"/>
      <c r="VOY78" s="137"/>
      <c r="VOZ78" s="137"/>
      <c r="VPA78" s="137"/>
      <c r="VPB78" s="137"/>
      <c r="VPC78" s="137"/>
      <c r="VPD78" s="137"/>
      <c r="VPE78" s="137"/>
      <c r="VPF78" s="137"/>
      <c r="VPG78" s="137"/>
      <c r="VPH78" s="137"/>
      <c r="VPI78" s="137"/>
      <c r="VPJ78" s="137"/>
      <c r="VPK78" s="137"/>
      <c r="VPL78" s="137"/>
      <c r="VPM78" s="137"/>
      <c r="VPN78" s="137"/>
      <c r="VPO78" s="137"/>
      <c r="VPP78" s="137"/>
      <c r="VPQ78" s="137"/>
      <c r="VPR78" s="137"/>
      <c r="VPS78" s="137"/>
      <c r="VPT78" s="137"/>
      <c r="VPU78" s="137"/>
      <c r="VPV78" s="137"/>
      <c r="VPW78" s="137"/>
      <c r="VPX78" s="137"/>
      <c r="VPY78" s="137"/>
      <c r="VPZ78" s="137"/>
      <c r="VQA78" s="137"/>
      <c r="VQB78" s="137"/>
      <c r="VQC78" s="137"/>
      <c r="VQD78" s="137"/>
      <c r="VQE78" s="137"/>
      <c r="VQF78" s="137"/>
      <c r="VQG78" s="137"/>
      <c r="VQH78" s="137"/>
      <c r="VQI78" s="137"/>
      <c r="VQJ78" s="137"/>
      <c r="VQK78" s="137"/>
      <c r="VQL78" s="137"/>
      <c r="VQM78" s="137"/>
      <c r="VQN78" s="137"/>
      <c r="VQO78" s="137"/>
      <c r="VQP78" s="137"/>
      <c r="VQQ78" s="137"/>
      <c r="VQR78" s="137"/>
      <c r="VQS78" s="137"/>
      <c r="VQT78" s="137"/>
      <c r="VQU78" s="137"/>
      <c r="VQV78" s="137"/>
      <c r="VQW78" s="137"/>
      <c r="VQX78" s="137"/>
      <c r="VQY78" s="137"/>
      <c r="VQZ78" s="137"/>
      <c r="VRA78" s="137"/>
      <c r="VRB78" s="137"/>
      <c r="VRC78" s="137"/>
      <c r="VRD78" s="137"/>
      <c r="VRE78" s="137"/>
      <c r="VRF78" s="137"/>
      <c r="VRG78" s="137"/>
      <c r="VRH78" s="137"/>
      <c r="VRI78" s="137"/>
      <c r="VRJ78" s="137"/>
      <c r="VRK78" s="137"/>
      <c r="VRL78" s="137"/>
      <c r="VRM78" s="137"/>
      <c r="VRN78" s="137"/>
      <c r="VRO78" s="137"/>
      <c r="VRP78" s="137"/>
      <c r="VRQ78" s="137"/>
      <c r="VRR78" s="137"/>
      <c r="VRS78" s="137"/>
      <c r="VRT78" s="137"/>
      <c r="VRU78" s="137"/>
      <c r="VRV78" s="137"/>
      <c r="VRW78" s="137"/>
      <c r="VRX78" s="137"/>
      <c r="VRY78" s="137"/>
      <c r="VRZ78" s="137"/>
      <c r="VSA78" s="137"/>
      <c r="VSB78" s="137"/>
      <c r="VSC78" s="137"/>
      <c r="VSD78" s="137"/>
      <c r="VSE78" s="137"/>
      <c r="VSF78" s="137"/>
      <c r="VSG78" s="137"/>
      <c r="VSH78" s="137"/>
      <c r="VSI78" s="137"/>
      <c r="VSJ78" s="137"/>
      <c r="VSK78" s="137"/>
      <c r="VSL78" s="137"/>
      <c r="VSM78" s="137"/>
      <c r="VSN78" s="137"/>
      <c r="VSO78" s="137"/>
      <c r="VSP78" s="137"/>
      <c r="VSQ78" s="137"/>
      <c r="VSR78" s="137"/>
      <c r="VSS78" s="137"/>
      <c r="VST78" s="137"/>
      <c r="VSU78" s="137"/>
      <c r="VSV78" s="137"/>
      <c r="VSW78" s="137"/>
      <c r="VSX78" s="137"/>
      <c r="VSY78" s="137"/>
      <c r="VSZ78" s="137"/>
      <c r="VTA78" s="137"/>
      <c r="VTB78" s="137"/>
      <c r="VTC78" s="137"/>
      <c r="VTD78" s="137"/>
      <c r="VTE78" s="137"/>
      <c r="VTF78" s="137"/>
      <c r="VTG78" s="137"/>
      <c r="VTH78" s="137"/>
      <c r="VTI78" s="137"/>
      <c r="VTJ78" s="137"/>
      <c r="VTK78" s="137"/>
      <c r="VTL78" s="137"/>
      <c r="VTM78" s="137"/>
      <c r="VTN78" s="137"/>
      <c r="VTO78" s="137"/>
      <c r="VTP78" s="137"/>
      <c r="VTQ78" s="137"/>
      <c r="VTR78" s="137"/>
      <c r="VTS78" s="137"/>
      <c r="VTT78" s="137"/>
      <c r="VTU78" s="137"/>
      <c r="VTV78" s="137"/>
      <c r="VTW78" s="137"/>
      <c r="VTX78" s="137"/>
      <c r="VTY78" s="137"/>
      <c r="VTZ78" s="137"/>
      <c r="VUA78" s="137"/>
      <c r="VUB78" s="137"/>
      <c r="VUC78" s="137"/>
      <c r="VUD78" s="137"/>
      <c r="VUE78" s="137"/>
      <c r="VUF78" s="137"/>
      <c r="VUG78" s="137"/>
      <c r="VUH78" s="137"/>
      <c r="VUI78" s="137"/>
      <c r="VUJ78" s="137"/>
      <c r="VUK78" s="137"/>
      <c r="VUL78" s="137"/>
      <c r="VUM78" s="137"/>
      <c r="VUN78" s="137"/>
      <c r="VUO78" s="137"/>
      <c r="VUP78" s="137"/>
      <c r="VUQ78" s="137"/>
      <c r="VUR78" s="137"/>
      <c r="VUS78" s="137"/>
      <c r="VUT78" s="137"/>
      <c r="VUU78" s="137"/>
      <c r="VUV78" s="137"/>
      <c r="VUW78" s="137"/>
      <c r="VUX78" s="137"/>
      <c r="VUY78" s="137"/>
      <c r="VUZ78" s="137"/>
      <c r="VVA78" s="137"/>
      <c r="VVB78" s="137"/>
      <c r="VVC78" s="137"/>
      <c r="VVD78" s="137"/>
      <c r="VVE78" s="137"/>
      <c r="VVF78" s="137"/>
      <c r="VVG78" s="137"/>
      <c r="VVH78" s="137"/>
      <c r="VVI78" s="137"/>
      <c r="VVJ78" s="137"/>
      <c r="VVK78" s="137"/>
      <c r="VVL78" s="137"/>
      <c r="VVM78" s="137"/>
      <c r="VVN78" s="137"/>
      <c r="VVO78" s="137"/>
      <c r="VVP78" s="137"/>
      <c r="VVQ78" s="137"/>
      <c r="VVR78" s="137"/>
      <c r="VVS78" s="137"/>
      <c r="VVT78" s="137"/>
      <c r="VVU78" s="137"/>
      <c r="VVV78" s="137"/>
      <c r="VVW78" s="137"/>
      <c r="VVX78" s="137"/>
      <c r="VVY78" s="137"/>
      <c r="VVZ78" s="137"/>
      <c r="VWA78" s="137"/>
      <c r="VWB78" s="137"/>
      <c r="VWC78" s="137"/>
      <c r="VWD78" s="137"/>
      <c r="VWE78" s="137"/>
      <c r="VWF78" s="137"/>
      <c r="VWG78" s="137"/>
      <c r="VWH78" s="137"/>
      <c r="VWI78" s="137"/>
      <c r="VWJ78" s="137"/>
      <c r="VWK78" s="137"/>
      <c r="VWL78" s="137"/>
      <c r="VWM78" s="137"/>
      <c r="VWN78" s="137"/>
      <c r="VWO78" s="137"/>
      <c r="VWP78" s="137"/>
      <c r="VWQ78" s="137"/>
      <c r="VWR78" s="137"/>
      <c r="VWS78" s="137"/>
      <c r="VWT78" s="137"/>
      <c r="VWU78" s="137"/>
      <c r="VWV78" s="137"/>
      <c r="VWW78" s="137"/>
      <c r="VWX78" s="137"/>
      <c r="VWY78" s="137"/>
      <c r="VWZ78" s="137"/>
      <c r="VXA78" s="137"/>
      <c r="VXB78" s="137"/>
      <c r="VXC78" s="137"/>
      <c r="VXD78" s="137"/>
      <c r="VXE78" s="137"/>
      <c r="VXF78" s="137"/>
      <c r="VXG78" s="137"/>
      <c r="VXH78" s="137"/>
      <c r="VXI78" s="137"/>
      <c r="VXJ78" s="137"/>
      <c r="VXK78" s="137"/>
      <c r="VXL78" s="137"/>
      <c r="VXM78" s="137"/>
      <c r="VXN78" s="137"/>
      <c r="VXO78" s="137"/>
      <c r="VXP78" s="137"/>
      <c r="VXQ78" s="137"/>
      <c r="VXR78" s="137"/>
      <c r="VXS78" s="137"/>
      <c r="VXT78" s="137"/>
      <c r="VXU78" s="137"/>
      <c r="VXV78" s="137"/>
      <c r="VXW78" s="137"/>
      <c r="VXX78" s="137"/>
      <c r="VXY78" s="137"/>
      <c r="VXZ78" s="137"/>
      <c r="VYA78" s="137"/>
      <c r="VYB78" s="137"/>
      <c r="VYC78" s="137"/>
      <c r="VYD78" s="137"/>
      <c r="VYE78" s="137"/>
      <c r="VYF78" s="137"/>
      <c r="VYG78" s="137"/>
      <c r="VYH78" s="137"/>
      <c r="VYI78" s="137"/>
      <c r="VYJ78" s="137"/>
      <c r="VYK78" s="137"/>
      <c r="VYL78" s="137"/>
      <c r="VYM78" s="137"/>
      <c r="VYN78" s="137"/>
      <c r="VYO78" s="137"/>
      <c r="VYP78" s="137"/>
      <c r="VYQ78" s="137"/>
      <c r="VYR78" s="137"/>
      <c r="VYS78" s="137"/>
      <c r="VYT78" s="137"/>
      <c r="VYU78" s="137"/>
      <c r="VYV78" s="137"/>
      <c r="VYW78" s="137"/>
      <c r="VYX78" s="137"/>
      <c r="VYY78" s="137"/>
      <c r="VYZ78" s="137"/>
      <c r="VZA78" s="137"/>
      <c r="VZB78" s="137"/>
      <c r="VZC78" s="137"/>
      <c r="VZD78" s="137"/>
      <c r="VZE78" s="137"/>
      <c r="VZF78" s="137"/>
      <c r="VZG78" s="137"/>
      <c r="VZH78" s="137"/>
      <c r="VZI78" s="137"/>
      <c r="VZJ78" s="137"/>
      <c r="VZK78" s="137"/>
      <c r="VZL78" s="137"/>
      <c r="VZM78" s="137"/>
      <c r="VZN78" s="137"/>
      <c r="VZO78" s="137"/>
      <c r="VZP78" s="137"/>
      <c r="VZQ78" s="137"/>
      <c r="VZR78" s="137"/>
      <c r="VZS78" s="137"/>
      <c r="VZT78" s="137"/>
      <c r="VZU78" s="137"/>
      <c r="VZV78" s="137"/>
      <c r="VZW78" s="137"/>
      <c r="VZX78" s="137"/>
      <c r="VZY78" s="137"/>
      <c r="VZZ78" s="137"/>
      <c r="WAA78" s="137"/>
      <c r="WAB78" s="137"/>
      <c r="WAC78" s="137"/>
      <c r="WAD78" s="137"/>
      <c r="WAE78" s="137"/>
      <c r="WAF78" s="137"/>
      <c r="WAG78" s="137"/>
      <c r="WAH78" s="137"/>
      <c r="WAI78" s="137"/>
      <c r="WAJ78" s="137"/>
      <c r="WAK78" s="137"/>
      <c r="WAL78" s="137"/>
      <c r="WAM78" s="137"/>
      <c r="WAN78" s="137"/>
      <c r="WAO78" s="137"/>
      <c r="WAP78" s="137"/>
      <c r="WAQ78" s="137"/>
      <c r="WAR78" s="137"/>
      <c r="WAS78" s="137"/>
      <c r="WAT78" s="137"/>
      <c r="WAU78" s="137"/>
      <c r="WAV78" s="137"/>
      <c r="WAW78" s="137"/>
      <c r="WAX78" s="137"/>
      <c r="WAY78" s="137"/>
      <c r="WAZ78" s="137"/>
      <c r="WBA78" s="137"/>
      <c r="WBB78" s="137"/>
      <c r="WBC78" s="137"/>
      <c r="WBD78" s="137"/>
      <c r="WBE78" s="137"/>
      <c r="WBF78" s="137"/>
      <c r="WBG78" s="137"/>
      <c r="WBH78" s="137"/>
      <c r="WBI78" s="137"/>
      <c r="WBJ78" s="137"/>
      <c r="WBK78" s="137"/>
      <c r="WBL78" s="137"/>
      <c r="WBM78" s="137"/>
      <c r="WBN78" s="137"/>
      <c r="WBO78" s="137"/>
      <c r="WBP78" s="137"/>
      <c r="WBQ78" s="137"/>
      <c r="WBR78" s="137"/>
      <c r="WBS78" s="137"/>
      <c r="WBT78" s="137"/>
      <c r="WBU78" s="137"/>
      <c r="WBV78" s="137"/>
      <c r="WBW78" s="137"/>
      <c r="WBX78" s="137"/>
      <c r="WBY78" s="137"/>
      <c r="WBZ78" s="137"/>
      <c r="WCA78" s="137"/>
      <c r="WCB78" s="137"/>
      <c r="WCC78" s="137"/>
      <c r="WCD78" s="137"/>
      <c r="WCE78" s="137"/>
      <c r="WCF78" s="137"/>
      <c r="WCG78" s="137"/>
      <c r="WCH78" s="137"/>
      <c r="WCI78" s="137"/>
      <c r="WCJ78" s="137"/>
      <c r="WCK78" s="137"/>
      <c r="WCL78" s="137"/>
      <c r="WCM78" s="137"/>
      <c r="WCN78" s="137"/>
      <c r="WCO78" s="137"/>
      <c r="WCP78" s="137"/>
      <c r="WCQ78" s="137"/>
      <c r="WCR78" s="137"/>
      <c r="WCS78" s="137"/>
      <c r="WCT78" s="137"/>
      <c r="WCU78" s="137"/>
      <c r="WCV78" s="137"/>
      <c r="WCW78" s="137"/>
      <c r="WCX78" s="137"/>
      <c r="WCY78" s="137"/>
      <c r="WCZ78" s="137"/>
      <c r="WDA78" s="137"/>
      <c r="WDB78" s="137"/>
      <c r="WDC78" s="137"/>
      <c r="WDD78" s="137"/>
      <c r="WDE78" s="137"/>
      <c r="WDF78" s="137"/>
      <c r="WDG78" s="137"/>
      <c r="WDH78" s="137"/>
      <c r="WDI78" s="137"/>
      <c r="WDJ78" s="137"/>
      <c r="WDK78" s="137"/>
      <c r="WDL78" s="137"/>
      <c r="WDM78" s="137"/>
      <c r="WDN78" s="137"/>
      <c r="WDO78" s="137"/>
      <c r="WDP78" s="137"/>
      <c r="WDQ78" s="137"/>
      <c r="WDR78" s="137"/>
      <c r="WDS78" s="137"/>
      <c r="WDT78" s="137"/>
      <c r="WDU78" s="137"/>
      <c r="WDV78" s="137"/>
      <c r="WDW78" s="137"/>
      <c r="WDX78" s="137"/>
      <c r="WDY78" s="137"/>
      <c r="WDZ78" s="137"/>
      <c r="WEA78" s="137"/>
      <c r="WEB78" s="137"/>
      <c r="WEC78" s="137"/>
      <c r="WED78" s="137"/>
      <c r="WEE78" s="137"/>
      <c r="WEF78" s="137"/>
      <c r="WEG78" s="137"/>
      <c r="WEH78" s="137"/>
      <c r="WEI78" s="137"/>
      <c r="WEJ78" s="137"/>
      <c r="WEK78" s="137"/>
      <c r="WEL78" s="137"/>
      <c r="WEM78" s="137"/>
      <c r="WEN78" s="137"/>
      <c r="WEO78" s="137"/>
      <c r="WEP78" s="137"/>
      <c r="WEQ78" s="137"/>
      <c r="WER78" s="137"/>
      <c r="WES78" s="137"/>
      <c r="WET78" s="137"/>
      <c r="WEU78" s="137"/>
      <c r="WEV78" s="137"/>
      <c r="WEW78" s="137"/>
      <c r="WEX78" s="137"/>
      <c r="WEY78" s="137"/>
      <c r="WEZ78" s="137"/>
      <c r="WFA78" s="137"/>
      <c r="WFB78" s="137"/>
      <c r="WFC78" s="137"/>
      <c r="WFD78" s="137"/>
      <c r="WFE78" s="137"/>
      <c r="WFF78" s="137"/>
      <c r="WFG78" s="137"/>
      <c r="WFH78" s="137"/>
      <c r="WFI78" s="137"/>
      <c r="WFJ78" s="137"/>
      <c r="WFK78" s="137"/>
      <c r="WFL78" s="137"/>
      <c r="WFM78" s="137"/>
      <c r="WFN78" s="137"/>
      <c r="WFO78" s="137"/>
      <c r="WFP78" s="137"/>
      <c r="WFQ78" s="137"/>
      <c r="WFR78" s="137"/>
      <c r="WFS78" s="137"/>
      <c r="WFT78" s="137"/>
      <c r="WFU78" s="137"/>
      <c r="WFV78" s="137"/>
      <c r="WFW78" s="137"/>
      <c r="WFX78" s="137"/>
      <c r="WFY78" s="137"/>
      <c r="WFZ78" s="137"/>
      <c r="WGA78" s="137"/>
      <c r="WGB78" s="137"/>
      <c r="WGC78" s="137"/>
      <c r="WGD78" s="137"/>
      <c r="WGE78" s="137"/>
      <c r="WGF78" s="137"/>
      <c r="WGG78" s="137"/>
      <c r="WGH78" s="137"/>
      <c r="WGI78" s="137"/>
      <c r="WGJ78" s="137"/>
      <c r="WGK78" s="137"/>
      <c r="WGL78" s="137"/>
      <c r="WGM78" s="137"/>
      <c r="WGN78" s="137"/>
      <c r="WGO78" s="137"/>
      <c r="WGP78" s="137"/>
      <c r="WGQ78" s="137"/>
      <c r="WGR78" s="137"/>
      <c r="WGS78" s="137"/>
      <c r="WGT78" s="137"/>
      <c r="WGU78" s="137"/>
      <c r="WGV78" s="137"/>
      <c r="WGW78" s="137"/>
      <c r="WGX78" s="137"/>
      <c r="WGY78" s="137"/>
      <c r="WGZ78" s="137"/>
      <c r="WHA78" s="137"/>
      <c r="WHB78" s="137"/>
      <c r="WHC78" s="137"/>
      <c r="WHD78" s="137"/>
      <c r="WHE78" s="137"/>
      <c r="WHF78" s="137"/>
      <c r="WHG78" s="137"/>
      <c r="WHH78" s="137"/>
      <c r="WHI78" s="137"/>
      <c r="WHJ78" s="137"/>
      <c r="WHK78" s="137"/>
      <c r="WHL78" s="137"/>
      <c r="WHM78" s="137"/>
      <c r="WHN78" s="137"/>
      <c r="WHO78" s="137"/>
      <c r="WHP78" s="137"/>
      <c r="WHQ78" s="137"/>
      <c r="WHR78" s="137"/>
      <c r="WHS78" s="137"/>
      <c r="WHT78" s="137"/>
      <c r="WHU78" s="137"/>
      <c r="WHV78" s="137"/>
      <c r="WHW78" s="137"/>
      <c r="WHX78" s="137"/>
      <c r="WHY78" s="137"/>
      <c r="WHZ78" s="137"/>
      <c r="WIA78" s="137"/>
      <c r="WIB78" s="137"/>
      <c r="WIC78" s="137"/>
      <c r="WID78" s="137"/>
      <c r="WIE78" s="137"/>
      <c r="WIF78" s="137"/>
      <c r="WIG78" s="137"/>
      <c r="WIH78" s="137"/>
      <c r="WII78" s="137"/>
      <c r="WIJ78" s="137"/>
      <c r="WIK78" s="137"/>
      <c r="WIL78" s="137"/>
      <c r="WIM78" s="137"/>
      <c r="WIN78" s="137"/>
      <c r="WIO78" s="137"/>
      <c r="WIP78" s="137"/>
      <c r="WIQ78" s="137"/>
      <c r="WIR78" s="137"/>
      <c r="WIS78" s="137"/>
      <c r="WIT78" s="137"/>
      <c r="WIU78" s="137"/>
      <c r="WIV78" s="137"/>
      <c r="WIW78" s="137"/>
      <c r="WIX78" s="137"/>
      <c r="WIY78" s="137"/>
      <c r="WIZ78" s="137"/>
      <c r="WJA78" s="137"/>
      <c r="WJB78" s="137"/>
      <c r="WJC78" s="137"/>
      <c r="WJD78" s="137"/>
      <c r="WJE78" s="137"/>
      <c r="WJF78" s="137"/>
      <c r="WJG78" s="137"/>
      <c r="WJH78" s="137"/>
      <c r="WJI78" s="137"/>
      <c r="WJJ78" s="137"/>
      <c r="WJK78" s="137"/>
      <c r="WJL78" s="137"/>
      <c r="WJM78" s="137"/>
      <c r="WJN78" s="137"/>
      <c r="WJO78" s="137"/>
      <c r="WJP78" s="137"/>
      <c r="WJQ78" s="137"/>
      <c r="WJR78" s="137"/>
      <c r="WJS78" s="137"/>
      <c r="WJT78" s="137"/>
      <c r="WJU78" s="137"/>
      <c r="WJV78" s="137"/>
      <c r="WJW78" s="137"/>
      <c r="WJX78" s="137"/>
      <c r="WJY78" s="137"/>
      <c r="WJZ78" s="137"/>
      <c r="WKA78" s="137"/>
      <c r="WKB78" s="137"/>
      <c r="WKC78" s="137"/>
      <c r="WKD78" s="137"/>
      <c r="WKE78" s="137"/>
      <c r="WKF78" s="137"/>
      <c r="WKG78" s="137"/>
      <c r="WKH78" s="137"/>
      <c r="WKI78" s="137"/>
      <c r="WKJ78" s="137"/>
      <c r="WKK78" s="137"/>
      <c r="WKL78" s="137"/>
      <c r="WKM78" s="137"/>
      <c r="WKN78" s="137"/>
      <c r="WKO78" s="137"/>
      <c r="WKP78" s="137"/>
      <c r="WKQ78" s="137"/>
      <c r="WKR78" s="137"/>
      <c r="WKS78" s="137"/>
      <c r="WKT78" s="137"/>
      <c r="WKU78" s="137"/>
      <c r="WKV78" s="137"/>
      <c r="WKW78" s="137"/>
      <c r="WKX78" s="137"/>
      <c r="WKY78" s="137"/>
      <c r="WKZ78" s="137"/>
      <c r="WLA78" s="137"/>
      <c r="WLB78" s="137"/>
      <c r="WLC78" s="137"/>
      <c r="WLD78" s="137"/>
      <c r="WLE78" s="137"/>
      <c r="WLF78" s="137"/>
      <c r="WLG78" s="137"/>
      <c r="WLH78" s="137"/>
      <c r="WLI78" s="137"/>
      <c r="WLJ78" s="137"/>
      <c r="WLK78" s="137"/>
      <c r="WLL78" s="137"/>
      <c r="WLM78" s="137"/>
      <c r="WLN78" s="137"/>
      <c r="WLO78" s="137"/>
      <c r="WLP78" s="137"/>
      <c r="WLQ78" s="137"/>
      <c r="WLR78" s="137"/>
      <c r="WLS78" s="137"/>
      <c r="WLT78" s="137"/>
      <c r="WLU78" s="137"/>
      <c r="WLV78" s="137"/>
      <c r="WLW78" s="137"/>
      <c r="WLX78" s="137"/>
      <c r="WLY78" s="137"/>
      <c r="WLZ78" s="137"/>
      <c r="WMA78" s="137"/>
      <c r="WMB78" s="137"/>
      <c r="WMC78" s="137"/>
      <c r="WMD78" s="137"/>
      <c r="WME78" s="137"/>
      <c r="WMF78" s="137"/>
      <c r="WMG78" s="137"/>
      <c r="WMH78" s="137"/>
      <c r="WMI78" s="137"/>
      <c r="WMJ78" s="137"/>
      <c r="WMK78" s="137"/>
      <c r="WML78" s="137"/>
      <c r="WMM78" s="137"/>
      <c r="WMN78" s="137"/>
      <c r="WMO78" s="137"/>
      <c r="WMP78" s="137"/>
      <c r="WMQ78" s="137"/>
      <c r="WMR78" s="137"/>
      <c r="WMS78" s="137"/>
      <c r="WMT78" s="137"/>
      <c r="WMU78" s="137"/>
      <c r="WMV78" s="137"/>
      <c r="WMW78" s="137"/>
      <c r="WMX78" s="137"/>
      <c r="WMY78" s="137"/>
      <c r="WMZ78" s="137"/>
      <c r="WNA78" s="137"/>
      <c r="WNB78" s="137"/>
      <c r="WNC78" s="137"/>
      <c r="WND78" s="137"/>
      <c r="WNE78" s="137"/>
      <c r="WNF78" s="137"/>
      <c r="WNG78" s="137"/>
      <c r="WNH78" s="137"/>
      <c r="WNI78" s="137"/>
      <c r="WNJ78" s="137"/>
      <c r="WNK78" s="137"/>
      <c r="WNL78" s="137"/>
      <c r="WNM78" s="137"/>
      <c r="WNN78" s="137"/>
      <c r="WNO78" s="137"/>
      <c r="WNP78" s="137"/>
      <c r="WNQ78" s="137"/>
      <c r="WNR78" s="137"/>
      <c r="WNS78" s="137"/>
      <c r="WNT78" s="137"/>
      <c r="WNU78" s="137"/>
      <c r="WNV78" s="137"/>
      <c r="WNW78" s="137"/>
      <c r="WNX78" s="137"/>
      <c r="WNY78" s="137"/>
      <c r="WNZ78" s="137"/>
      <c r="WOA78" s="137"/>
      <c r="WOB78" s="137"/>
      <c r="WOC78" s="137"/>
      <c r="WOD78" s="137"/>
      <c r="WOE78" s="137"/>
      <c r="WOF78" s="137"/>
      <c r="WOG78" s="137"/>
      <c r="WOH78" s="137"/>
      <c r="WOI78" s="137"/>
      <c r="WOJ78" s="137"/>
      <c r="WOK78" s="137"/>
      <c r="WOL78" s="137"/>
      <c r="WOM78" s="137"/>
      <c r="WON78" s="137"/>
      <c r="WOO78" s="137"/>
      <c r="WOP78" s="137"/>
      <c r="WOQ78" s="137"/>
      <c r="WOR78" s="137"/>
      <c r="WOS78" s="137"/>
      <c r="WOT78" s="137"/>
      <c r="WOU78" s="137"/>
      <c r="WOV78" s="137"/>
      <c r="WOW78" s="137"/>
      <c r="WOX78" s="137"/>
      <c r="WOY78" s="137"/>
      <c r="WOZ78" s="137"/>
      <c r="WPA78" s="137"/>
      <c r="WPB78" s="137"/>
      <c r="WPC78" s="137"/>
      <c r="WPD78" s="137"/>
      <c r="WPE78" s="137"/>
      <c r="WPF78" s="137"/>
      <c r="WPG78" s="137"/>
      <c r="WPH78" s="137"/>
      <c r="WPI78" s="137"/>
      <c r="WPJ78" s="137"/>
      <c r="WPK78" s="137"/>
      <c r="WPL78" s="137"/>
      <c r="WPM78" s="137"/>
      <c r="WPN78" s="137"/>
      <c r="WPO78" s="137"/>
      <c r="WPP78" s="137"/>
      <c r="WPQ78" s="137"/>
      <c r="WPR78" s="137"/>
      <c r="WPS78" s="137"/>
      <c r="WPT78" s="137"/>
      <c r="WPU78" s="137"/>
      <c r="WPV78" s="137"/>
      <c r="WPW78" s="137"/>
      <c r="WPX78" s="137"/>
      <c r="WPY78" s="137"/>
      <c r="WPZ78" s="137"/>
      <c r="WQA78" s="137"/>
      <c r="WQB78" s="137"/>
      <c r="WQC78" s="137"/>
      <c r="WQD78" s="137"/>
      <c r="WQE78" s="137"/>
      <c r="WQF78" s="137"/>
      <c r="WQG78" s="137"/>
      <c r="WQH78" s="137"/>
      <c r="WQI78" s="137"/>
      <c r="WQJ78" s="137"/>
      <c r="WQK78" s="137"/>
      <c r="WQL78" s="137"/>
      <c r="WQM78" s="137"/>
      <c r="WQN78" s="137"/>
      <c r="WQO78" s="137"/>
      <c r="WQP78" s="137"/>
      <c r="WQQ78" s="137"/>
      <c r="WQR78" s="137"/>
      <c r="WQS78" s="137"/>
      <c r="WQT78" s="137"/>
      <c r="WQU78" s="137"/>
      <c r="WQV78" s="137"/>
      <c r="WQW78" s="137"/>
      <c r="WQX78" s="137"/>
      <c r="WQY78" s="137"/>
      <c r="WQZ78" s="137"/>
      <c r="WRA78" s="137"/>
      <c r="WRB78" s="137"/>
      <c r="WRC78" s="137"/>
      <c r="WRD78" s="137"/>
      <c r="WRE78" s="137"/>
      <c r="WRF78" s="137"/>
      <c r="WRG78" s="137"/>
      <c r="WRH78" s="137"/>
      <c r="WRI78" s="137"/>
      <c r="WRJ78" s="137"/>
      <c r="WRK78" s="137"/>
      <c r="WRL78" s="137"/>
      <c r="WRM78" s="137"/>
      <c r="WRN78" s="137"/>
      <c r="WRO78" s="137"/>
      <c r="WRP78" s="137"/>
      <c r="WRQ78" s="137"/>
      <c r="WRR78" s="137"/>
      <c r="WRS78" s="137"/>
      <c r="WRT78" s="137"/>
      <c r="WRU78" s="137"/>
      <c r="WRV78" s="137"/>
      <c r="WRW78" s="137"/>
      <c r="WRX78" s="137"/>
      <c r="WRY78" s="137"/>
      <c r="WRZ78" s="137"/>
      <c r="WSA78" s="137"/>
      <c r="WSB78" s="137"/>
      <c r="WSC78" s="137"/>
      <c r="WSD78" s="137"/>
      <c r="WSE78" s="137"/>
      <c r="WSF78" s="137"/>
      <c r="WSG78" s="137"/>
      <c r="WSH78" s="137"/>
      <c r="WSI78" s="137"/>
      <c r="WSJ78" s="137"/>
      <c r="WSK78" s="137"/>
      <c r="WSL78" s="137"/>
      <c r="WSM78" s="137"/>
      <c r="WSN78" s="137"/>
      <c r="WSO78" s="137"/>
      <c r="WSP78" s="137"/>
      <c r="WSQ78" s="137"/>
      <c r="WSR78" s="137"/>
      <c r="WSS78" s="137"/>
      <c r="WST78" s="137"/>
      <c r="WSU78" s="137"/>
      <c r="WSV78" s="137"/>
      <c r="WSW78" s="137"/>
      <c r="WSX78" s="137"/>
      <c r="WSY78" s="137"/>
      <c r="WSZ78" s="137"/>
      <c r="WTA78" s="137"/>
      <c r="WTB78" s="137"/>
      <c r="WTC78" s="137"/>
      <c r="WTD78" s="137"/>
      <c r="WTE78" s="137"/>
      <c r="WTF78" s="137"/>
      <c r="WTG78" s="137"/>
      <c r="WTH78" s="137"/>
      <c r="WTI78" s="137"/>
      <c r="WTJ78" s="137"/>
      <c r="WTK78" s="137"/>
      <c r="WTL78" s="137"/>
      <c r="WTM78" s="137"/>
      <c r="WTN78" s="137"/>
      <c r="WTO78" s="137"/>
      <c r="WTP78" s="137"/>
      <c r="WTQ78" s="137"/>
      <c r="WTR78" s="137"/>
      <c r="WTS78" s="137"/>
      <c r="WTT78" s="137"/>
      <c r="WTU78" s="137"/>
      <c r="WTV78" s="137"/>
      <c r="WTW78" s="137"/>
      <c r="WTX78" s="137"/>
      <c r="WTY78" s="137"/>
      <c r="WTZ78" s="137"/>
      <c r="WUA78" s="137"/>
      <c r="WUB78" s="137"/>
      <c r="WUC78" s="137"/>
      <c r="WUD78" s="137"/>
      <c r="WUE78" s="137"/>
      <c r="WUF78" s="137"/>
      <c r="WUG78" s="137"/>
      <c r="WUH78" s="137"/>
      <c r="WUI78" s="137"/>
      <c r="WUJ78" s="137"/>
      <c r="WUK78" s="137"/>
      <c r="WUL78" s="137"/>
      <c r="WUM78" s="137"/>
      <c r="WUN78" s="137"/>
      <c r="WUO78" s="137"/>
      <c r="WUP78" s="137"/>
      <c r="WUQ78" s="137"/>
      <c r="WUR78" s="137"/>
      <c r="WUS78" s="137"/>
      <c r="WUT78" s="137"/>
      <c r="WUU78" s="137"/>
      <c r="WUV78" s="137"/>
      <c r="WUW78" s="137"/>
      <c r="WUX78" s="137"/>
      <c r="WUY78" s="137"/>
      <c r="WUZ78" s="137"/>
      <c r="WVA78" s="137"/>
      <c r="WVB78" s="137"/>
      <c r="WVC78" s="137"/>
      <c r="WVD78" s="137"/>
      <c r="WVE78" s="137"/>
      <c r="WVF78" s="137"/>
      <c r="WVG78" s="137"/>
      <c r="WVH78" s="137"/>
      <c r="WVI78" s="137"/>
      <c r="WVJ78" s="137"/>
      <c r="WVK78" s="137"/>
      <c r="WVL78" s="137"/>
      <c r="WVM78" s="137"/>
      <c r="WVN78" s="137"/>
      <c r="WVO78" s="137"/>
      <c r="WVP78" s="137"/>
      <c r="WVQ78" s="137"/>
      <c r="WVR78" s="137"/>
      <c r="WVS78" s="137"/>
      <c r="WVT78" s="137"/>
      <c r="WVU78" s="137"/>
      <c r="WVV78" s="137"/>
      <c r="WVW78" s="137"/>
      <c r="WVX78" s="137"/>
      <c r="WVY78" s="137"/>
      <c r="WVZ78" s="137"/>
      <c r="WWA78" s="137"/>
      <c r="WWB78" s="137"/>
      <c r="WWC78" s="137"/>
      <c r="WWD78" s="137"/>
      <c r="WWE78" s="137"/>
      <c r="WWF78" s="137"/>
      <c r="WWG78" s="137"/>
      <c r="WWH78" s="137"/>
      <c r="WWI78" s="137"/>
      <c r="WWJ78" s="137"/>
      <c r="WWK78" s="137"/>
      <c r="WWL78" s="137"/>
      <c r="WWM78" s="137"/>
      <c r="WWN78" s="137"/>
      <c r="WWO78" s="137"/>
      <c r="WWP78" s="137"/>
      <c r="WWQ78" s="137"/>
      <c r="WWR78" s="137"/>
      <c r="WWS78" s="137"/>
      <c r="WWT78" s="137"/>
      <c r="WWU78" s="137"/>
      <c r="WWV78" s="137"/>
      <c r="WWW78" s="137"/>
      <c r="WWX78" s="137"/>
      <c r="WWY78" s="137"/>
      <c r="WWZ78" s="137"/>
      <c r="WXA78" s="137"/>
      <c r="WXB78" s="137"/>
      <c r="WXC78" s="137"/>
      <c r="WXD78" s="137"/>
      <c r="WXE78" s="137"/>
      <c r="WXF78" s="137"/>
      <c r="WXG78" s="137"/>
      <c r="WXH78" s="137"/>
      <c r="WXI78" s="137"/>
      <c r="WXJ78" s="137"/>
      <c r="WXK78" s="137"/>
      <c r="WXL78" s="137"/>
      <c r="WXM78" s="137"/>
      <c r="WXN78" s="137"/>
      <c r="WXO78" s="137"/>
      <c r="WXP78" s="137"/>
      <c r="WXQ78" s="137"/>
      <c r="WXR78" s="137"/>
      <c r="WXS78" s="137"/>
      <c r="WXT78" s="137"/>
      <c r="WXU78" s="137"/>
      <c r="WXV78" s="137"/>
      <c r="WXW78" s="137"/>
      <c r="WXX78" s="137"/>
      <c r="WXY78" s="137"/>
      <c r="WXZ78" s="137"/>
      <c r="WYA78" s="137"/>
      <c r="WYB78" s="137"/>
      <c r="WYC78" s="137"/>
      <c r="WYD78" s="137"/>
      <c r="WYE78" s="137"/>
      <c r="WYF78" s="137"/>
      <c r="WYG78" s="137"/>
      <c r="WYH78" s="137"/>
      <c r="WYI78" s="137"/>
      <c r="WYJ78" s="137"/>
      <c r="WYK78" s="137"/>
      <c r="WYL78" s="137"/>
      <c r="WYM78" s="137"/>
      <c r="WYN78" s="137"/>
      <c r="WYO78" s="137"/>
      <c r="WYP78" s="137"/>
      <c r="WYQ78" s="137"/>
      <c r="WYR78" s="137"/>
      <c r="WYS78" s="137"/>
      <c r="WYT78" s="137"/>
      <c r="WYU78" s="137"/>
      <c r="WYV78" s="137"/>
      <c r="WYW78" s="137"/>
      <c r="WYX78" s="137"/>
      <c r="WYY78" s="137"/>
      <c r="WYZ78" s="137"/>
      <c r="WZA78" s="137"/>
      <c r="WZB78" s="137"/>
      <c r="WZC78" s="137"/>
      <c r="WZD78" s="137"/>
      <c r="WZE78" s="137"/>
      <c r="WZF78" s="137"/>
      <c r="WZG78" s="137"/>
      <c r="WZH78" s="137"/>
      <c r="WZI78" s="137"/>
      <c r="WZJ78" s="137"/>
      <c r="WZK78" s="137"/>
      <c r="WZL78" s="137"/>
      <c r="WZM78" s="137"/>
      <c r="WZN78" s="137"/>
      <c r="WZO78" s="137"/>
      <c r="WZP78" s="137"/>
      <c r="WZQ78" s="137"/>
      <c r="WZR78" s="137"/>
      <c r="WZS78" s="137"/>
      <c r="WZT78" s="137"/>
      <c r="WZU78" s="137"/>
      <c r="WZV78" s="137"/>
      <c r="WZW78" s="137"/>
      <c r="WZX78" s="137"/>
      <c r="WZY78" s="137"/>
      <c r="WZZ78" s="137"/>
      <c r="XAA78" s="137"/>
      <c r="XAB78" s="137"/>
      <c r="XAC78" s="137"/>
      <c r="XAD78" s="137"/>
      <c r="XAE78" s="137"/>
      <c r="XAF78" s="137"/>
      <c r="XAG78" s="137"/>
      <c r="XAH78" s="137"/>
      <c r="XAI78" s="137"/>
      <c r="XAJ78" s="137"/>
      <c r="XAK78" s="137"/>
      <c r="XAL78" s="137"/>
      <c r="XAM78" s="137"/>
      <c r="XAN78" s="137"/>
      <c r="XAO78" s="137"/>
      <c r="XAP78" s="137"/>
      <c r="XAQ78" s="137"/>
      <c r="XAR78" s="137"/>
      <c r="XAS78" s="137"/>
      <c r="XAT78" s="137"/>
      <c r="XAU78" s="137"/>
      <c r="XAV78" s="137"/>
      <c r="XAW78" s="137"/>
      <c r="XAX78" s="137"/>
      <c r="XAY78" s="137"/>
      <c r="XAZ78" s="137"/>
      <c r="XBA78" s="137"/>
      <c r="XBB78" s="137"/>
      <c r="XBC78" s="137"/>
      <c r="XBD78" s="137"/>
      <c r="XBE78" s="137"/>
      <c r="XBF78" s="137"/>
      <c r="XBG78" s="137"/>
      <c r="XBH78" s="137"/>
      <c r="XBI78" s="137"/>
      <c r="XBJ78" s="137"/>
      <c r="XBK78" s="137"/>
      <c r="XBL78" s="137"/>
      <c r="XBM78" s="137"/>
      <c r="XBN78" s="137"/>
      <c r="XBO78" s="137"/>
      <c r="XBP78" s="137"/>
      <c r="XBQ78" s="137"/>
      <c r="XBR78" s="137"/>
      <c r="XBS78" s="137"/>
      <c r="XBT78" s="137"/>
      <c r="XBU78" s="137"/>
      <c r="XBV78" s="137"/>
      <c r="XBW78" s="137"/>
      <c r="XBX78" s="137"/>
      <c r="XBY78" s="137"/>
      <c r="XBZ78" s="137"/>
      <c r="XCA78" s="137"/>
      <c r="XCB78" s="137"/>
      <c r="XCC78" s="137"/>
      <c r="XCD78" s="137"/>
      <c r="XCE78" s="137"/>
      <c r="XCF78" s="137"/>
      <c r="XCG78" s="137"/>
      <c r="XCH78" s="137"/>
      <c r="XCI78" s="137"/>
      <c r="XCJ78" s="137"/>
      <c r="XCK78" s="137"/>
      <c r="XCL78" s="137"/>
      <c r="XCM78" s="137"/>
      <c r="XCN78" s="137"/>
      <c r="XCO78" s="137"/>
      <c r="XCP78" s="137"/>
      <c r="XCQ78" s="137"/>
      <c r="XCR78" s="137"/>
      <c r="XCS78" s="137"/>
      <c r="XCT78" s="137"/>
      <c r="XCU78" s="137"/>
      <c r="XCV78" s="137"/>
      <c r="XCW78" s="137"/>
      <c r="XCX78" s="137"/>
      <c r="XCY78" s="137"/>
      <c r="XCZ78" s="137"/>
      <c r="XDA78" s="137"/>
      <c r="XDB78" s="137"/>
      <c r="XDC78" s="137"/>
      <c r="XDD78" s="137"/>
      <c r="XDE78" s="137"/>
      <c r="XDF78" s="137"/>
      <c r="XDG78" s="137"/>
      <c r="XDH78" s="137"/>
      <c r="XDI78" s="137"/>
      <c r="XDJ78" s="137"/>
      <c r="XDK78" s="137"/>
      <c r="XDL78" s="137"/>
      <c r="XDM78" s="137"/>
      <c r="XDN78" s="137"/>
      <c r="XDO78" s="137"/>
      <c r="XDP78" s="137"/>
      <c r="XDQ78" s="137"/>
      <c r="XDR78" s="137"/>
      <c r="XDS78" s="137"/>
      <c r="XDT78" s="137"/>
      <c r="XDU78" s="137"/>
      <c r="XDV78" s="137"/>
      <c r="XDW78" s="137"/>
      <c r="XDX78" s="137"/>
      <c r="XDY78" s="137"/>
      <c r="XDZ78" s="137"/>
      <c r="XEA78" s="137"/>
      <c r="XEB78" s="137"/>
      <c r="XEC78" s="137"/>
      <c r="XED78" s="137"/>
      <c r="XEE78" s="137"/>
      <c r="XEF78" s="137"/>
      <c r="XEG78" s="137"/>
      <c r="XEH78" s="137"/>
      <c r="XEI78" s="137"/>
      <c r="XEJ78" s="137"/>
      <c r="XEK78" s="137"/>
      <c r="XEL78" s="137"/>
      <c r="XEM78" s="137"/>
      <c r="XEN78" s="137"/>
      <c r="XEO78" s="137"/>
      <c r="XEP78" s="137"/>
      <c r="XEQ78" s="137"/>
      <c r="XER78" s="137"/>
      <c r="XES78" s="137"/>
      <c r="XET78" s="137"/>
      <c r="XEU78" s="137"/>
    </row>
    <row r="79" spans="1:16375" s="137" customFormat="1" ht="12.75">
      <c r="A79" s="137" t="s">
        <v>1835</v>
      </c>
      <c r="B79" s="370" t="s">
        <v>1686</v>
      </c>
      <c r="C79" s="372"/>
      <c r="D79" s="372"/>
      <c r="E79" s="372"/>
      <c r="F79" s="372"/>
      <c r="G79" s="372"/>
      <c r="H79" s="372"/>
      <c r="I79" s="372"/>
      <c r="J79" s="372"/>
      <c r="K79" s="372"/>
      <c r="L79" s="372"/>
      <c r="M79" s="372"/>
      <c r="N79" s="372"/>
      <c r="O79" s="372"/>
      <c r="P79" s="372"/>
      <c r="Q79" s="372"/>
      <c r="R79" s="372"/>
      <c r="S79" s="372"/>
      <c r="T79" s="372"/>
      <c r="U79" s="372"/>
      <c r="V79" s="372"/>
      <c r="W79" s="372"/>
      <c r="X79" s="372"/>
      <c r="Y79" s="372"/>
      <c r="Z79" s="372"/>
      <c r="AA79" s="372"/>
      <c r="AB79" s="372"/>
      <c r="AC79" s="372"/>
      <c r="AD79" s="372"/>
      <c r="AE79" s="380" t="s">
        <v>302</v>
      </c>
      <c r="AF79" s="380" t="s">
        <v>302</v>
      </c>
      <c r="AG79" s="380" t="s">
        <v>302</v>
      </c>
      <c r="AH79" s="380" t="s">
        <v>302</v>
      </c>
      <c r="AI79" s="380" t="s">
        <v>302</v>
      </c>
      <c r="AJ79" s="372"/>
      <c r="AK79" s="372"/>
      <c r="AL79" s="372"/>
      <c r="AM79" s="372"/>
      <c r="AN79" s="372"/>
      <c r="AO79" s="372"/>
      <c r="AP79" s="372"/>
      <c r="AQ79" s="372"/>
      <c r="AR79" s="372"/>
      <c r="AS79" s="372"/>
      <c r="AT79" s="372"/>
      <c r="AU79" s="372"/>
      <c r="AV79" s="372"/>
      <c r="AW79" s="372"/>
      <c r="AX79" s="372"/>
      <c r="AY79" s="372"/>
      <c r="AZ79" s="372"/>
      <c r="BA79" s="372"/>
      <c r="BB79" s="372"/>
      <c r="BC79" s="372"/>
      <c r="BD79" s="372"/>
      <c r="BE79" s="372"/>
      <c r="BF79" s="372"/>
      <c r="BG79" s="372"/>
      <c r="BH79" s="372"/>
      <c r="BI79" s="372"/>
      <c r="BJ79" s="372"/>
      <c r="BK79" s="372"/>
      <c r="BL79" s="372"/>
      <c r="BM79" s="372"/>
      <c r="BN79" s="372"/>
      <c r="BO79" s="372"/>
      <c r="BP79" s="372"/>
      <c r="BQ79" s="372"/>
      <c r="BR79" s="372"/>
      <c r="BS79" s="372"/>
      <c r="BT79" s="372"/>
      <c r="BU79" s="372"/>
      <c r="BV79" s="372"/>
    </row>
    <row r="80" spans="1:16375" s="137" customFormat="1" ht="12.75">
      <c r="A80" s="137" t="s">
        <v>1836</v>
      </c>
      <c r="B80" s="370" t="s">
        <v>1687</v>
      </c>
      <c r="C80" s="372"/>
      <c r="D80" s="372"/>
      <c r="E80" s="372"/>
      <c r="F80" s="372"/>
      <c r="G80" s="372"/>
      <c r="H80" s="372"/>
      <c r="I80" s="372"/>
      <c r="J80" s="372"/>
      <c r="K80" s="372"/>
      <c r="L80" s="372"/>
      <c r="M80" s="372"/>
      <c r="N80" s="372"/>
      <c r="O80" s="372"/>
      <c r="P80" s="372"/>
      <c r="Q80" s="372"/>
      <c r="R80" s="372"/>
      <c r="S80" s="372"/>
      <c r="T80" s="372"/>
      <c r="U80" s="372"/>
      <c r="V80" s="372"/>
      <c r="W80" s="372"/>
      <c r="X80" s="372"/>
      <c r="Y80" s="372"/>
      <c r="Z80" s="372"/>
      <c r="AA80" s="372"/>
      <c r="AB80" s="372"/>
      <c r="AC80" s="372"/>
      <c r="AD80" s="372"/>
      <c r="AE80" s="372"/>
      <c r="AF80" s="380" t="s">
        <v>302</v>
      </c>
      <c r="AG80" s="380" t="s">
        <v>302</v>
      </c>
      <c r="AH80" s="380" t="s">
        <v>302</v>
      </c>
      <c r="AI80" s="380" t="s">
        <v>302</v>
      </c>
      <c r="AJ80" s="372"/>
      <c r="AK80" s="372"/>
      <c r="AL80" s="372"/>
      <c r="AM80" s="372"/>
      <c r="AN80" s="372"/>
      <c r="AO80" s="372"/>
      <c r="AP80" s="372"/>
      <c r="AQ80" s="372"/>
      <c r="AR80" s="372"/>
      <c r="AS80" s="372"/>
      <c r="AT80" s="372"/>
      <c r="AU80" s="372"/>
      <c r="AV80" s="372"/>
      <c r="AW80" s="372"/>
      <c r="AX80" s="372"/>
      <c r="AY80" s="372"/>
      <c r="AZ80" s="372"/>
      <c r="BA80" s="372"/>
      <c r="BB80" s="372"/>
      <c r="BC80" s="372"/>
      <c r="BD80" s="372"/>
      <c r="BE80" s="372"/>
      <c r="BF80" s="372"/>
      <c r="BG80" s="372"/>
      <c r="BH80" s="372"/>
      <c r="BI80" s="372"/>
      <c r="BJ80" s="372"/>
      <c r="BK80" s="372"/>
      <c r="BL80" s="372"/>
      <c r="BM80" s="372"/>
      <c r="BN80" s="372"/>
      <c r="BO80" s="372"/>
      <c r="BP80" s="372"/>
      <c r="BQ80" s="372"/>
      <c r="BR80" s="372"/>
      <c r="BS80" s="372"/>
      <c r="BT80" s="372"/>
      <c r="BU80" s="372"/>
      <c r="BV80" s="372"/>
    </row>
    <row r="81" spans="1:74" s="137" customFormat="1" ht="12.75">
      <c r="A81" s="137" t="s">
        <v>1837</v>
      </c>
      <c r="B81" s="370" t="s">
        <v>1688</v>
      </c>
      <c r="C81" s="372"/>
      <c r="D81" s="372"/>
      <c r="E81" s="372"/>
      <c r="F81" s="372"/>
      <c r="G81" s="372"/>
      <c r="H81" s="372"/>
      <c r="I81" s="372"/>
      <c r="J81" s="372"/>
      <c r="K81" s="372"/>
      <c r="L81" s="372"/>
      <c r="M81" s="372"/>
      <c r="N81" s="372"/>
      <c r="O81" s="372"/>
      <c r="P81" s="372"/>
      <c r="Q81" s="372"/>
      <c r="R81" s="372"/>
      <c r="S81" s="372"/>
      <c r="T81" s="372"/>
      <c r="U81" s="372"/>
      <c r="V81" s="372"/>
      <c r="W81" s="372"/>
      <c r="X81" s="372"/>
      <c r="Y81" s="372"/>
      <c r="Z81" s="372"/>
      <c r="AA81" s="372"/>
      <c r="AB81" s="372"/>
      <c r="AC81" s="372"/>
      <c r="AD81" s="372"/>
      <c r="AE81" s="372"/>
      <c r="AF81" s="372"/>
      <c r="AG81" s="380" t="s">
        <v>302</v>
      </c>
      <c r="AH81" s="372"/>
      <c r="AI81" s="380" t="s">
        <v>302</v>
      </c>
      <c r="AJ81" s="372"/>
      <c r="AK81" s="372"/>
      <c r="AL81" s="372"/>
      <c r="AM81" s="372"/>
      <c r="AN81" s="372"/>
      <c r="AO81" s="372"/>
      <c r="AP81" s="372"/>
      <c r="AQ81" s="372"/>
      <c r="AR81" s="372"/>
      <c r="AS81" s="372"/>
      <c r="AT81" s="372"/>
      <c r="AU81" s="372"/>
      <c r="AV81" s="372"/>
      <c r="AW81" s="372"/>
      <c r="AX81" s="372"/>
      <c r="AY81" s="372"/>
      <c r="AZ81" s="372"/>
      <c r="BA81" s="372"/>
      <c r="BB81" s="372"/>
      <c r="BC81" s="372"/>
      <c r="BD81" s="372"/>
      <c r="BE81" s="372"/>
      <c r="BF81" s="372"/>
      <c r="BG81" s="372"/>
      <c r="BH81" s="372"/>
      <c r="BI81" s="372"/>
      <c r="BJ81" s="372"/>
      <c r="BK81" s="372"/>
      <c r="BL81" s="372"/>
      <c r="BM81" s="372"/>
      <c r="BN81" s="372"/>
      <c r="BO81" s="372"/>
      <c r="BP81" s="372"/>
      <c r="BQ81" s="372"/>
      <c r="BR81" s="372"/>
      <c r="BS81" s="372"/>
      <c r="BT81" s="372"/>
      <c r="BU81" s="372"/>
      <c r="BV81" s="372"/>
    </row>
    <row r="82" spans="1:74" s="137" customFormat="1" ht="12.75">
      <c r="A82" s="137" t="s">
        <v>1838</v>
      </c>
      <c r="B82" s="370" t="s">
        <v>1689</v>
      </c>
      <c r="C82" s="372"/>
      <c r="D82" s="372"/>
      <c r="E82" s="372"/>
      <c r="F82" s="372"/>
      <c r="G82" s="372"/>
      <c r="H82" s="372"/>
      <c r="I82" s="372"/>
      <c r="J82" s="372"/>
      <c r="K82" s="372"/>
      <c r="L82" s="372"/>
      <c r="M82" s="372"/>
      <c r="N82" s="372"/>
      <c r="O82" s="372"/>
      <c r="P82" s="372"/>
      <c r="Q82" s="372"/>
      <c r="R82" s="372"/>
      <c r="S82" s="372"/>
      <c r="T82" s="372"/>
      <c r="U82" s="372"/>
      <c r="V82" s="372"/>
      <c r="W82" s="372"/>
      <c r="X82" s="372"/>
      <c r="Y82" s="372"/>
      <c r="Z82" s="372"/>
      <c r="AA82" s="372"/>
      <c r="AB82" s="372"/>
      <c r="AC82" s="372"/>
      <c r="AD82" s="372"/>
      <c r="AE82" s="372"/>
      <c r="AF82" s="372"/>
      <c r="AG82" s="380" t="s">
        <v>302</v>
      </c>
      <c r="AH82" s="380" t="s">
        <v>302</v>
      </c>
      <c r="AI82" s="380" t="s">
        <v>302</v>
      </c>
      <c r="AJ82" s="372"/>
      <c r="AK82" s="372"/>
      <c r="AL82" s="372"/>
      <c r="AM82" s="372"/>
      <c r="AN82" s="372"/>
      <c r="AO82" s="372"/>
      <c r="AP82" s="372"/>
      <c r="AQ82" s="372"/>
      <c r="AR82" s="372"/>
      <c r="AS82" s="372"/>
      <c r="AT82" s="372"/>
      <c r="AU82" s="372"/>
      <c r="AV82" s="372"/>
      <c r="AW82" s="372"/>
      <c r="AX82" s="372"/>
      <c r="AY82" s="372"/>
      <c r="AZ82" s="372"/>
      <c r="BA82" s="372"/>
      <c r="BB82" s="372"/>
      <c r="BC82" s="372"/>
      <c r="BD82" s="372"/>
      <c r="BE82" s="372"/>
      <c r="BF82" s="372"/>
      <c r="BG82" s="372"/>
      <c r="BH82" s="372"/>
      <c r="BI82" s="372"/>
      <c r="BJ82" s="372"/>
      <c r="BK82" s="372"/>
      <c r="BL82" s="372"/>
      <c r="BM82" s="372"/>
      <c r="BN82" s="372"/>
      <c r="BO82" s="372"/>
      <c r="BP82" s="372"/>
      <c r="BQ82" s="372"/>
      <c r="BR82" s="372"/>
      <c r="BS82" s="372"/>
      <c r="BT82" s="372"/>
      <c r="BU82" s="372"/>
      <c r="BV82" s="372"/>
    </row>
    <row r="83" spans="1:74" s="137" customFormat="1" ht="12.75">
      <c r="A83" s="137" t="s">
        <v>1839</v>
      </c>
      <c r="B83" s="370" t="s">
        <v>1690</v>
      </c>
      <c r="C83" s="372"/>
      <c r="D83" s="372"/>
      <c r="E83" s="372"/>
      <c r="F83" s="372"/>
      <c r="G83" s="372"/>
      <c r="H83" s="372"/>
      <c r="I83" s="372"/>
      <c r="J83" s="372"/>
      <c r="K83" s="372"/>
      <c r="L83" s="372"/>
      <c r="M83" s="372"/>
      <c r="N83" s="372"/>
      <c r="O83" s="372"/>
      <c r="P83" s="372"/>
      <c r="Q83" s="372"/>
      <c r="R83" s="372"/>
      <c r="S83" s="372"/>
      <c r="T83" s="372"/>
      <c r="U83" s="372"/>
      <c r="V83" s="372"/>
      <c r="W83" s="372"/>
      <c r="X83" s="372"/>
      <c r="Y83" s="372"/>
      <c r="Z83" s="372"/>
      <c r="AA83" s="372"/>
      <c r="AB83" s="372"/>
      <c r="AC83" s="372"/>
      <c r="AD83" s="372"/>
      <c r="AE83" s="372"/>
      <c r="AF83" s="372"/>
      <c r="AG83" s="372"/>
      <c r="AH83" s="372"/>
      <c r="AI83" s="380" t="s">
        <v>302</v>
      </c>
      <c r="AJ83" s="372"/>
      <c r="AK83" s="372"/>
      <c r="AL83" s="372"/>
      <c r="AM83" s="372"/>
      <c r="AN83" s="372"/>
      <c r="AO83" s="372"/>
      <c r="AP83" s="372"/>
      <c r="AQ83" s="372"/>
      <c r="AR83" s="372"/>
      <c r="AS83" s="372"/>
      <c r="AT83" s="372"/>
      <c r="AU83" s="372"/>
      <c r="AV83" s="372"/>
      <c r="AW83" s="372"/>
      <c r="AX83" s="372"/>
      <c r="AY83" s="372"/>
      <c r="AZ83" s="372"/>
      <c r="BA83" s="372"/>
      <c r="BB83" s="372"/>
      <c r="BC83" s="372"/>
      <c r="BD83" s="372"/>
      <c r="BE83" s="372"/>
      <c r="BF83" s="372"/>
      <c r="BG83" s="372"/>
      <c r="BH83" s="372"/>
      <c r="BI83" s="372"/>
      <c r="BJ83" s="372"/>
      <c r="BK83" s="372"/>
      <c r="BL83" s="372"/>
      <c r="BM83" s="372"/>
      <c r="BN83" s="372"/>
      <c r="BO83" s="372"/>
      <c r="BP83" s="372"/>
      <c r="BQ83" s="372"/>
      <c r="BR83" s="372"/>
      <c r="BS83" s="372"/>
      <c r="BT83" s="372"/>
      <c r="BU83" s="372"/>
      <c r="BV83" s="372"/>
    </row>
    <row r="84" spans="1:74" s="137" customFormat="1" ht="12.75">
      <c r="A84" s="137" t="s">
        <v>1840</v>
      </c>
      <c r="B84" s="370" t="s">
        <v>1691</v>
      </c>
      <c r="C84" s="372"/>
      <c r="D84" s="372"/>
      <c r="E84" s="372"/>
      <c r="F84" s="372"/>
      <c r="G84" s="372"/>
      <c r="H84" s="372"/>
      <c r="I84" s="372"/>
      <c r="J84" s="372"/>
      <c r="K84" s="372"/>
      <c r="L84" s="372"/>
      <c r="M84" s="372"/>
      <c r="N84" s="372"/>
      <c r="O84" s="372"/>
      <c r="P84" s="372"/>
      <c r="Q84" s="372"/>
      <c r="R84" s="372"/>
      <c r="S84" s="372"/>
      <c r="T84" s="372"/>
      <c r="U84" s="372"/>
      <c r="V84" s="372"/>
      <c r="W84" s="372"/>
      <c r="X84" s="372"/>
      <c r="Y84" s="372"/>
      <c r="Z84" s="372"/>
      <c r="AA84" s="372"/>
      <c r="AB84" s="372"/>
      <c r="AC84" s="372"/>
      <c r="AD84" s="372"/>
      <c r="AE84" s="372"/>
      <c r="AF84" s="372"/>
      <c r="AG84" s="372"/>
      <c r="AH84" s="372"/>
      <c r="AI84" s="372"/>
      <c r="AJ84" s="380" t="s">
        <v>302</v>
      </c>
      <c r="AK84" s="372"/>
      <c r="AL84" s="372"/>
      <c r="AM84" s="372"/>
      <c r="AN84" s="372"/>
      <c r="AO84" s="372"/>
      <c r="AP84" s="372"/>
      <c r="AQ84" s="372"/>
      <c r="AR84" s="372"/>
      <c r="AS84" s="372"/>
      <c r="AT84" s="372"/>
      <c r="AU84" s="372"/>
      <c r="AV84" s="372"/>
      <c r="AW84" s="372"/>
      <c r="AX84" s="372"/>
      <c r="AY84" s="372"/>
      <c r="AZ84" s="372"/>
      <c r="BA84" s="372"/>
      <c r="BB84" s="372"/>
      <c r="BC84" s="372"/>
      <c r="BD84" s="372"/>
      <c r="BE84" s="372"/>
      <c r="BF84" s="372"/>
      <c r="BG84" s="372"/>
      <c r="BH84" s="372"/>
      <c r="BI84" s="372"/>
      <c r="BJ84" s="372"/>
      <c r="BK84" s="372"/>
      <c r="BL84" s="372"/>
      <c r="BM84" s="372"/>
      <c r="BN84" s="372"/>
      <c r="BO84" s="372"/>
      <c r="BP84" s="372"/>
      <c r="BQ84" s="372"/>
      <c r="BR84" s="372"/>
      <c r="BS84" s="372"/>
      <c r="BT84" s="372"/>
      <c r="BU84" s="372"/>
      <c r="BV84" s="372"/>
    </row>
    <row r="85" spans="1:74" s="137" customFormat="1">
      <c r="A85" s="137" t="s">
        <v>379</v>
      </c>
      <c r="B85" s="370" t="s">
        <v>292</v>
      </c>
      <c r="C85" s="379"/>
      <c r="D85" s="379"/>
      <c r="E85" s="371" t="s">
        <v>302</v>
      </c>
      <c r="F85" s="379"/>
      <c r="G85" s="372"/>
      <c r="H85" s="372"/>
      <c r="I85" s="372"/>
      <c r="J85" s="372"/>
      <c r="K85" s="372"/>
      <c r="L85" s="372"/>
      <c r="M85" s="379"/>
      <c r="N85" s="379"/>
      <c r="O85" s="372"/>
      <c r="P85" s="372"/>
      <c r="Q85" s="372"/>
      <c r="R85" s="379"/>
      <c r="S85" s="372"/>
      <c r="T85" s="372"/>
      <c r="U85" s="372"/>
      <c r="V85" s="372"/>
      <c r="W85" s="372"/>
      <c r="X85" s="372"/>
      <c r="Y85" s="372"/>
      <c r="Z85" s="372"/>
      <c r="AA85" s="372"/>
      <c r="AB85" s="379"/>
      <c r="AC85" s="373"/>
      <c r="AD85" s="372"/>
      <c r="AE85" s="372"/>
      <c r="AF85" s="372"/>
      <c r="AG85" s="372"/>
      <c r="AH85" s="372"/>
      <c r="AI85" s="372"/>
      <c r="AJ85" s="372"/>
      <c r="AK85" s="371" t="s">
        <v>302</v>
      </c>
      <c r="AL85" s="372"/>
      <c r="AM85" s="379"/>
      <c r="AN85" s="372"/>
      <c r="AO85" s="372"/>
      <c r="AP85" s="379"/>
      <c r="AQ85" s="372"/>
      <c r="AR85" s="372"/>
      <c r="AS85" s="372"/>
      <c r="AT85" s="372"/>
      <c r="AU85" s="372"/>
      <c r="AV85" s="372"/>
      <c r="AW85" s="372"/>
      <c r="AX85" s="372"/>
      <c r="AY85" s="372"/>
      <c r="AZ85" s="372"/>
      <c r="BA85" s="372"/>
      <c r="BB85" s="372"/>
      <c r="BC85" s="372"/>
      <c r="BD85" s="372"/>
      <c r="BE85" s="372"/>
      <c r="BF85" s="372"/>
      <c r="BG85" s="372"/>
      <c r="BH85" s="372"/>
      <c r="BI85" s="372"/>
      <c r="BJ85" s="372"/>
      <c r="BK85" s="372"/>
      <c r="BL85" s="372"/>
      <c r="BM85" s="372"/>
      <c r="BN85" s="372"/>
      <c r="BO85" s="372"/>
      <c r="BP85" s="372"/>
      <c r="BQ85" s="372"/>
      <c r="BR85" s="372"/>
      <c r="BS85" s="372"/>
      <c r="BT85" s="372"/>
      <c r="BU85" s="372"/>
      <c r="BV85" s="372"/>
    </row>
    <row r="86" spans="1:74" s="137" customFormat="1" ht="12.75">
      <c r="A86" s="137" t="s">
        <v>1841</v>
      </c>
      <c r="B86" s="370" t="s">
        <v>1692</v>
      </c>
      <c r="C86" s="372"/>
      <c r="D86" s="372"/>
      <c r="E86" s="380" t="s">
        <v>302</v>
      </c>
      <c r="F86" s="372"/>
      <c r="G86" s="372"/>
      <c r="H86" s="372"/>
      <c r="I86" s="372"/>
      <c r="J86" s="372"/>
      <c r="K86" s="372"/>
      <c r="L86" s="372"/>
      <c r="M86" s="372"/>
      <c r="N86" s="372"/>
      <c r="O86" s="372"/>
      <c r="P86" s="372"/>
      <c r="Q86" s="372"/>
      <c r="R86" s="372"/>
      <c r="S86" s="372"/>
      <c r="T86" s="372"/>
      <c r="U86" s="372"/>
      <c r="V86" s="372"/>
      <c r="W86" s="372"/>
      <c r="X86" s="372"/>
      <c r="Y86" s="372"/>
      <c r="Z86" s="372"/>
      <c r="AA86" s="372"/>
      <c r="AB86" s="372"/>
      <c r="AC86" s="372"/>
      <c r="AD86" s="372"/>
      <c r="AE86" s="372"/>
      <c r="AF86" s="372"/>
      <c r="AG86" s="372"/>
      <c r="AH86" s="372"/>
      <c r="AI86" s="372"/>
      <c r="AJ86" s="372"/>
      <c r="AK86" s="372"/>
      <c r="AL86" s="380" t="s">
        <v>302</v>
      </c>
      <c r="AM86" s="372"/>
      <c r="AN86" s="372"/>
      <c r="AO86" s="372"/>
      <c r="AP86" s="372"/>
      <c r="AQ86" s="372"/>
      <c r="AR86" s="372"/>
      <c r="AS86" s="372"/>
      <c r="AT86" s="372"/>
      <c r="AU86" s="372"/>
      <c r="AV86" s="372"/>
      <c r="AW86" s="372"/>
      <c r="AX86" s="372"/>
      <c r="AY86" s="372"/>
      <c r="AZ86" s="372"/>
      <c r="BA86" s="372"/>
      <c r="BB86" s="372"/>
      <c r="BC86" s="372"/>
      <c r="BD86" s="372"/>
      <c r="BE86" s="372"/>
      <c r="BF86" s="372"/>
      <c r="BG86" s="372"/>
      <c r="BH86" s="372"/>
      <c r="BI86" s="372"/>
      <c r="BJ86" s="372"/>
      <c r="BK86" s="372"/>
      <c r="BL86" s="372"/>
      <c r="BM86" s="372"/>
      <c r="BN86" s="372"/>
      <c r="BO86" s="372"/>
      <c r="BP86" s="372"/>
      <c r="BQ86" s="372"/>
      <c r="BR86" s="372"/>
      <c r="BS86" s="372"/>
      <c r="BT86" s="372"/>
      <c r="BU86" s="372"/>
      <c r="BV86" s="372"/>
    </row>
    <row r="87" spans="1:74" s="137" customFormat="1" ht="12.75">
      <c r="A87" s="137" t="s">
        <v>1842</v>
      </c>
      <c r="B87" s="370" t="s">
        <v>1693</v>
      </c>
      <c r="C87" s="372"/>
      <c r="D87" s="371" t="s">
        <v>302</v>
      </c>
      <c r="E87" s="372"/>
      <c r="F87" s="372"/>
      <c r="G87" s="372"/>
      <c r="H87" s="372"/>
      <c r="I87" s="372"/>
      <c r="J87" s="372"/>
      <c r="K87" s="372"/>
      <c r="L87" s="372"/>
      <c r="M87" s="372"/>
      <c r="N87" s="372"/>
      <c r="O87" s="372"/>
      <c r="P87" s="372"/>
      <c r="Q87" s="372"/>
      <c r="R87" s="372"/>
      <c r="S87" s="372"/>
      <c r="T87" s="372"/>
      <c r="U87" s="372"/>
      <c r="V87" s="372"/>
      <c r="W87" s="372"/>
      <c r="X87" s="372"/>
      <c r="Y87" s="372"/>
      <c r="Z87" s="372"/>
      <c r="AA87" s="372"/>
      <c r="AB87" s="372"/>
      <c r="AC87" s="372"/>
      <c r="AD87" s="372"/>
      <c r="AE87" s="372"/>
      <c r="AF87" s="372"/>
      <c r="AG87" s="372"/>
      <c r="AH87" s="372"/>
      <c r="AI87" s="372"/>
      <c r="AJ87" s="372"/>
      <c r="AK87" s="372"/>
      <c r="AL87" s="372"/>
      <c r="AM87" s="372"/>
      <c r="AN87" s="372"/>
      <c r="AO87" s="372"/>
      <c r="AP87" s="372"/>
      <c r="AQ87" s="372"/>
      <c r="AR87" s="372"/>
      <c r="AS87" s="372"/>
      <c r="AT87" s="372"/>
      <c r="AU87" s="372"/>
      <c r="AV87" s="372"/>
      <c r="AW87" s="372"/>
      <c r="AX87" s="372"/>
      <c r="AY87" s="372"/>
      <c r="AZ87" s="372"/>
      <c r="BA87" s="372"/>
      <c r="BB87" s="372"/>
      <c r="BC87" s="372"/>
      <c r="BD87" s="372"/>
      <c r="BE87" s="372"/>
      <c r="BF87" s="372"/>
      <c r="BG87" s="372"/>
      <c r="BH87" s="372"/>
      <c r="BI87" s="372"/>
      <c r="BJ87" s="372"/>
      <c r="BK87" s="372"/>
      <c r="BL87" s="372"/>
      <c r="BM87" s="372"/>
      <c r="BN87" s="372"/>
      <c r="BO87" s="372"/>
      <c r="BP87" s="372"/>
      <c r="BQ87" s="372"/>
      <c r="BR87" s="372"/>
      <c r="BS87" s="372"/>
      <c r="BT87" s="372"/>
      <c r="BU87" s="372"/>
      <c r="BV87" s="372"/>
    </row>
    <row r="88" spans="1:74" s="137" customFormat="1" ht="12.75">
      <c r="A88" s="137" t="s">
        <v>1843</v>
      </c>
      <c r="B88" s="370" t="s">
        <v>1694</v>
      </c>
      <c r="C88" s="372"/>
      <c r="D88" s="371" t="s">
        <v>302</v>
      </c>
      <c r="E88" s="372"/>
      <c r="F88" s="372"/>
      <c r="G88" s="372"/>
      <c r="H88" s="372"/>
      <c r="I88" s="372"/>
      <c r="J88" s="372"/>
      <c r="K88" s="372"/>
      <c r="L88" s="372"/>
      <c r="M88" s="372"/>
      <c r="N88" s="372"/>
      <c r="O88" s="372"/>
      <c r="P88" s="372"/>
      <c r="Q88" s="372"/>
      <c r="R88" s="372"/>
      <c r="S88" s="372"/>
      <c r="T88" s="372"/>
      <c r="U88" s="372"/>
      <c r="V88" s="372"/>
      <c r="W88" s="372"/>
      <c r="X88" s="372"/>
      <c r="Y88" s="372"/>
      <c r="Z88" s="372"/>
      <c r="AA88" s="372"/>
      <c r="AB88" s="372"/>
      <c r="AC88" s="372"/>
      <c r="AD88" s="372"/>
      <c r="AE88" s="372"/>
      <c r="AF88" s="372"/>
      <c r="AG88" s="372"/>
      <c r="AH88" s="372"/>
      <c r="AI88" s="372"/>
      <c r="AJ88" s="372"/>
      <c r="AK88" s="372"/>
      <c r="AL88" s="372"/>
      <c r="AM88" s="372"/>
      <c r="AN88" s="372"/>
      <c r="AO88" s="372"/>
      <c r="AP88" s="372"/>
      <c r="AQ88" s="372"/>
      <c r="AR88" s="372"/>
      <c r="AS88" s="372"/>
      <c r="AT88" s="372"/>
      <c r="AU88" s="372"/>
      <c r="AV88" s="372"/>
      <c r="AW88" s="372"/>
      <c r="AX88" s="372"/>
      <c r="AY88" s="372"/>
      <c r="AZ88" s="372"/>
      <c r="BA88" s="372"/>
      <c r="BB88" s="372"/>
      <c r="BC88" s="372"/>
      <c r="BD88" s="372"/>
      <c r="BE88" s="372"/>
      <c r="BF88" s="372"/>
      <c r="BG88" s="372"/>
      <c r="BH88" s="372"/>
      <c r="BI88" s="372"/>
      <c r="BJ88" s="372"/>
      <c r="BK88" s="372"/>
      <c r="BL88" s="372"/>
      <c r="BM88" s="372"/>
      <c r="BN88" s="372"/>
      <c r="BO88" s="372"/>
      <c r="BP88" s="372"/>
      <c r="BQ88" s="372"/>
      <c r="BR88" s="372"/>
      <c r="BS88" s="372"/>
      <c r="BT88" s="372"/>
      <c r="BU88" s="372"/>
      <c r="BV88" s="372"/>
    </row>
    <row r="89" spans="1:74" s="137" customFormat="1" ht="12.75">
      <c r="A89" s="137" t="s">
        <v>380</v>
      </c>
      <c r="B89" s="370" t="s">
        <v>1791</v>
      </c>
      <c r="C89" s="371" t="s">
        <v>302</v>
      </c>
      <c r="D89" s="371" t="s">
        <v>302</v>
      </c>
      <c r="E89" s="379"/>
      <c r="F89" s="382"/>
      <c r="G89" s="372"/>
      <c r="H89" s="372"/>
      <c r="I89" s="372"/>
      <c r="J89" s="372"/>
      <c r="K89" s="372"/>
      <c r="L89" s="372"/>
      <c r="M89" s="379"/>
      <c r="N89" s="379"/>
      <c r="O89" s="372"/>
      <c r="P89" s="372"/>
      <c r="Q89" s="372"/>
      <c r="R89" s="379"/>
      <c r="S89" s="372"/>
      <c r="T89" s="372"/>
      <c r="U89" s="372"/>
      <c r="V89" s="372"/>
      <c r="W89" s="372"/>
      <c r="X89" s="372"/>
      <c r="Y89" s="372"/>
      <c r="Z89" s="372"/>
      <c r="AA89" s="372"/>
      <c r="AB89" s="379"/>
      <c r="AC89" s="372"/>
      <c r="AD89" s="372"/>
      <c r="AE89" s="372"/>
      <c r="AF89" s="372"/>
      <c r="AG89" s="372"/>
      <c r="AH89" s="372"/>
      <c r="AI89" s="372"/>
      <c r="AJ89" s="372"/>
      <c r="AK89" s="372"/>
      <c r="AL89" s="372"/>
      <c r="AM89" s="371" t="s">
        <v>302</v>
      </c>
      <c r="AN89" s="372"/>
      <c r="AO89" s="372"/>
      <c r="AP89" s="379"/>
      <c r="AQ89" s="372"/>
      <c r="AR89" s="372"/>
      <c r="AS89" s="372"/>
      <c r="AT89" s="372"/>
      <c r="AU89" s="372"/>
      <c r="AV89" s="372"/>
      <c r="AW89" s="372"/>
      <c r="AX89" s="372"/>
      <c r="AY89" s="372"/>
      <c r="AZ89" s="372"/>
      <c r="BA89" s="372"/>
      <c r="BB89" s="372"/>
      <c r="BC89" s="372"/>
      <c r="BD89" s="372"/>
      <c r="BE89" s="372"/>
      <c r="BF89" s="372"/>
      <c r="BG89" s="372"/>
      <c r="BH89" s="372"/>
      <c r="BI89" s="372"/>
      <c r="BJ89" s="372"/>
      <c r="BK89" s="372"/>
      <c r="BL89" s="372"/>
      <c r="BM89" s="372"/>
      <c r="BN89" s="372"/>
      <c r="BO89" s="372"/>
      <c r="BP89" s="372"/>
      <c r="BQ89" s="372"/>
      <c r="BR89" s="372"/>
      <c r="BS89" s="372"/>
      <c r="BT89" s="372"/>
      <c r="BU89" s="372"/>
      <c r="BV89" s="372"/>
    </row>
    <row r="90" spans="1:74" s="137" customFormat="1" ht="12.75">
      <c r="A90" s="137" t="s">
        <v>1844</v>
      </c>
      <c r="B90" s="370" t="s">
        <v>1695</v>
      </c>
      <c r="C90" s="380" t="s">
        <v>302</v>
      </c>
      <c r="D90" s="372"/>
      <c r="E90" s="372"/>
      <c r="F90" s="372"/>
      <c r="G90" s="372"/>
      <c r="H90" s="372"/>
      <c r="I90" s="372"/>
      <c r="J90" s="372"/>
      <c r="K90" s="372"/>
      <c r="L90" s="372"/>
      <c r="M90" s="372"/>
      <c r="N90" s="372"/>
      <c r="O90" s="372"/>
      <c r="P90" s="372"/>
      <c r="Q90" s="372"/>
      <c r="R90" s="372"/>
      <c r="S90" s="372"/>
      <c r="T90" s="372"/>
      <c r="U90" s="372"/>
      <c r="V90" s="372"/>
      <c r="W90" s="372"/>
      <c r="X90" s="372"/>
      <c r="Y90" s="372"/>
      <c r="Z90" s="372"/>
      <c r="AA90" s="372"/>
      <c r="AB90" s="372"/>
      <c r="AC90" s="372"/>
      <c r="AD90" s="372"/>
      <c r="AE90" s="372"/>
      <c r="AF90" s="372"/>
      <c r="AG90" s="372"/>
      <c r="AH90" s="372"/>
      <c r="AI90" s="372"/>
      <c r="AJ90" s="372"/>
      <c r="AK90" s="372"/>
      <c r="AL90" s="372"/>
      <c r="AM90" s="380" t="s">
        <v>302</v>
      </c>
      <c r="AN90" s="380" t="s">
        <v>302</v>
      </c>
      <c r="AO90" s="372"/>
      <c r="AP90" s="372"/>
      <c r="AQ90" s="372"/>
      <c r="AR90" s="372"/>
      <c r="AS90" s="372"/>
      <c r="AT90" s="372"/>
      <c r="AU90" s="372"/>
      <c r="AV90" s="372"/>
      <c r="AW90" s="372"/>
      <c r="AX90" s="372"/>
      <c r="AY90" s="372"/>
      <c r="AZ90" s="372"/>
      <c r="BA90" s="372"/>
      <c r="BB90" s="372"/>
      <c r="BC90" s="372"/>
      <c r="BD90" s="372"/>
      <c r="BE90" s="372"/>
      <c r="BF90" s="372"/>
      <c r="BG90" s="372"/>
      <c r="BH90" s="372"/>
      <c r="BI90" s="372"/>
      <c r="BJ90" s="372"/>
      <c r="BK90" s="372"/>
      <c r="BL90" s="372"/>
      <c r="BM90" s="372"/>
      <c r="BN90" s="372"/>
      <c r="BO90" s="372"/>
      <c r="BP90" s="372"/>
      <c r="BQ90" s="372"/>
      <c r="BR90" s="372"/>
      <c r="BS90" s="372"/>
      <c r="BT90" s="372"/>
      <c r="BU90" s="372"/>
      <c r="BV90" s="372"/>
    </row>
    <row r="91" spans="1:74" s="137" customFormat="1" ht="12.75">
      <c r="A91" s="137" t="s">
        <v>381</v>
      </c>
      <c r="B91" s="370" t="s">
        <v>293</v>
      </c>
      <c r="C91" s="371" t="s">
        <v>302</v>
      </c>
      <c r="D91" s="371" t="s">
        <v>302</v>
      </c>
      <c r="E91" s="379"/>
      <c r="F91" s="382"/>
      <c r="G91" s="372"/>
      <c r="H91" s="372"/>
      <c r="I91" s="372"/>
      <c r="J91" s="372"/>
      <c r="K91" s="372"/>
      <c r="L91" s="372"/>
      <c r="M91" s="379"/>
      <c r="N91" s="379"/>
      <c r="O91" s="372"/>
      <c r="P91" s="372"/>
      <c r="Q91" s="372"/>
      <c r="R91" s="379"/>
      <c r="S91" s="372"/>
      <c r="T91" s="372"/>
      <c r="U91" s="372"/>
      <c r="V91" s="372"/>
      <c r="W91" s="372"/>
      <c r="X91" s="372"/>
      <c r="Y91" s="372"/>
      <c r="Z91" s="372"/>
      <c r="AA91" s="372"/>
      <c r="AB91" s="379"/>
      <c r="AC91" s="372"/>
      <c r="AD91" s="372"/>
      <c r="AE91" s="372"/>
      <c r="AF91" s="372"/>
      <c r="AG91" s="372"/>
      <c r="AH91" s="372"/>
      <c r="AI91" s="372"/>
      <c r="AJ91" s="372"/>
      <c r="AK91" s="372"/>
      <c r="AL91" s="372"/>
      <c r="AM91" s="379"/>
      <c r="AN91" s="372"/>
      <c r="AO91" s="372"/>
      <c r="AP91" s="379"/>
      <c r="AQ91" s="372"/>
      <c r="AR91" s="372"/>
      <c r="AS91" s="372"/>
      <c r="AT91" s="372"/>
      <c r="AU91" s="372"/>
      <c r="AV91" s="372"/>
      <c r="AW91" s="372"/>
      <c r="AX91" s="372"/>
      <c r="AY91" s="372"/>
      <c r="AZ91" s="372"/>
      <c r="BA91" s="372"/>
      <c r="BB91" s="372"/>
      <c r="BC91" s="372"/>
      <c r="BD91" s="372"/>
      <c r="BE91" s="372"/>
      <c r="BF91" s="372"/>
      <c r="BG91" s="372"/>
      <c r="BH91" s="372"/>
      <c r="BI91" s="372"/>
      <c r="BJ91" s="372"/>
      <c r="BK91" s="372"/>
      <c r="BL91" s="372"/>
      <c r="BM91" s="372"/>
      <c r="BN91" s="372"/>
      <c r="BO91" s="372"/>
      <c r="BP91" s="372"/>
      <c r="BQ91" s="372"/>
      <c r="BR91" s="372"/>
      <c r="BS91" s="372"/>
      <c r="BT91" s="372"/>
      <c r="BU91" s="372"/>
      <c r="BV91" s="372"/>
    </row>
    <row r="92" spans="1:74" s="137" customFormat="1" ht="12.75">
      <c r="A92" s="137" t="s">
        <v>382</v>
      </c>
      <c r="B92" s="370" t="s">
        <v>294</v>
      </c>
      <c r="C92" s="371" t="s">
        <v>302</v>
      </c>
      <c r="D92" s="371" t="s">
        <v>302</v>
      </c>
      <c r="E92" s="379"/>
      <c r="F92" s="382"/>
      <c r="G92" s="372"/>
      <c r="H92" s="372"/>
      <c r="I92" s="372"/>
      <c r="J92" s="372"/>
      <c r="K92" s="372"/>
      <c r="L92" s="372"/>
      <c r="M92" s="371" t="s">
        <v>302</v>
      </c>
      <c r="N92" s="379"/>
      <c r="O92" s="372"/>
      <c r="P92" s="372"/>
      <c r="Q92" s="372"/>
      <c r="R92" s="379"/>
      <c r="S92" s="372"/>
      <c r="T92" s="372"/>
      <c r="U92" s="372"/>
      <c r="V92" s="372"/>
      <c r="W92" s="372"/>
      <c r="X92" s="372"/>
      <c r="Y92" s="372"/>
      <c r="Z92" s="372"/>
      <c r="AA92" s="372"/>
      <c r="AB92" s="379"/>
      <c r="AC92" s="372"/>
      <c r="AD92" s="372"/>
      <c r="AE92" s="372"/>
      <c r="AF92" s="372"/>
      <c r="AG92" s="372"/>
      <c r="AH92" s="372"/>
      <c r="AI92" s="372"/>
      <c r="AJ92" s="372"/>
      <c r="AK92" s="372"/>
      <c r="AL92" s="372"/>
      <c r="AM92" s="379"/>
      <c r="AN92" s="372"/>
      <c r="AO92" s="372"/>
      <c r="AP92" s="379"/>
      <c r="AQ92" s="372"/>
      <c r="AR92" s="372"/>
      <c r="AS92" s="372"/>
      <c r="AT92" s="372"/>
      <c r="AU92" s="372"/>
      <c r="AV92" s="372"/>
      <c r="AW92" s="372"/>
      <c r="AX92" s="372"/>
      <c r="AY92" s="372"/>
      <c r="AZ92" s="372"/>
      <c r="BA92" s="372"/>
      <c r="BB92" s="372"/>
      <c r="BC92" s="372"/>
      <c r="BD92" s="372"/>
      <c r="BE92" s="372"/>
      <c r="BF92" s="372"/>
      <c r="BG92" s="372"/>
      <c r="BH92" s="372"/>
      <c r="BI92" s="372"/>
      <c r="BJ92" s="372"/>
      <c r="BK92" s="372"/>
      <c r="BL92" s="372"/>
      <c r="BM92" s="372"/>
      <c r="BN92" s="372"/>
      <c r="BO92" s="372"/>
      <c r="BP92" s="372"/>
      <c r="BQ92" s="372"/>
      <c r="BR92" s="372"/>
      <c r="BS92" s="372"/>
      <c r="BT92" s="372"/>
      <c r="BU92" s="372"/>
      <c r="BV92" s="372"/>
    </row>
    <row r="93" spans="1:74" s="137" customFormat="1" ht="12.75">
      <c r="A93" s="137" t="s">
        <v>383</v>
      </c>
      <c r="B93" s="370" t="s">
        <v>295</v>
      </c>
      <c r="C93" s="371" t="s">
        <v>302</v>
      </c>
      <c r="D93" s="371" t="s">
        <v>302</v>
      </c>
      <c r="E93" s="379"/>
      <c r="F93" s="382"/>
      <c r="G93" s="372"/>
      <c r="H93" s="372"/>
      <c r="I93" s="372"/>
      <c r="J93" s="372"/>
      <c r="K93" s="372"/>
      <c r="L93" s="372"/>
      <c r="M93" s="379"/>
      <c r="N93" s="379"/>
      <c r="O93" s="372"/>
      <c r="P93" s="372"/>
      <c r="Q93" s="372"/>
      <c r="R93" s="379"/>
      <c r="S93" s="372"/>
      <c r="T93" s="372"/>
      <c r="U93" s="372"/>
      <c r="V93" s="372"/>
      <c r="W93" s="372"/>
      <c r="X93" s="372"/>
      <c r="Y93" s="372"/>
      <c r="Z93" s="372"/>
      <c r="AA93" s="372"/>
      <c r="AB93" s="379"/>
      <c r="AC93" s="372"/>
      <c r="AD93" s="372"/>
      <c r="AE93" s="372"/>
      <c r="AF93" s="372"/>
      <c r="AG93" s="372"/>
      <c r="AH93" s="372"/>
      <c r="AI93" s="372"/>
      <c r="AJ93" s="372"/>
      <c r="AK93" s="372"/>
      <c r="AL93" s="372"/>
      <c r="AM93" s="379"/>
      <c r="AN93" s="372"/>
      <c r="AO93" s="372"/>
      <c r="AP93" s="379"/>
      <c r="AQ93" s="372"/>
      <c r="AR93" s="372"/>
      <c r="AS93" s="372"/>
      <c r="AT93" s="372"/>
      <c r="AU93" s="372"/>
      <c r="AV93" s="372"/>
      <c r="AW93" s="372"/>
      <c r="AX93" s="372"/>
      <c r="AY93" s="372"/>
      <c r="AZ93" s="372"/>
      <c r="BA93" s="372"/>
      <c r="BB93" s="372"/>
      <c r="BC93" s="372"/>
      <c r="BD93" s="372"/>
      <c r="BE93" s="372"/>
      <c r="BF93" s="372"/>
      <c r="BG93" s="372"/>
      <c r="BH93" s="372"/>
      <c r="BI93" s="372"/>
      <c r="BJ93" s="372"/>
      <c r="BK93" s="372"/>
      <c r="BL93" s="372"/>
      <c r="BM93" s="372"/>
      <c r="BN93" s="372"/>
      <c r="BO93" s="372"/>
      <c r="BP93" s="372"/>
      <c r="BQ93" s="372"/>
      <c r="BR93" s="372"/>
      <c r="BS93" s="372"/>
      <c r="BT93" s="372"/>
      <c r="BU93" s="372"/>
      <c r="BV93" s="372"/>
    </row>
    <row r="94" spans="1:74" s="137" customFormat="1" ht="12.75">
      <c r="A94" s="137" t="s">
        <v>1845</v>
      </c>
      <c r="B94" s="370" t="s">
        <v>1696</v>
      </c>
      <c r="C94" s="372"/>
      <c r="D94" s="372"/>
      <c r="E94" s="372"/>
      <c r="F94" s="372"/>
      <c r="G94" s="372"/>
      <c r="H94" s="372"/>
      <c r="I94" s="372"/>
      <c r="J94" s="372"/>
      <c r="K94" s="372"/>
      <c r="L94" s="372"/>
      <c r="M94" s="372"/>
      <c r="N94" s="372"/>
      <c r="O94" s="372"/>
      <c r="P94" s="372"/>
      <c r="Q94" s="372"/>
      <c r="R94" s="372"/>
      <c r="S94" s="372"/>
      <c r="T94" s="372"/>
      <c r="U94" s="372"/>
      <c r="V94" s="372"/>
      <c r="W94" s="372"/>
      <c r="X94" s="372"/>
      <c r="Y94" s="372"/>
      <c r="Z94" s="372"/>
      <c r="AA94" s="372"/>
      <c r="AB94" s="372"/>
      <c r="AC94" s="372"/>
      <c r="AD94" s="372"/>
      <c r="AE94" s="372"/>
      <c r="AF94" s="372"/>
      <c r="AG94" s="372"/>
      <c r="AH94" s="372"/>
      <c r="AI94" s="372"/>
      <c r="AJ94" s="372"/>
      <c r="AK94" s="372"/>
      <c r="AL94" s="372"/>
      <c r="AM94" s="372"/>
      <c r="AN94" s="372"/>
      <c r="AO94" s="380" t="s">
        <v>302</v>
      </c>
      <c r="AP94" s="372"/>
      <c r="AQ94" s="372"/>
      <c r="AR94" s="372"/>
      <c r="AS94" s="372"/>
      <c r="AT94" s="372"/>
      <c r="AU94" s="372"/>
      <c r="AV94" s="372"/>
      <c r="AW94" s="372"/>
      <c r="AX94" s="372"/>
      <c r="AY94" s="372"/>
      <c r="AZ94" s="372"/>
      <c r="BA94" s="372"/>
      <c r="BB94" s="372"/>
      <c r="BC94" s="372"/>
      <c r="BD94" s="372"/>
      <c r="BE94" s="372"/>
      <c r="BF94" s="372"/>
      <c r="BG94" s="372"/>
      <c r="BH94" s="372"/>
      <c r="BI94" s="372"/>
      <c r="BJ94" s="372"/>
      <c r="BK94" s="372"/>
      <c r="BL94" s="372"/>
      <c r="BM94" s="372"/>
      <c r="BN94" s="372"/>
      <c r="BO94" s="372"/>
      <c r="BP94" s="372"/>
      <c r="BQ94" s="372"/>
      <c r="BR94" s="372"/>
      <c r="BS94" s="372"/>
      <c r="BT94" s="372"/>
      <c r="BU94" s="372"/>
      <c r="BV94" s="372"/>
    </row>
    <row r="95" spans="1:74">
      <c r="A95" s="138"/>
      <c r="B95" s="370" t="s">
        <v>1955</v>
      </c>
      <c r="C95" s="139"/>
      <c r="D95" s="139"/>
      <c r="E95" s="139"/>
      <c r="F95" s="139"/>
      <c r="G95" s="139"/>
      <c r="H95" s="139"/>
      <c r="I95" s="139"/>
      <c r="J95" s="139"/>
      <c r="K95" s="139"/>
      <c r="L95" s="139"/>
      <c r="M95" s="139"/>
      <c r="N95" s="139"/>
      <c r="O95" s="139"/>
      <c r="P95" s="139"/>
      <c r="Q95" s="139"/>
      <c r="R95" s="139"/>
      <c r="S95" s="139"/>
      <c r="T95" s="139"/>
      <c r="U95" s="139"/>
      <c r="V95" s="139"/>
      <c r="W95" s="139"/>
      <c r="X95" s="139"/>
      <c r="Y95" s="139"/>
      <c r="Z95" s="139"/>
      <c r="AA95" s="139"/>
      <c r="AB95" s="139"/>
      <c r="AC95" s="139"/>
      <c r="AD95" s="139"/>
      <c r="AE95" s="139"/>
      <c r="AF95" s="139"/>
      <c r="AG95" s="139"/>
      <c r="AH95" s="139"/>
      <c r="AI95" s="139"/>
      <c r="AJ95" s="139"/>
      <c r="AK95" s="139"/>
      <c r="AL95" s="139"/>
      <c r="AM95" s="139"/>
      <c r="AN95" s="139"/>
      <c r="AO95" s="139"/>
      <c r="AP95" s="139"/>
      <c r="AQ95" s="139"/>
      <c r="AR95" s="139"/>
      <c r="AS95" s="139"/>
      <c r="AT95" s="139"/>
      <c r="AU95" s="139"/>
      <c r="AV95" s="139"/>
      <c r="AW95" s="139"/>
      <c r="AX95" s="139"/>
      <c r="AY95" s="139"/>
      <c r="AZ95" s="139"/>
      <c r="BA95" s="139"/>
      <c r="BB95" s="139"/>
      <c r="BC95" s="139"/>
      <c r="BD95" s="139"/>
      <c r="BE95" s="139"/>
      <c r="BF95" s="139"/>
      <c r="BG95" s="139"/>
      <c r="BH95" s="139"/>
      <c r="BI95" s="139"/>
      <c r="BJ95" s="139"/>
      <c r="BK95" s="380" t="s">
        <v>302</v>
      </c>
      <c r="BL95" s="139"/>
      <c r="BM95" s="380" t="s">
        <v>302</v>
      </c>
      <c r="BN95" s="139"/>
      <c r="BO95" s="139"/>
      <c r="BP95" s="139"/>
      <c r="BQ95" s="139"/>
      <c r="BR95" s="139"/>
      <c r="BS95" s="139"/>
      <c r="BT95" s="139"/>
      <c r="BU95" s="139"/>
      <c r="BV95" s="139"/>
    </row>
    <row r="96" spans="1:74">
      <c r="A96" s="138"/>
      <c r="B96" s="370" t="s">
        <v>1956</v>
      </c>
      <c r="C96" s="139"/>
      <c r="D96" s="139"/>
      <c r="E96" s="139"/>
      <c r="F96" s="139"/>
      <c r="G96" s="139"/>
      <c r="H96" s="139"/>
      <c r="I96" s="139"/>
      <c r="J96" s="139"/>
      <c r="K96" s="139"/>
      <c r="L96" s="139"/>
      <c r="M96" s="139"/>
      <c r="N96" s="139"/>
      <c r="O96" s="139"/>
      <c r="P96" s="139"/>
      <c r="Q96" s="139"/>
      <c r="R96" s="139"/>
      <c r="S96" s="139"/>
      <c r="T96" s="139"/>
      <c r="U96" s="139"/>
      <c r="V96" s="139"/>
      <c r="W96" s="139"/>
      <c r="X96" s="139"/>
      <c r="Y96" s="139"/>
      <c r="Z96" s="139"/>
      <c r="AA96" s="139"/>
      <c r="AB96" s="139"/>
      <c r="AC96" s="139"/>
      <c r="AD96" s="139"/>
      <c r="AE96" s="139"/>
      <c r="AF96" s="139"/>
      <c r="AG96" s="139"/>
      <c r="AH96" s="139"/>
      <c r="AI96" s="139"/>
      <c r="AJ96" s="139"/>
      <c r="AK96" s="139"/>
      <c r="AL96" s="139"/>
      <c r="AM96" s="139"/>
      <c r="AN96" s="139"/>
      <c r="AO96" s="139"/>
      <c r="AP96" s="139"/>
      <c r="AQ96" s="139"/>
      <c r="AR96" s="139"/>
      <c r="AS96" s="139"/>
      <c r="AT96" s="139"/>
      <c r="AU96" s="139"/>
      <c r="AV96" s="139"/>
      <c r="AW96" s="139"/>
      <c r="AX96" s="139"/>
      <c r="AY96" s="139"/>
      <c r="AZ96" s="139"/>
      <c r="BA96" s="139"/>
      <c r="BB96" s="139"/>
      <c r="BC96" s="139"/>
      <c r="BD96" s="139"/>
      <c r="BE96" s="139"/>
      <c r="BF96" s="139"/>
      <c r="BG96" s="139"/>
      <c r="BH96" s="139"/>
      <c r="BI96" s="139"/>
      <c r="BJ96" s="139"/>
      <c r="BK96" s="380" t="s">
        <v>302</v>
      </c>
      <c r="BL96" s="380" t="s">
        <v>302</v>
      </c>
      <c r="BM96" s="380" t="s">
        <v>302</v>
      </c>
      <c r="BN96" s="139"/>
      <c r="BO96" s="139"/>
      <c r="BP96" s="139"/>
      <c r="BQ96" s="139"/>
      <c r="BR96" s="139"/>
      <c r="BS96" s="139"/>
      <c r="BT96" s="139"/>
      <c r="BU96" s="139"/>
      <c r="BV96" s="139"/>
    </row>
    <row r="97" spans="1:74">
      <c r="A97" s="138"/>
      <c r="B97" s="370" t="s">
        <v>1957</v>
      </c>
      <c r="C97" s="139"/>
      <c r="D97" s="139"/>
      <c r="E97" s="139"/>
      <c r="F97" s="139"/>
      <c r="G97" s="139"/>
      <c r="H97" s="139"/>
      <c r="I97" s="139"/>
      <c r="J97" s="139"/>
      <c r="K97" s="139"/>
      <c r="L97" s="139"/>
      <c r="M97" s="139"/>
      <c r="N97" s="139"/>
      <c r="O97" s="139"/>
      <c r="P97" s="139"/>
      <c r="Q97" s="139"/>
      <c r="R97" s="139"/>
      <c r="S97" s="139"/>
      <c r="T97" s="139"/>
      <c r="U97" s="139"/>
      <c r="V97" s="139"/>
      <c r="W97" s="139"/>
      <c r="X97" s="139"/>
      <c r="Y97" s="139"/>
      <c r="Z97" s="139"/>
      <c r="AA97" s="139"/>
      <c r="AB97" s="139"/>
      <c r="AC97" s="139"/>
      <c r="AD97" s="139"/>
      <c r="AE97" s="139"/>
      <c r="AF97" s="139"/>
      <c r="AG97" s="139"/>
      <c r="AH97" s="139"/>
      <c r="AI97" s="139"/>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c r="BH97" s="139"/>
      <c r="BI97" s="139"/>
      <c r="BJ97" s="139"/>
      <c r="BK97" s="139"/>
      <c r="BL97" s="139"/>
      <c r="BM97" s="380" t="s">
        <v>302</v>
      </c>
      <c r="BN97" s="139"/>
      <c r="BO97" s="139"/>
      <c r="BP97" s="139"/>
      <c r="BQ97" s="139"/>
      <c r="BR97" s="139"/>
      <c r="BS97" s="139"/>
      <c r="BT97" s="139"/>
      <c r="BU97" s="139"/>
      <c r="BV97" s="139"/>
    </row>
    <row r="98" spans="1:74" ht="14.25" customHeight="1">
      <c r="B98" s="370" t="s">
        <v>1958</v>
      </c>
      <c r="C98" s="139"/>
      <c r="D98" s="139"/>
      <c r="E98" s="139"/>
      <c r="F98" s="139"/>
      <c r="G98" s="139"/>
      <c r="H98" s="139"/>
      <c r="I98" s="139"/>
      <c r="J98" s="139"/>
      <c r="K98" s="139"/>
      <c r="L98" s="139"/>
      <c r="M98" s="139"/>
      <c r="N98" s="139"/>
      <c r="O98" s="139"/>
      <c r="P98" s="139"/>
      <c r="Q98" s="139"/>
      <c r="R98" s="139"/>
      <c r="S98" s="139"/>
      <c r="T98" s="139"/>
      <c r="U98" s="139"/>
      <c r="V98" s="139"/>
      <c r="W98" s="139"/>
      <c r="X98" s="139"/>
      <c r="Y98" s="139"/>
      <c r="Z98" s="139"/>
      <c r="AA98" s="139"/>
      <c r="AB98" s="139"/>
      <c r="AC98" s="139"/>
      <c r="AD98" s="139"/>
      <c r="AE98" s="139"/>
      <c r="AF98" s="139"/>
      <c r="AG98" s="139"/>
      <c r="AH98" s="139"/>
      <c r="AI98" s="139"/>
      <c r="AJ98" s="139"/>
      <c r="AK98" s="139"/>
      <c r="AL98" s="139"/>
      <c r="AM98" s="139"/>
      <c r="AN98" s="139"/>
      <c r="AO98" s="139"/>
      <c r="AP98" s="139"/>
      <c r="AQ98" s="139"/>
      <c r="AR98" s="139"/>
      <c r="AS98" s="139"/>
      <c r="AT98" s="139"/>
      <c r="AU98" s="139"/>
      <c r="AV98" s="139"/>
      <c r="AW98" s="139"/>
      <c r="AX98" s="139"/>
      <c r="AY98" s="139"/>
      <c r="AZ98" s="139"/>
      <c r="BA98" s="139"/>
      <c r="BB98" s="139"/>
      <c r="BC98" s="139"/>
      <c r="BD98" s="139"/>
      <c r="BE98" s="139"/>
      <c r="BF98" s="139"/>
      <c r="BG98" s="139"/>
      <c r="BH98" s="139"/>
      <c r="BI98" s="139"/>
      <c r="BJ98" s="139"/>
      <c r="BK98" s="139"/>
      <c r="BL98" s="139"/>
      <c r="BM98" s="139"/>
      <c r="BN98" s="380" t="s">
        <v>302</v>
      </c>
      <c r="BO98" s="139"/>
      <c r="BP98" s="380" t="s">
        <v>302</v>
      </c>
      <c r="BQ98" s="139"/>
      <c r="BR98" s="139"/>
      <c r="BS98" s="139"/>
      <c r="BT98" s="139"/>
      <c r="BU98" s="139"/>
      <c r="BV98" s="139"/>
    </row>
    <row r="99" spans="1:74" ht="14.25" customHeight="1">
      <c r="B99" s="370" t="s">
        <v>1959</v>
      </c>
      <c r="C99" s="139"/>
      <c r="D99" s="139"/>
      <c r="E99" s="139"/>
      <c r="F99" s="139"/>
      <c r="G99" s="139"/>
      <c r="H99" s="139"/>
      <c r="I99" s="139"/>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c r="BH99" s="139"/>
      <c r="BI99" s="139"/>
      <c r="BJ99" s="139"/>
      <c r="BK99" s="139"/>
      <c r="BL99" s="139"/>
      <c r="BM99" s="139"/>
      <c r="BN99" s="380" t="s">
        <v>302</v>
      </c>
      <c r="BO99" s="380" t="s">
        <v>302</v>
      </c>
      <c r="BP99" s="380" t="s">
        <v>302</v>
      </c>
      <c r="BQ99" s="139"/>
      <c r="BR99" s="139"/>
      <c r="BS99" s="139"/>
      <c r="BT99" s="139"/>
      <c r="BU99" s="139"/>
      <c r="BV99" s="139"/>
    </row>
    <row r="100" spans="1:74" ht="14.25" customHeight="1">
      <c r="B100" s="370" t="s">
        <v>1960</v>
      </c>
      <c r="C100" s="139"/>
      <c r="D100" s="139"/>
      <c r="E100" s="139"/>
      <c r="F100" s="139"/>
      <c r="G100" s="139"/>
      <c r="H100" s="139"/>
      <c r="I100" s="139"/>
      <c r="J100" s="139"/>
      <c r="K100" s="139"/>
      <c r="L100" s="139"/>
      <c r="M100" s="139"/>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c r="BH100" s="139"/>
      <c r="BI100" s="139"/>
      <c r="BJ100" s="139"/>
      <c r="BK100" s="139"/>
      <c r="BL100" s="139"/>
      <c r="BM100" s="139"/>
      <c r="BN100" s="139"/>
      <c r="BO100" s="139"/>
      <c r="BP100" s="380" t="s">
        <v>302</v>
      </c>
      <c r="BQ100" s="139"/>
      <c r="BR100" s="139"/>
      <c r="BS100" s="139"/>
      <c r="BT100" s="139"/>
      <c r="BU100" s="139"/>
      <c r="BV100" s="139"/>
    </row>
    <row r="101" spans="1:74" ht="14.25" customHeight="1">
      <c r="B101" s="370" t="s">
        <v>1961</v>
      </c>
      <c r="C101" s="139"/>
      <c r="D101" s="139"/>
      <c r="E101" s="139"/>
      <c r="F101" s="139"/>
      <c r="G101" s="139"/>
      <c r="H101" s="139"/>
      <c r="I101" s="139"/>
      <c r="J101" s="139"/>
      <c r="K101" s="139"/>
      <c r="L101" s="139"/>
      <c r="M101" s="139"/>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c r="BH101" s="139"/>
      <c r="BI101" s="139"/>
      <c r="BJ101" s="139"/>
      <c r="BK101" s="139"/>
      <c r="BL101" s="139"/>
      <c r="BM101" s="139"/>
      <c r="BN101" s="139"/>
      <c r="BO101" s="139"/>
      <c r="BP101" s="139"/>
      <c r="BQ101" s="380" t="s">
        <v>302</v>
      </c>
      <c r="BR101" s="139"/>
      <c r="BS101" s="380" t="s">
        <v>302</v>
      </c>
      <c r="BT101" s="139"/>
      <c r="BU101" s="139"/>
      <c r="BV101" s="139"/>
    </row>
    <row r="102" spans="1:74" ht="14.25" customHeight="1">
      <c r="B102" s="370" t="s">
        <v>1962</v>
      </c>
      <c r="C102" s="139"/>
      <c r="D102" s="139"/>
      <c r="E102" s="139"/>
      <c r="F102" s="139"/>
      <c r="G102" s="139"/>
      <c r="H102" s="139"/>
      <c r="I102" s="139"/>
      <c r="J102" s="139"/>
      <c r="K102" s="139"/>
      <c r="L102" s="139"/>
      <c r="M102" s="139"/>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c r="AR102" s="139"/>
      <c r="AS102" s="139"/>
      <c r="AT102" s="139"/>
      <c r="AU102" s="139"/>
      <c r="AV102" s="139"/>
      <c r="AW102" s="139"/>
      <c r="AX102" s="139"/>
      <c r="AY102" s="139"/>
      <c r="AZ102" s="139"/>
      <c r="BA102" s="139"/>
      <c r="BB102" s="139"/>
      <c r="BC102" s="139"/>
      <c r="BD102" s="139"/>
      <c r="BE102" s="139"/>
      <c r="BF102" s="139"/>
      <c r="BG102" s="139"/>
      <c r="BH102" s="139"/>
      <c r="BI102" s="139"/>
      <c r="BJ102" s="139"/>
      <c r="BK102" s="139"/>
      <c r="BL102" s="139"/>
      <c r="BM102" s="139"/>
      <c r="BN102" s="139"/>
      <c r="BO102" s="139"/>
      <c r="BP102" s="139"/>
      <c r="BQ102" s="380" t="s">
        <v>302</v>
      </c>
      <c r="BR102" s="380" t="s">
        <v>302</v>
      </c>
      <c r="BS102" s="380" t="s">
        <v>302</v>
      </c>
      <c r="BT102" s="139"/>
      <c r="BU102" s="139"/>
      <c r="BV102" s="139"/>
    </row>
    <row r="103" spans="1:74" ht="14.25" customHeight="1">
      <c r="B103" s="370" t="s">
        <v>1963</v>
      </c>
      <c r="C103" s="139"/>
      <c r="D103" s="139"/>
      <c r="E103" s="139"/>
      <c r="F103" s="139"/>
      <c r="G103" s="139"/>
      <c r="H103" s="139"/>
      <c r="I103" s="139"/>
      <c r="J103" s="139"/>
      <c r="K103" s="139"/>
      <c r="L103" s="139"/>
      <c r="M103" s="139"/>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c r="BH103" s="139"/>
      <c r="BI103" s="139"/>
      <c r="BJ103" s="139"/>
      <c r="BK103" s="139"/>
      <c r="BL103" s="139"/>
      <c r="BM103" s="139"/>
      <c r="BN103" s="139"/>
      <c r="BO103" s="139"/>
      <c r="BP103" s="139"/>
      <c r="BQ103" s="139"/>
      <c r="BR103" s="139"/>
      <c r="BS103" s="380" t="s">
        <v>302</v>
      </c>
      <c r="BT103" s="139"/>
      <c r="BU103" s="139"/>
      <c r="BV103" s="139"/>
    </row>
    <row r="104" spans="1:74" s="137" customFormat="1" ht="12.75">
      <c r="A104" s="137" t="s">
        <v>384</v>
      </c>
      <c r="B104" s="370" t="s">
        <v>296</v>
      </c>
      <c r="C104" s="371" t="s">
        <v>302</v>
      </c>
      <c r="D104" s="371" t="s">
        <v>302</v>
      </c>
      <c r="E104" s="379"/>
      <c r="F104" s="382"/>
      <c r="G104" s="372"/>
      <c r="H104" s="372"/>
      <c r="I104" s="372"/>
      <c r="J104" s="372"/>
      <c r="K104" s="372"/>
      <c r="L104" s="372"/>
      <c r="M104" s="379"/>
      <c r="N104" s="379"/>
      <c r="O104" s="372"/>
      <c r="P104" s="372"/>
      <c r="Q104" s="372"/>
      <c r="R104" s="379"/>
      <c r="S104" s="372"/>
      <c r="T104" s="372"/>
      <c r="U104" s="372"/>
      <c r="V104" s="372"/>
      <c r="W104" s="372"/>
      <c r="X104" s="372"/>
      <c r="Y104" s="372"/>
      <c r="Z104" s="372"/>
      <c r="AA104" s="372"/>
      <c r="AB104" s="379"/>
      <c r="AC104" s="372"/>
      <c r="AD104" s="372"/>
      <c r="AE104" s="372"/>
      <c r="AF104" s="372"/>
      <c r="AG104" s="372"/>
      <c r="AH104" s="372"/>
      <c r="AI104" s="372"/>
      <c r="AJ104" s="372"/>
      <c r="AK104" s="372"/>
      <c r="AL104" s="372"/>
      <c r="AM104" s="379"/>
      <c r="AN104" s="372"/>
      <c r="AO104" s="372"/>
      <c r="AP104" s="379"/>
      <c r="AQ104" s="372"/>
      <c r="AR104" s="372"/>
      <c r="AS104" s="372"/>
      <c r="AT104" s="372"/>
      <c r="AU104" s="372"/>
      <c r="AV104" s="372"/>
      <c r="AW104" s="372"/>
      <c r="AX104" s="372"/>
      <c r="AY104" s="372"/>
      <c r="AZ104" s="372"/>
      <c r="BA104" s="372"/>
      <c r="BB104" s="372"/>
      <c r="BC104" s="372"/>
      <c r="BD104" s="372"/>
      <c r="BE104" s="372"/>
      <c r="BF104" s="372"/>
      <c r="BG104" s="372"/>
      <c r="BH104" s="372"/>
      <c r="BI104" s="372"/>
      <c r="BJ104" s="372"/>
      <c r="BK104" s="372"/>
      <c r="BL104" s="372"/>
      <c r="BM104" s="372"/>
      <c r="BN104" s="372"/>
      <c r="BO104" s="372"/>
      <c r="BP104" s="372"/>
      <c r="BQ104" s="372"/>
      <c r="BR104" s="372"/>
      <c r="BS104" s="372"/>
      <c r="BT104" s="372"/>
      <c r="BU104" s="372"/>
      <c r="BV104" s="372"/>
    </row>
    <row r="105" spans="1:74" s="137" customFormat="1" ht="12.75">
      <c r="A105" s="137" t="s">
        <v>385</v>
      </c>
      <c r="B105" s="370" t="s">
        <v>297</v>
      </c>
      <c r="C105" s="371" t="s">
        <v>302</v>
      </c>
      <c r="D105" s="371" t="s">
        <v>302</v>
      </c>
      <c r="E105" s="379"/>
      <c r="F105" s="382"/>
      <c r="G105" s="372"/>
      <c r="H105" s="372"/>
      <c r="I105" s="372"/>
      <c r="J105" s="372"/>
      <c r="K105" s="372"/>
      <c r="L105" s="372"/>
      <c r="M105" s="379"/>
      <c r="N105" s="379"/>
      <c r="O105" s="372"/>
      <c r="P105" s="372"/>
      <c r="Q105" s="372"/>
      <c r="R105" s="379"/>
      <c r="S105" s="372"/>
      <c r="T105" s="372"/>
      <c r="U105" s="372"/>
      <c r="V105" s="372"/>
      <c r="W105" s="372"/>
      <c r="X105" s="372"/>
      <c r="Y105" s="372"/>
      <c r="Z105" s="372"/>
      <c r="AA105" s="372"/>
      <c r="AB105" s="379"/>
      <c r="AC105" s="372"/>
      <c r="AD105" s="372"/>
      <c r="AE105" s="372"/>
      <c r="AF105" s="372"/>
      <c r="AG105" s="372"/>
      <c r="AH105" s="372"/>
      <c r="AI105" s="372"/>
      <c r="AJ105" s="372"/>
      <c r="AK105" s="372"/>
      <c r="AL105" s="372"/>
      <c r="AM105" s="379"/>
      <c r="AN105" s="372"/>
      <c r="AO105" s="372"/>
      <c r="AP105" s="379"/>
      <c r="AQ105" s="372"/>
      <c r="AR105" s="372"/>
      <c r="AS105" s="372"/>
      <c r="AT105" s="372"/>
      <c r="AU105" s="372"/>
      <c r="AV105" s="372"/>
      <c r="AW105" s="372"/>
      <c r="AX105" s="372"/>
      <c r="AY105" s="372"/>
      <c r="AZ105" s="372"/>
      <c r="BA105" s="372"/>
      <c r="BB105" s="372"/>
      <c r="BC105" s="372"/>
      <c r="BD105" s="372"/>
      <c r="BE105" s="372"/>
      <c r="BF105" s="372"/>
      <c r="BG105" s="372"/>
      <c r="BH105" s="372"/>
      <c r="BI105" s="372"/>
      <c r="BJ105" s="372"/>
      <c r="BK105" s="372"/>
      <c r="BL105" s="372"/>
      <c r="BM105" s="372"/>
      <c r="BN105" s="372"/>
      <c r="BO105" s="372"/>
      <c r="BP105" s="372"/>
      <c r="BQ105" s="372"/>
      <c r="BR105" s="372"/>
      <c r="BS105" s="372"/>
      <c r="BT105" s="372"/>
      <c r="BU105" s="372"/>
      <c r="BV105" s="372"/>
    </row>
    <row r="106" spans="1:74" s="138" customFormat="1" ht="12.75">
      <c r="A106" s="137" t="s">
        <v>1797</v>
      </c>
      <c r="B106" s="370" t="s">
        <v>1798</v>
      </c>
      <c r="C106" s="380" t="s">
        <v>302</v>
      </c>
      <c r="D106" s="379"/>
      <c r="E106" s="379"/>
      <c r="F106" s="382"/>
      <c r="G106" s="382"/>
      <c r="H106" s="382"/>
      <c r="I106" s="382"/>
      <c r="J106" s="382"/>
      <c r="K106" s="382"/>
      <c r="L106" s="382"/>
      <c r="M106" s="379"/>
      <c r="N106" s="379"/>
      <c r="O106" s="382"/>
      <c r="P106" s="382"/>
      <c r="Q106" s="372"/>
      <c r="R106" s="379"/>
      <c r="S106" s="382"/>
      <c r="T106" s="382"/>
      <c r="U106" s="382"/>
      <c r="V106" s="382"/>
      <c r="W106" s="382"/>
      <c r="X106" s="382"/>
      <c r="Y106" s="382"/>
      <c r="Z106" s="382"/>
      <c r="AA106" s="382"/>
      <c r="AB106" s="379"/>
      <c r="AC106" s="382"/>
      <c r="AD106" s="382"/>
      <c r="AE106" s="382"/>
      <c r="AF106" s="382"/>
      <c r="AG106" s="382"/>
      <c r="AH106" s="382"/>
      <c r="AI106" s="382"/>
      <c r="AJ106" s="382"/>
      <c r="AK106" s="382"/>
      <c r="AL106" s="382"/>
      <c r="AM106" s="380" t="s">
        <v>302</v>
      </c>
      <c r="AN106" s="380" t="s">
        <v>302</v>
      </c>
      <c r="AO106" s="382"/>
      <c r="AP106" s="379"/>
      <c r="AQ106" s="382"/>
      <c r="AR106" s="382"/>
      <c r="AS106" s="372"/>
      <c r="AT106" s="382"/>
      <c r="AU106" s="382"/>
      <c r="AV106" s="382"/>
      <c r="AW106" s="382"/>
      <c r="AX106" s="382"/>
      <c r="AY106" s="382"/>
      <c r="AZ106" s="382"/>
      <c r="BA106" s="382"/>
      <c r="BB106" s="382"/>
      <c r="BC106" s="372"/>
      <c r="BD106" s="382"/>
      <c r="BE106" s="382"/>
      <c r="BF106" s="382"/>
      <c r="BG106" s="382"/>
      <c r="BH106" s="382"/>
      <c r="BI106" s="382"/>
      <c r="BJ106" s="382"/>
      <c r="BK106" s="382"/>
      <c r="BL106" s="382"/>
      <c r="BM106" s="382"/>
      <c r="BN106" s="382"/>
      <c r="BO106" s="382"/>
      <c r="BP106" s="382"/>
      <c r="BQ106" s="382"/>
      <c r="BR106" s="382"/>
      <c r="BS106" s="382"/>
      <c r="BT106" s="382"/>
      <c r="BU106" s="382"/>
      <c r="BV106" s="382"/>
    </row>
    <row r="107" spans="1:74" s="137" customFormat="1" ht="12.75">
      <c r="A107" s="137" t="s">
        <v>1846</v>
      </c>
      <c r="B107" s="370" t="s">
        <v>298</v>
      </c>
      <c r="C107" s="371" t="s">
        <v>302</v>
      </c>
      <c r="D107" s="379"/>
      <c r="E107" s="379"/>
      <c r="F107" s="382"/>
      <c r="G107" s="372"/>
      <c r="H107" s="372"/>
      <c r="I107" s="372"/>
      <c r="J107" s="372"/>
      <c r="K107" s="372"/>
      <c r="L107" s="372"/>
      <c r="M107" s="379"/>
      <c r="N107" s="379"/>
      <c r="O107" s="372"/>
      <c r="P107" s="372"/>
      <c r="Q107" s="372"/>
      <c r="R107" s="379"/>
      <c r="S107" s="372"/>
      <c r="T107" s="372"/>
      <c r="U107" s="372"/>
      <c r="V107" s="372"/>
      <c r="W107" s="372"/>
      <c r="X107" s="372"/>
      <c r="Y107" s="372"/>
      <c r="Z107" s="372"/>
      <c r="AA107" s="372"/>
      <c r="AB107" s="379"/>
      <c r="AC107" s="372"/>
      <c r="AD107" s="372"/>
      <c r="AE107" s="372"/>
      <c r="AF107" s="372"/>
      <c r="AG107" s="372"/>
      <c r="AH107" s="372"/>
      <c r="AI107" s="372"/>
      <c r="AJ107" s="372"/>
      <c r="AK107" s="372"/>
      <c r="AL107" s="372"/>
      <c r="AM107" s="379"/>
      <c r="AN107" s="372"/>
      <c r="AO107" s="372"/>
      <c r="AP107" s="371" t="s">
        <v>302</v>
      </c>
      <c r="AQ107" s="372"/>
      <c r="AR107" s="372"/>
      <c r="AS107" s="372"/>
      <c r="AT107" s="372"/>
      <c r="AU107" s="372"/>
      <c r="AV107" s="372"/>
      <c r="AW107" s="372"/>
      <c r="AX107" s="372"/>
      <c r="AY107" s="372"/>
      <c r="AZ107" s="372"/>
      <c r="BA107" s="372"/>
      <c r="BB107" s="372"/>
      <c r="BC107" s="372"/>
      <c r="BD107" s="372"/>
      <c r="BE107" s="372"/>
      <c r="BF107" s="372"/>
      <c r="BG107" s="372"/>
      <c r="BH107" s="372"/>
      <c r="BI107" s="372"/>
      <c r="BJ107" s="372"/>
      <c r="BK107" s="372"/>
      <c r="BL107" s="372"/>
      <c r="BM107" s="372"/>
      <c r="BN107" s="372"/>
      <c r="BO107" s="372"/>
      <c r="BP107" s="372"/>
      <c r="BQ107" s="372"/>
      <c r="BR107" s="372"/>
      <c r="BS107" s="372"/>
      <c r="BT107" s="372"/>
      <c r="BU107" s="372"/>
      <c r="BV107" s="372"/>
    </row>
    <row r="108" spans="1:74" s="137" customFormat="1" ht="12.75">
      <c r="A108" s="137" t="s">
        <v>1847</v>
      </c>
      <c r="B108" s="370" t="s">
        <v>1715</v>
      </c>
      <c r="C108" s="380" t="s">
        <v>302</v>
      </c>
      <c r="D108" s="379"/>
      <c r="E108" s="379"/>
      <c r="F108" s="382"/>
      <c r="G108" s="372"/>
      <c r="H108" s="372"/>
      <c r="I108" s="372"/>
      <c r="J108" s="372"/>
      <c r="K108" s="372"/>
      <c r="L108" s="372"/>
      <c r="M108" s="379"/>
      <c r="N108" s="379"/>
      <c r="O108" s="372"/>
      <c r="P108" s="372"/>
      <c r="Q108" s="372"/>
      <c r="R108" s="379"/>
      <c r="S108" s="372"/>
      <c r="T108" s="372"/>
      <c r="U108" s="372"/>
      <c r="V108" s="372"/>
      <c r="W108" s="372"/>
      <c r="X108" s="372"/>
      <c r="Y108" s="372"/>
      <c r="Z108" s="372"/>
      <c r="AA108" s="372"/>
      <c r="AB108" s="379"/>
      <c r="AC108" s="372"/>
      <c r="AD108" s="372"/>
      <c r="AE108" s="372"/>
      <c r="AF108" s="372"/>
      <c r="AG108" s="372"/>
      <c r="AH108" s="372"/>
      <c r="AI108" s="372"/>
      <c r="AJ108" s="372"/>
      <c r="AK108" s="372"/>
      <c r="AL108" s="372"/>
      <c r="AM108" s="379"/>
      <c r="AN108" s="372"/>
      <c r="AO108" s="372"/>
      <c r="AP108" s="380" t="s">
        <v>302</v>
      </c>
      <c r="AQ108" s="372"/>
      <c r="AR108" s="372"/>
      <c r="AS108" s="372"/>
      <c r="AT108" s="372"/>
      <c r="AU108" s="372"/>
      <c r="AV108" s="372"/>
      <c r="AW108" s="372"/>
      <c r="AX108" s="372"/>
      <c r="AY108" s="372"/>
      <c r="AZ108" s="372"/>
      <c r="BA108" s="372"/>
      <c r="BB108" s="372"/>
      <c r="BC108" s="372"/>
      <c r="BD108" s="372"/>
      <c r="BE108" s="372"/>
      <c r="BF108" s="372"/>
      <c r="BG108" s="372"/>
      <c r="BH108" s="372"/>
      <c r="BI108" s="372"/>
      <c r="BJ108" s="372"/>
      <c r="BK108" s="372"/>
      <c r="BL108" s="372"/>
      <c r="BM108" s="372"/>
      <c r="BN108" s="372"/>
      <c r="BO108" s="372"/>
      <c r="BP108" s="372"/>
      <c r="BQ108" s="372"/>
      <c r="BR108" s="372"/>
      <c r="BS108" s="372"/>
      <c r="BT108" s="372"/>
      <c r="BU108" s="372"/>
      <c r="BV108" s="372"/>
    </row>
    <row r="109" spans="1:74" s="137" customFormat="1">
      <c r="A109" s="137" t="s">
        <v>1848</v>
      </c>
      <c r="B109" s="370" t="s">
        <v>299</v>
      </c>
      <c r="C109" s="379"/>
      <c r="D109" s="379"/>
      <c r="E109" s="379"/>
      <c r="F109" s="382"/>
      <c r="G109" s="372"/>
      <c r="H109" s="372"/>
      <c r="I109" s="372"/>
      <c r="J109" s="372"/>
      <c r="K109" s="372"/>
      <c r="L109" s="372"/>
      <c r="M109" s="372"/>
      <c r="N109" s="372"/>
      <c r="O109" s="373"/>
      <c r="P109" s="372"/>
      <c r="Q109" s="372"/>
      <c r="R109" s="372"/>
      <c r="S109" s="372"/>
      <c r="T109" s="372"/>
      <c r="U109" s="372"/>
      <c r="V109" s="372"/>
      <c r="W109" s="372"/>
      <c r="X109" s="372"/>
      <c r="Y109" s="372"/>
      <c r="Z109" s="373"/>
      <c r="AA109" s="373"/>
      <c r="AB109" s="372"/>
      <c r="AC109" s="372"/>
      <c r="AD109" s="372"/>
      <c r="AE109" s="372"/>
      <c r="AF109" s="372"/>
      <c r="AG109" s="372"/>
      <c r="AH109" s="372"/>
      <c r="AI109" s="372"/>
      <c r="AJ109" s="372"/>
      <c r="AK109" s="372"/>
      <c r="AL109" s="372"/>
      <c r="AM109" s="372"/>
      <c r="AN109" s="372"/>
      <c r="AO109" s="372"/>
      <c r="AP109" s="386"/>
      <c r="AQ109" s="371" t="s">
        <v>302</v>
      </c>
      <c r="AR109" s="371" t="s">
        <v>302</v>
      </c>
      <c r="AS109" s="372"/>
      <c r="AT109" s="372"/>
      <c r="AU109" s="372"/>
      <c r="AV109" s="372"/>
      <c r="AW109" s="372"/>
      <c r="AX109" s="372"/>
      <c r="AY109" s="372"/>
      <c r="AZ109" s="372"/>
      <c r="BA109" s="372"/>
      <c r="BB109" s="372"/>
      <c r="BC109" s="372"/>
      <c r="BD109" s="372"/>
      <c r="BE109" s="372"/>
      <c r="BF109" s="372"/>
      <c r="BG109" s="372"/>
      <c r="BH109" s="372"/>
      <c r="BI109" s="372"/>
      <c r="BJ109" s="372"/>
      <c r="BK109" s="372"/>
      <c r="BL109" s="372"/>
      <c r="BM109" s="372"/>
      <c r="BN109" s="372"/>
      <c r="BO109" s="372"/>
      <c r="BP109" s="372"/>
      <c r="BQ109" s="372"/>
      <c r="BR109" s="372"/>
      <c r="BS109" s="372"/>
      <c r="BT109" s="372"/>
      <c r="BU109" s="372"/>
      <c r="BV109" s="372"/>
    </row>
    <row r="110" spans="1:74" s="137" customFormat="1">
      <c r="A110" s="137" t="s">
        <v>1849</v>
      </c>
      <c r="B110" s="370" t="s">
        <v>388</v>
      </c>
      <c r="C110" s="379"/>
      <c r="D110" s="379"/>
      <c r="E110" s="379"/>
      <c r="F110" s="382"/>
      <c r="G110" s="372"/>
      <c r="H110" s="372"/>
      <c r="I110" s="372"/>
      <c r="J110" s="372"/>
      <c r="K110" s="372"/>
      <c r="L110" s="372"/>
      <c r="M110" s="372"/>
      <c r="N110" s="372"/>
      <c r="O110" s="373"/>
      <c r="P110" s="372"/>
      <c r="Q110" s="372"/>
      <c r="R110" s="372"/>
      <c r="S110" s="372"/>
      <c r="T110" s="372"/>
      <c r="U110" s="372"/>
      <c r="V110" s="372"/>
      <c r="W110" s="372"/>
      <c r="X110" s="372"/>
      <c r="Y110" s="372"/>
      <c r="Z110" s="373"/>
      <c r="AA110" s="373"/>
      <c r="AB110" s="372"/>
      <c r="AC110" s="372"/>
      <c r="AD110" s="372"/>
      <c r="AE110" s="372"/>
      <c r="AF110" s="372"/>
      <c r="AG110" s="372"/>
      <c r="AH110" s="372"/>
      <c r="AI110" s="372"/>
      <c r="AJ110" s="372"/>
      <c r="AK110" s="372"/>
      <c r="AL110" s="372"/>
      <c r="AM110" s="372"/>
      <c r="AN110" s="372"/>
      <c r="AO110" s="372"/>
      <c r="AP110" s="372"/>
      <c r="AQ110" s="373"/>
      <c r="AR110" s="371" t="s">
        <v>302</v>
      </c>
      <c r="AS110" s="372"/>
      <c r="AT110" s="372"/>
      <c r="AU110" s="372"/>
      <c r="AV110" s="372"/>
      <c r="AW110" s="372"/>
      <c r="AX110" s="372"/>
      <c r="AY110" s="372"/>
      <c r="AZ110" s="372"/>
      <c r="BA110" s="372"/>
      <c r="BB110" s="372"/>
      <c r="BC110" s="372"/>
      <c r="BD110" s="372"/>
      <c r="BE110" s="372"/>
      <c r="BF110" s="372"/>
      <c r="BG110" s="372"/>
      <c r="BH110" s="372"/>
      <c r="BI110" s="372"/>
      <c r="BJ110" s="372"/>
      <c r="BK110" s="372"/>
      <c r="BL110" s="372"/>
      <c r="BM110" s="372"/>
      <c r="BN110" s="372"/>
      <c r="BO110" s="372"/>
      <c r="BP110" s="372"/>
      <c r="BQ110" s="372"/>
      <c r="BR110" s="372"/>
      <c r="BS110" s="372"/>
      <c r="BT110" s="372"/>
      <c r="BU110" s="372"/>
      <c r="BV110" s="372"/>
    </row>
    <row r="111" spans="1:74" s="137" customFormat="1" ht="12.75">
      <c r="A111" s="137" t="s">
        <v>1850</v>
      </c>
      <c r="B111" s="370" t="s">
        <v>1716</v>
      </c>
      <c r="C111" s="380" t="s">
        <v>302</v>
      </c>
      <c r="D111" s="379"/>
      <c r="E111" s="379"/>
      <c r="F111" s="382"/>
      <c r="G111" s="372"/>
      <c r="H111" s="372"/>
      <c r="I111" s="372"/>
      <c r="J111" s="372"/>
      <c r="K111" s="372"/>
      <c r="L111" s="372"/>
      <c r="M111" s="379"/>
      <c r="N111" s="379"/>
      <c r="O111" s="372"/>
      <c r="P111" s="372"/>
      <c r="Q111" s="372"/>
      <c r="R111" s="379"/>
      <c r="S111" s="372"/>
      <c r="T111" s="372"/>
      <c r="U111" s="372"/>
      <c r="V111" s="372"/>
      <c r="W111" s="372"/>
      <c r="X111" s="372"/>
      <c r="Y111" s="372"/>
      <c r="Z111" s="372"/>
      <c r="AA111" s="372"/>
      <c r="AB111" s="379"/>
      <c r="AC111" s="372"/>
      <c r="AD111" s="372"/>
      <c r="AE111" s="372"/>
      <c r="AF111" s="372"/>
      <c r="AG111" s="372"/>
      <c r="AH111" s="372"/>
      <c r="AI111" s="372"/>
      <c r="AJ111" s="372"/>
      <c r="AK111" s="372"/>
      <c r="AL111" s="372"/>
      <c r="AM111" s="379"/>
      <c r="AN111" s="372"/>
      <c r="AO111" s="372"/>
      <c r="AP111" s="380" t="s">
        <v>302</v>
      </c>
      <c r="AQ111" s="372"/>
      <c r="AR111" s="372"/>
      <c r="AS111" s="372"/>
      <c r="AT111" s="372"/>
      <c r="AU111" s="372"/>
      <c r="AV111" s="372"/>
      <c r="AW111" s="372"/>
      <c r="AX111" s="372"/>
      <c r="AY111" s="372"/>
      <c r="AZ111" s="372"/>
      <c r="BA111" s="372"/>
      <c r="BB111" s="372"/>
      <c r="BC111" s="372"/>
      <c r="BD111" s="372"/>
      <c r="BE111" s="372"/>
      <c r="BF111" s="372"/>
      <c r="BG111" s="372"/>
      <c r="BH111" s="372"/>
      <c r="BI111" s="372"/>
      <c r="BJ111" s="372"/>
      <c r="BK111" s="372"/>
      <c r="BL111" s="372"/>
      <c r="BM111" s="372"/>
      <c r="BN111" s="372"/>
      <c r="BO111" s="372"/>
      <c r="BP111" s="372"/>
      <c r="BQ111" s="372"/>
      <c r="BR111" s="372"/>
      <c r="BS111" s="372"/>
      <c r="BT111" s="372"/>
      <c r="BU111" s="372"/>
      <c r="BV111" s="372"/>
    </row>
    <row r="112" spans="1:74" s="137" customFormat="1" ht="12.75">
      <c r="A112" s="137" t="s">
        <v>1851</v>
      </c>
      <c r="B112" s="370" t="s">
        <v>1717</v>
      </c>
      <c r="C112" s="380" t="s">
        <v>302</v>
      </c>
      <c r="D112" s="379"/>
      <c r="E112" s="379"/>
      <c r="F112" s="382"/>
      <c r="G112" s="372"/>
      <c r="H112" s="372"/>
      <c r="I112" s="372"/>
      <c r="J112" s="372"/>
      <c r="K112" s="372"/>
      <c r="L112" s="372"/>
      <c r="M112" s="379"/>
      <c r="N112" s="379"/>
      <c r="O112" s="372"/>
      <c r="P112" s="372"/>
      <c r="Q112" s="372"/>
      <c r="R112" s="379"/>
      <c r="S112" s="372"/>
      <c r="T112" s="372"/>
      <c r="U112" s="372"/>
      <c r="V112" s="372"/>
      <c r="W112" s="372"/>
      <c r="X112" s="372"/>
      <c r="Y112" s="372"/>
      <c r="Z112" s="372"/>
      <c r="AA112" s="372"/>
      <c r="AB112" s="379"/>
      <c r="AC112" s="372"/>
      <c r="AD112" s="372"/>
      <c r="AE112" s="372"/>
      <c r="AF112" s="372"/>
      <c r="AG112" s="372"/>
      <c r="AH112" s="372"/>
      <c r="AI112" s="372"/>
      <c r="AJ112" s="372"/>
      <c r="AK112" s="372"/>
      <c r="AL112" s="372"/>
      <c r="AM112" s="379"/>
      <c r="AN112" s="372"/>
      <c r="AO112" s="372"/>
      <c r="AP112" s="380" t="s">
        <v>302</v>
      </c>
      <c r="AQ112" s="372"/>
      <c r="AR112" s="372"/>
      <c r="AS112" s="372"/>
      <c r="AT112" s="372"/>
      <c r="AU112" s="372"/>
      <c r="AV112" s="372"/>
      <c r="AW112" s="372"/>
      <c r="AX112" s="372"/>
      <c r="AY112" s="372"/>
      <c r="AZ112" s="372"/>
      <c r="BA112" s="372"/>
      <c r="BB112" s="372"/>
      <c r="BC112" s="372"/>
      <c r="BD112" s="372"/>
      <c r="BE112" s="372"/>
      <c r="BF112" s="372"/>
      <c r="BG112" s="372"/>
      <c r="BH112" s="372"/>
      <c r="BI112" s="372"/>
      <c r="BJ112" s="372"/>
      <c r="BK112" s="372"/>
      <c r="BL112" s="372"/>
      <c r="BM112" s="372"/>
      <c r="BN112" s="372"/>
      <c r="BO112" s="372"/>
      <c r="BP112" s="372"/>
      <c r="BQ112" s="372"/>
      <c r="BR112" s="372"/>
      <c r="BS112" s="372"/>
      <c r="BT112" s="372"/>
      <c r="BU112" s="372"/>
      <c r="BV112" s="372"/>
    </row>
    <row r="113" spans="1:74" s="137" customFormat="1" ht="12.75">
      <c r="A113" s="137" t="s">
        <v>1852</v>
      </c>
      <c r="B113" s="370" t="s">
        <v>1697</v>
      </c>
      <c r="C113" s="380" t="s">
        <v>302</v>
      </c>
      <c r="D113" s="372"/>
      <c r="E113" s="372"/>
      <c r="F113" s="372"/>
      <c r="G113" s="372"/>
      <c r="H113" s="372"/>
      <c r="I113" s="372"/>
      <c r="J113" s="372"/>
      <c r="K113" s="372"/>
      <c r="L113" s="372"/>
      <c r="M113" s="372"/>
      <c r="N113" s="372"/>
      <c r="O113" s="372"/>
      <c r="P113" s="372"/>
      <c r="Q113" s="372"/>
      <c r="R113" s="372"/>
      <c r="S113" s="372"/>
      <c r="T113" s="372"/>
      <c r="U113" s="372"/>
      <c r="V113" s="372"/>
      <c r="W113" s="372"/>
      <c r="X113" s="372"/>
      <c r="Y113" s="372"/>
      <c r="Z113" s="372"/>
      <c r="AA113" s="372"/>
      <c r="AB113" s="372"/>
      <c r="AC113" s="372"/>
      <c r="AD113" s="372"/>
      <c r="AE113" s="372"/>
      <c r="AF113" s="372"/>
      <c r="AG113" s="372"/>
      <c r="AH113" s="372"/>
      <c r="AI113" s="372"/>
      <c r="AJ113" s="372"/>
      <c r="AK113" s="372"/>
      <c r="AL113" s="372"/>
      <c r="AM113" s="372"/>
      <c r="AN113" s="372"/>
      <c r="AO113" s="372"/>
      <c r="AP113" s="372"/>
      <c r="AQ113" s="372"/>
      <c r="AR113" s="372"/>
      <c r="AS113" s="372"/>
      <c r="AT113" s="372"/>
      <c r="AU113" s="372"/>
      <c r="AV113" s="372"/>
      <c r="AW113" s="372"/>
      <c r="AX113" s="372"/>
      <c r="AY113" s="372"/>
      <c r="AZ113" s="372"/>
      <c r="BA113" s="372"/>
      <c r="BB113" s="372"/>
      <c r="BC113" s="372"/>
      <c r="BD113" s="372"/>
      <c r="BE113" s="372"/>
      <c r="BF113" s="372"/>
      <c r="BG113" s="372"/>
      <c r="BH113" s="372"/>
      <c r="BI113" s="372"/>
      <c r="BJ113" s="372"/>
      <c r="BK113" s="372"/>
      <c r="BL113" s="372"/>
      <c r="BM113" s="372"/>
      <c r="BN113" s="372"/>
      <c r="BO113" s="372"/>
      <c r="BP113" s="372"/>
      <c r="BQ113" s="372"/>
      <c r="BR113" s="372"/>
      <c r="BS113" s="372"/>
      <c r="BT113" s="372"/>
      <c r="BU113" s="372"/>
      <c r="BV113" s="372"/>
    </row>
    <row r="114" spans="1:74" s="137" customFormat="1" ht="12.75">
      <c r="A114" s="137" t="s">
        <v>1853</v>
      </c>
      <c r="B114" s="370" t="s">
        <v>1718</v>
      </c>
      <c r="C114" s="372"/>
      <c r="D114" s="385" t="s">
        <v>302</v>
      </c>
      <c r="E114" s="372"/>
      <c r="F114" s="372"/>
      <c r="G114" s="372"/>
      <c r="H114" s="372"/>
      <c r="I114" s="372"/>
      <c r="J114" s="372"/>
      <c r="K114" s="372"/>
      <c r="L114" s="372"/>
      <c r="M114" s="372"/>
      <c r="N114" s="372"/>
      <c r="O114" s="372"/>
      <c r="P114" s="372"/>
      <c r="Q114" s="372"/>
      <c r="R114" s="372"/>
      <c r="S114" s="372"/>
      <c r="T114" s="372"/>
      <c r="U114" s="372"/>
      <c r="V114" s="372"/>
      <c r="W114" s="372"/>
      <c r="X114" s="372"/>
      <c r="Y114" s="372"/>
      <c r="Z114" s="372"/>
      <c r="AA114" s="372"/>
      <c r="AB114" s="372"/>
      <c r="AC114" s="372"/>
      <c r="AD114" s="372"/>
      <c r="AE114" s="372"/>
      <c r="AF114" s="372"/>
      <c r="AG114" s="372"/>
      <c r="AH114" s="372"/>
      <c r="AI114" s="372"/>
      <c r="AJ114" s="372"/>
      <c r="AK114" s="372"/>
      <c r="AL114" s="372"/>
      <c r="AM114" s="372"/>
      <c r="AN114" s="372"/>
      <c r="AO114" s="372"/>
      <c r="AP114" s="372"/>
      <c r="AQ114" s="372"/>
      <c r="AR114" s="372"/>
      <c r="AS114" s="372"/>
      <c r="AT114" s="372"/>
      <c r="AU114" s="372"/>
      <c r="AV114" s="372"/>
      <c r="AW114" s="372"/>
      <c r="AX114" s="372"/>
      <c r="AY114" s="372"/>
      <c r="AZ114" s="372"/>
      <c r="BA114" s="372"/>
      <c r="BB114" s="372"/>
      <c r="BC114" s="372"/>
      <c r="BD114" s="372"/>
      <c r="BE114" s="372"/>
      <c r="BF114" s="372"/>
      <c r="BG114" s="372"/>
      <c r="BH114" s="372"/>
      <c r="BI114" s="372"/>
      <c r="BJ114" s="372"/>
      <c r="BK114" s="372"/>
      <c r="BL114" s="372"/>
      <c r="BM114" s="372"/>
      <c r="BN114" s="372"/>
      <c r="BO114" s="372"/>
      <c r="BP114" s="372"/>
      <c r="BQ114" s="372"/>
      <c r="BR114" s="372"/>
      <c r="BS114" s="372"/>
      <c r="BT114" s="372"/>
      <c r="BU114" s="372"/>
      <c r="BV114" s="372"/>
    </row>
    <row r="115" spans="1:74" s="137" customFormat="1" ht="12.75">
      <c r="A115" s="137" t="s">
        <v>1854</v>
      </c>
      <c r="B115" s="370" t="s">
        <v>1698</v>
      </c>
      <c r="C115" s="372"/>
      <c r="D115" s="372"/>
      <c r="E115" s="372"/>
      <c r="F115" s="372"/>
      <c r="G115" s="372"/>
      <c r="H115" s="372"/>
      <c r="I115" s="372"/>
      <c r="J115" s="372"/>
      <c r="K115" s="372"/>
      <c r="L115" s="372"/>
      <c r="M115" s="372"/>
      <c r="N115" s="372"/>
      <c r="O115" s="372"/>
      <c r="P115" s="372"/>
      <c r="Q115" s="372"/>
      <c r="R115" s="372"/>
      <c r="S115" s="372"/>
      <c r="T115" s="372"/>
      <c r="U115" s="372"/>
      <c r="V115" s="372"/>
      <c r="W115" s="372"/>
      <c r="X115" s="372"/>
      <c r="Y115" s="372"/>
      <c r="Z115" s="372"/>
      <c r="AA115" s="372"/>
      <c r="AB115" s="372"/>
      <c r="AC115" s="372"/>
      <c r="AD115" s="372"/>
      <c r="AE115" s="372"/>
      <c r="AF115" s="372"/>
      <c r="AG115" s="372"/>
      <c r="AH115" s="372"/>
      <c r="AI115" s="372"/>
      <c r="AJ115" s="372"/>
      <c r="AK115" s="372"/>
      <c r="AL115" s="372"/>
      <c r="AM115" s="372"/>
      <c r="AN115" s="372"/>
      <c r="AO115" s="372"/>
      <c r="AP115" s="372"/>
      <c r="AQ115" s="372"/>
      <c r="AR115" s="372"/>
      <c r="AS115" s="372"/>
      <c r="AT115" s="380" t="s">
        <v>302</v>
      </c>
      <c r="AU115" s="372"/>
      <c r="AV115" s="372"/>
      <c r="AW115" s="372"/>
      <c r="AX115" s="372"/>
      <c r="AY115" s="372"/>
      <c r="AZ115" s="372"/>
      <c r="BA115" s="372"/>
      <c r="BB115" s="372"/>
      <c r="BC115" s="372"/>
      <c r="BD115" s="372"/>
      <c r="BE115" s="372"/>
      <c r="BF115" s="372"/>
      <c r="BG115" s="372"/>
      <c r="BH115" s="372"/>
      <c r="BI115" s="372"/>
      <c r="BJ115" s="372"/>
      <c r="BK115" s="372"/>
      <c r="BL115" s="372"/>
      <c r="BM115" s="372"/>
      <c r="BN115" s="372"/>
      <c r="BO115" s="372"/>
      <c r="BP115" s="372"/>
      <c r="BQ115" s="372"/>
      <c r="BR115" s="372"/>
      <c r="BS115" s="372"/>
      <c r="BT115" s="372"/>
      <c r="BU115" s="372"/>
      <c r="BV115" s="372"/>
    </row>
    <row r="116" spans="1:74" s="137" customFormat="1" ht="12.75">
      <c r="A116" s="137" t="s">
        <v>1854</v>
      </c>
      <c r="B116" s="370" t="s">
        <v>1901</v>
      </c>
      <c r="C116" s="380" t="s">
        <v>302</v>
      </c>
      <c r="D116" s="372"/>
      <c r="E116" s="372"/>
      <c r="F116" s="372"/>
      <c r="G116" s="372"/>
      <c r="H116" s="372"/>
      <c r="I116" s="372"/>
      <c r="J116" s="372"/>
      <c r="K116" s="372"/>
      <c r="L116" s="372"/>
      <c r="M116" s="372"/>
      <c r="N116" s="372"/>
      <c r="O116" s="372"/>
      <c r="P116" s="372"/>
      <c r="Q116" s="372"/>
      <c r="R116" s="372"/>
      <c r="S116" s="372"/>
      <c r="T116" s="372"/>
      <c r="U116" s="372"/>
      <c r="V116" s="372"/>
      <c r="W116" s="372"/>
      <c r="X116" s="372"/>
      <c r="Y116" s="372"/>
      <c r="Z116" s="372"/>
      <c r="AA116" s="372"/>
      <c r="AB116" s="372"/>
      <c r="AC116" s="372"/>
      <c r="AD116" s="372"/>
      <c r="AE116" s="372"/>
      <c r="AF116" s="372"/>
      <c r="AG116" s="372"/>
      <c r="AH116" s="372"/>
      <c r="AI116" s="372"/>
      <c r="AJ116" s="372"/>
      <c r="AK116" s="372"/>
      <c r="AL116" s="372"/>
      <c r="AM116" s="372"/>
      <c r="AN116" s="372"/>
      <c r="AO116" s="372"/>
      <c r="AP116" s="372"/>
      <c r="AQ116" s="372"/>
      <c r="AR116" s="372"/>
      <c r="AS116" s="372"/>
      <c r="AT116" s="372"/>
      <c r="AU116" s="372"/>
      <c r="AV116" s="372"/>
      <c r="AW116" s="372"/>
      <c r="AX116" s="372"/>
      <c r="AY116" s="372"/>
      <c r="AZ116" s="372"/>
      <c r="BA116" s="372"/>
      <c r="BB116" s="372"/>
      <c r="BC116" s="372"/>
      <c r="BD116" s="372"/>
      <c r="BE116" s="372"/>
      <c r="BF116" s="372"/>
      <c r="BG116" s="372"/>
      <c r="BH116" s="372"/>
      <c r="BI116" s="372"/>
      <c r="BJ116" s="372"/>
      <c r="BK116" s="372"/>
      <c r="BL116" s="372"/>
      <c r="BM116" s="372"/>
      <c r="BN116" s="372"/>
      <c r="BO116" s="372"/>
      <c r="BP116" s="372"/>
      <c r="BQ116" s="372"/>
      <c r="BR116" s="372"/>
      <c r="BS116" s="372"/>
      <c r="BT116" s="372"/>
      <c r="BU116" s="372"/>
      <c r="BV116" s="372"/>
    </row>
    <row r="117" spans="1:74" s="137" customFormat="1" ht="12.75">
      <c r="A117" s="137" t="s">
        <v>1855</v>
      </c>
      <c r="B117" s="370" t="s">
        <v>1699</v>
      </c>
      <c r="C117" s="372"/>
      <c r="D117" s="372"/>
      <c r="E117" s="372"/>
      <c r="F117" s="372"/>
      <c r="G117" s="372"/>
      <c r="H117" s="372"/>
      <c r="I117" s="372"/>
      <c r="J117" s="372"/>
      <c r="K117" s="372"/>
      <c r="L117" s="372"/>
      <c r="M117" s="372"/>
      <c r="N117" s="372"/>
      <c r="O117" s="372"/>
      <c r="P117" s="372"/>
      <c r="Q117" s="372"/>
      <c r="R117" s="372"/>
      <c r="S117" s="372"/>
      <c r="T117" s="372"/>
      <c r="U117" s="372"/>
      <c r="V117" s="372"/>
      <c r="W117" s="372"/>
      <c r="X117" s="372"/>
      <c r="Y117" s="372"/>
      <c r="Z117" s="372"/>
      <c r="AA117" s="372"/>
      <c r="AB117" s="372"/>
      <c r="AC117" s="372"/>
      <c r="AD117" s="372"/>
      <c r="AE117" s="372"/>
      <c r="AF117" s="372"/>
      <c r="AG117" s="372"/>
      <c r="AH117" s="372"/>
      <c r="AI117" s="372"/>
      <c r="AJ117" s="372"/>
      <c r="AK117" s="372"/>
      <c r="AL117" s="372"/>
      <c r="AM117" s="372"/>
      <c r="AN117" s="372"/>
      <c r="AO117" s="372"/>
      <c r="AP117" s="372"/>
      <c r="AQ117" s="372"/>
      <c r="AR117" s="372"/>
      <c r="AS117" s="372"/>
      <c r="AT117" s="372"/>
      <c r="AU117" s="380" t="s">
        <v>302</v>
      </c>
      <c r="AV117" s="372"/>
      <c r="AW117" s="372"/>
      <c r="AX117" s="372"/>
      <c r="AY117" s="372"/>
      <c r="AZ117" s="372"/>
      <c r="BA117" s="372"/>
      <c r="BB117" s="372"/>
      <c r="BC117" s="372"/>
      <c r="BD117" s="372"/>
      <c r="BE117" s="372"/>
      <c r="BF117" s="372"/>
      <c r="BG117" s="372"/>
      <c r="BH117" s="372"/>
      <c r="BI117" s="372"/>
      <c r="BJ117" s="372"/>
      <c r="BK117" s="372"/>
      <c r="BL117" s="372"/>
      <c r="BM117" s="372"/>
      <c r="BN117" s="372"/>
      <c r="BO117" s="372"/>
      <c r="BP117" s="372"/>
      <c r="BQ117" s="372"/>
      <c r="BR117" s="372"/>
      <c r="BS117" s="372"/>
      <c r="BT117" s="372"/>
      <c r="BU117" s="372"/>
      <c r="BV117" s="372"/>
    </row>
    <row r="118" spans="1:74" s="137" customFormat="1" ht="12.75">
      <c r="A118" s="137" t="s">
        <v>1856</v>
      </c>
      <c r="B118" s="370" t="s">
        <v>1700</v>
      </c>
      <c r="C118" s="372"/>
      <c r="D118" s="372"/>
      <c r="E118" s="372"/>
      <c r="F118" s="372"/>
      <c r="G118" s="372"/>
      <c r="H118" s="372"/>
      <c r="I118" s="372"/>
      <c r="J118" s="372"/>
      <c r="K118" s="372"/>
      <c r="L118" s="372"/>
      <c r="M118" s="372"/>
      <c r="N118" s="372"/>
      <c r="O118" s="372"/>
      <c r="P118" s="372"/>
      <c r="Q118" s="372"/>
      <c r="R118" s="372"/>
      <c r="S118" s="372"/>
      <c r="T118" s="372"/>
      <c r="U118" s="372"/>
      <c r="V118" s="372"/>
      <c r="W118" s="372"/>
      <c r="X118" s="372"/>
      <c r="Y118" s="372"/>
      <c r="Z118" s="372"/>
      <c r="AA118" s="372"/>
      <c r="AB118" s="372"/>
      <c r="AC118" s="372"/>
      <c r="AD118" s="372"/>
      <c r="AE118" s="372"/>
      <c r="AF118" s="372"/>
      <c r="AG118" s="372"/>
      <c r="AH118" s="372"/>
      <c r="AI118" s="372"/>
      <c r="AJ118" s="372"/>
      <c r="AK118" s="372"/>
      <c r="AL118" s="372"/>
      <c r="AM118" s="372"/>
      <c r="AN118" s="372"/>
      <c r="AO118" s="372"/>
      <c r="AP118" s="372"/>
      <c r="AQ118" s="372"/>
      <c r="AR118" s="372"/>
      <c r="AS118" s="372"/>
      <c r="AT118" s="372"/>
      <c r="AU118" s="372"/>
      <c r="AV118" s="380" t="s">
        <v>302</v>
      </c>
      <c r="AW118" s="372"/>
      <c r="AX118" s="372"/>
      <c r="AY118" s="372"/>
      <c r="AZ118" s="372"/>
      <c r="BA118" s="372"/>
      <c r="BB118" s="372"/>
      <c r="BC118" s="372"/>
      <c r="BD118" s="372"/>
      <c r="BE118" s="372"/>
      <c r="BF118" s="372"/>
      <c r="BG118" s="372"/>
      <c r="BH118" s="372"/>
      <c r="BI118" s="372"/>
      <c r="BJ118" s="372"/>
      <c r="BK118" s="372"/>
      <c r="BL118" s="372"/>
      <c r="BM118" s="372"/>
      <c r="BN118" s="372"/>
      <c r="BO118" s="372"/>
      <c r="BP118" s="372"/>
      <c r="BQ118" s="372"/>
      <c r="BR118" s="372"/>
      <c r="BS118" s="372"/>
      <c r="BT118" s="372"/>
      <c r="BU118" s="372"/>
      <c r="BV118" s="372"/>
    </row>
    <row r="119" spans="1:74" s="137" customFormat="1" ht="12.75">
      <c r="A119" s="137" t="s">
        <v>1857</v>
      </c>
      <c r="B119" s="370" t="s">
        <v>1701</v>
      </c>
      <c r="C119" s="372"/>
      <c r="D119" s="372"/>
      <c r="E119" s="372"/>
      <c r="F119" s="372"/>
      <c r="G119" s="372"/>
      <c r="H119" s="372"/>
      <c r="I119" s="372"/>
      <c r="J119" s="372"/>
      <c r="K119" s="372"/>
      <c r="L119" s="372"/>
      <c r="M119" s="372"/>
      <c r="N119" s="372"/>
      <c r="O119" s="372"/>
      <c r="P119" s="372"/>
      <c r="Q119" s="372"/>
      <c r="R119" s="372"/>
      <c r="S119" s="372"/>
      <c r="T119" s="372"/>
      <c r="U119" s="372"/>
      <c r="V119" s="372"/>
      <c r="W119" s="372"/>
      <c r="X119" s="372"/>
      <c r="Y119" s="372"/>
      <c r="Z119" s="372"/>
      <c r="AA119" s="372"/>
      <c r="AB119" s="372"/>
      <c r="AC119" s="372"/>
      <c r="AD119" s="372"/>
      <c r="AE119" s="372"/>
      <c r="AF119" s="372"/>
      <c r="AG119" s="372"/>
      <c r="AH119" s="372"/>
      <c r="AI119" s="372"/>
      <c r="AJ119" s="372"/>
      <c r="AK119" s="372"/>
      <c r="AL119" s="372"/>
      <c r="AM119" s="372"/>
      <c r="AN119" s="372"/>
      <c r="AO119" s="372"/>
      <c r="AP119" s="372"/>
      <c r="AQ119" s="372"/>
      <c r="AR119" s="372"/>
      <c r="AS119" s="372"/>
      <c r="AT119" s="372"/>
      <c r="AU119" s="372"/>
      <c r="AV119" s="372"/>
      <c r="AW119" s="380" t="s">
        <v>302</v>
      </c>
      <c r="AX119" s="372"/>
      <c r="AY119" s="372"/>
      <c r="AZ119" s="372"/>
      <c r="BA119" s="372"/>
      <c r="BB119" s="372"/>
      <c r="BC119" s="372"/>
      <c r="BD119" s="372"/>
      <c r="BE119" s="372"/>
      <c r="BF119" s="372"/>
      <c r="BG119" s="372"/>
      <c r="BH119" s="372"/>
      <c r="BI119" s="372"/>
      <c r="BJ119" s="372"/>
      <c r="BK119" s="372"/>
      <c r="BL119" s="372"/>
      <c r="BM119" s="372"/>
      <c r="BN119" s="372"/>
      <c r="BO119" s="372"/>
      <c r="BP119" s="372"/>
      <c r="BQ119" s="372"/>
      <c r="BR119" s="372"/>
      <c r="BS119" s="372"/>
      <c r="BT119" s="372"/>
      <c r="BU119" s="372"/>
      <c r="BV119" s="372"/>
    </row>
    <row r="120" spans="1:74" s="137" customFormat="1" ht="12.75">
      <c r="A120" s="137" t="s">
        <v>1858</v>
      </c>
      <c r="B120" s="370" t="s">
        <v>1702</v>
      </c>
      <c r="C120" s="372"/>
      <c r="D120" s="372"/>
      <c r="E120" s="372"/>
      <c r="F120" s="372"/>
      <c r="G120" s="372"/>
      <c r="H120" s="372"/>
      <c r="I120" s="372"/>
      <c r="J120" s="372"/>
      <c r="K120" s="372"/>
      <c r="L120" s="372"/>
      <c r="M120" s="372"/>
      <c r="N120" s="372"/>
      <c r="O120" s="372"/>
      <c r="P120" s="372"/>
      <c r="Q120" s="372"/>
      <c r="R120" s="372"/>
      <c r="S120" s="372"/>
      <c r="T120" s="372"/>
      <c r="U120" s="372"/>
      <c r="V120" s="372"/>
      <c r="W120" s="372"/>
      <c r="X120" s="372"/>
      <c r="Y120" s="372"/>
      <c r="Z120" s="372"/>
      <c r="AA120" s="372"/>
      <c r="AB120" s="372"/>
      <c r="AC120" s="372"/>
      <c r="AD120" s="372"/>
      <c r="AE120" s="372"/>
      <c r="AF120" s="372"/>
      <c r="AG120" s="372"/>
      <c r="AH120" s="372"/>
      <c r="AI120" s="372"/>
      <c r="AJ120" s="372"/>
      <c r="AK120" s="372"/>
      <c r="AL120" s="372"/>
      <c r="AM120" s="372"/>
      <c r="AN120" s="372"/>
      <c r="AO120" s="372"/>
      <c r="AP120" s="372"/>
      <c r="AQ120" s="372"/>
      <c r="AR120" s="372"/>
      <c r="AS120" s="372"/>
      <c r="AT120" s="372"/>
      <c r="AU120" s="372"/>
      <c r="AV120" s="372"/>
      <c r="AW120" s="372"/>
      <c r="AX120" s="380" t="s">
        <v>302</v>
      </c>
      <c r="AY120" s="372"/>
      <c r="AZ120" s="372"/>
      <c r="BA120" s="372"/>
      <c r="BB120" s="372"/>
      <c r="BC120" s="372"/>
      <c r="BD120" s="372"/>
      <c r="BE120" s="372"/>
      <c r="BF120" s="372"/>
      <c r="BG120" s="372"/>
      <c r="BH120" s="372"/>
      <c r="BI120" s="372"/>
      <c r="BJ120" s="372"/>
      <c r="BK120" s="372"/>
      <c r="BL120" s="372"/>
      <c r="BM120" s="372"/>
      <c r="BN120" s="372"/>
      <c r="BO120" s="372"/>
      <c r="BP120" s="372"/>
      <c r="BQ120" s="372"/>
      <c r="BR120" s="372"/>
      <c r="BS120" s="372"/>
      <c r="BT120" s="372"/>
      <c r="BU120" s="372"/>
      <c r="BV120" s="372"/>
    </row>
    <row r="121" spans="1:74" s="137" customFormat="1" ht="12.75">
      <c r="A121" s="137" t="s">
        <v>1859</v>
      </c>
      <c r="B121" s="370" t="s">
        <v>1703</v>
      </c>
      <c r="C121" s="372"/>
      <c r="D121" s="372"/>
      <c r="E121" s="372"/>
      <c r="F121" s="372"/>
      <c r="G121" s="372"/>
      <c r="H121" s="372"/>
      <c r="I121" s="372"/>
      <c r="J121" s="372"/>
      <c r="K121" s="372"/>
      <c r="L121" s="372"/>
      <c r="M121" s="372"/>
      <c r="N121" s="372"/>
      <c r="O121" s="372"/>
      <c r="P121" s="372"/>
      <c r="Q121" s="372"/>
      <c r="R121" s="372"/>
      <c r="S121" s="372"/>
      <c r="T121" s="372"/>
      <c r="U121" s="372"/>
      <c r="V121" s="372"/>
      <c r="W121" s="372"/>
      <c r="X121" s="372"/>
      <c r="Y121" s="372"/>
      <c r="Z121" s="372"/>
      <c r="AA121" s="372"/>
      <c r="AB121" s="372"/>
      <c r="AC121" s="372"/>
      <c r="AD121" s="372"/>
      <c r="AE121" s="372"/>
      <c r="AF121" s="372"/>
      <c r="AG121" s="372"/>
      <c r="AH121" s="372"/>
      <c r="AI121" s="372"/>
      <c r="AJ121" s="372"/>
      <c r="AK121" s="372"/>
      <c r="AL121" s="372"/>
      <c r="AM121" s="372"/>
      <c r="AN121" s="372"/>
      <c r="AO121" s="372"/>
      <c r="AP121" s="372"/>
      <c r="AQ121" s="372"/>
      <c r="AR121" s="372"/>
      <c r="AS121" s="372"/>
      <c r="AT121" s="372"/>
      <c r="AU121" s="372"/>
      <c r="AV121" s="372"/>
      <c r="AW121" s="372"/>
      <c r="AX121" s="372"/>
      <c r="AY121" s="380" t="s">
        <v>302</v>
      </c>
      <c r="AZ121" s="372"/>
      <c r="BA121" s="372"/>
      <c r="BB121" s="372"/>
      <c r="BC121" s="372"/>
      <c r="BD121" s="372"/>
      <c r="BE121" s="372"/>
      <c r="BF121" s="372"/>
      <c r="BG121" s="372"/>
      <c r="BH121" s="372"/>
      <c r="BI121" s="372"/>
      <c r="BJ121" s="372"/>
      <c r="BK121" s="372"/>
      <c r="BL121" s="372"/>
      <c r="BM121" s="372"/>
      <c r="BN121" s="372"/>
      <c r="BO121" s="372"/>
      <c r="BP121" s="372"/>
      <c r="BQ121" s="372"/>
      <c r="BR121" s="372"/>
      <c r="BS121" s="372"/>
      <c r="BT121" s="372"/>
      <c r="BU121" s="372"/>
      <c r="BV121" s="372"/>
    </row>
    <row r="122" spans="1:74" s="137" customFormat="1" ht="12.75">
      <c r="A122" s="137" t="s">
        <v>1860</v>
      </c>
      <c r="B122" s="370" t="s">
        <v>1704</v>
      </c>
      <c r="C122" s="372"/>
      <c r="D122" s="372"/>
      <c r="E122" s="372"/>
      <c r="F122" s="372"/>
      <c r="G122" s="372"/>
      <c r="H122" s="372"/>
      <c r="I122" s="372"/>
      <c r="J122" s="372"/>
      <c r="K122" s="372"/>
      <c r="L122" s="372"/>
      <c r="M122" s="372"/>
      <c r="N122" s="372"/>
      <c r="O122" s="372"/>
      <c r="P122" s="372"/>
      <c r="Q122" s="372"/>
      <c r="R122" s="372"/>
      <c r="S122" s="372"/>
      <c r="T122" s="372"/>
      <c r="U122" s="372"/>
      <c r="V122" s="372"/>
      <c r="W122" s="372"/>
      <c r="X122" s="372"/>
      <c r="Y122" s="372"/>
      <c r="Z122" s="372"/>
      <c r="AA122" s="372"/>
      <c r="AB122" s="372"/>
      <c r="AC122" s="372"/>
      <c r="AD122" s="372"/>
      <c r="AE122" s="372"/>
      <c r="AF122" s="372"/>
      <c r="AG122" s="372"/>
      <c r="AH122" s="372"/>
      <c r="AI122" s="372"/>
      <c r="AJ122" s="372"/>
      <c r="AK122" s="372"/>
      <c r="AL122" s="372"/>
      <c r="AM122" s="372"/>
      <c r="AN122" s="372"/>
      <c r="AO122" s="372"/>
      <c r="AP122" s="372"/>
      <c r="AQ122" s="372"/>
      <c r="AR122" s="372"/>
      <c r="AS122" s="372"/>
      <c r="AT122" s="372"/>
      <c r="AU122" s="372"/>
      <c r="AV122" s="372"/>
      <c r="AW122" s="372"/>
      <c r="AX122" s="372"/>
      <c r="AY122" s="372"/>
      <c r="AZ122" s="380" t="s">
        <v>302</v>
      </c>
      <c r="BA122" s="380" t="s">
        <v>302</v>
      </c>
      <c r="BB122" s="372"/>
      <c r="BC122" s="372"/>
      <c r="BD122" s="372"/>
      <c r="BE122" s="372"/>
      <c r="BF122" s="372"/>
      <c r="BG122" s="372"/>
      <c r="BH122" s="372"/>
      <c r="BI122" s="372"/>
      <c r="BJ122" s="372"/>
      <c r="BK122" s="372"/>
      <c r="BL122" s="372"/>
      <c r="BM122" s="372"/>
      <c r="BN122" s="372"/>
      <c r="BO122" s="372"/>
      <c r="BP122" s="372"/>
      <c r="BQ122" s="372"/>
      <c r="BR122" s="372"/>
      <c r="BS122" s="372"/>
      <c r="BT122" s="372"/>
      <c r="BU122" s="372"/>
      <c r="BV122" s="372"/>
    </row>
    <row r="123" spans="1:74" s="137" customFormat="1" ht="12.75">
      <c r="A123" s="137" t="s">
        <v>1861</v>
      </c>
      <c r="B123" s="370" t="s">
        <v>1705</v>
      </c>
      <c r="C123" s="372"/>
      <c r="D123" s="372"/>
      <c r="E123" s="372"/>
      <c r="F123" s="372"/>
      <c r="G123" s="372"/>
      <c r="H123" s="372"/>
      <c r="I123" s="372"/>
      <c r="J123" s="372"/>
      <c r="K123" s="372"/>
      <c r="L123" s="372"/>
      <c r="M123" s="372"/>
      <c r="N123" s="372"/>
      <c r="O123" s="372"/>
      <c r="P123" s="372"/>
      <c r="Q123" s="372"/>
      <c r="R123" s="372"/>
      <c r="S123" s="372"/>
      <c r="T123" s="372"/>
      <c r="U123" s="372"/>
      <c r="V123" s="372"/>
      <c r="W123" s="372"/>
      <c r="X123" s="372"/>
      <c r="Y123" s="372"/>
      <c r="Z123" s="372"/>
      <c r="AA123" s="372"/>
      <c r="AB123" s="372"/>
      <c r="AC123" s="372"/>
      <c r="AD123" s="372"/>
      <c r="AE123" s="372"/>
      <c r="AF123" s="372"/>
      <c r="AG123" s="372"/>
      <c r="AH123" s="372"/>
      <c r="AI123" s="372"/>
      <c r="AJ123" s="372"/>
      <c r="AK123" s="372"/>
      <c r="AL123" s="372"/>
      <c r="AM123" s="372"/>
      <c r="AN123" s="372"/>
      <c r="AO123" s="372"/>
      <c r="AP123" s="372"/>
      <c r="AQ123" s="372"/>
      <c r="AR123" s="372"/>
      <c r="AS123" s="372"/>
      <c r="AT123" s="372"/>
      <c r="AU123" s="372"/>
      <c r="AV123" s="372"/>
      <c r="AW123" s="372"/>
      <c r="AX123" s="372"/>
      <c r="AY123" s="372"/>
      <c r="AZ123" s="372"/>
      <c r="BA123" s="380" t="s">
        <v>302</v>
      </c>
      <c r="BB123" s="372"/>
      <c r="BC123" s="372"/>
      <c r="BD123" s="372"/>
      <c r="BE123" s="372"/>
      <c r="BF123" s="372"/>
      <c r="BG123" s="372"/>
      <c r="BH123" s="372"/>
      <c r="BI123" s="372"/>
      <c r="BJ123" s="372"/>
      <c r="BK123" s="372"/>
      <c r="BL123" s="372"/>
      <c r="BM123" s="372"/>
      <c r="BN123" s="372"/>
      <c r="BO123" s="372"/>
      <c r="BP123" s="372"/>
      <c r="BQ123" s="372"/>
      <c r="BR123" s="372"/>
      <c r="BS123" s="372"/>
      <c r="BT123" s="372"/>
      <c r="BU123" s="372"/>
      <c r="BV123" s="372"/>
    </row>
    <row r="124" spans="1:74" s="137" customFormat="1" ht="12.75">
      <c r="A124" s="137" t="s">
        <v>1862</v>
      </c>
      <c r="B124" s="370" t="s">
        <v>1706</v>
      </c>
      <c r="C124" s="372"/>
      <c r="D124" s="372"/>
      <c r="E124" s="372"/>
      <c r="F124" s="372"/>
      <c r="G124" s="372"/>
      <c r="H124" s="372"/>
      <c r="I124" s="372"/>
      <c r="J124" s="372"/>
      <c r="K124" s="372"/>
      <c r="L124" s="372"/>
      <c r="M124" s="372"/>
      <c r="N124" s="372"/>
      <c r="O124" s="372"/>
      <c r="P124" s="372"/>
      <c r="Q124" s="372"/>
      <c r="R124" s="372"/>
      <c r="S124" s="372"/>
      <c r="T124" s="372"/>
      <c r="U124" s="372"/>
      <c r="V124" s="372"/>
      <c r="W124" s="372"/>
      <c r="X124" s="372"/>
      <c r="Y124" s="372"/>
      <c r="Z124" s="372"/>
      <c r="AA124" s="372"/>
      <c r="AB124" s="372"/>
      <c r="AC124" s="372"/>
      <c r="AD124" s="372"/>
      <c r="AE124" s="372"/>
      <c r="AF124" s="372"/>
      <c r="AG124" s="372"/>
      <c r="AH124" s="372"/>
      <c r="AI124" s="372"/>
      <c r="AJ124" s="372"/>
      <c r="AK124" s="372"/>
      <c r="AL124" s="372"/>
      <c r="AM124" s="372"/>
      <c r="AN124" s="372"/>
      <c r="AO124" s="372"/>
      <c r="AP124" s="372"/>
      <c r="AQ124" s="372"/>
      <c r="AR124" s="372"/>
      <c r="AS124" s="372"/>
      <c r="AT124" s="372"/>
      <c r="AU124" s="372"/>
      <c r="AV124" s="372"/>
      <c r="AW124" s="372"/>
      <c r="AX124" s="372"/>
      <c r="AY124" s="372"/>
      <c r="AZ124" s="372"/>
      <c r="BA124" s="380" t="s">
        <v>302</v>
      </c>
      <c r="BB124" s="380" t="s">
        <v>302</v>
      </c>
      <c r="BC124" s="372"/>
      <c r="BD124" s="372"/>
      <c r="BE124" s="372"/>
      <c r="BF124" s="372"/>
      <c r="BG124" s="372"/>
      <c r="BH124" s="372"/>
      <c r="BI124" s="372"/>
      <c r="BJ124" s="372"/>
      <c r="BK124" s="372"/>
      <c r="BL124" s="372"/>
      <c r="BM124" s="372"/>
      <c r="BN124" s="372"/>
      <c r="BO124" s="372"/>
      <c r="BP124" s="372"/>
      <c r="BQ124" s="372"/>
      <c r="BR124" s="372"/>
      <c r="BS124" s="372"/>
      <c r="BT124" s="372"/>
      <c r="BU124" s="372"/>
      <c r="BV124" s="372"/>
    </row>
    <row r="125" spans="1:74" s="137" customFormat="1" ht="12.75">
      <c r="A125" s="137" t="s">
        <v>1863</v>
      </c>
      <c r="B125" s="370" t="s">
        <v>1707</v>
      </c>
      <c r="C125" s="380" t="s">
        <v>302</v>
      </c>
      <c r="D125" s="372"/>
      <c r="E125" s="372"/>
      <c r="F125" s="372"/>
      <c r="G125" s="372"/>
      <c r="H125" s="372"/>
      <c r="I125" s="372"/>
      <c r="J125" s="372"/>
      <c r="K125" s="372"/>
      <c r="L125" s="372"/>
      <c r="M125" s="372"/>
      <c r="N125" s="372"/>
      <c r="O125" s="372"/>
      <c r="P125" s="372"/>
      <c r="Q125" s="372"/>
      <c r="R125" s="372"/>
      <c r="S125" s="372"/>
      <c r="T125" s="372"/>
      <c r="U125" s="372"/>
      <c r="V125" s="372"/>
      <c r="W125" s="372"/>
      <c r="X125" s="372"/>
      <c r="Y125" s="372"/>
      <c r="Z125" s="372"/>
      <c r="AA125" s="372"/>
      <c r="AB125" s="372"/>
      <c r="AC125" s="372"/>
      <c r="AD125" s="372"/>
      <c r="AE125" s="372"/>
      <c r="AF125" s="372"/>
      <c r="AG125" s="372"/>
      <c r="AH125" s="372"/>
      <c r="AI125" s="372"/>
      <c r="AJ125" s="372"/>
      <c r="AK125" s="372"/>
      <c r="AL125" s="372"/>
      <c r="AM125" s="372"/>
      <c r="AN125" s="372"/>
      <c r="AO125" s="372"/>
      <c r="AP125" s="372"/>
      <c r="AQ125" s="372"/>
      <c r="AR125" s="372"/>
      <c r="AS125" s="372"/>
      <c r="AT125" s="372"/>
      <c r="AU125" s="372"/>
      <c r="AV125" s="372"/>
      <c r="AW125" s="372"/>
      <c r="AX125" s="372"/>
      <c r="AY125" s="372"/>
      <c r="AZ125" s="372"/>
      <c r="BA125" s="372"/>
      <c r="BB125" s="372"/>
      <c r="BC125" s="372"/>
      <c r="BD125" s="372"/>
      <c r="BE125" s="372"/>
      <c r="BF125" s="372"/>
      <c r="BG125" s="372"/>
      <c r="BH125" s="372"/>
      <c r="BI125" s="372"/>
      <c r="BJ125" s="372"/>
      <c r="BK125" s="372"/>
      <c r="BL125" s="372"/>
      <c r="BM125" s="372"/>
      <c r="BN125" s="372"/>
      <c r="BO125" s="372"/>
      <c r="BP125" s="372"/>
      <c r="BQ125" s="372"/>
      <c r="BR125" s="372"/>
      <c r="BS125" s="372"/>
      <c r="BT125" s="372"/>
      <c r="BU125" s="372"/>
      <c r="BV125" s="372"/>
    </row>
    <row r="126" spans="1:74" s="137" customFormat="1" ht="12.75">
      <c r="A126" s="137" t="s">
        <v>1864</v>
      </c>
      <c r="B126" s="370" t="s">
        <v>1708</v>
      </c>
      <c r="C126" s="372"/>
      <c r="D126" s="372"/>
      <c r="E126" s="372"/>
      <c r="F126" s="372"/>
      <c r="G126" s="372"/>
      <c r="H126" s="372"/>
      <c r="I126" s="372"/>
      <c r="J126" s="372"/>
      <c r="K126" s="372"/>
      <c r="L126" s="372"/>
      <c r="M126" s="372"/>
      <c r="N126" s="372"/>
      <c r="O126" s="372"/>
      <c r="P126" s="372"/>
      <c r="Q126" s="372"/>
      <c r="R126" s="372"/>
      <c r="S126" s="372"/>
      <c r="T126" s="372"/>
      <c r="U126" s="372"/>
      <c r="V126" s="372"/>
      <c r="W126" s="372"/>
      <c r="X126" s="372"/>
      <c r="Y126" s="372"/>
      <c r="Z126" s="372"/>
      <c r="AA126" s="372"/>
      <c r="AB126" s="372"/>
      <c r="AC126" s="372"/>
      <c r="AD126" s="372"/>
      <c r="AE126" s="372"/>
      <c r="AF126" s="372"/>
      <c r="AG126" s="372"/>
      <c r="AH126" s="372"/>
      <c r="AI126" s="372"/>
      <c r="AJ126" s="372"/>
      <c r="AK126" s="372"/>
      <c r="AL126" s="372"/>
      <c r="AM126" s="372"/>
      <c r="AN126" s="372"/>
      <c r="AO126" s="372"/>
      <c r="AP126" s="372"/>
      <c r="AQ126" s="372"/>
      <c r="AR126" s="372"/>
      <c r="AS126" s="372"/>
      <c r="AT126" s="372"/>
      <c r="AU126" s="372"/>
      <c r="AV126" s="372"/>
      <c r="AW126" s="372"/>
      <c r="AX126" s="372"/>
      <c r="AY126" s="372"/>
      <c r="AZ126" s="372"/>
      <c r="BA126" s="372"/>
      <c r="BB126" s="372"/>
      <c r="BC126" s="372"/>
      <c r="BD126" s="380" t="s">
        <v>302</v>
      </c>
      <c r="BE126" s="372"/>
      <c r="BF126" s="372"/>
      <c r="BG126" s="372"/>
      <c r="BH126" s="372"/>
      <c r="BI126" s="372"/>
      <c r="BJ126" s="372"/>
      <c r="BK126" s="372"/>
      <c r="BL126" s="372"/>
      <c r="BM126" s="372"/>
      <c r="BN126" s="372"/>
      <c r="BO126" s="372"/>
      <c r="BP126" s="372"/>
      <c r="BQ126" s="372"/>
      <c r="BR126" s="372"/>
      <c r="BS126" s="372"/>
      <c r="BT126" s="372"/>
      <c r="BU126" s="372"/>
      <c r="BV126" s="372"/>
    </row>
    <row r="127" spans="1:74" s="137" customFormat="1" ht="12.75">
      <c r="A127" s="137" t="s">
        <v>1865</v>
      </c>
      <c r="B127" s="370" t="s">
        <v>1709</v>
      </c>
      <c r="C127" s="372"/>
      <c r="D127" s="372"/>
      <c r="E127" s="372"/>
      <c r="F127" s="372"/>
      <c r="G127" s="372"/>
      <c r="H127" s="372"/>
      <c r="I127" s="372"/>
      <c r="J127" s="372"/>
      <c r="K127" s="372"/>
      <c r="L127" s="372"/>
      <c r="M127" s="372"/>
      <c r="N127" s="372"/>
      <c r="O127" s="372"/>
      <c r="P127" s="372"/>
      <c r="Q127" s="372"/>
      <c r="R127" s="372"/>
      <c r="S127" s="372"/>
      <c r="T127" s="372"/>
      <c r="U127" s="372"/>
      <c r="V127" s="372"/>
      <c r="W127" s="372"/>
      <c r="X127" s="372"/>
      <c r="Y127" s="372"/>
      <c r="Z127" s="372"/>
      <c r="AA127" s="372"/>
      <c r="AB127" s="372"/>
      <c r="AC127" s="372"/>
      <c r="AD127" s="372"/>
      <c r="AE127" s="372"/>
      <c r="AF127" s="372"/>
      <c r="AG127" s="372"/>
      <c r="AH127" s="372"/>
      <c r="AI127" s="372"/>
      <c r="AJ127" s="372"/>
      <c r="AK127" s="372"/>
      <c r="AL127" s="372"/>
      <c r="AM127" s="372"/>
      <c r="AN127" s="372"/>
      <c r="AO127" s="372"/>
      <c r="AP127" s="372"/>
      <c r="AQ127" s="372"/>
      <c r="AR127" s="372"/>
      <c r="AS127" s="372"/>
      <c r="AT127" s="372"/>
      <c r="AU127" s="372"/>
      <c r="AV127" s="372"/>
      <c r="AW127" s="372"/>
      <c r="AX127" s="372"/>
      <c r="AY127" s="372"/>
      <c r="AZ127" s="372"/>
      <c r="BA127" s="372"/>
      <c r="BB127" s="372"/>
      <c r="BC127" s="372"/>
      <c r="BD127" s="372"/>
      <c r="BE127" s="380" t="s">
        <v>302</v>
      </c>
      <c r="BF127" s="372"/>
      <c r="BG127" s="372"/>
      <c r="BH127" s="372"/>
      <c r="BI127" s="372"/>
      <c r="BJ127" s="372"/>
      <c r="BK127" s="372"/>
      <c r="BL127" s="372"/>
      <c r="BM127" s="372"/>
      <c r="BN127" s="372"/>
      <c r="BO127" s="372"/>
      <c r="BP127" s="372"/>
      <c r="BQ127" s="372"/>
      <c r="BR127" s="372"/>
      <c r="BS127" s="372"/>
      <c r="BT127" s="372"/>
      <c r="BU127" s="372"/>
      <c r="BV127" s="372"/>
    </row>
    <row r="128" spans="1:74" s="137" customFormat="1" ht="12.75">
      <c r="A128" s="137" t="s">
        <v>1866</v>
      </c>
      <c r="B128" s="370" t="s">
        <v>1710</v>
      </c>
      <c r="C128" s="372"/>
      <c r="D128" s="372"/>
      <c r="E128" s="372"/>
      <c r="F128" s="372"/>
      <c r="G128" s="372"/>
      <c r="H128" s="372"/>
      <c r="I128" s="372"/>
      <c r="J128" s="372"/>
      <c r="K128" s="372"/>
      <c r="L128" s="372"/>
      <c r="M128" s="372"/>
      <c r="N128" s="372"/>
      <c r="O128" s="372"/>
      <c r="P128" s="372"/>
      <c r="Q128" s="372"/>
      <c r="R128" s="372"/>
      <c r="S128" s="372"/>
      <c r="T128" s="372"/>
      <c r="U128" s="372"/>
      <c r="V128" s="372"/>
      <c r="W128" s="372"/>
      <c r="X128" s="372"/>
      <c r="Y128" s="372"/>
      <c r="Z128" s="372"/>
      <c r="AA128" s="372"/>
      <c r="AB128" s="372"/>
      <c r="AC128" s="372"/>
      <c r="AD128" s="372"/>
      <c r="AE128" s="372"/>
      <c r="AF128" s="372"/>
      <c r="AG128" s="372"/>
      <c r="AH128" s="372"/>
      <c r="AI128" s="372"/>
      <c r="AJ128" s="372"/>
      <c r="AK128" s="372"/>
      <c r="AL128" s="372"/>
      <c r="AM128" s="372"/>
      <c r="AN128" s="372"/>
      <c r="AO128" s="372"/>
      <c r="AP128" s="372"/>
      <c r="AQ128" s="372"/>
      <c r="AR128" s="372"/>
      <c r="AS128" s="372"/>
      <c r="AT128" s="372"/>
      <c r="AU128" s="372"/>
      <c r="AV128" s="372"/>
      <c r="AW128" s="372"/>
      <c r="AX128" s="372"/>
      <c r="AY128" s="372"/>
      <c r="AZ128" s="372"/>
      <c r="BA128" s="372"/>
      <c r="BB128" s="372"/>
      <c r="BC128" s="372"/>
      <c r="BD128" s="372"/>
      <c r="BE128" s="372"/>
      <c r="BF128" s="380" t="s">
        <v>302</v>
      </c>
      <c r="BG128" s="372"/>
      <c r="BH128" s="372"/>
      <c r="BI128" s="372"/>
      <c r="BJ128" s="372"/>
      <c r="BK128" s="372"/>
      <c r="BL128" s="372"/>
      <c r="BM128" s="372"/>
      <c r="BN128" s="372"/>
      <c r="BO128" s="372"/>
      <c r="BP128" s="372"/>
      <c r="BQ128" s="372"/>
      <c r="BR128" s="372"/>
      <c r="BS128" s="372"/>
      <c r="BT128" s="372"/>
      <c r="BU128" s="372"/>
      <c r="BV128" s="372"/>
    </row>
    <row r="129" spans="1:74" s="137" customFormat="1" ht="12.75">
      <c r="A129" s="137" t="s">
        <v>1867</v>
      </c>
      <c r="B129" s="370" t="s">
        <v>1711</v>
      </c>
      <c r="C129" s="372"/>
      <c r="D129" s="372"/>
      <c r="E129" s="372"/>
      <c r="F129" s="372"/>
      <c r="G129" s="372"/>
      <c r="H129" s="372"/>
      <c r="I129" s="372"/>
      <c r="J129" s="372"/>
      <c r="K129" s="372"/>
      <c r="L129" s="372"/>
      <c r="M129" s="372"/>
      <c r="N129" s="372"/>
      <c r="O129" s="372"/>
      <c r="P129" s="372"/>
      <c r="Q129" s="372"/>
      <c r="R129" s="372"/>
      <c r="S129" s="372"/>
      <c r="T129" s="372"/>
      <c r="U129" s="372"/>
      <c r="V129" s="372"/>
      <c r="W129" s="372"/>
      <c r="X129" s="372"/>
      <c r="Y129" s="372"/>
      <c r="Z129" s="372"/>
      <c r="AA129" s="372"/>
      <c r="AB129" s="372"/>
      <c r="AC129" s="372"/>
      <c r="AD129" s="372"/>
      <c r="AE129" s="372"/>
      <c r="AF129" s="372"/>
      <c r="AG129" s="372"/>
      <c r="AH129" s="372"/>
      <c r="AI129" s="372"/>
      <c r="AJ129" s="372"/>
      <c r="AK129" s="372"/>
      <c r="AL129" s="372"/>
      <c r="AM129" s="372"/>
      <c r="AN129" s="372"/>
      <c r="AO129" s="372"/>
      <c r="AP129" s="372"/>
      <c r="AQ129" s="372"/>
      <c r="AR129" s="372"/>
      <c r="AS129" s="372"/>
      <c r="AT129" s="372"/>
      <c r="AU129" s="372"/>
      <c r="AV129" s="372"/>
      <c r="AW129" s="372"/>
      <c r="AX129" s="372"/>
      <c r="AY129" s="372"/>
      <c r="AZ129" s="372"/>
      <c r="BA129" s="372"/>
      <c r="BB129" s="372"/>
      <c r="BC129" s="372"/>
      <c r="BD129" s="372"/>
      <c r="BE129" s="372"/>
      <c r="BF129" s="372"/>
      <c r="BG129" s="380" t="s">
        <v>302</v>
      </c>
      <c r="BH129" s="372"/>
      <c r="BI129" s="372"/>
      <c r="BJ129" s="372"/>
      <c r="BK129" s="372"/>
      <c r="BL129" s="372"/>
      <c r="BM129" s="372"/>
      <c r="BN129" s="372"/>
      <c r="BO129" s="372"/>
      <c r="BP129" s="372"/>
      <c r="BQ129" s="372"/>
      <c r="BR129" s="372"/>
      <c r="BS129" s="372"/>
      <c r="BT129" s="372"/>
      <c r="BU129" s="372"/>
      <c r="BV129" s="372"/>
    </row>
    <row r="130" spans="1:74" s="137" customFormat="1" ht="12.75">
      <c r="A130" s="137" t="s">
        <v>1868</v>
      </c>
      <c r="B130" s="370" t="s">
        <v>1712</v>
      </c>
      <c r="C130" s="372"/>
      <c r="D130" s="372"/>
      <c r="E130" s="372"/>
      <c r="F130" s="372"/>
      <c r="G130" s="372"/>
      <c r="H130" s="372"/>
      <c r="I130" s="372"/>
      <c r="J130" s="372"/>
      <c r="K130" s="372"/>
      <c r="L130" s="372"/>
      <c r="M130" s="372"/>
      <c r="N130" s="372"/>
      <c r="O130" s="372"/>
      <c r="P130" s="372"/>
      <c r="Q130" s="372"/>
      <c r="R130" s="372"/>
      <c r="S130" s="372"/>
      <c r="T130" s="372"/>
      <c r="U130" s="372"/>
      <c r="V130" s="372"/>
      <c r="W130" s="372"/>
      <c r="X130" s="372"/>
      <c r="Y130" s="372"/>
      <c r="Z130" s="372"/>
      <c r="AA130" s="372"/>
      <c r="AB130" s="372"/>
      <c r="AC130" s="372"/>
      <c r="AD130" s="372"/>
      <c r="AE130" s="372"/>
      <c r="AF130" s="372"/>
      <c r="AG130" s="372"/>
      <c r="AH130" s="372"/>
      <c r="AI130" s="372"/>
      <c r="AJ130" s="372"/>
      <c r="AK130" s="372"/>
      <c r="AL130" s="372"/>
      <c r="AM130" s="372"/>
      <c r="AN130" s="372"/>
      <c r="AO130" s="372"/>
      <c r="AP130" s="372"/>
      <c r="AQ130" s="372"/>
      <c r="AR130" s="372"/>
      <c r="AS130" s="372"/>
      <c r="AT130" s="372"/>
      <c r="AU130" s="372"/>
      <c r="AV130" s="372"/>
      <c r="AW130" s="372"/>
      <c r="AX130" s="372"/>
      <c r="AY130" s="372"/>
      <c r="AZ130" s="372"/>
      <c r="BA130" s="372"/>
      <c r="BB130" s="372"/>
      <c r="BC130" s="372"/>
      <c r="BD130" s="372"/>
      <c r="BE130" s="372"/>
      <c r="BF130" s="372"/>
      <c r="BG130" s="372"/>
      <c r="BH130" s="380" t="s">
        <v>302</v>
      </c>
      <c r="BI130" s="372"/>
      <c r="BJ130" s="372"/>
      <c r="BK130" s="372"/>
      <c r="BL130" s="372"/>
      <c r="BM130" s="372"/>
      <c r="BN130" s="372"/>
      <c r="BO130" s="372"/>
      <c r="BP130" s="372"/>
      <c r="BQ130" s="372"/>
      <c r="BR130" s="372"/>
      <c r="BS130" s="372"/>
      <c r="BT130" s="372"/>
      <c r="BU130" s="372"/>
      <c r="BV130" s="372"/>
    </row>
    <row r="131" spans="1:74" s="137" customFormat="1" ht="12.75">
      <c r="A131" s="137" t="s">
        <v>1869</v>
      </c>
      <c r="B131" s="370" t="s">
        <v>1713</v>
      </c>
      <c r="C131" s="372"/>
      <c r="D131" s="372"/>
      <c r="E131" s="372"/>
      <c r="F131" s="372"/>
      <c r="G131" s="372"/>
      <c r="H131" s="372"/>
      <c r="I131" s="372"/>
      <c r="J131" s="372"/>
      <c r="K131" s="372"/>
      <c r="L131" s="372"/>
      <c r="M131" s="372"/>
      <c r="N131" s="372"/>
      <c r="O131" s="372"/>
      <c r="P131" s="372"/>
      <c r="Q131" s="372"/>
      <c r="R131" s="372"/>
      <c r="S131" s="372"/>
      <c r="T131" s="372"/>
      <c r="U131" s="372"/>
      <c r="V131" s="372"/>
      <c r="W131" s="372"/>
      <c r="X131" s="372"/>
      <c r="Y131" s="372"/>
      <c r="Z131" s="372"/>
      <c r="AA131" s="372"/>
      <c r="AB131" s="372"/>
      <c r="AC131" s="372"/>
      <c r="AD131" s="372"/>
      <c r="AE131" s="372"/>
      <c r="AF131" s="372"/>
      <c r="AG131" s="372"/>
      <c r="AH131" s="372"/>
      <c r="AI131" s="372"/>
      <c r="AJ131" s="372"/>
      <c r="AK131" s="372"/>
      <c r="AL131" s="372"/>
      <c r="AM131" s="372"/>
      <c r="AN131" s="372"/>
      <c r="AO131" s="372"/>
      <c r="AP131" s="372"/>
      <c r="AQ131" s="372"/>
      <c r="AR131" s="372"/>
      <c r="AS131" s="372"/>
      <c r="AT131" s="372"/>
      <c r="AU131" s="372"/>
      <c r="AV131" s="372"/>
      <c r="AW131" s="372"/>
      <c r="AX131" s="372"/>
      <c r="AY131" s="372"/>
      <c r="AZ131" s="372"/>
      <c r="BA131" s="372"/>
      <c r="BB131" s="372"/>
      <c r="BC131" s="372"/>
      <c r="BD131" s="372"/>
      <c r="BE131" s="372"/>
      <c r="BF131" s="372"/>
      <c r="BG131" s="372"/>
      <c r="BH131" s="372"/>
      <c r="BI131" s="380" t="s">
        <v>302</v>
      </c>
      <c r="BJ131" s="372"/>
      <c r="BK131" s="372"/>
      <c r="BL131" s="372"/>
      <c r="BM131" s="372"/>
      <c r="BN131" s="372"/>
      <c r="BO131" s="372"/>
      <c r="BP131" s="372"/>
      <c r="BQ131" s="372"/>
      <c r="BR131" s="372"/>
      <c r="BS131" s="372"/>
      <c r="BT131" s="372"/>
      <c r="BU131" s="372"/>
      <c r="BV131" s="372"/>
    </row>
  </sheetData>
  <dataConsolidate/>
  <pageMargins left="0.7" right="0.7" top="0.75" bottom="0.75" header="0.3" footer="0.3"/>
  <pageSetup paperSize="17" scale="10" orientation="landscape"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7030A0"/>
  </sheetPr>
  <dimension ref="A1:O134"/>
  <sheetViews>
    <sheetView topLeftCell="B1" zoomScale="85" zoomScaleNormal="85" workbookViewId="0">
      <pane xSplit="1" ySplit="2" topLeftCell="C84" activePane="bottomRight" state="frozen"/>
      <selection activeCell="B1" sqref="B1"/>
      <selection pane="topRight" activeCell="C1" sqref="C1"/>
      <selection pane="bottomLeft" activeCell="B3" sqref="B3"/>
      <selection pane="bottomRight" activeCell="B104" sqref="A104:XFD104"/>
    </sheetView>
  </sheetViews>
  <sheetFormatPr defaultColWidth="8.796875" defaultRowHeight="14.25" customHeight="1"/>
  <cols>
    <col min="1" max="1" width="46.19921875" bestFit="1" customWidth="1"/>
    <col min="2" max="2" width="38.5" customWidth="1"/>
    <col min="3" max="11" width="15.69921875" customWidth="1"/>
    <col min="12" max="12" width="21.796875" customWidth="1"/>
    <col min="13" max="13" width="37.296875" bestFit="1" customWidth="1"/>
  </cols>
  <sheetData>
    <row r="1" spans="1:14">
      <c r="A1" s="173"/>
      <c r="B1" s="181"/>
      <c r="C1" s="173"/>
      <c r="D1" s="463" t="s">
        <v>406</v>
      </c>
      <c r="E1" s="463"/>
      <c r="F1" s="464"/>
      <c r="G1" s="465" t="s">
        <v>405</v>
      </c>
      <c r="H1" s="463"/>
      <c r="I1" s="464"/>
      <c r="J1" s="465" t="s">
        <v>404</v>
      </c>
      <c r="K1" s="464"/>
      <c r="L1" s="174"/>
    </row>
    <row r="2" spans="1:14">
      <c r="A2" s="182" t="s">
        <v>403</v>
      </c>
      <c r="B2" s="183" t="s">
        <v>408</v>
      </c>
      <c r="C2" s="177" t="s">
        <v>407</v>
      </c>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4">
      <c r="A3" s="184" t="s">
        <v>300</v>
      </c>
      <c r="B3" s="207" t="str">
        <f>M2S_Eligibility_List!$C$21</f>
        <v>Architecture Engineering Construction Collection</v>
      </c>
      <c r="C3" s="184"/>
      <c r="D3" s="199">
        <v>1130</v>
      </c>
      <c r="E3" s="199">
        <v>1185</v>
      </c>
      <c r="F3" s="185">
        <v>1185</v>
      </c>
      <c r="G3" s="203"/>
      <c r="H3" s="204"/>
      <c r="I3" s="205"/>
      <c r="J3" s="184">
        <v>2755</v>
      </c>
      <c r="K3" s="185">
        <v>3855</v>
      </c>
      <c r="L3" s="366" t="b">
        <f t="shared" ref="L3:L36" si="0">MAX(C3:K3)=MIN(C3:K3)</f>
        <v>0</v>
      </c>
      <c r="M3" s="460"/>
      <c r="N3" s="460"/>
    </row>
    <row r="4" spans="1:14">
      <c r="A4" s="184" t="s">
        <v>270</v>
      </c>
      <c r="B4" s="207" t="str">
        <f t="shared" ref="B4:B52" si="1">VLOOKUP(IF(LEFT(A4,LEN(nmADwSP))=nmADwSP,RIGHT(A4,LEN(A4)-LEN(nmADwSP)),A4),DataPaths_List_ProdMT_NonCurrency,1,FALSE)</f>
        <v>3ds Max</v>
      </c>
      <c r="C4" s="184">
        <v>625</v>
      </c>
      <c r="D4" s="200">
        <v>690</v>
      </c>
      <c r="E4" s="200">
        <v>725</v>
      </c>
      <c r="F4" s="201">
        <v>725</v>
      </c>
      <c r="G4" s="184">
        <v>720</v>
      </c>
      <c r="H4" s="199">
        <v>865</v>
      </c>
      <c r="I4" s="185">
        <v>865</v>
      </c>
      <c r="J4" s="184">
        <v>1505</v>
      </c>
      <c r="K4" s="399">
        <v>2635</v>
      </c>
      <c r="L4" s="366" t="b">
        <f t="shared" si="0"/>
        <v>0</v>
      </c>
      <c r="M4" s="460"/>
      <c r="N4" s="460"/>
    </row>
    <row r="5" spans="1:14">
      <c r="A5" s="184" t="s">
        <v>271</v>
      </c>
      <c r="B5" s="207" t="str">
        <f t="shared" si="1"/>
        <v>3ds Max Entertainment Creation Suite Standard</v>
      </c>
      <c r="C5" s="184">
        <v>865</v>
      </c>
      <c r="D5" s="200" t="s">
        <v>389</v>
      </c>
      <c r="E5" s="200" t="s">
        <v>389</v>
      </c>
      <c r="F5" s="201" t="s">
        <v>389</v>
      </c>
      <c r="G5" s="184">
        <v>1000</v>
      </c>
      <c r="H5" s="199">
        <v>1200</v>
      </c>
      <c r="I5" s="185">
        <v>1200</v>
      </c>
      <c r="J5" s="184"/>
      <c r="K5" s="185"/>
      <c r="L5" s="366" t="b">
        <f t="shared" si="0"/>
        <v>0</v>
      </c>
      <c r="M5" s="460"/>
      <c r="N5" s="460"/>
    </row>
    <row r="6" spans="1:14">
      <c r="A6" s="184" t="s">
        <v>1799</v>
      </c>
      <c r="B6" s="207" t="str">
        <f t="shared" si="1"/>
        <v>3ds Max with Softimage</v>
      </c>
      <c r="C6" s="184">
        <v>655</v>
      </c>
      <c r="D6" s="200"/>
      <c r="E6" s="200"/>
      <c r="F6" s="201"/>
      <c r="G6" s="184">
        <v>720</v>
      </c>
      <c r="H6" s="199">
        <v>865</v>
      </c>
      <c r="I6" s="185">
        <v>865</v>
      </c>
      <c r="J6" s="184">
        <v>1470</v>
      </c>
      <c r="K6" s="185"/>
      <c r="L6" s="366" t="b">
        <f t="shared" si="0"/>
        <v>0</v>
      </c>
      <c r="M6" s="460"/>
      <c r="N6" s="460"/>
    </row>
    <row r="7" spans="1:14">
      <c r="A7" s="184" t="s">
        <v>1669</v>
      </c>
      <c r="B7" s="207" t="str">
        <f t="shared" si="1"/>
        <v>Advance Steel</v>
      </c>
      <c r="C7" s="184">
        <v>1575</v>
      </c>
      <c r="D7" s="200">
        <v>1655</v>
      </c>
      <c r="E7" s="200">
        <v>1740</v>
      </c>
      <c r="F7" s="201">
        <v>1740</v>
      </c>
      <c r="G7" s="184">
        <v>1735</v>
      </c>
      <c r="H7" s="199">
        <v>2080</v>
      </c>
      <c r="I7" s="185">
        <v>2080</v>
      </c>
      <c r="J7" s="184">
        <v>1950</v>
      </c>
      <c r="K7" s="399">
        <v>3415</v>
      </c>
      <c r="L7" s="366" t="b">
        <f t="shared" si="0"/>
        <v>0</v>
      </c>
      <c r="M7" s="460"/>
      <c r="N7" s="460"/>
    </row>
    <row r="8" spans="1:14">
      <c r="A8" s="184" t="s">
        <v>1670</v>
      </c>
      <c r="B8" s="207" t="str">
        <f t="shared" si="1"/>
        <v>Alias AutoStudio</v>
      </c>
      <c r="C8" s="184">
        <v>7110</v>
      </c>
      <c r="D8" s="200">
        <v>7465</v>
      </c>
      <c r="E8" s="200">
        <v>7840</v>
      </c>
      <c r="F8" s="201">
        <v>7840</v>
      </c>
      <c r="G8" s="184">
        <v>7820</v>
      </c>
      <c r="H8" s="199">
        <v>9385</v>
      </c>
      <c r="I8" s="185">
        <v>9385</v>
      </c>
      <c r="J8" s="184">
        <v>14810</v>
      </c>
      <c r="K8" s="399">
        <v>25920</v>
      </c>
      <c r="L8" s="366" t="b">
        <f t="shared" si="0"/>
        <v>0</v>
      </c>
      <c r="M8" s="460"/>
      <c r="N8" s="460"/>
    </row>
    <row r="9" spans="1:14">
      <c r="A9" s="184" t="s">
        <v>1671</v>
      </c>
      <c r="B9" s="207" t="str">
        <f t="shared" si="1"/>
        <v>Alias Concept</v>
      </c>
      <c r="C9" s="184">
        <v>1585</v>
      </c>
      <c r="D9" s="200">
        <v>1665</v>
      </c>
      <c r="E9" s="200">
        <v>1750</v>
      </c>
      <c r="F9" s="201">
        <v>1750</v>
      </c>
      <c r="G9" s="184">
        <v>1745</v>
      </c>
      <c r="H9" s="199">
        <v>2095</v>
      </c>
      <c r="I9" s="185">
        <v>2095</v>
      </c>
      <c r="J9" s="184">
        <v>4130</v>
      </c>
      <c r="K9" s="399">
        <v>7230</v>
      </c>
      <c r="L9" s="366" t="b">
        <f t="shared" si="0"/>
        <v>0</v>
      </c>
      <c r="M9" s="460"/>
      <c r="N9" s="460"/>
    </row>
    <row r="10" spans="1:14">
      <c r="A10" s="184" t="s">
        <v>1672</v>
      </c>
      <c r="B10" s="207" t="str">
        <f t="shared" si="1"/>
        <v>Alias Design</v>
      </c>
      <c r="C10" s="184">
        <v>975</v>
      </c>
      <c r="D10" s="200">
        <v>1025</v>
      </c>
      <c r="E10" s="200">
        <v>1075</v>
      </c>
      <c r="F10" s="201">
        <v>1075</v>
      </c>
      <c r="G10" s="184">
        <v>1075</v>
      </c>
      <c r="H10" s="199">
        <v>1290</v>
      </c>
      <c r="I10" s="185">
        <v>1290</v>
      </c>
      <c r="J10" s="184">
        <v>2540</v>
      </c>
      <c r="K10" s="399">
        <v>4445</v>
      </c>
      <c r="L10" s="366" t="b">
        <f t="shared" si="0"/>
        <v>0</v>
      </c>
      <c r="M10" s="460"/>
      <c r="N10" s="460"/>
    </row>
    <row r="11" spans="1:14">
      <c r="A11" s="184" t="s">
        <v>1673</v>
      </c>
      <c r="B11" s="207" t="str">
        <f t="shared" si="1"/>
        <v>Alias SpeedForm</v>
      </c>
      <c r="C11" s="184">
        <v>925</v>
      </c>
      <c r="D11" s="200">
        <v>970</v>
      </c>
      <c r="E11" s="200">
        <v>1020</v>
      </c>
      <c r="F11" s="201">
        <v>1020</v>
      </c>
      <c r="G11" s="184">
        <v>1020</v>
      </c>
      <c r="H11" s="199">
        <v>1225</v>
      </c>
      <c r="I11" s="185">
        <v>1225</v>
      </c>
      <c r="J11" s="184">
        <v>2410</v>
      </c>
      <c r="K11" s="399">
        <v>4220</v>
      </c>
      <c r="L11" s="366" t="b">
        <f t="shared" si="0"/>
        <v>0</v>
      </c>
      <c r="M11" s="460"/>
      <c r="N11" s="460"/>
    </row>
    <row r="12" spans="1:14">
      <c r="A12" s="184" t="s">
        <v>1674</v>
      </c>
      <c r="B12" s="207" t="str">
        <f t="shared" si="1"/>
        <v>Alias Surface</v>
      </c>
      <c r="C12" s="184">
        <v>3310</v>
      </c>
      <c r="D12" s="200">
        <v>3475</v>
      </c>
      <c r="E12" s="200">
        <v>3650</v>
      </c>
      <c r="F12" s="201">
        <v>3650</v>
      </c>
      <c r="G12" s="184">
        <v>3640</v>
      </c>
      <c r="H12" s="199">
        <v>4370</v>
      </c>
      <c r="I12" s="185">
        <v>4370</v>
      </c>
      <c r="J12" s="184">
        <v>8610</v>
      </c>
      <c r="K12" s="399">
        <v>15070</v>
      </c>
      <c r="L12" s="366" t="b">
        <f t="shared" si="0"/>
        <v>0</v>
      </c>
      <c r="M12" s="460"/>
      <c r="N12" s="460"/>
    </row>
    <row r="13" spans="1:14">
      <c r="A13" s="184" t="s">
        <v>272</v>
      </c>
      <c r="B13" s="207" t="str">
        <f t="shared" si="1"/>
        <v>AutoCAD</v>
      </c>
      <c r="C13" s="184">
        <v>545</v>
      </c>
      <c r="D13" s="199" t="s">
        <v>1927</v>
      </c>
      <c r="E13" s="199" t="s">
        <v>1927</v>
      </c>
      <c r="F13" s="185" t="s">
        <v>1927</v>
      </c>
      <c r="G13" s="184">
        <v>625</v>
      </c>
      <c r="H13" s="199">
        <v>750</v>
      </c>
      <c r="I13" s="185">
        <v>750</v>
      </c>
      <c r="J13" s="184" t="s">
        <v>1927</v>
      </c>
      <c r="K13" s="399" t="s">
        <v>1927</v>
      </c>
      <c r="L13" s="366" t="b">
        <f t="shared" si="0"/>
        <v>0</v>
      </c>
      <c r="M13" s="460"/>
      <c r="N13" s="460"/>
    </row>
    <row r="14" spans="1:14">
      <c r="A14" s="184" t="s">
        <v>272</v>
      </c>
      <c r="B14" s="458" t="str">
        <f>SUBSTITUTE(M2S_Eligibility_List!M$21,nmADwSP,"")</f>
        <v>AutoCAD - including specialized toolsets</v>
      </c>
      <c r="C14" s="184" t="s">
        <v>1928</v>
      </c>
      <c r="D14" s="199">
        <v>620</v>
      </c>
      <c r="E14" s="199">
        <v>650</v>
      </c>
      <c r="F14" s="185">
        <v>650</v>
      </c>
      <c r="G14" s="184" t="s">
        <v>1928</v>
      </c>
      <c r="H14" s="184" t="s">
        <v>1928</v>
      </c>
      <c r="I14" s="184" t="s">
        <v>1928</v>
      </c>
      <c r="J14" s="184">
        <v>1575</v>
      </c>
      <c r="K14" s="399">
        <v>2755</v>
      </c>
      <c r="L14" s="366" t="b">
        <f t="shared" ref="L14" si="2">MAX(C14:K14)=MIN(C14:K14)</f>
        <v>0</v>
      </c>
      <c r="M14" s="460"/>
      <c r="N14" s="460"/>
    </row>
    <row r="15" spans="1:14">
      <c r="A15" s="184" t="s">
        <v>273</v>
      </c>
      <c r="B15" s="207" t="str">
        <f t="shared" si="1"/>
        <v>AutoCAD Architecture</v>
      </c>
      <c r="C15" s="184">
        <v>725</v>
      </c>
      <c r="D15" s="199">
        <v>800</v>
      </c>
      <c r="E15" s="199">
        <v>840</v>
      </c>
      <c r="F15" s="185">
        <v>840</v>
      </c>
      <c r="G15" s="184">
        <v>835</v>
      </c>
      <c r="H15" s="199">
        <v>1000</v>
      </c>
      <c r="I15" s="185">
        <v>1000</v>
      </c>
      <c r="J15" s="184">
        <v>1575</v>
      </c>
      <c r="K15" s="399">
        <v>2755</v>
      </c>
      <c r="L15" s="366" t="b">
        <f t="shared" si="0"/>
        <v>0</v>
      </c>
      <c r="M15" s="460"/>
      <c r="N15" s="460"/>
    </row>
    <row r="16" spans="1:14">
      <c r="A16" s="184" t="s">
        <v>1785</v>
      </c>
      <c r="B16" s="207" t="str">
        <f t="shared" si="1"/>
        <v>AutoCAD Civil 3D*</v>
      </c>
      <c r="C16" s="184">
        <v>1025</v>
      </c>
      <c r="D16" s="199" t="s">
        <v>1927</v>
      </c>
      <c r="E16" s="199" t="s">
        <v>1927</v>
      </c>
      <c r="F16" s="185" t="s">
        <v>1927</v>
      </c>
      <c r="G16" s="184">
        <v>1185</v>
      </c>
      <c r="H16" s="199">
        <v>1420</v>
      </c>
      <c r="I16" s="185">
        <v>1420</v>
      </c>
      <c r="J16" s="184" t="s">
        <v>1927</v>
      </c>
      <c r="K16" s="399" t="s">
        <v>1927</v>
      </c>
      <c r="L16" s="366" t="b">
        <f t="shared" si="0"/>
        <v>0</v>
      </c>
      <c r="M16" s="460"/>
      <c r="N16" s="460"/>
    </row>
    <row r="17" spans="1:14">
      <c r="A17" s="184" t="s">
        <v>1785</v>
      </c>
      <c r="B17" s="458" t="str">
        <f>SUBSTITUTE(VLOOKUP(IF(LEFT(A17,LEN(nmADwSP))=nmADwSP,RIGHT(A17,LEN(A17)-LEN(nmADwSP)),A17),DataPaths_List_ProdMT_NonCurrency,1,FALSE),nmAutoCAD,"")</f>
        <v>Civil 3D*</v>
      </c>
      <c r="C17" s="184" t="s">
        <v>1928</v>
      </c>
      <c r="D17" s="199">
        <v>1120</v>
      </c>
      <c r="E17" s="199">
        <v>1175</v>
      </c>
      <c r="F17" s="185">
        <v>1175</v>
      </c>
      <c r="G17" s="184" t="s">
        <v>1928</v>
      </c>
      <c r="H17" s="199" t="s">
        <v>1928</v>
      </c>
      <c r="I17" s="185" t="s">
        <v>1928</v>
      </c>
      <c r="J17" s="184">
        <v>2155</v>
      </c>
      <c r="K17" s="399">
        <v>3230</v>
      </c>
      <c r="L17" s="366" t="b">
        <f t="shared" ref="L17" si="3">MAX(C17:K17)=MIN(C17:K17)</f>
        <v>0</v>
      </c>
      <c r="M17" s="460"/>
      <c r="N17" s="460"/>
    </row>
    <row r="18" spans="1:14">
      <c r="A18" s="184" t="s">
        <v>274</v>
      </c>
      <c r="B18" s="207" t="str">
        <f t="shared" si="1"/>
        <v>AutoCAD Design Suite Premium</v>
      </c>
      <c r="C18" s="184">
        <v>785</v>
      </c>
      <c r="D18" s="200" t="s">
        <v>389</v>
      </c>
      <c r="E18" s="200" t="s">
        <v>389</v>
      </c>
      <c r="F18" s="201" t="s">
        <v>389</v>
      </c>
      <c r="G18" s="184">
        <v>910</v>
      </c>
      <c r="H18" s="199">
        <v>1090</v>
      </c>
      <c r="I18" s="185">
        <v>1090</v>
      </c>
      <c r="J18" s="184"/>
      <c r="K18" s="185"/>
      <c r="L18" s="366" t="b">
        <f t="shared" si="0"/>
        <v>0</v>
      </c>
      <c r="M18" s="460"/>
      <c r="N18" s="460"/>
    </row>
    <row r="19" spans="1:14">
      <c r="A19" s="184" t="s">
        <v>275</v>
      </c>
      <c r="B19" s="207" t="str">
        <f t="shared" si="1"/>
        <v>AutoCAD Design Suite Standard</v>
      </c>
      <c r="C19" s="184">
        <v>605</v>
      </c>
      <c r="D19" s="200" t="s">
        <v>389</v>
      </c>
      <c r="E19" s="200" t="s">
        <v>389</v>
      </c>
      <c r="F19" s="201" t="s">
        <v>389</v>
      </c>
      <c r="G19" s="184">
        <v>700</v>
      </c>
      <c r="H19" s="199">
        <v>840</v>
      </c>
      <c r="I19" s="185">
        <v>840</v>
      </c>
      <c r="J19" s="184"/>
      <c r="K19" s="185"/>
      <c r="L19" s="366" t="b">
        <f t="shared" si="0"/>
        <v>0</v>
      </c>
      <c r="M19" s="460"/>
      <c r="N19" s="460"/>
    </row>
    <row r="20" spans="1:14">
      <c r="A20" s="184" t="s">
        <v>1795</v>
      </c>
      <c r="B20" s="207" t="str">
        <f t="shared" si="1"/>
        <v>AutoCAD Design Suite Ultimate</v>
      </c>
      <c r="C20" s="184">
        <v>1055</v>
      </c>
      <c r="D20" s="200"/>
      <c r="E20" s="200"/>
      <c r="F20" s="201"/>
      <c r="G20" s="184">
        <v>1160</v>
      </c>
      <c r="H20" s="199">
        <v>1390</v>
      </c>
      <c r="I20" s="185">
        <v>1390</v>
      </c>
      <c r="J20" s="184"/>
      <c r="K20" s="185"/>
      <c r="L20" s="366" t="b">
        <f t="shared" si="0"/>
        <v>0</v>
      </c>
      <c r="M20" s="460"/>
      <c r="N20" s="460"/>
    </row>
    <row r="21" spans="1:14">
      <c r="A21" s="184" t="s">
        <v>1786</v>
      </c>
      <c r="B21" s="207" t="str">
        <f t="shared" si="1"/>
        <v>AutoCAD Electrical*</v>
      </c>
      <c r="C21" s="184">
        <v>755</v>
      </c>
      <c r="D21" s="199">
        <v>795</v>
      </c>
      <c r="E21" s="199">
        <v>835</v>
      </c>
      <c r="F21" s="185">
        <v>835</v>
      </c>
      <c r="G21" s="184">
        <v>830</v>
      </c>
      <c r="H21" s="199">
        <v>995</v>
      </c>
      <c r="I21" s="185">
        <v>995</v>
      </c>
      <c r="J21" s="184">
        <v>1575</v>
      </c>
      <c r="K21" s="399">
        <v>2755</v>
      </c>
      <c r="L21" s="366" t="b">
        <f t="shared" si="0"/>
        <v>0</v>
      </c>
      <c r="M21" s="460"/>
      <c r="N21" s="460"/>
    </row>
    <row r="22" spans="1:14">
      <c r="A22" s="184" t="s">
        <v>391</v>
      </c>
      <c r="B22" s="207" t="str">
        <f t="shared" si="1"/>
        <v>AutoCAD Inventor LT Suite</v>
      </c>
      <c r="C22" s="184">
        <v>225</v>
      </c>
      <c r="D22" s="199">
        <v>245</v>
      </c>
      <c r="E22" s="199">
        <v>255</v>
      </c>
      <c r="F22" s="185">
        <v>255</v>
      </c>
      <c r="G22" s="184">
        <v>260</v>
      </c>
      <c r="H22" s="199">
        <v>310</v>
      </c>
      <c r="I22" s="185">
        <v>310</v>
      </c>
      <c r="J22" s="184">
        <v>460</v>
      </c>
      <c r="K22" s="185"/>
      <c r="L22" s="366" t="b">
        <f t="shared" si="0"/>
        <v>0</v>
      </c>
      <c r="M22" s="460"/>
      <c r="N22" s="460"/>
    </row>
    <row r="23" spans="1:14">
      <c r="A23" s="184" t="s">
        <v>276</v>
      </c>
      <c r="B23" s="207" t="str">
        <f t="shared" si="1"/>
        <v>AutoCAD LT</v>
      </c>
      <c r="C23" s="184">
        <v>180</v>
      </c>
      <c r="D23" s="199">
        <v>200</v>
      </c>
      <c r="E23" s="199">
        <v>210</v>
      </c>
      <c r="F23" s="185">
        <v>210</v>
      </c>
      <c r="G23" s="184">
        <v>210</v>
      </c>
      <c r="H23" s="199">
        <v>250</v>
      </c>
      <c r="I23" s="185">
        <v>250</v>
      </c>
      <c r="J23" s="184">
        <v>390</v>
      </c>
      <c r="K23" s="399">
        <v>685</v>
      </c>
      <c r="L23" s="366" t="b">
        <f t="shared" si="0"/>
        <v>0</v>
      </c>
      <c r="M23" s="460"/>
      <c r="N23" s="460"/>
    </row>
    <row r="24" spans="1:14">
      <c r="A24" s="184" t="s">
        <v>1675</v>
      </c>
      <c r="B24" s="207" t="str">
        <f t="shared" si="1"/>
        <v>AutoCAD LT with CALS Tools</v>
      </c>
      <c r="C24" s="184">
        <v>0</v>
      </c>
      <c r="D24" s="200">
        <v>0</v>
      </c>
      <c r="E24" s="200">
        <v>0</v>
      </c>
      <c r="F24" s="201">
        <v>0</v>
      </c>
      <c r="G24" s="184">
        <v>0</v>
      </c>
      <c r="H24" s="199">
        <v>0</v>
      </c>
      <c r="I24" s="185">
        <v>0</v>
      </c>
      <c r="J24" s="184"/>
      <c r="K24" s="185"/>
      <c r="L24" s="366" t="b">
        <f t="shared" si="0"/>
        <v>1</v>
      </c>
      <c r="M24" s="460"/>
      <c r="N24" s="460"/>
    </row>
    <row r="25" spans="1:14">
      <c r="A25" s="184" t="s">
        <v>277</v>
      </c>
      <c r="B25" s="207" t="str">
        <f t="shared" si="1"/>
        <v>AutoCAD Map 3D</v>
      </c>
      <c r="C25" s="184">
        <v>785</v>
      </c>
      <c r="D25" s="199">
        <v>865</v>
      </c>
      <c r="E25" s="199">
        <v>910</v>
      </c>
      <c r="F25" s="185">
        <v>910</v>
      </c>
      <c r="G25" s="184">
        <v>910</v>
      </c>
      <c r="H25" s="199">
        <v>1090</v>
      </c>
      <c r="I25" s="185">
        <v>1090</v>
      </c>
      <c r="J25" s="184">
        <v>1575</v>
      </c>
      <c r="K25" s="399">
        <v>2755</v>
      </c>
      <c r="L25" s="366" t="b">
        <f t="shared" si="0"/>
        <v>0</v>
      </c>
      <c r="M25" s="460"/>
      <c r="N25" s="460"/>
    </row>
    <row r="26" spans="1:14">
      <c r="A26" s="184" t="s">
        <v>278</v>
      </c>
      <c r="B26" s="207" t="str">
        <f t="shared" si="1"/>
        <v>AutoCAD Mechanical</v>
      </c>
      <c r="C26" s="184">
        <v>600</v>
      </c>
      <c r="D26" s="388">
        <v>660</v>
      </c>
      <c r="E26" s="388">
        <v>695</v>
      </c>
      <c r="F26" s="185">
        <v>695</v>
      </c>
      <c r="G26" s="184">
        <v>695</v>
      </c>
      <c r="H26" s="388">
        <v>835</v>
      </c>
      <c r="I26" s="185">
        <v>835</v>
      </c>
      <c r="J26" s="184">
        <v>1575</v>
      </c>
      <c r="K26" s="399">
        <v>2755</v>
      </c>
      <c r="L26" s="366" t="b">
        <f t="shared" si="0"/>
        <v>0</v>
      </c>
      <c r="M26" s="460"/>
      <c r="N26" s="460"/>
    </row>
    <row r="27" spans="1:14">
      <c r="A27" s="184" t="s">
        <v>279</v>
      </c>
      <c r="B27" s="207" t="str">
        <f t="shared" si="1"/>
        <v>AutoCAD MEP</v>
      </c>
      <c r="C27" s="184">
        <v>760</v>
      </c>
      <c r="D27" s="199">
        <v>840</v>
      </c>
      <c r="E27" s="199">
        <v>880</v>
      </c>
      <c r="F27" s="185">
        <v>880</v>
      </c>
      <c r="G27" s="184">
        <v>880</v>
      </c>
      <c r="H27" s="199">
        <v>1055</v>
      </c>
      <c r="I27" s="185">
        <v>1055</v>
      </c>
      <c r="J27" s="184">
        <v>1575</v>
      </c>
      <c r="K27" s="399">
        <v>2755</v>
      </c>
      <c r="L27" s="366" t="b">
        <f t="shared" si="0"/>
        <v>0</v>
      </c>
      <c r="M27" s="460"/>
      <c r="N27" s="460"/>
    </row>
    <row r="28" spans="1:14">
      <c r="A28" s="184" t="s">
        <v>280</v>
      </c>
      <c r="B28" s="207" t="str">
        <f t="shared" si="1"/>
        <v>AutoCAD P&amp;ID</v>
      </c>
      <c r="C28" s="184">
        <v>800</v>
      </c>
      <c r="D28" s="199">
        <v>1120</v>
      </c>
      <c r="E28" s="199">
        <v>1175</v>
      </c>
      <c r="F28" s="185">
        <v>1175</v>
      </c>
      <c r="G28" s="184">
        <v>925</v>
      </c>
      <c r="H28" s="199">
        <v>1110</v>
      </c>
      <c r="I28" s="185">
        <v>1110</v>
      </c>
      <c r="J28" s="184"/>
      <c r="K28" s="185"/>
      <c r="L28" s="366" t="b">
        <f t="shared" si="0"/>
        <v>0</v>
      </c>
      <c r="M28" s="460"/>
      <c r="N28" s="460"/>
    </row>
    <row r="29" spans="1:14">
      <c r="A29" s="184" t="s">
        <v>1787</v>
      </c>
      <c r="B29" s="207" t="str">
        <f t="shared" si="1"/>
        <v>AutoCAD Plant 3D*</v>
      </c>
      <c r="C29" s="184">
        <v>1415</v>
      </c>
      <c r="D29" s="199">
        <v>1120</v>
      </c>
      <c r="E29" s="199">
        <v>1175</v>
      </c>
      <c r="F29" s="185">
        <v>1175</v>
      </c>
      <c r="G29" s="184">
        <v>1635</v>
      </c>
      <c r="H29" s="199">
        <v>1960</v>
      </c>
      <c r="I29" s="185">
        <v>1960</v>
      </c>
      <c r="J29" s="184">
        <v>1575</v>
      </c>
      <c r="K29" s="399">
        <v>2755</v>
      </c>
      <c r="L29" s="366" t="b">
        <f t="shared" si="0"/>
        <v>0</v>
      </c>
      <c r="M29" s="460"/>
      <c r="N29" s="460"/>
    </row>
    <row r="30" spans="1:14">
      <c r="A30" s="184" t="s">
        <v>281</v>
      </c>
      <c r="B30" s="207" t="str">
        <f t="shared" si="1"/>
        <v>AutoCAD Raster Design</v>
      </c>
      <c r="C30" s="184">
        <v>315</v>
      </c>
      <c r="D30" s="199">
        <v>345</v>
      </c>
      <c r="E30" s="199">
        <v>360</v>
      </c>
      <c r="F30" s="185">
        <v>360</v>
      </c>
      <c r="G30" s="184">
        <v>365</v>
      </c>
      <c r="H30" s="199">
        <v>440</v>
      </c>
      <c r="I30" s="185">
        <v>440</v>
      </c>
      <c r="J30" s="184">
        <v>840</v>
      </c>
      <c r="K30" s="399">
        <v>1470</v>
      </c>
      <c r="L30" s="366" t="b">
        <f t="shared" si="0"/>
        <v>0</v>
      </c>
      <c r="M30" s="460"/>
      <c r="N30" s="460"/>
    </row>
    <row r="31" spans="1:14">
      <c r="A31" s="184" t="s">
        <v>388</v>
      </c>
      <c r="B31" s="207" t="str">
        <f t="shared" si="1"/>
        <v>AutoCAD Revit LT Suite</v>
      </c>
      <c r="C31" s="184">
        <v>235</v>
      </c>
      <c r="D31" s="199">
        <v>255</v>
      </c>
      <c r="E31" s="199">
        <v>270</v>
      </c>
      <c r="F31" s="185">
        <v>270</v>
      </c>
      <c r="G31" s="184">
        <v>270</v>
      </c>
      <c r="H31" s="199">
        <v>325</v>
      </c>
      <c r="I31" s="185">
        <v>325</v>
      </c>
      <c r="J31" s="184">
        <v>515</v>
      </c>
      <c r="K31" s="185"/>
      <c r="L31" s="366" t="b">
        <f t="shared" si="0"/>
        <v>0</v>
      </c>
      <c r="M31" s="460"/>
      <c r="N31" s="460"/>
    </row>
    <row r="32" spans="1:14">
      <c r="A32" s="184" t="s">
        <v>1714</v>
      </c>
      <c r="B32" s="207" t="str">
        <f t="shared" si="1"/>
        <v>AutoCAD with Advance Steel</v>
      </c>
      <c r="C32" s="184">
        <v>1890</v>
      </c>
      <c r="D32" s="200">
        <v>1655</v>
      </c>
      <c r="E32" s="200">
        <v>1740</v>
      </c>
      <c r="F32" s="201">
        <v>1740</v>
      </c>
      <c r="G32" s="184">
        <v>2080</v>
      </c>
      <c r="H32" s="199">
        <v>2495</v>
      </c>
      <c r="I32" s="185">
        <v>2495</v>
      </c>
      <c r="J32" s="184">
        <v>1900</v>
      </c>
      <c r="K32" s="185">
        <v>2850</v>
      </c>
      <c r="L32" s="366" t="b">
        <f t="shared" si="0"/>
        <v>0</v>
      </c>
      <c r="M32" s="460"/>
      <c r="N32" s="460"/>
    </row>
    <row r="33" spans="1:14">
      <c r="A33" s="184" t="s">
        <v>282</v>
      </c>
      <c r="B33" s="207" t="str">
        <f t="shared" si="1"/>
        <v>Building Design Suite Premium</v>
      </c>
      <c r="C33" s="184">
        <v>1025</v>
      </c>
      <c r="D33" s="200" t="s">
        <v>389</v>
      </c>
      <c r="E33" s="200" t="s">
        <v>389</v>
      </c>
      <c r="F33" s="201" t="s">
        <v>389</v>
      </c>
      <c r="G33" s="184">
        <v>1185</v>
      </c>
      <c r="H33" s="199">
        <v>1420</v>
      </c>
      <c r="I33" s="185">
        <v>1420</v>
      </c>
      <c r="J33" s="184"/>
      <c r="K33" s="185"/>
      <c r="L33" s="366" t="b">
        <f t="shared" si="0"/>
        <v>0</v>
      </c>
      <c r="M33" s="460"/>
      <c r="N33" s="460"/>
    </row>
    <row r="34" spans="1:14">
      <c r="A34" s="184" t="s">
        <v>283</v>
      </c>
      <c r="B34" s="207" t="str">
        <f t="shared" si="1"/>
        <v>Building Design Suite Standard</v>
      </c>
      <c r="C34" s="184">
        <v>760</v>
      </c>
      <c r="D34" s="200" t="s">
        <v>389</v>
      </c>
      <c r="E34" s="200" t="s">
        <v>389</v>
      </c>
      <c r="F34" s="201" t="s">
        <v>389</v>
      </c>
      <c r="G34" s="184">
        <v>880</v>
      </c>
      <c r="H34" s="199">
        <v>1055</v>
      </c>
      <c r="I34" s="185">
        <v>1055</v>
      </c>
      <c r="J34" s="184"/>
      <c r="K34" s="185"/>
      <c r="L34" s="366" t="b">
        <f t="shared" si="0"/>
        <v>0</v>
      </c>
      <c r="M34" s="460"/>
      <c r="N34" s="460"/>
    </row>
    <row r="35" spans="1:14">
      <c r="A35" s="184" t="s">
        <v>284</v>
      </c>
      <c r="B35" s="207" t="str">
        <f t="shared" si="1"/>
        <v>Building Design Suite Ultimate</v>
      </c>
      <c r="C35" s="184">
        <v>1930</v>
      </c>
      <c r="D35" s="200" t="s">
        <v>389</v>
      </c>
      <c r="E35" s="200" t="s">
        <v>389</v>
      </c>
      <c r="F35" s="201" t="s">
        <v>389</v>
      </c>
      <c r="G35" s="184">
        <v>2230</v>
      </c>
      <c r="H35" s="199">
        <v>2675</v>
      </c>
      <c r="I35" s="185">
        <v>2675</v>
      </c>
      <c r="J35" s="184"/>
      <c r="K35" s="185"/>
      <c r="L35" s="366" t="b">
        <f t="shared" si="0"/>
        <v>0</v>
      </c>
      <c r="M35" s="460"/>
      <c r="N35" s="460"/>
    </row>
    <row r="36" spans="1:14">
      <c r="A36" s="184" t="s">
        <v>1676</v>
      </c>
      <c r="B36" s="207" t="str">
        <f t="shared" si="1"/>
        <v>CFD</v>
      </c>
      <c r="C36" s="184">
        <v>2480</v>
      </c>
      <c r="D36" s="200">
        <v>2605</v>
      </c>
      <c r="E36" s="200">
        <v>2735</v>
      </c>
      <c r="F36" s="201">
        <v>2735</v>
      </c>
      <c r="G36" s="184">
        <v>2730</v>
      </c>
      <c r="H36" s="199">
        <v>3275</v>
      </c>
      <c r="I36" s="185">
        <v>3275</v>
      </c>
      <c r="J36" s="184"/>
      <c r="K36" s="399">
        <v>3780</v>
      </c>
      <c r="L36" s="366" t="b">
        <f t="shared" si="0"/>
        <v>0</v>
      </c>
      <c r="M36" s="460"/>
      <c r="N36" s="460"/>
    </row>
    <row r="37" spans="1:14">
      <c r="A37" s="184" t="s">
        <v>1915</v>
      </c>
      <c r="B37" s="207" t="str">
        <f t="shared" si="1"/>
        <v>CFD Premium (formerly CFD Advanced)</v>
      </c>
      <c r="C37" s="184">
        <v>3580</v>
      </c>
      <c r="D37" s="200">
        <v>3760</v>
      </c>
      <c r="E37" s="200">
        <v>3950</v>
      </c>
      <c r="F37" s="201">
        <v>3950</v>
      </c>
      <c r="G37" s="184">
        <v>3940</v>
      </c>
      <c r="H37" s="199">
        <v>4730</v>
      </c>
      <c r="I37" s="185">
        <v>4730</v>
      </c>
      <c r="J37" s="184"/>
      <c r="K37" s="399">
        <v>9470</v>
      </c>
      <c r="L37" s="366" t="b">
        <f t="shared" ref="L37:L67" si="4">MAX(C37:K37)=MIN(C37:K37)</f>
        <v>0</v>
      </c>
      <c r="M37" s="460"/>
      <c r="N37" s="460"/>
    </row>
    <row r="38" spans="1:14">
      <c r="A38" s="184" t="s">
        <v>1914</v>
      </c>
      <c r="B38" s="207" t="str">
        <f t="shared" si="1"/>
        <v>CFD Ultimate (formerly CFD Motion)</v>
      </c>
      <c r="C38" s="184">
        <v>4960</v>
      </c>
      <c r="D38" s="200">
        <v>5210</v>
      </c>
      <c r="E38" s="200">
        <v>5470</v>
      </c>
      <c r="F38" s="201">
        <v>5470</v>
      </c>
      <c r="G38" s="184">
        <v>5455</v>
      </c>
      <c r="H38" s="199">
        <v>6545</v>
      </c>
      <c r="I38" s="185">
        <v>6545</v>
      </c>
      <c r="J38" s="184"/>
      <c r="K38" s="399">
        <v>11625</v>
      </c>
      <c r="L38" s="366" t="b">
        <f t="shared" si="4"/>
        <v>0</v>
      </c>
      <c r="M38" s="460"/>
      <c r="N38" s="460"/>
    </row>
    <row r="39" spans="1:14">
      <c r="A39" s="184" t="s">
        <v>285</v>
      </c>
      <c r="B39" s="207" t="str">
        <f t="shared" si="1"/>
        <v>Entertainment Creation Suite Ultimate</v>
      </c>
      <c r="C39" s="184">
        <v>1090</v>
      </c>
      <c r="D39" s="200" t="s">
        <v>389</v>
      </c>
      <c r="E39" s="200" t="s">
        <v>389</v>
      </c>
      <c r="F39" s="201" t="s">
        <v>389</v>
      </c>
      <c r="G39" s="184">
        <v>1260</v>
      </c>
      <c r="H39" s="199">
        <v>1510</v>
      </c>
      <c r="I39" s="185">
        <v>1510</v>
      </c>
      <c r="J39" s="184"/>
      <c r="K39" s="185"/>
      <c r="L39" s="366" t="b">
        <f t="shared" si="4"/>
        <v>0</v>
      </c>
      <c r="M39" s="460"/>
      <c r="N39" s="460"/>
    </row>
    <row r="40" spans="1:14">
      <c r="A40" s="184" t="s">
        <v>1677</v>
      </c>
      <c r="B40" s="207" t="str">
        <f t="shared" si="1"/>
        <v>Fabrication CADmep</v>
      </c>
      <c r="C40" s="184">
        <v>610</v>
      </c>
      <c r="D40" s="200">
        <v>640</v>
      </c>
      <c r="E40" s="200">
        <v>670</v>
      </c>
      <c r="F40" s="201">
        <v>670</v>
      </c>
      <c r="G40" s="184">
        <v>670</v>
      </c>
      <c r="H40" s="199">
        <v>805</v>
      </c>
      <c r="I40" s="185">
        <v>805</v>
      </c>
      <c r="J40" s="184">
        <v>920</v>
      </c>
      <c r="K40" s="399">
        <v>1610</v>
      </c>
      <c r="L40" s="366" t="b">
        <f t="shared" si="4"/>
        <v>0</v>
      </c>
      <c r="M40" s="460"/>
      <c r="N40" s="460"/>
    </row>
    <row r="41" spans="1:14">
      <c r="A41" s="184" t="s">
        <v>1678</v>
      </c>
      <c r="B41" s="207" t="str">
        <f t="shared" si="1"/>
        <v>Fabrication CAMduct</v>
      </c>
      <c r="C41" s="184">
        <v>695</v>
      </c>
      <c r="D41" s="200">
        <v>730</v>
      </c>
      <c r="E41" s="200">
        <v>765</v>
      </c>
      <c r="F41" s="201">
        <v>765</v>
      </c>
      <c r="G41" s="184">
        <v>765</v>
      </c>
      <c r="H41" s="199">
        <v>920</v>
      </c>
      <c r="I41" s="185">
        <v>920</v>
      </c>
      <c r="J41" s="184">
        <v>920</v>
      </c>
      <c r="K41" s="399">
        <v>1610</v>
      </c>
      <c r="L41" s="366" t="b">
        <f t="shared" si="4"/>
        <v>0</v>
      </c>
      <c r="M41" s="460"/>
      <c r="N41" s="460"/>
    </row>
    <row r="42" spans="1:14">
      <c r="A42" s="184" t="s">
        <v>1679</v>
      </c>
      <c r="B42" s="207" t="str">
        <f t="shared" si="1"/>
        <v>Fabrication ESTmep</v>
      </c>
      <c r="C42" s="184">
        <v>745</v>
      </c>
      <c r="D42" s="200">
        <v>780</v>
      </c>
      <c r="E42" s="200">
        <v>820</v>
      </c>
      <c r="F42" s="201">
        <v>820</v>
      </c>
      <c r="G42" s="184">
        <v>820</v>
      </c>
      <c r="H42" s="199">
        <v>985</v>
      </c>
      <c r="I42" s="185">
        <v>985</v>
      </c>
      <c r="J42" s="184">
        <v>920</v>
      </c>
      <c r="K42" s="399">
        <v>1610</v>
      </c>
      <c r="L42" s="366" t="b">
        <f t="shared" si="4"/>
        <v>0</v>
      </c>
      <c r="M42" s="460"/>
      <c r="N42" s="460"/>
    </row>
    <row r="43" spans="1:14">
      <c r="A43" s="184" t="s">
        <v>394</v>
      </c>
      <c r="B43" s="207" t="str">
        <f t="shared" si="1"/>
        <v>Factory Design Suite Premium</v>
      </c>
      <c r="C43" s="184">
        <v>1025</v>
      </c>
      <c r="D43" s="200" t="s">
        <v>389</v>
      </c>
      <c r="E43" s="200" t="s">
        <v>389</v>
      </c>
      <c r="F43" s="201" t="s">
        <v>389</v>
      </c>
      <c r="G43" s="184">
        <v>1185</v>
      </c>
      <c r="H43" s="199">
        <v>1420</v>
      </c>
      <c r="I43" s="185">
        <v>1420</v>
      </c>
      <c r="J43" s="184"/>
      <c r="K43" s="185"/>
      <c r="L43" s="366" t="b">
        <f t="shared" si="4"/>
        <v>0</v>
      </c>
      <c r="M43" s="460"/>
      <c r="N43" s="460"/>
    </row>
    <row r="44" spans="1:14">
      <c r="A44" s="184" t="s">
        <v>603</v>
      </c>
      <c r="B44" s="207" t="str">
        <f t="shared" si="1"/>
        <v>Factory Design Suite Standard</v>
      </c>
      <c r="C44" s="184">
        <v>835</v>
      </c>
      <c r="D44" s="200" t="s">
        <v>389</v>
      </c>
      <c r="E44" s="200" t="s">
        <v>389</v>
      </c>
      <c r="F44" s="201" t="s">
        <v>389</v>
      </c>
      <c r="G44" s="184">
        <v>965</v>
      </c>
      <c r="H44" s="199">
        <v>1160</v>
      </c>
      <c r="I44" s="185">
        <v>1160</v>
      </c>
      <c r="J44" s="184"/>
      <c r="K44" s="185"/>
      <c r="L44" s="366" t="b">
        <f t="shared" si="4"/>
        <v>0</v>
      </c>
      <c r="M44" s="460"/>
      <c r="N44" s="460"/>
    </row>
    <row r="45" spans="1:14">
      <c r="A45" s="184" t="s">
        <v>286</v>
      </c>
      <c r="B45" s="207" t="str">
        <f t="shared" si="1"/>
        <v>Factory Design Suite Ultimate</v>
      </c>
      <c r="C45" s="184">
        <v>1680</v>
      </c>
      <c r="D45" s="200" t="s">
        <v>389</v>
      </c>
      <c r="E45" s="200" t="s">
        <v>389</v>
      </c>
      <c r="F45" s="201" t="s">
        <v>389</v>
      </c>
      <c r="G45" s="184">
        <v>1940</v>
      </c>
      <c r="H45" s="199">
        <v>2330</v>
      </c>
      <c r="I45" s="185">
        <v>2330</v>
      </c>
      <c r="J45" s="184"/>
      <c r="K45" s="185"/>
      <c r="L45" s="366" t="b">
        <f t="shared" si="4"/>
        <v>0</v>
      </c>
      <c r="M45" s="460"/>
      <c r="N45" s="460"/>
    </row>
    <row r="46" spans="1:14">
      <c r="A46" s="184" t="s">
        <v>1680</v>
      </c>
      <c r="B46" s="207" t="str">
        <f t="shared" si="1"/>
        <v>Helius Composite</v>
      </c>
      <c r="C46" s="184">
        <v>115</v>
      </c>
      <c r="D46" s="200">
        <v>120</v>
      </c>
      <c r="E46" s="200">
        <v>125</v>
      </c>
      <c r="F46" s="201">
        <v>125</v>
      </c>
      <c r="G46" s="184">
        <v>125</v>
      </c>
      <c r="H46" s="199">
        <v>150</v>
      </c>
      <c r="I46" s="185">
        <v>150</v>
      </c>
      <c r="J46" s="184">
        <v>280</v>
      </c>
      <c r="K46" s="399">
        <v>490</v>
      </c>
      <c r="L46" s="366" t="b">
        <f t="shared" si="4"/>
        <v>0</v>
      </c>
      <c r="M46" s="460"/>
      <c r="N46" s="460"/>
    </row>
    <row r="47" spans="1:14">
      <c r="A47" s="184" t="s">
        <v>1681</v>
      </c>
      <c r="B47" s="207" t="str">
        <f t="shared" si="1"/>
        <v>HSM - Premium</v>
      </c>
      <c r="C47" s="184">
        <v>1125</v>
      </c>
      <c r="D47" s="200">
        <v>1180</v>
      </c>
      <c r="E47" s="200">
        <v>1240</v>
      </c>
      <c r="F47" s="201">
        <v>1240</v>
      </c>
      <c r="G47" s="184">
        <v>1240</v>
      </c>
      <c r="H47" s="199">
        <v>1490</v>
      </c>
      <c r="I47" s="185">
        <v>1490</v>
      </c>
      <c r="J47" s="184">
        <v>2470</v>
      </c>
      <c r="K47" s="185">
        <v>3705</v>
      </c>
      <c r="L47" s="366" t="b">
        <f t="shared" si="4"/>
        <v>0</v>
      </c>
      <c r="M47" s="460"/>
      <c r="N47" s="460"/>
    </row>
    <row r="48" spans="1:14">
      <c r="A48" s="184" t="s">
        <v>1682</v>
      </c>
      <c r="B48" s="207" t="str">
        <f t="shared" si="1"/>
        <v>HSM - Ultimate</v>
      </c>
      <c r="C48" s="184">
        <v>1575</v>
      </c>
      <c r="D48" s="200">
        <v>1655</v>
      </c>
      <c r="E48" s="200">
        <v>1740</v>
      </c>
      <c r="F48" s="201">
        <v>1740</v>
      </c>
      <c r="G48" s="184">
        <v>1735</v>
      </c>
      <c r="H48" s="199">
        <v>2080</v>
      </c>
      <c r="I48" s="185">
        <v>2080</v>
      </c>
      <c r="J48" s="184">
        <v>3700</v>
      </c>
      <c r="K48" s="185">
        <v>5550</v>
      </c>
      <c r="L48" s="366" t="b">
        <f t="shared" si="4"/>
        <v>0</v>
      </c>
      <c r="M48" s="460"/>
      <c r="N48" s="460"/>
    </row>
    <row r="49" spans="1:14">
      <c r="A49" s="184" t="s">
        <v>393</v>
      </c>
      <c r="B49" s="207" t="str">
        <f t="shared" si="1"/>
        <v>Infrastructure Design Suite Premium</v>
      </c>
      <c r="C49" s="184">
        <v>1100</v>
      </c>
      <c r="D49" s="200" t="s">
        <v>389</v>
      </c>
      <c r="E49" s="200" t="s">
        <v>389</v>
      </c>
      <c r="F49" s="201" t="s">
        <v>389</v>
      </c>
      <c r="G49" s="184">
        <v>1270</v>
      </c>
      <c r="H49" s="199">
        <v>1525</v>
      </c>
      <c r="I49" s="185">
        <v>1525</v>
      </c>
      <c r="J49" s="184"/>
      <c r="K49" s="185"/>
      <c r="L49" s="366" t="b">
        <f t="shared" si="4"/>
        <v>0</v>
      </c>
      <c r="M49" s="460"/>
      <c r="N49" s="460"/>
    </row>
    <row r="50" spans="1:14">
      <c r="A50" s="184" t="s">
        <v>287</v>
      </c>
      <c r="B50" s="207" t="str">
        <f t="shared" si="1"/>
        <v>Infrastructure Design Suite Standard</v>
      </c>
      <c r="C50" s="184">
        <v>835</v>
      </c>
      <c r="D50" s="200" t="s">
        <v>389</v>
      </c>
      <c r="E50" s="200" t="s">
        <v>389</v>
      </c>
      <c r="F50" s="201" t="s">
        <v>389</v>
      </c>
      <c r="G50" s="184">
        <v>965</v>
      </c>
      <c r="H50" s="199">
        <v>1160</v>
      </c>
      <c r="I50" s="185">
        <v>1160</v>
      </c>
      <c r="J50" s="184"/>
      <c r="K50" s="185"/>
      <c r="L50" s="366" t="b">
        <f t="shared" si="4"/>
        <v>0</v>
      </c>
      <c r="M50" s="460"/>
      <c r="N50" s="460"/>
    </row>
    <row r="51" spans="1:14">
      <c r="A51" s="184" t="s">
        <v>392</v>
      </c>
      <c r="B51" s="207" t="str">
        <f t="shared" si="1"/>
        <v>Infrastructure Design Suite Ultimate</v>
      </c>
      <c r="C51" s="184">
        <v>1930</v>
      </c>
      <c r="D51" s="200" t="s">
        <v>389</v>
      </c>
      <c r="E51" s="200" t="s">
        <v>389</v>
      </c>
      <c r="F51" s="201" t="s">
        <v>389</v>
      </c>
      <c r="G51" s="184">
        <v>2230</v>
      </c>
      <c r="H51" s="199">
        <v>2675</v>
      </c>
      <c r="I51" s="185">
        <v>2675</v>
      </c>
      <c r="J51" s="184"/>
      <c r="K51" s="185"/>
      <c r="L51" s="366" t="b">
        <f t="shared" si="4"/>
        <v>0</v>
      </c>
      <c r="M51" s="460"/>
      <c r="N51" s="460"/>
    </row>
    <row r="52" spans="1:14">
      <c r="A52" s="184" t="s">
        <v>1683</v>
      </c>
      <c r="B52" s="207" t="str">
        <f t="shared" si="1"/>
        <v>Infrastructure Map Server</v>
      </c>
      <c r="C52" s="184">
        <v>825</v>
      </c>
      <c r="D52" s="200">
        <v>865</v>
      </c>
      <c r="E52" s="200">
        <v>910</v>
      </c>
      <c r="F52" s="201">
        <v>910</v>
      </c>
      <c r="G52" s="184">
        <v>910</v>
      </c>
      <c r="H52" s="199">
        <v>1090</v>
      </c>
      <c r="I52" s="185">
        <v>1090</v>
      </c>
      <c r="J52" s="184"/>
      <c r="K52" s="399">
        <v>2585</v>
      </c>
      <c r="L52" s="366" t="b">
        <f t="shared" si="4"/>
        <v>0</v>
      </c>
      <c r="M52" s="460"/>
      <c r="N52" s="460"/>
    </row>
    <row r="53" spans="1:14">
      <c r="A53" s="184" t="s">
        <v>1684</v>
      </c>
      <c r="B53" s="207" t="str">
        <f>RIGHT(A53,LEN(A53)-LEN(nmADwSP))</f>
        <v>Infraworks</v>
      </c>
      <c r="C53" s="184"/>
      <c r="D53" s="199">
        <v>695</v>
      </c>
      <c r="E53" s="199">
        <v>630</v>
      </c>
      <c r="F53" s="185">
        <v>630</v>
      </c>
      <c r="G53" s="203"/>
      <c r="H53" s="204"/>
      <c r="I53" s="205"/>
      <c r="J53" s="184">
        <v>1610</v>
      </c>
      <c r="K53" s="396">
        <v>2820</v>
      </c>
      <c r="L53" s="366" t="b">
        <f t="shared" si="4"/>
        <v>0</v>
      </c>
      <c r="M53" s="460"/>
      <c r="N53" s="460"/>
    </row>
    <row r="54" spans="1:14">
      <c r="A54" s="184" t="s">
        <v>390</v>
      </c>
      <c r="B54" s="207" t="str">
        <f t="shared" ref="B54:B85" si="5">VLOOKUP(IF(LEFT(A54,LEN(nmADwSP))=nmADwSP,RIGHT(A54,LEN(A54)-LEN(nmADwSP)),A54),DataPaths_List_ProdMT_NonCurrency,1,FALSE)</f>
        <v>Inventor</v>
      </c>
      <c r="C54" s="184">
        <v>750</v>
      </c>
      <c r="D54" s="199">
        <v>830</v>
      </c>
      <c r="E54" s="199">
        <v>870</v>
      </c>
      <c r="F54" s="185">
        <v>870</v>
      </c>
      <c r="G54" s="184">
        <v>870</v>
      </c>
      <c r="H54" s="199">
        <v>1045</v>
      </c>
      <c r="I54" s="185">
        <v>1045</v>
      </c>
      <c r="J54" s="184">
        <v>1890</v>
      </c>
      <c r="K54" s="185">
        <v>2835</v>
      </c>
      <c r="L54" s="366" t="b">
        <f t="shared" si="4"/>
        <v>0</v>
      </c>
      <c r="M54" s="460"/>
      <c r="N54" s="460"/>
    </row>
    <row r="55" spans="1:14">
      <c r="A55" s="184" t="s">
        <v>288</v>
      </c>
      <c r="B55" s="207" t="str">
        <f t="shared" si="5"/>
        <v>Inventor LT</v>
      </c>
      <c r="C55" s="184">
        <v>180</v>
      </c>
      <c r="D55" s="199">
        <v>200</v>
      </c>
      <c r="E55" s="199">
        <v>210</v>
      </c>
      <c r="F55" s="185">
        <v>210</v>
      </c>
      <c r="G55" s="184">
        <v>210</v>
      </c>
      <c r="H55" s="199">
        <v>250</v>
      </c>
      <c r="I55" s="185">
        <v>250</v>
      </c>
      <c r="J55" s="184">
        <v>390</v>
      </c>
      <c r="K55" s="399">
        <v>685</v>
      </c>
      <c r="L55" s="366" t="b">
        <f t="shared" si="4"/>
        <v>0</v>
      </c>
      <c r="M55" s="460"/>
      <c r="N55" s="460"/>
    </row>
    <row r="56" spans="1:14">
      <c r="A56" s="184" t="s">
        <v>289</v>
      </c>
      <c r="B56" s="207" t="str">
        <f t="shared" si="5"/>
        <v>Inventor Professional</v>
      </c>
      <c r="C56" s="184">
        <v>1095</v>
      </c>
      <c r="D56" s="199">
        <v>830</v>
      </c>
      <c r="E56" s="199">
        <v>870</v>
      </c>
      <c r="F56" s="185">
        <v>870</v>
      </c>
      <c r="G56" s="184">
        <v>1265</v>
      </c>
      <c r="H56" s="199">
        <v>1520</v>
      </c>
      <c r="I56" s="185">
        <v>1520</v>
      </c>
      <c r="J56" s="184">
        <v>1935</v>
      </c>
      <c r="K56" s="399">
        <v>2905</v>
      </c>
      <c r="L56" s="366" t="b">
        <f t="shared" si="4"/>
        <v>0</v>
      </c>
      <c r="M56" s="460"/>
      <c r="N56" s="460"/>
    </row>
    <row r="57" spans="1:14">
      <c r="A57" s="184" t="s">
        <v>290</v>
      </c>
      <c r="B57" s="207" t="str">
        <f t="shared" si="5"/>
        <v>Maya</v>
      </c>
      <c r="C57" s="184">
        <v>625</v>
      </c>
      <c r="D57" s="199">
        <v>690</v>
      </c>
      <c r="E57" s="199">
        <v>725</v>
      </c>
      <c r="F57" s="185">
        <v>725</v>
      </c>
      <c r="G57" s="184">
        <v>720</v>
      </c>
      <c r="H57" s="199">
        <v>865</v>
      </c>
      <c r="I57" s="185">
        <v>865</v>
      </c>
      <c r="J57" s="184">
        <v>1505</v>
      </c>
      <c r="K57" s="399">
        <v>2635</v>
      </c>
      <c r="L57" s="366" t="b">
        <f t="shared" si="4"/>
        <v>0</v>
      </c>
      <c r="M57" s="460"/>
      <c r="N57" s="460"/>
    </row>
    <row r="58" spans="1:14">
      <c r="A58" s="184" t="s">
        <v>291</v>
      </c>
      <c r="B58" s="207" t="str">
        <f t="shared" si="5"/>
        <v>Maya Entertainment Creation Suite Standard</v>
      </c>
      <c r="C58" s="184">
        <v>865</v>
      </c>
      <c r="D58" s="200" t="s">
        <v>389</v>
      </c>
      <c r="E58" s="200" t="s">
        <v>389</v>
      </c>
      <c r="F58" s="201" t="s">
        <v>389</v>
      </c>
      <c r="G58" s="184">
        <v>1000</v>
      </c>
      <c r="H58" s="199">
        <v>1200</v>
      </c>
      <c r="I58" s="185">
        <v>1200</v>
      </c>
      <c r="J58" s="184"/>
      <c r="K58" s="185"/>
      <c r="L58" s="366" t="b">
        <f t="shared" si="4"/>
        <v>0</v>
      </c>
      <c r="M58" s="460"/>
      <c r="N58" s="460"/>
    </row>
    <row r="59" spans="1:14">
      <c r="A59" s="184" t="s">
        <v>1685</v>
      </c>
      <c r="B59" s="207" t="str">
        <f t="shared" si="5"/>
        <v>Maya LT</v>
      </c>
      <c r="C59" s="184">
        <v>125</v>
      </c>
      <c r="D59" s="200">
        <v>130</v>
      </c>
      <c r="E59" s="200">
        <v>135</v>
      </c>
      <c r="F59" s="201">
        <v>135</v>
      </c>
      <c r="G59" s="184">
        <v>140</v>
      </c>
      <c r="H59" s="199">
        <v>170</v>
      </c>
      <c r="I59" s="185">
        <v>170</v>
      </c>
      <c r="J59" s="184">
        <v>245</v>
      </c>
      <c r="K59" s="399">
        <v>430</v>
      </c>
      <c r="L59" s="366" t="b">
        <f t="shared" si="4"/>
        <v>0</v>
      </c>
      <c r="M59" s="460"/>
      <c r="N59" s="460"/>
    </row>
    <row r="60" spans="1:14">
      <c r="A60" s="184" t="s">
        <v>1800</v>
      </c>
      <c r="B60" s="207" t="str">
        <f t="shared" si="5"/>
        <v>Maya with Softimage</v>
      </c>
      <c r="C60" s="184">
        <v>655</v>
      </c>
      <c r="D60" s="200"/>
      <c r="E60" s="200"/>
      <c r="F60" s="201"/>
      <c r="G60" s="184">
        <v>720</v>
      </c>
      <c r="H60" s="199">
        <v>865</v>
      </c>
      <c r="I60" s="185">
        <v>865</v>
      </c>
      <c r="J60" s="184">
        <v>1470</v>
      </c>
      <c r="K60" s="185"/>
      <c r="L60" s="366" t="b">
        <f t="shared" si="4"/>
        <v>0</v>
      </c>
      <c r="M60" s="460"/>
      <c r="N60" s="460"/>
    </row>
    <row r="61" spans="1:14">
      <c r="A61" s="184" t="s">
        <v>1686</v>
      </c>
      <c r="B61" s="207" t="str">
        <f t="shared" si="5"/>
        <v>Moldflow Adviser Premium</v>
      </c>
      <c r="C61" s="184">
        <v>950</v>
      </c>
      <c r="D61" s="200">
        <v>1000</v>
      </c>
      <c r="E61" s="200">
        <v>1050</v>
      </c>
      <c r="F61" s="201">
        <v>1050</v>
      </c>
      <c r="G61" s="184">
        <v>1045</v>
      </c>
      <c r="H61" s="199">
        <v>1255</v>
      </c>
      <c r="I61" s="185">
        <v>1255</v>
      </c>
      <c r="J61" s="184"/>
      <c r="K61" s="399">
        <v>2155</v>
      </c>
      <c r="L61" s="366" t="b">
        <f t="shared" si="4"/>
        <v>0</v>
      </c>
      <c r="M61" s="460"/>
      <c r="N61" s="460"/>
    </row>
    <row r="62" spans="1:14">
      <c r="A62" s="184" t="s">
        <v>1687</v>
      </c>
      <c r="B62" s="207" t="str">
        <f t="shared" si="5"/>
        <v>Moldflow Adviser Ultimate</v>
      </c>
      <c r="C62" s="184">
        <v>4130</v>
      </c>
      <c r="D62" s="200">
        <v>4335</v>
      </c>
      <c r="E62" s="200">
        <v>4550</v>
      </c>
      <c r="F62" s="201">
        <v>4550</v>
      </c>
      <c r="G62" s="184">
        <v>4545</v>
      </c>
      <c r="H62" s="199">
        <v>5455</v>
      </c>
      <c r="I62" s="185">
        <v>5455</v>
      </c>
      <c r="J62" s="184"/>
      <c r="K62" s="399">
        <v>10765</v>
      </c>
      <c r="L62" s="366" t="b">
        <f t="shared" si="4"/>
        <v>0</v>
      </c>
      <c r="M62" s="460"/>
      <c r="N62" s="460"/>
    </row>
    <row r="63" spans="1:14">
      <c r="A63" s="184" t="s">
        <v>1688</v>
      </c>
      <c r="B63" s="207" t="str">
        <f t="shared" si="5"/>
        <v>Moldflow Insight Premium</v>
      </c>
      <c r="C63" s="184">
        <v>9590</v>
      </c>
      <c r="D63" s="200">
        <v>10070</v>
      </c>
      <c r="E63" s="200">
        <v>10575</v>
      </c>
      <c r="F63" s="201">
        <v>10575</v>
      </c>
      <c r="G63" s="184">
        <v>10550</v>
      </c>
      <c r="H63" s="199">
        <v>12660</v>
      </c>
      <c r="I63" s="185">
        <v>12660</v>
      </c>
      <c r="J63" s="184"/>
      <c r="K63" s="399">
        <v>24970</v>
      </c>
      <c r="L63" s="366" t="b">
        <f t="shared" si="4"/>
        <v>0</v>
      </c>
      <c r="M63" s="460"/>
      <c r="N63" s="460"/>
    </row>
    <row r="64" spans="1:14">
      <c r="A64" s="184" t="s">
        <v>1689</v>
      </c>
      <c r="B64" s="207" t="str">
        <f t="shared" si="5"/>
        <v>Moldflow Insight Standard</v>
      </c>
      <c r="C64" s="184">
        <v>4795</v>
      </c>
      <c r="D64" s="200">
        <v>5035</v>
      </c>
      <c r="E64" s="200">
        <v>5285</v>
      </c>
      <c r="F64" s="201">
        <v>5285</v>
      </c>
      <c r="G64" s="184">
        <v>5275</v>
      </c>
      <c r="H64" s="199">
        <v>6330</v>
      </c>
      <c r="I64" s="185">
        <v>6330</v>
      </c>
      <c r="J64" s="184"/>
      <c r="K64" s="399">
        <v>12485</v>
      </c>
      <c r="L64" s="366" t="b">
        <f t="shared" si="4"/>
        <v>0</v>
      </c>
      <c r="M64" s="460"/>
      <c r="N64" s="460"/>
    </row>
    <row r="65" spans="1:14">
      <c r="A65" s="184" t="s">
        <v>1690</v>
      </c>
      <c r="B65" s="207" t="str">
        <f t="shared" si="5"/>
        <v>Moldflow Insight Ultimate</v>
      </c>
      <c r="C65" s="184">
        <v>12940</v>
      </c>
      <c r="D65" s="200">
        <v>13585</v>
      </c>
      <c r="E65" s="200">
        <v>14265</v>
      </c>
      <c r="F65" s="201">
        <v>14265</v>
      </c>
      <c r="G65" s="184">
        <v>14235</v>
      </c>
      <c r="H65" s="199">
        <v>17080</v>
      </c>
      <c r="I65" s="185">
        <v>17080</v>
      </c>
      <c r="J65" s="184"/>
      <c r="K65" s="399">
        <v>33580</v>
      </c>
      <c r="L65" s="366" t="b">
        <f t="shared" si="4"/>
        <v>0</v>
      </c>
      <c r="M65" s="460"/>
      <c r="N65" s="460"/>
    </row>
    <row r="66" spans="1:14">
      <c r="A66" s="184" t="s">
        <v>1691</v>
      </c>
      <c r="B66" s="207" t="str">
        <f t="shared" si="5"/>
        <v>Moldflow Synergy</v>
      </c>
      <c r="C66" s="184">
        <v>1985</v>
      </c>
      <c r="D66" s="200">
        <v>2085</v>
      </c>
      <c r="E66" s="200">
        <v>2190</v>
      </c>
      <c r="F66" s="201">
        <v>2190</v>
      </c>
      <c r="G66" s="184">
        <v>2185</v>
      </c>
      <c r="H66" s="199">
        <v>2620</v>
      </c>
      <c r="I66" s="185">
        <v>2620</v>
      </c>
      <c r="J66" s="184"/>
      <c r="K66" s="399">
        <v>5165</v>
      </c>
      <c r="L66" s="366" t="b">
        <f t="shared" si="4"/>
        <v>0</v>
      </c>
      <c r="M66" s="460"/>
      <c r="N66" s="460"/>
    </row>
    <row r="67" spans="1:14">
      <c r="A67" s="184" t="s">
        <v>292</v>
      </c>
      <c r="B67" s="207" t="str">
        <f t="shared" si="5"/>
        <v>MotionBuilder</v>
      </c>
      <c r="C67" s="184">
        <v>840</v>
      </c>
      <c r="D67" s="199">
        <v>925</v>
      </c>
      <c r="E67" s="199">
        <v>970</v>
      </c>
      <c r="F67" s="185">
        <v>970</v>
      </c>
      <c r="G67" s="184">
        <v>970</v>
      </c>
      <c r="H67" s="199">
        <v>1165</v>
      </c>
      <c r="I67" s="185">
        <v>1165</v>
      </c>
      <c r="J67" s="184">
        <v>1720</v>
      </c>
      <c r="K67" s="399">
        <v>3010</v>
      </c>
      <c r="L67" s="366" t="b">
        <f t="shared" si="4"/>
        <v>0</v>
      </c>
      <c r="M67" s="460"/>
      <c r="N67" s="460"/>
    </row>
    <row r="68" spans="1:14">
      <c r="A68" s="184" t="s">
        <v>1692</v>
      </c>
      <c r="B68" s="207" t="str">
        <f t="shared" si="5"/>
        <v>Mudbox</v>
      </c>
      <c r="C68" s="184">
        <v>80</v>
      </c>
      <c r="D68" s="200">
        <v>85</v>
      </c>
      <c r="E68" s="200">
        <v>90</v>
      </c>
      <c r="F68" s="201">
        <v>90</v>
      </c>
      <c r="G68" s="184">
        <v>90</v>
      </c>
      <c r="H68" s="199">
        <v>110</v>
      </c>
      <c r="I68" s="185">
        <v>110</v>
      </c>
      <c r="J68" s="184">
        <v>80</v>
      </c>
      <c r="K68" s="399">
        <v>140</v>
      </c>
      <c r="L68" s="366" t="b">
        <f t="shared" ref="L68:L99" si="6">MAX(C68:K68)=MIN(C68:K68)</f>
        <v>0</v>
      </c>
      <c r="M68" s="460"/>
      <c r="N68" s="460"/>
    </row>
    <row r="69" spans="1:14">
      <c r="A69" s="184" t="s">
        <v>1693</v>
      </c>
      <c r="B69" s="207" t="str">
        <f t="shared" si="5"/>
        <v>Nastran</v>
      </c>
      <c r="C69" s="184">
        <v>1355</v>
      </c>
      <c r="D69" s="200">
        <v>1425</v>
      </c>
      <c r="E69" s="200">
        <v>1495</v>
      </c>
      <c r="F69" s="201">
        <v>1495</v>
      </c>
      <c r="G69" s="184">
        <v>1490</v>
      </c>
      <c r="H69" s="199">
        <v>1790</v>
      </c>
      <c r="I69" s="185">
        <v>1790</v>
      </c>
      <c r="J69" s="184" t="s">
        <v>1916</v>
      </c>
      <c r="K69" s="399">
        <v>4415</v>
      </c>
      <c r="L69" s="366" t="b">
        <f t="shared" si="6"/>
        <v>0</v>
      </c>
      <c r="M69" s="460"/>
      <c r="N69" s="460"/>
    </row>
    <row r="70" spans="1:14">
      <c r="A70" s="184" t="s">
        <v>1694</v>
      </c>
      <c r="B70" s="207" t="str">
        <f t="shared" si="5"/>
        <v>Nastran In-CAD</v>
      </c>
      <c r="C70" s="184">
        <v>1405</v>
      </c>
      <c r="D70" s="200">
        <v>1475</v>
      </c>
      <c r="E70" s="200">
        <v>1550</v>
      </c>
      <c r="F70" s="201">
        <v>1550</v>
      </c>
      <c r="G70" s="184">
        <v>1545</v>
      </c>
      <c r="H70" s="199">
        <v>1855</v>
      </c>
      <c r="I70" s="185">
        <v>1855</v>
      </c>
      <c r="J70" s="184"/>
      <c r="K70" s="185">
        <v>3570</v>
      </c>
      <c r="L70" s="366" t="b">
        <f t="shared" si="6"/>
        <v>0</v>
      </c>
      <c r="M70" s="460"/>
      <c r="N70" s="460"/>
    </row>
    <row r="71" spans="1:14">
      <c r="A71" s="184" t="s">
        <v>1791</v>
      </c>
      <c r="B71" s="207" t="str">
        <f t="shared" si="5"/>
        <v>Navisworks Manage*</v>
      </c>
      <c r="C71" s="184">
        <v>1230</v>
      </c>
      <c r="D71" s="199">
        <v>870</v>
      </c>
      <c r="E71" s="199">
        <v>915</v>
      </c>
      <c r="F71" s="185">
        <v>915</v>
      </c>
      <c r="G71" s="184">
        <v>1420</v>
      </c>
      <c r="H71" s="199">
        <v>1705</v>
      </c>
      <c r="I71" s="185">
        <v>1705</v>
      </c>
      <c r="J71" s="184">
        <v>2120</v>
      </c>
      <c r="K71" s="399">
        <v>3180</v>
      </c>
      <c r="L71" s="366" t="b">
        <f t="shared" si="6"/>
        <v>0</v>
      </c>
      <c r="M71" s="460"/>
      <c r="N71" s="460"/>
    </row>
    <row r="72" spans="1:14">
      <c r="A72" s="184" t="s">
        <v>1695</v>
      </c>
      <c r="B72" s="207" t="str">
        <f t="shared" si="5"/>
        <v>Navisworks Simulate</v>
      </c>
      <c r="C72" s="184">
        <v>330</v>
      </c>
      <c r="D72" s="200">
        <v>345</v>
      </c>
      <c r="E72" s="200">
        <v>360</v>
      </c>
      <c r="F72" s="201">
        <v>360</v>
      </c>
      <c r="G72" s="184">
        <v>365</v>
      </c>
      <c r="H72" s="199">
        <v>440</v>
      </c>
      <c r="I72" s="185">
        <v>440</v>
      </c>
      <c r="J72" s="184">
        <v>860</v>
      </c>
      <c r="K72" s="399">
        <v>1505</v>
      </c>
      <c r="L72" s="366" t="b">
        <f t="shared" si="6"/>
        <v>0</v>
      </c>
      <c r="M72" s="460"/>
      <c r="N72" s="460"/>
    </row>
    <row r="73" spans="1:14">
      <c r="A73" s="184" t="s">
        <v>293</v>
      </c>
      <c r="B73" s="207" t="str">
        <f t="shared" si="5"/>
        <v>Plant Design Suite Premium</v>
      </c>
      <c r="C73" s="184">
        <v>1495</v>
      </c>
      <c r="D73" s="200" t="s">
        <v>389</v>
      </c>
      <c r="E73" s="200" t="s">
        <v>389</v>
      </c>
      <c r="F73" s="201" t="s">
        <v>389</v>
      </c>
      <c r="G73" s="184">
        <v>1725</v>
      </c>
      <c r="H73" s="199">
        <v>2070</v>
      </c>
      <c r="I73" s="185">
        <v>2070</v>
      </c>
      <c r="J73" s="184"/>
      <c r="K73" s="185"/>
      <c r="L73" s="366" t="b">
        <f t="shared" si="6"/>
        <v>0</v>
      </c>
      <c r="M73" s="460"/>
      <c r="N73" s="460"/>
    </row>
    <row r="74" spans="1:14">
      <c r="A74" s="184" t="s">
        <v>294</v>
      </c>
      <c r="B74" s="207" t="str">
        <f t="shared" si="5"/>
        <v>Plant Design Suite Standard</v>
      </c>
      <c r="C74" s="184">
        <v>840</v>
      </c>
      <c r="D74" s="200" t="s">
        <v>389</v>
      </c>
      <c r="E74" s="200" t="s">
        <v>389</v>
      </c>
      <c r="F74" s="201" t="s">
        <v>389</v>
      </c>
      <c r="G74" s="184">
        <v>970</v>
      </c>
      <c r="H74" s="199">
        <v>1165</v>
      </c>
      <c r="I74" s="185">
        <v>1165</v>
      </c>
      <c r="J74" s="184"/>
      <c r="K74" s="185"/>
      <c r="L74" s="366" t="b">
        <f t="shared" si="6"/>
        <v>0</v>
      </c>
      <c r="M74" s="460"/>
      <c r="N74" s="460"/>
    </row>
    <row r="75" spans="1:14">
      <c r="A75" s="184" t="s">
        <v>295</v>
      </c>
      <c r="B75" s="207" t="str">
        <f t="shared" si="5"/>
        <v>Plant Design Suite Ultimate</v>
      </c>
      <c r="C75" s="184">
        <v>2185</v>
      </c>
      <c r="D75" s="200" t="s">
        <v>389</v>
      </c>
      <c r="E75" s="200" t="s">
        <v>389</v>
      </c>
      <c r="F75" s="201" t="s">
        <v>389</v>
      </c>
      <c r="G75" s="184">
        <v>2525</v>
      </c>
      <c r="H75" s="199">
        <v>3030</v>
      </c>
      <c r="I75" s="185">
        <v>3030</v>
      </c>
      <c r="J75" s="184"/>
      <c r="K75" s="185"/>
      <c r="L75" s="366" t="b">
        <f t="shared" si="6"/>
        <v>0</v>
      </c>
      <c r="M75" s="460"/>
      <c r="N75" s="460"/>
    </row>
    <row r="76" spans="1:14">
      <c r="A76" s="184" t="s">
        <v>1696</v>
      </c>
      <c r="B76" s="207" t="str">
        <f t="shared" si="5"/>
        <v>Point Layout</v>
      </c>
      <c r="C76" s="184">
        <v>630</v>
      </c>
      <c r="D76" s="200">
        <v>660</v>
      </c>
      <c r="E76" s="200">
        <v>695</v>
      </c>
      <c r="F76" s="201">
        <v>695</v>
      </c>
      <c r="G76" s="184">
        <v>695</v>
      </c>
      <c r="H76" s="199">
        <v>835</v>
      </c>
      <c r="I76" s="185">
        <v>835</v>
      </c>
      <c r="J76" s="184">
        <v>1640</v>
      </c>
      <c r="K76" s="399">
        <v>2870</v>
      </c>
      <c r="L76" s="366" t="b">
        <f t="shared" si="6"/>
        <v>0</v>
      </c>
      <c r="M76" s="460"/>
      <c r="N76" s="460"/>
    </row>
    <row r="77" spans="1:14">
      <c r="A77" s="184" t="s">
        <v>296</v>
      </c>
      <c r="B77" s="207" t="str">
        <f t="shared" si="5"/>
        <v>Product Design Suite Premium</v>
      </c>
      <c r="C77" s="184">
        <v>800</v>
      </c>
      <c r="D77" s="200" t="s">
        <v>389</v>
      </c>
      <c r="E77" s="200" t="s">
        <v>389</v>
      </c>
      <c r="F77" s="201" t="s">
        <v>389</v>
      </c>
      <c r="G77" s="184">
        <v>925</v>
      </c>
      <c r="H77" s="199">
        <v>1110</v>
      </c>
      <c r="I77" s="185">
        <v>1110</v>
      </c>
      <c r="J77" s="184"/>
      <c r="K77" s="185"/>
      <c r="L77" s="366" t="b">
        <f t="shared" si="6"/>
        <v>0</v>
      </c>
      <c r="M77" s="460"/>
      <c r="N77" s="460"/>
    </row>
    <row r="78" spans="1:14">
      <c r="A78" s="184" t="s">
        <v>297</v>
      </c>
      <c r="B78" s="207" t="str">
        <f t="shared" si="5"/>
        <v>Product Design Suite Ultimate</v>
      </c>
      <c r="C78" s="184">
        <v>1125</v>
      </c>
      <c r="D78" s="200" t="s">
        <v>389</v>
      </c>
      <c r="E78" s="200" t="s">
        <v>389</v>
      </c>
      <c r="F78" s="201" t="s">
        <v>389</v>
      </c>
      <c r="G78" s="184">
        <v>1300</v>
      </c>
      <c r="H78" s="199">
        <v>1560</v>
      </c>
      <c r="I78" s="185">
        <v>1560</v>
      </c>
      <c r="J78" s="184"/>
      <c r="K78" s="185"/>
      <c r="L78" s="366" t="b">
        <f t="shared" si="6"/>
        <v>0</v>
      </c>
      <c r="M78" s="460"/>
      <c r="N78" s="460"/>
    </row>
    <row r="79" spans="1:14">
      <c r="A79" s="184" t="s">
        <v>1798</v>
      </c>
      <c r="B79" s="207" t="str">
        <f t="shared" si="5"/>
        <v>Quantity Take Off</v>
      </c>
      <c r="C79" s="184">
        <v>315</v>
      </c>
      <c r="D79" s="200"/>
      <c r="E79" s="200"/>
      <c r="F79" s="201"/>
      <c r="G79" s="184">
        <v>345</v>
      </c>
      <c r="H79" s="199">
        <v>415</v>
      </c>
      <c r="I79" s="185">
        <v>415</v>
      </c>
      <c r="J79" s="184"/>
      <c r="K79" s="185"/>
      <c r="L79" s="366" t="b">
        <f t="shared" si="6"/>
        <v>0</v>
      </c>
      <c r="M79" s="460"/>
      <c r="N79" s="460"/>
    </row>
    <row r="80" spans="1:14">
      <c r="A80" s="184" t="s">
        <v>298</v>
      </c>
      <c r="B80" s="207" t="str">
        <f t="shared" si="5"/>
        <v>Revit</v>
      </c>
      <c r="C80" s="184">
        <v>845</v>
      </c>
      <c r="D80" s="199">
        <v>930</v>
      </c>
      <c r="E80" s="199">
        <v>975</v>
      </c>
      <c r="F80" s="185">
        <v>975</v>
      </c>
      <c r="G80" s="184">
        <v>975</v>
      </c>
      <c r="H80" s="199">
        <v>1170</v>
      </c>
      <c r="I80" s="185">
        <v>1170</v>
      </c>
      <c r="J80" s="397">
        <v>2250</v>
      </c>
      <c r="K80" s="399">
        <v>3075</v>
      </c>
      <c r="L80" s="366" t="b">
        <f t="shared" si="6"/>
        <v>0</v>
      </c>
      <c r="M80" s="460"/>
      <c r="N80" s="460"/>
    </row>
    <row r="81" spans="1:14">
      <c r="A81" s="184" t="s">
        <v>1715</v>
      </c>
      <c r="B81" s="207" t="str">
        <f t="shared" si="5"/>
        <v>Revit Architecture</v>
      </c>
      <c r="C81" s="184">
        <v>885</v>
      </c>
      <c r="D81" s="200">
        <v>930</v>
      </c>
      <c r="E81" s="200">
        <v>975</v>
      </c>
      <c r="F81" s="201">
        <v>975</v>
      </c>
      <c r="G81" s="184">
        <v>975</v>
      </c>
      <c r="H81" s="199">
        <v>1170</v>
      </c>
      <c r="I81" s="185">
        <v>1170</v>
      </c>
      <c r="J81" s="184">
        <v>2000</v>
      </c>
      <c r="K81" s="185">
        <v>3000</v>
      </c>
      <c r="L81" s="366" t="b">
        <f t="shared" si="6"/>
        <v>0</v>
      </c>
      <c r="M81" s="460"/>
      <c r="N81" s="460"/>
    </row>
    <row r="82" spans="1:14">
      <c r="A82" s="184" t="s">
        <v>299</v>
      </c>
      <c r="B82" s="207" t="str">
        <f t="shared" si="5"/>
        <v>Revit LT</v>
      </c>
      <c r="C82" s="184">
        <v>195</v>
      </c>
      <c r="D82" s="199">
        <v>215</v>
      </c>
      <c r="E82" s="199">
        <v>225</v>
      </c>
      <c r="F82" s="185">
        <v>225</v>
      </c>
      <c r="G82" s="184">
        <v>225</v>
      </c>
      <c r="H82" s="199">
        <v>270</v>
      </c>
      <c r="I82" s="185">
        <v>270</v>
      </c>
      <c r="J82" s="184">
        <v>420</v>
      </c>
      <c r="K82" s="185"/>
      <c r="L82" s="366" t="b">
        <f t="shared" si="6"/>
        <v>0</v>
      </c>
      <c r="M82" s="460"/>
      <c r="N82" s="460"/>
    </row>
    <row r="83" spans="1:14">
      <c r="A83" s="184" t="s">
        <v>1716</v>
      </c>
      <c r="B83" s="207" t="str">
        <f t="shared" si="5"/>
        <v>Revit MEP</v>
      </c>
      <c r="C83" s="184">
        <v>885</v>
      </c>
      <c r="D83" s="200">
        <v>930</v>
      </c>
      <c r="E83" s="200">
        <v>975</v>
      </c>
      <c r="F83" s="201">
        <v>975</v>
      </c>
      <c r="G83" s="184">
        <v>975</v>
      </c>
      <c r="H83" s="199">
        <v>1170</v>
      </c>
      <c r="I83" s="185">
        <v>1170</v>
      </c>
      <c r="J83" s="184">
        <v>2000</v>
      </c>
      <c r="K83" s="185">
        <v>3000</v>
      </c>
      <c r="L83" s="366" t="b">
        <f t="shared" si="6"/>
        <v>0</v>
      </c>
      <c r="M83" s="460"/>
      <c r="N83" s="460"/>
    </row>
    <row r="84" spans="1:14">
      <c r="A84" s="184" t="s">
        <v>1717</v>
      </c>
      <c r="B84" s="207" t="str">
        <f t="shared" si="5"/>
        <v>Revit Structure</v>
      </c>
      <c r="C84" s="184">
        <v>885</v>
      </c>
      <c r="D84" s="200">
        <v>930</v>
      </c>
      <c r="E84" s="200">
        <v>975</v>
      </c>
      <c r="F84" s="201">
        <v>975</v>
      </c>
      <c r="G84" s="184">
        <v>975</v>
      </c>
      <c r="H84" s="199">
        <v>1170</v>
      </c>
      <c r="I84" s="185">
        <v>1170</v>
      </c>
      <c r="J84" s="184">
        <v>2000</v>
      </c>
      <c r="K84" s="185">
        <v>3000</v>
      </c>
      <c r="L84" s="366" t="b">
        <f t="shared" si="6"/>
        <v>0</v>
      </c>
      <c r="M84" s="460"/>
      <c r="N84" s="460"/>
    </row>
    <row r="85" spans="1:14">
      <c r="A85" s="184" t="s">
        <v>1697</v>
      </c>
      <c r="B85" s="207" t="str">
        <f t="shared" si="5"/>
        <v>Robot Structural Analysis Professional</v>
      </c>
      <c r="C85" s="184">
        <v>990</v>
      </c>
      <c r="D85" s="200">
        <v>1040</v>
      </c>
      <c r="E85" s="200">
        <v>1090</v>
      </c>
      <c r="F85" s="201">
        <v>1090</v>
      </c>
      <c r="G85" s="184">
        <v>1090</v>
      </c>
      <c r="H85" s="199">
        <v>1310</v>
      </c>
      <c r="I85" s="185">
        <v>1310</v>
      </c>
      <c r="J85" s="184">
        <v>2585</v>
      </c>
      <c r="K85" s="399">
        <v>4525</v>
      </c>
      <c r="L85" s="366" t="b">
        <f t="shared" si="6"/>
        <v>0</v>
      </c>
      <c r="M85" s="460"/>
      <c r="N85" s="460"/>
    </row>
    <row r="86" spans="1:14">
      <c r="A86" s="184" t="s">
        <v>1718</v>
      </c>
      <c r="B86" s="207" t="str">
        <f t="shared" ref="B86:B116" si="7">VLOOKUP(IF(LEFT(A86,LEN(nmADwSP))=nmADwSP,RIGHT(A86,LEN(A86)-LEN(nmADwSP)),A86),DataPaths_List_ProdMT_NonCurrency,1,FALSE)</f>
        <v>Simulation Mechanical</v>
      </c>
      <c r="C86" s="184">
        <v>2480</v>
      </c>
      <c r="D86" s="200">
        <v>1475</v>
      </c>
      <c r="E86" s="200">
        <v>1550</v>
      </c>
      <c r="F86" s="201">
        <v>1550</v>
      </c>
      <c r="G86" s="184">
        <v>2730</v>
      </c>
      <c r="H86" s="199">
        <v>3275</v>
      </c>
      <c r="I86" s="185">
        <v>3275</v>
      </c>
      <c r="J86" s="184"/>
      <c r="K86" s="185">
        <v>3570</v>
      </c>
      <c r="L86" s="366" t="b">
        <f t="shared" si="6"/>
        <v>0</v>
      </c>
      <c r="M86" s="460"/>
      <c r="N86" s="460"/>
    </row>
    <row r="87" spans="1:14">
      <c r="A87" s="184" t="s">
        <v>1721</v>
      </c>
      <c r="B87" s="207" t="str">
        <f t="shared" si="7"/>
        <v>SketchBook - For Enterprise</v>
      </c>
      <c r="C87" s="184">
        <v>30</v>
      </c>
      <c r="D87" s="200">
        <v>30</v>
      </c>
      <c r="E87" s="200">
        <v>30</v>
      </c>
      <c r="F87" s="201">
        <v>30</v>
      </c>
      <c r="G87" s="184">
        <v>35</v>
      </c>
      <c r="H87" s="199">
        <v>40</v>
      </c>
      <c r="I87" s="185">
        <v>40</v>
      </c>
      <c r="J87" s="184">
        <v>85</v>
      </c>
      <c r="K87" s="399">
        <v>150</v>
      </c>
      <c r="L87" s="366" t="b">
        <f t="shared" si="6"/>
        <v>0</v>
      </c>
      <c r="M87" s="460"/>
      <c r="N87" s="460"/>
    </row>
    <row r="88" spans="1:14">
      <c r="A88" s="184" t="s">
        <v>1901</v>
      </c>
      <c r="B88" s="207" t="str">
        <f t="shared" si="7"/>
        <v>Structural Bridge Design</v>
      </c>
      <c r="C88" s="184">
        <v>630</v>
      </c>
      <c r="D88" s="200" t="s">
        <v>389</v>
      </c>
      <c r="E88" s="200" t="s">
        <v>389</v>
      </c>
      <c r="F88" s="201" t="s">
        <v>389</v>
      </c>
      <c r="G88" s="184">
        <v>695</v>
      </c>
      <c r="H88" s="199">
        <v>835</v>
      </c>
      <c r="I88" s="185">
        <v>835</v>
      </c>
      <c r="J88" s="184"/>
      <c r="K88" s="185"/>
      <c r="L88" s="366" t="b">
        <f t="shared" si="6"/>
        <v>0</v>
      </c>
      <c r="M88" s="460"/>
      <c r="N88" s="460"/>
    </row>
    <row r="89" spans="1:14">
      <c r="A89" s="184" t="s">
        <v>1699</v>
      </c>
      <c r="B89" s="207" t="str">
        <f t="shared" si="7"/>
        <v>TruComp</v>
      </c>
      <c r="C89" s="184">
        <v>13775</v>
      </c>
      <c r="D89" s="200">
        <v>14465</v>
      </c>
      <c r="E89" s="200">
        <v>15190</v>
      </c>
      <c r="F89" s="201">
        <v>15190</v>
      </c>
      <c r="G89" s="184">
        <v>15155</v>
      </c>
      <c r="H89" s="199">
        <v>18185</v>
      </c>
      <c r="I89" s="185">
        <v>18185</v>
      </c>
      <c r="J89" s="184"/>
      <c r="K89" s="399">
        <v>53790</v>
      </c>
      <c r="L89" s="366" t="b">
        <f t="shared" si="6"/>
        <v>0</v>
      </c>
      <c r="M89" s="460"/>
      <c r="N89" s="460"/>
    </row>
    <row r="90" spans="1:14">
      <c r="A90" s="184" t="s">
        <v>1700</v>
      </c>
      <c r="B90" s="207" t="str">
        <f t="shared" si="7"/>
        <v>TruLaser</v>
      </c>
      <c r="C90" s="184">
        <v>2370</v>
      </c>
      <c r="D90" s="200">
        <v>2490</v>
      </c>
      <c r="E90" s="200">
        <v>2615</v>
      </c>
      <c r="F90" s="201">
        <v>2615</v>
      </c>
      <c r="G90" s="184">
        <v>2605</v>
      </c>
      <c r="H90" s="199">
        <v>3125</v>
      </c>
      <c r="I90" s="185">
        <v>3125</v>
      </c>
      <c r="J90" s="184">
        <v>6160</v>
      </c>
      <c r="K90" s="399">
        <v>10780</v>
      </c>
      <c r="L90" s="366" t="b">
        <f t="shared" si="6"/>
        <v>0</v>
      </c>
      <c r="M90" s="460"/>
      <c r="N90" s="460"/>
    </row>
    <row r="91" spans="1:14">
      <c r="A91" s="184" t="s">
        <v>1701</v>
      </c>
      <c r="B91" s="207" t="str">
        <f t="shared" si="7"/>
        <v>TruNest Composites</v>
      </c>
      <c r="C91" s="184">
        <v>3940</v>
      </c>
      <c r="D91" s="200">
        <v>4135</v>
      </c>
      <c r="E91" s="200">
        <v>4340</v>
      </c>
      <c r="F91" s="201">
        <v>4340</v>
      </c>
      <c r="G91" s="184">
        <v>4335</v>
      </c>
      <c r="H91" s="199">
        <v>5200</v>
      </c>
      <c r="I91" s="185">
        <v>5200</v>
      </c>
      <c r="J91" s="184">
        <v>10250</v>
      </c>
      <c r="K91" s="399">
        <v>17940</v>
      </c>
      <c r="L91" s="366" t="b">
        <f t="shared" si="6"/>
        <v>0</v>
      </c>
      <c r="M91" s="460"/>
      <c r="N91" s="460"/>
    </row>
    <row r="92" spans="1:14">
      <c r="A92" s="184" t="s">
        <v>1702</v>
      </c>
      <c r="B92" s="207" t="str">
        <f t="shared" si="7"/>
        <v>TruNest Contour</v>
      </c>
      <c r="C92" s="184">
        <v>3140</v>
      </c>
      <c r="D92" s="200">
        <v>3295</v>
      </c>
      <c r="E92" s="200">
        <v>3460</v>
      </c>
      <c r="F92" s="201">
        <v>3460</v>
      </c>
      <c r="G92" s="184">
        <v>3455</v>
      </c>
      <c r="H92" s="199">
        <v>4145</v>
      </c>
      <c r="I92" s="185">
        <v>4145</v>
      </c>
      <c r="J92" s="184">
        <v>8180</v>
      </c>
      <c r="K92" s="399">
        <v>14315</v>
      </c>
      <c r="L92" s="366" t="b">
        <f t="shared" si="6"/>
        <v>0</v>
      </c>
      <c r="M92" s="460"/>
      <c r="N92" s="460"/>
    </row>
    <row r="93" spans="1:14">
      <c r="A93" s="184" t="s">
        <v>1703</v>
      </c>
      <c r="B93" s="207" t="str">
        <f t="shared" si="7"/>
        <v>TruNest Multi-Tool</v>
      </c>
      <c r="C93" s="184">
        <v>3940</v>
      </c>
      <c r="D93" s="200">
        <v>4135</v>
      </c>
      <c r="E93" s="200">
        <v>4340</v>
      </c>
      <c r="F93" s="201">
        <v>4340</v>
      </c>
      <c r="G93" s="184">
        <v>4335</v>
      </c>
      <c r="H93" s="199">
        <v>5200</v>
      </c>
      <c r="I93" s="185">
        <v>5200</v>
      </c>
      <c r="J93" s="184">
        <v>10250</v>
      </c>
      <c r="K93" s="399">
        <v>17940</v>
      </c>
      <c r="L93" s="366" t="b">
        <f t="shared" si="6"/>
        <v>0</v>
      </c>
      <c r="M93" s="460"/>
      <c r="N93" s="460"/>
    </row>
    <row r="94" spans="1:14">
      <c r="A94" s="184" t="s">
        <v>1704</v>
      </c>
      <c r="B94" s="207" t="str">
        <f t="shared" si="7"/>
        <v>Vault Office</v>
      </c>
      <c r="C94" s="184">
        <v>85</v>
      </c>
      <c r="D94" s="200">
        <v>90</v>
      </c>
      <c r="E94" s="200">
        <v>95</v>
      </c>
      <c r="F94" s="201">
        <v>95</v>
      </c>
      <c r="G94" s="184">
        <v>95</v>
      </c>
      <c r="H94" s="199">
        <v>115</v>
      </c>
      <c r="I94" s="185">
        <v>115</v>
      </c>
      <c r="J94" s="184"/>
      <c r="K94" s="399">
        <v>255</v>
      </c>
      <c r="L94" s="366" t="b">
        <f t="shared" si="6"/>
        <v>0</v>
      </c>
      <c r="M94" s="460"/>
      <c r="N94" s="460"/>
    </row>
    <row r="95" spans="1:14">
      <c r="A95" s="184" t="s">
        <v>1705</v>
      </c>
      <c r="B95" s="207" t="str">
        <f t="shared" si="7"/>
        <v>Vault Professional</v>
      </c>
      <c r="C95" s="184">
        <v>315</v>
      </c>
      <c r="D95" s="200">
        <v>330</v>
      </c>
      <c r="E95" s="200">
        <v>345</v>
      </c>
      <c r="F95" s="201">
        <v>345</v>
      </c>
      <c r="G95" s="184">
        <v>345</v>
      </c>
      <c r="H95" s="199">
        <v>415</v>
      </c>
      <c r="I95" s="185">
        <v>415</v>
      </c>
      <c r="J95" s="184">
        <v>650</v>
      </c>
      <c r="K95" s="399">
        <v>975</v>
      </c>
      <c r="L95" s="366" t="b">
        <f t="shared" si="6"/>
        <v>0</v>
      </c>
      <c r="M95" s="460"/>
      <c r="N95" s="460"/>
    </row>
    <row r="96" spans="1:14">
      <c r="A96" s="184" t="s">
        <v>1706</v>
      </c>
      <c r="B96" s="207" t="str">
        <f t="shared" si="7"/>
        <v>Vault Workgroup</v>
      </c>
      <c r="C96" s="184">
        <v>165</v>
      </c>
      <c r="D96" s="200">
        <v>175</v>
      </c>
      <c r="E96" s="200">
        <v>185</v>
      </c>
      <c r="F96" s="201">
        <v>185</v>
      </c>
      <c r="G96" s="184">
        <v>180</v>
      </c>
      <c r="H96" s="199">
        <v>215</v>
      </c>
      <c r="I96" s="185">
        <v>215</v>
      </c>
      <c r="J96" s="184">
        <v>345</v>
      </c>
      <c r="K96" s="399">
        <v>520</v>
      </c>
      <c r="L96" s="366" t="b">
        <f t="shared" si="6"/>
        <v>0</v>
      </c>
      <c r="M96" s="460"/>
      <c r="N96" s="460"/>
    </row>
    <row r="97" spans="1:15">
      <c r="A97" s="184" t="s">
        <v>1707</v>
      </c>
      <c r="B97" s="207" t="str">
        <f t="shared" si="7"/>
        <v>Vehicle Tracking</v>
      </c>
      <c r="C97" s="184">
        <v>315</v>
      </c>
      <c r="D97" s="200">
        <v>330</v>
      </c>
      <c r="E97" s="200">
        <v>345</v>
      </c>
      <c r="F97" s="201">
        <v>345</v>
      </c>
      <c r="G97" s="184">
        <v>345</v>
      </c>
      <c r="H97" s="199">
        <v>415</v>
      </c>
      <c r="I97" s="185">
        <v>415</v>
      </c>
      <c r="J97" s="184">
        <v>820</v>
      </c>
      <c r="K97" s="399">
        <v>1435</v>
      </c>
      <c r="L97" s="366" t="b">
        <f t="shared" si="6"/>
        <v>0</v>
      </c>
      <c r="M97" s="460"/>
      <c r="N97" s="460"/>
    </row>
    <row r="98" spans="1:15">
      <c r="A98" s="184" t="s">
        <v>1708</v>
      </c>
      <c r="B98" s="207" t="str">
        <f t="shared" si="7"/>
        <v>VRED</v>
      </c>
      <c r="C98" s="184">
        <v>240</v>
      </c>
      <c r="D98" s="200">
        <v>250</v>
      </c>
      <c r="E98" s="200">
        <v>265</v>
      </c>
      <c r="F98" s="201">
        <v>265</v>
      </c>
      <c r="G98" s="184">
        <v>265</v>
      </c>
      <c r="H98" s="199">
        <v>320</v>
      </c>
      <c r="I98" s="185">
        <v>320</v>
      </c>
      <c r="J98" s="184">
        <v>625</v>
      </c>
      <c r="K98" s="399">
        <v>1095</v>
      </c>
      <c r="L98" s="366" t="b">
        <f t="shared" si="6"/>
        <v>0</v>
      </c>
      <c r="M98" s="460"/>
      <c r="N98" s="460"/>
    </row>
    <row r="99" spans="1:15">
      <c r="A99" s="184" t="s">
        <v>1709</v>
      </c>
      <c r="B99" s="207" t="str">
        <f t="shared" si="7"/>
        <v>VRED Design</v>
      </c>
      <c r="C99" s="184">
        <v>1075</v>
      </c>
      <c r="D99" s="200">
        <v>1130</v>
      </c>
      <c r="E99" s="200">
        <v>1185</v>
      </c>
      <c r="F99" s="201">
        <v>1185</v>
      </c>
      <c r="G99" s="184">
        <v>1185</v>
      </c>
      <c r="H99" s="199">
        <v>1420</v>
      </c>
      <c r="I99" s="185">
        <v>1420</v>
      </c>
      <c r="J99" s="184">
        <v>2800</v>
      </c>
      <c r="K99" s="399">
        <v>4900</v>
      </c>
      <c r="L99" s="366" t="b">
        <f t="shared" si="6"/>
        <v>0</v>
      </c>
      <c r="M99" s="460"/>
      <c r="N99" s="460"/>
    </row>
    <row r="100" spans="1:15">
      <c r="A100" s="184" t="s">
        <v>1710</v>
      </c>
      <c r="B100" s="207" t="str">
        <f t="shared" si="7"/>
        <v>VRED Presenter</v>
      </c>
      <c r="C100" s="184">
        <v>240</v>
      </c>
      <c r="D100" s="200">
        <v>250</v>
      </c>
      <c r="E100" s="200">
        <v>265</v>
      </c>
      <c r="F100" s="201">
        <v>265</v>
      </c>
      <c r="G100" s="184">
        <v>265</v>
      </c>
      <c r="H100" s="199">
        <v>320</v>
      </c>
      <c r="I100" s="185">
        <v>320</v>
      </c>
      <c r="J100" s="184">
        <v>625</v>
      </c>
      <c r="K100" s="399">
        <v>1095</v>
      </c>
      <c r="L100" s="366" t="b">
        <f t="shared" ref="L100:L118" si="8">MAX(C100:K100)=MIN(C100:K100)</f>
        <v>0</v>
      </c>
      <c r="M100" s="460"/>
      <c r="N100" s="460"/>
    </row>
    <row r="101" spans="1:15">
      <c r="A101" s="184" t="s">
        <v>1711</v>
      </c>
      <c r="B101" s="207" t="str">
        <f t="shared" si="7"/>
        <v>VRED Professional</v>
      </c>
      <c r="C101" s="184">
        <v>4405</v>
      </c>
      <c r="D101" s="200">
        <v>4625</v>
      </c>
      <c r="E101" s="200">
        <v>4855</v>
      </c>
      <c r="F101" s="201">
        <v>4855</v>
      </c>
      <c r="G101" s="184">
        <v>4845</v>
      </c>
      <c r="H101" s="199">
        <v>5815</v>
      </c>
      <c r="I101" s="185">
        <v>5815</v>
      </c>
      <c r="J101" s="184">
        <v>11470</v>
      </c>
      <c r="K101" s="399">
        <v>20075</v>
      </c>
      <c r="L101" s="366" t="b">
        <f t="shared" si="8"/>
        <v>0</v>
      </c>
      <c r="M101" s="460"/>
      <c r="N101" s="460"/>
    </row>
    <row r="102" spans="1:15">
      <c r="A102" s="416" t="s">
        <v>1712</v>
      </c>
      <c r="B102" s="417" t="str">
        <f t="shared" si="7"/>
        <v>VRED Render Node</v>
      </c>
      <c r="C102" s="416">
        <v>745</v>
      </c>
      <c r="D102" s="418">
        <v>780</v>
      </c>
      <c r="E102" s="418">
        <v>820</v>
      </c>
      <c r="F102" s="419">
        <v>820</v>
      </c>
      <c r="G102" s="416">
        <v>820</v>
      </c>
      <c r="H102" s="420">
        <v>985</v>
      </c>
      <c r="I102" s="421">
        <v>985</v>
      </c>
      <c r="J102" s="416">
        <v>0</v>
      </c>
      <c r="K102" s="422">
        <v>1950</v>
      </c>
      <c r="L102" s="366" t="b">
        <f t="shared" si="8"/>
        <v>0</v>
      </c>
      <c r="M102" s="460"/>
      <c r="N102" s="460"/>
    </row>
    <row r="103" spans="1:15" s="415" customFormat="1" ht="15" customHeight="1">
      <c r="A103" s="388" t="s">
        <v>1713</v>
      </c>
      <c r="B103" s="423" t="str">
        <f t="shared" si="7"/>
        <v>VRED Server</v>
      </c>
      <c r="C103" s="388">
        <v>11740</v>
      </c>
      <c r="D103" s="395">
        <v>12325</v>
      </c>
      <c r="E103" s="395">
        <v>12940</v>
      </c>
      <c r="F103" s="395">
        <v>12940</v>
      </c>
      <c r="G103" s="388">
        <v>12915</v>
      </c>
      <c r="H103" s="388">
        <v>15500</v>
      </c>
      <c r="I103" s="388">
        <v>15500</v>
      </c>
      <c r="J103" s="388"/>
      <c r="K103" s="444">
        <v>36675</v>
      </c>
      <c r="L103" s="414" t="b">
        <f t="shared" si="8"/>
        <v>0</v>
      </c>
      <c r="M103" s="460"/>
      <c r="N103" s="460"/>
      <c r="O103"/>
    </row>
    <row r="104" spans="1:15">
      <c r="A104" s="388" t="s">
        <v>1967</v>
      </c>
      <c r="B104" s="423" t="str">
        <f t="shared" si="7"/>
        <v>PowerInspect - Premium</v>
      </c>
      <c r="C104" s="388"/>
      <c r="D104" s="395">
        <v>1575</v>
      </c>
      <c r="E104" s="395">
        <v>1655</v>
      </c>
      <c r="F104" s="395">
        <v>1740</v>
      </c>
      <c r="G104" s="388">
        <v>1575</v>
      </c>
      <c r="H104" s="388">
        <v>1735</v>
      </c>
      <c r="I104" s="388">
        <v>2080</v>
      </c>
      <c r="J104" s="388">
        <v>4100</v>
      </c>
      <c r="K104" s="444">
        <v>6150</v>
      </c>
      <c r="L104" s="414" t="b">
        <f t="shared" si="8"/>
        <v>0</v>
      </c>
      <c r="M104" s="460"/>
      <c r="N104" s="460"/>
    </row>
    <row r="105" spans="1:15">
      <c r="A105" s="388" t="s">
        <v>1968</v>
      </c>
      <c r="B105" s="423" t="str">
        <f t="shared" si="7"/>
        <v xml:space="preserve">PowerInspect - Standard </v>
      </c>
      <c r="C105" s="388"/>
      <c r="D105" s="395">
        <v>395</v>
      </c>
      <c r="E105" s="395">
        <v>415</v>
      </c>
      <c r="F105" s="395">
        <v>435</v>
      </c>
      <c r="G105" s="388">
        <v>395</v>
      </c>
      <c r="H105" s="388">
        <v>435</v>
      </c>
      <c r="I105" s="388">
        <v>520</v>
      </c>
      <c r="J105" s="388">
        <v>1025</v>
      </c>
      <c r="K105" s="444">
        <v>1540</v>
      </c>
      <c r="L105" s="414" t="b">
        <f t="shared" si="8"/>
        <v>0</v>
      </c>
      <c r="M105" s="460"/>
      <c r="N105" s="460"/>
    </row>
    <row r="106" spans="1:15">
      <c r="A106" s="388" t="s">
        <v>1969</v>
      </c>
      <c r="B106" s="423" t="str">
        <f t="shared" si="7"/>
        <v>PowerInspect - Ultimate</v>
      </c>
      <c r="C106" s="388"/>
      <c r="D106" s="395">
        <v>2365</v>
      </c>
      <c r="E106" s="395">
        <v>2485</v>
      </c>
      <c r="F106" s="395">
        <v>2610</v>
      </c>
      <c r="G106" s="388">
        <v>2365</v>
      </c>
      <c r="H106" s="388">
        <v>2600</v>
      </c>
      <c r="I106" s="388">
        <v>3120</v>
      </c>
      <c r="J106" s="388">
        <v>6155</v>
      </c>
      <c r="K106" s="444">
        <v>9235</v>
      </c>
      <c r="L106" s="414" t="b">
        <f t="shared" si="8"/>
        <v>0</v>
      </c>
      <c r="M106" s="460"/>
      <c r="N106" s="460"/>
    </row>
    <row r="107" spans="1:15">
      <c r="A107" s="388" t="s">
        <v>1970</v>
      </c>
      <c r="B107" s="423" t="str">
        <f t="shared" si="7"/>
        <v>PowerMill - Premium</v>
      </c>
      <c r="C107" s="388"/>
      <c r="D107" s="395">
        <v>3545</v>
      </c>
      <c r="E107" s="395">
        <v>3720</v>
      </c>
      <c r="F107" s="395">
        <v>3905</v>
      </c>
      <c r="G107" s="388">
        <v>3545</v>
      </c>
      <c r="H107" s="388">
        <v>3900</v>
      </c>
      <c r="I107" s="388">
        <v>4680</v>
      </c>
      <c r="J107" s="388">
        <v>9225</v>
      </c>
      <c r="K107" s="444">
        <v>13840</v>
      </c>
      <c r="L107" s="414" t="b">
        <f t="shared" si="8"/>
        <v>0</v>
      </c>
      <c r="M107" s="460"/>
      <c r="N107" s="460"/>
    </row>
    <row r="108" spans="1:15">
      <c r="A108" s="388" t="s">
        <v>1971</v>
      </c>
      <c r="B108" s="423" t="str">
        <f t="shared" si="7"/>
        <v>PowerMill - Standard</v>
      </c>
      <c r="C108" s="388"/>
      <c r="D108" s="395">
        <v>2365</v>
      </c>
      <c r="E108" s="395">
        <v>2485</v>
      </c>
      <c r="F108" s="395">
        <v>2610</v>
      </c>
      <c r="G108" s="388">
        <v>2365</v>
      </c>
      <c r="H108" s="388">
        <v>2600</v>
      </c>
      <c r="I108" s="388">
        <v>3120</v>
      </c>
      <c r="J108" s="388">
        <v>6155</v>
      </c>
      <c r="K108" s="444">
        <v>9235</v>
      </c>
      <c r="L108" s="414" t="b">
        <f t="shared" si="8"/>
        <v>0</v>
      </c>
      <c r="M108" s="460"/>
      <c r="N108" s="460"/>
    </row>
    <row r="109" spans="1:15">
      <c r="A109" s="388" t="s">
        <v>1972</v>
      </c>
      <c r="B109" s="423" t="str">
        <f t="shared" si="7"/>
        <v>PowerMill - Ultimate</v>
      </c>
      <c r="C109" s="388"/>
      <c r="D109" s="395">
        <v>4330</v>
      </c>
      <c r="E109" s="395">
        <v>4545</v>
      </c>
      <c r="F109" s="395">
        <v>4770</v>
      </c>
      <c r="G109" s="388">
        <v>4330</v>
      </c>
      <c r="H109" s="388">
        <v>4765</v>
      </c>
      <c r="I109" s="388">
        <v>5720</v>
      </c>
      <c r="J109" s="388">
        <v>11270</v>
      </c>
      <c r="K109" s="444">
        <v>16905</v>
      </c>
      <c r="L109" s="414" t="b">
        <f t="shared" si="8"/>
        <v>0</v>
      </c>
      <c r="M109" s="460"/>
      <c r="N109" s="460"/>
    </row>
    <row r="110" spans="1:15">
      <c r="A110" s="388" t="s">
        <v>1973</v>
      </c>
      <c r="B110" s="423" t="str">
        <f t="shared" si="7"/>
        <v>PowerShape - Premium</v>
      </c>
      <c r="C110" s="388"/>
      <c r="D110" s="395">
        <v>1260</v>
      </c>
      <c r="E110" s="395">
        <v>1325</v>
      </c>
      <c r="F110" s="395">
        <v>1390</v>
      </c>
      <c r="G110" s="388">
        <v>1260</v>
      </c>
      <c r="H110" s="388">
        <v>1385</v>
      </c>
      <c r="I110" s="388">
        <v>1660</v>
      </c>
      <c r="J110" s="388">
        <v>3280</v>
      </c>
      <c r="K110" s="444">
        <v>4920</v>
      </c>
      <c r="L110" s="414" t="b">
        <f t="shared" si="8"/>
        <v>0</v>
      </c>
      <c r="M110" s="460"/>
      <c r="N110" s="460"/>
    </row>
    <row r="111" spans="1:15">
      <c r="A111" s="388" t="s">
        <v>1974</v>
      </c>
      <c r="B111" s="423" t="str">
        <f t="shared" si="7"/>
        <v>PowerShape - Standard</v>
      </c>
      <c r="C111" s="388"/>
      <c r="D111" s="395">
        <v>945</v>
      </c>
      <c r="E111" s="395">
        <v>990</v>
      </c>
      <c r="F111" s="395">
        <v>1040</v>
      </c>
      <c r="G111" s="388">
        <v>945</v>
      </c>
      <c r="H111" s="388">
        <v>1040</v>
      </c>
      <c r="I111" s="388">
        <v>1250</v>
      </c>
      <c r="J111" s="388">
        <v>2455</v>
      </c>
      <c r="K111" s="444">
        <v>3685</v>
      </c>
      <c r="L111" s="414" t="b">
        <f t="shared" si="8"/>
        <v>0</v>
      </c>
      <c r="M111" s="460"/>
      <c r="N111" s="460"/>
    </row>
    <row r="112" spans="1:15">
      <c r="A112" s="388" t="s">
        <v>1975</v>
      </c>
      <c r="B112" s="423" t="str">
        <f t="shared" si="7"/>
        <v>PowerShape - Ultimate</v>
      </c>
      <c r="C112" s="388"/>
      <c r="D112" s="395">
        <v>1575</v>
      </c>
      <c r="E112" s="395">
        <v>1655</v>
      </c>
      <c r="F112" s="395">
        <v>1740</v>
      </c>
      <c r="G112" s="388">
        <v>1575</v>
      </c>
      <c r="H112" s="388">
        <v>1735</v>
      </c>
      <c r="I112" s="388">
        <v>2080</v>
      </c>
      <c r="J112" s="388">
        <v>4100</v>
      </c>
      <c r="K112" s="444">
        <v>6150</v>
      </c>
      <c r="L112" s="414" t="b">
        <f t="shared" si="8"/>
        <v>0</v>
      </c>
      <c r="M112" s="460"/>
      <c r="N112" s="460"/>
    </row>
    <row r="113" spans="1:15">
      <c r="A113" s="388" t="s">
        <v>1976</v>
      </c>
      <c r="B113" s="423" t="str">
        <f t="shared" si="7"/>
        <v>FeatureCAM - Premium</v>
      </c>
      <c r="C113" s="388"/>
      <c r="D113" s="395">
        <v>1970</v>
      </c>
      <c r="E113" s="395">
        <v>2070</v>
      </c>
      <c r="F113" s="395">
        <v>2175</v>
      </c>
      <c r="G113" s="388">
        <v>1970</v>
      </c>
      <c r="H113" s="388">
        <v>2165</v>
      </c>
      <c r="I113" s="388">
        <v>2600</v>
      </c>
      <c r="J113" s="388">
        <v>5125</v>
      </c>
      <c r="K113" s="444">
        <v>7690</v>
      </c>
      <c r="L113" s="414" t="b">
        <f t="shared" si="8"/>
        <v>0</v>
      </c>
      <c r="M113" s="460"/>
      <c r="N113" s="460"/>
    </row>
    <row r="114" spans="1:15">
      <c r="A114" s="388" t="s">
        <v>1977</v>
      </c>
      <c r="B114" s="423" t="str">
        <f t="shared" si="7"/>
        <v>FeatureCAM - Standard</v>
      </c>
      <c r="C114" s="388"/>
      <c r="D114" s="395">
        <v>790</v>
      </c>
      <c r="E114" s="395">
        <v>830</v>
      </c>
      <c r="F114" s="395">
        <v>870</v>
      </c>
      <c r="G114" s="388">
        <v>790</v>
      </c>
      <c r="H114" s="388">
        <v>870</v>
      </c>
      <c r="I114" s="388">
        <v>1045</v>
      </c>
      <c r="J114" s="388">
        <v>2055</v>
      </c>
      <c r="K114" s="444">
        <v>3085</v>
      </c>
      <c r="L114" s="414" t="b">
        <f t="shared" si="8"/>
        <v>0</v>
      </c>
      <c r="M114" s="460"/>
      <c r="N114" s="460"/>
    </row>
    <row r="115" spans="1:15">
      <c r="A115" s="388" t="s">
        <v>1978</v>
      </c>
      <c r="B115" s="423" t="str">
        <f t="shared" si="7"/>
        <v>FeatureCAM - Ultimate</v>
      </c>
      <c r="C115" s="388"/>
      <c r="D115" s="395">
        <v>2755</v>
      </c>
      <c r="E115" s="395">
        <v>2895</v>
      </c>
      <c r="F115" s="395">
        <v>3040</v>
      </c>
      <c r="G115" s="388">
        <v>2755</v>
      </c>
      <c r="H115" s="388">
        <v>3030</v>
      </c>
      <c r="I115" s="388">
        <v>3635</v>
      </c>
      <c r="J115" s="388">
        <v>7170</v>
      </c>
      <c r="K115" s="444">
        <v>10755</v>
      </c>
      <c r="L115" s="414" t="b">
        <f t="shared" si="8"/>
        <v>0</v>
      </c>
      <c r="M115" s="460"/>
      <c r="N115" s="460"/>
    </row>
    <row r="116" spans="1:15">
      <c r="A116" s="388" t="s">
        <v>1979</v>
      </c>
      <c r="B116" s="423" t="str">
        <f t="shared" si="7"/>
        <v>Arnold</v>
      </c>
      <c r="C116" s="388"/>
      <c r="D116" s="395">
        <v>235</v>
      </c>
      <c r="E116" s="395">
        <v>245</v>
      </c>
      <c r="F116" s="395">
        <v>255</v>
      </c>
      <c r="G116" s="388">
        <v>235</v>
      </c>
      <c r="H116" s="388">
        <v>260</v>
      </c>
      <c r="I116" s="388">
        <v>310</v>
      </c>
      <c r="J116" s="388"/>
      <c r="K116" s="444">
        <v>615</v>
      </c>
      <c r="L116" s="414" t="b">
        <f t="shared" si="8"/>
        <v>0</v>
      </c>
      <c r="M116" s="460"/>
      <c r="N116" s="460"/>
    </row>
    <row r="117" spans="1:15" s="415" customFormat="1">
      <c r="A117" s="388" t="s">
        <v>387</v>
      </c>
      <c r="B117" s="423" t="str">
        <f>M2S_Eligibility_List!$E$21</f>
        <v>Media and Entertainment Collection</v>
      </c>
      <c r="C117" s="424"/>
      <c r="D117" s="388">
        <v>955</v>
      </c>
      <c r="E117" s="388">
        <v>1005</v>
      </c>
      <c r="F117" s="388">
        <v>1005</v>
      </c>
      <c r="G117" s="424"/>
      <c r="H117" s="424"/>
      <c r="I117" s="424"/>
      <c r="J117" s="388">
        <v>2095</v>
      </c>
      <c r="K117" s="445">
        <v>2935</v>
      </c>
      <c r="L117" s="414" t="b">
        <f t="shared" si="8"/>
        <v>0</v>
      </c>
      <c r="M117" s="460"/>
      <c r="N117" s="460"/>
      <c r="O117"/>
    </row>
    <row r="118" spans="1:15" s="415" customFormat="1">
      <c r="A118" s="388" t="s">
        <v>301</v>
      </c>
      <c r="B118" s="423" t="str">
        <f>M2S_Eligibility_List!$D$21</f>
        <v>Product Design &amp; Manufacturing Collection</v>
      </c>
      <c r="C118" s="424"/>
      <c r="D118" s="388">
        <v>880</v>
      </c>
      <c r="E118" s="388">
        <v>925</v>
      </c>
      <c r="F118" s="388">
        <v>925</v>
      </c>
      <c r="G118" s="424"/>
      <c r="H118" s="424"/>
      <c r="I118" s="424"/>
      <c r="J118" s="388">
        <v>2525</v>
      </c>
      <c r="K118" s="445">
        <v>3535</v>
      </c>
      <c r="L118" s="414" t="b">
        <f t="shared" si="8"/>
        <v>0</v>
      </c>
      <c r="M118" s="460"/>
      <c r="N118" s="460"/>
      <c r="O118" t="s">
        <v>1916</v>
      </c>
    </row>
    <row r="119" spans="1:15">
      <c r="A119" s="202"/>
      <c r="B119" s="202"/>
      <c r="C119" s="202"/>
      <c r="D119" s="202"/>
      <c r="E119" s="202"/>
      <c r="F119" s="202"/>
      <c r="G119" s="202"/>
      <c r="H119" s="202"/>
      <c r="I119" s="202"/>
      <c r="J119" s="202"/>
      <c r="K119" s="202" t="s">
        <v>409</v>
      </c>
      <c r="L119" s="191"/>
    </row>
    <row r="120" spans="1:15" ht="14.25" customHeight="1">
      <c r="C120" s="457"/>
      <c r="D120" s="457"/>
      <c r="E120" s="457"/>
      <c r="F120" s="457"/>
      <c r="G120" s="457"/>
      <c r="H120" s="457"/>
      <c r="I120" s="461"/>
      <c r="J120" s="457"/>
      <c r="K120" s="457"/>
    </row>
    <row r="121" spans="1:15" ht="14.25" customHeight="1">
      <c r="C121" s="457"/>
      <c r="D121" s="457"/>
      <c r="E121" s="457"/>
      <c r="F121" s="457"/>
      <c r="G121" s="457"/>
      <c r="H121" s="457"/>
      <c r="I121" s="461"/>
      <c r="J121" s="457"/>
      <c r="K121" s="457"/>
    </row>
    <row r="122" spans="1:15" ht="14.25" customHeight="1">
      <c r="C122" s="457"/>
      <c r="D122" s="457"/>
      <c r="E122" s="457"/>
      <c r="F122" s="457"/>
      <c r="G122" s="457"/>
      <c r="H122" s="457"/>
      <c r="I122" s="461"/>
      <c r="J122" s="457"/>
      <c r="K122" s="457"/>
    </row>
    <row r="123" spans="1:15" ht="14.25" customHeight="1">
      <c r="C123" s="457"/>
      <c r="D123" s="457"/>
      <c r="E123" s="457"/>
      <c r="F123" s="457"/>
      <c r="G123" s="457"/>
      <c r="H123" s="457"/>
      <c r="I123" s="461"/>
      <c r="J123" s="457"/>
      <c r="K123" s="457"/>
    </row>
    <row r="124" spans="1:15" ht="14.25" customHeight="1">
      <c r="C124" s="457"/>
      <c r="D124" s="457"/>
      <c r="E124" s="457"/>
      <c r="F124" s="457"/>
      <c r="G124" s="457"/>
      <c r="H124" s="457"/>
      <c r="I124" s="461"/>
      <c r="J124" s="457"/>
      <c r="K124" s="457"/>
    </row>
    <row r="125" spans="1:15" ht="14.25" customHeight="1">
      <c r="C125" s="457"/>
      <c r="D125" s="457"/>
      <c r="E125" s="457"/>
      <c r="F125" s="457"/>
      <c r="G125" s="457"/>
      <c r="H125" s="457"/>
      <c r="I125" s="461"/>
      <c r="J125" s="457"/>
      <c r="K125" s="457"/>
    </row>
    <row r="126" spans="1:15" ht="14.25" customHeight="1">
      <c r="C126" s="457"/>
      <c r="D126" s="457"/>
      <c r="E126" s="457"/>
      <c r="F126" s="457"/>
      <c r="G126" s="457"/>
      <c r="H126" s="457"/>
      <c r="I126" s="461"/>
      <c r="J126" s="457"/>
      <c r="K126" s="457"/>
    </row>
    <row r="127" spans="1:15" ht="14.25" customHeight="1">
      <c r="C127" s="457"/>
      <c r="D127" s="457"/>
      <c r="E127" s="457"/>
      <c r="F127" s="457"/>
      <c r="G127" s="457"/>
      <c r="H127" s="457"/>
      <c r="I127" s="461"/>
      <c r="J127" s="457"/>
      <c r="K127" s="457"/>
    </row>
    <row r="128" spans="1:15" ht="14.25" customHeight="1">
      <c r="E128" s="457"/>
      <c r="I128" s="461"/>
    </row>
    <row r="129" spans="1:9" ht="14.25" customHeight="1">
      <c r="E129" s="457"/>
      <c r="I129" s="461"/>
    </row>
    <row r="130" spans="1:9" ht="14.25" customHeight="1">
      <c r="E130" s="457"/>
      <c r="I130" s="461"/>
    </row>
    <row r="131" spans="1:9" ht="14.25" customHeight="1">
      <c r="E131" s="457"/>
      <c r="I131" s="461"/>
    </row>
    <row r="132" spans="1:9" ht="14.25" customHeight="1">
      <c r="E132" s="457"/>
      <c r="I132" s="461"/>
    </row>
    <row r="133" spans="1:9" ht="14.25" customHeight="1">
      <c r="A133" s="457"/>
      <c r="E133" s="457"/>
      <c r="I133" s="461"/>
    </row>
    <row r="134" spans="1:9" ht="14.25" customHeight="1">
      <c r="I134" s="461"/>
    </row>
  </sheetData>
  <autoFilter ref="A2:L118">
    <sortState ref="A3:L119">
      <sortCondition ref="A2:A118"/>
    </sortState>
  </autoFilter>
  <mergeCells count="3">
    <mergeCell ref="D1:F1"/>
    <mergeCell ref="G1:I1"/>
    <mergeCell ref="J1:K1"/>
  </mergeCells>
  <conditionalFormatting sqref="L3:L13 L15:L16 L18:L81 L83:L118">
    <cfRule type="cellIs" dxfId="31" priority="18" operator="equal">
      <formula>TRUE</formula>
    </cfRule>
  </conditionalFormatting>
  <conditionalFormatting sqref="L100">
    <cfRule type="cellIs" dxfId="30" priority="17" operator="equal">
      <formula>TRUE</formula>
    </cfRule>
  </conditionalFormatting>
  <conditionalFormatting sqref="L82">
    <cfRule type="cellIs" dxfId="29" priority="16" operator="equal">
      <formula>TRUE</formula>
    </cfRule>
  </conditionalFormatting>
  <conditionalFormatting sqref="L17">
    <cfRule type="cellIs" dxfId="28" priority="10" operator="equal">
      <formula>TRUE</formula>
    </cfRule>
  </conditionalFormatting>
  <conditionalFormatting sqref="L14">
    <cfRule type="cellIs" dxfId="27" priority="7" operator="equal">
      <formula>TRUE</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7030A0"/>
  </sheetPr>
  <dimension ref="A1:O132"/>
  <sheetViews>
    <sheetView zoomScale="80" zoomScaleNormal="80" workbookViewId="0">
      <pane ySplit="2" topLeftCell="A78" activePane="bottomLeft" state="frozen"/>
      <selection pane="bottomLeft" activeCell="A104" sqref="A104:XFD104"/>
    </sheetView>
  </sheetViews>
  <sheetFormatPr defaultColWidth="8.796875" defaultRowHeight="14.25" customHeight="1"/>
  <cols>
    <col min="1" max="1" width="46.19921875" bestFit="1" customWidth="1"/>
    <col min="2" max="2" width="38.5" bestFit="1" customWidth="1"/>
    <col min="3" max="11" width="15.69921875" customWidth="1"/>
    <col min="12" max="12" width="21.796875" bestFit="1" customWidth="1"/>
    <col min="13" max="13" width="39.59765625" bestFit="1" customWidth="1"/>
  </cols>
  <sheetData>
    <row r="1" spans="1:14">
      <c r="A1" s="173"/>
      <c r="B1" s="181"/>
      <c r="C1" s="173"/>
      <c r="D1" s="463" t="s">
        <v>406</v>
      </c>
      <c r="E1" s="463"/>
      <c r="F1" s="464"/>
      <c r="G1" s="465" t="s">
        <v>405</v>
      </c>
      <c r="H1" s="463"/>
      <c r="I1" s="464"/>
      <c r="J1" s="465" t="s">
        <v>404</v>
      </c>
      <c r="K1" s="464"/>
      <c r="L1" s="174"/>
    </row>
    <row r="2" spans="1:14">
      <c r="A2" s="182" t="s">
        <v>403</v>
      </c>
      <c r="B2" s="183" t="s">
        <v>408</v>
      </c>
      <c r="C2" s="177" t="s">
        <v>407</v>
      </c>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4">
      <c r="A3" s="184" t="s">
        <v>300</v>
      </c>
      <c r="B3" s="207" t="str">
        <f>M2S_Eligibility_List!$C$21</f>
        <v>Architecture Engineering Construction Collection</v>
      </c>
      <c r="C3" s="184"/>
      <c r="D3" s="199">
        <v>1470</v>
      </c>
      <c r="E3" s="199">
        <v>1545</v>
      </c>
      <c r="F3" s="185">
        <v>1545</v>
      </c>
      <c r="G3" s="203"/>
      <c r="H3" s="204"/>
      <c r="I3" s="205"/>
      <c r="J3" s="184">
        <v>3595</v>
      </c>
      <c r="K3" s="185">
        <v>5035</v>
      </c>
      <c r="L3" s="366" t="b">
        <f t="shared" ref="L3:L36" si="0">MAX(C3:K3)=MIN(C3:K3)</f>
        <v>0</v>
      </c>
      <c r="M3" s="460"/>
      <c r="N3" s="460"/>
    </row>
    <row r="4" spans="1:14">
      <c r="A4" s="199" t="s">
        <v>270</v>
      </c>
      <c r="B4" s="365" t="str">
        <f t="shared" ref="B4:B52" si="1">VLOOKUP(IF(LEFT(A4,LEN(nmADwSP))=nmADwSP,RIGHT(A4,LEN(A4)-LEN(nmADwSP)),A4),DataPaths_List_ProdMT_NonCurrency,1,FALSE)</f>
        <v>3ds Max</v>
      </c>
      <c r="C4" s="199">
        <v>860</v>
      </c>
      <c r="D4" s="200">
        <v>905</v>
      </c>
      <c r="E4" s="200">
        <v>950</v>
      </c>
      <c r="F4" s="200">
        <v>950</v>
      </c>
      <c r="G4" s="199">
        <v>945</v>
      </c>
      <c r="H4" s="199">
        <v>1135</v>
      </c>
      <c r="I4" s="199">
        <v>1135</v>
      </c>
      <c r="J4" s="199">
        <v>1965</v>
      </c>
      <c r="K4" s="400">
        <v>3440</v>
      </c>
      <c r="L4" s="366" t="b">
        <f t="shared" si="0"/>
        <v>0</v>
      </c>
      <c r="M4" s="460"/>
      <c r="N4" s="460"/>
    </row>
    <row r="5" spans="1:14">
      <c r="A5" s="199" t="s">
        <v>271</v>
      </c>
      <c r="B5" s="365" t="str">
        <f t="shared" si="1"/>
        <v>3ds Max Entertainment Creation Suite Standard</v>
      </c>
      <c r="C5" s="199">
        <v>1185</v>
      </c>
      <c r="D5" s="200" t="s">
        <v>389</v>
      </c>
      <c r="E5" s="200" t="s">
        <v>389</v>
      </c>
      <c r="F5" s="200" t="s">
        <v>389</v>
      </c>
      <c r="G5" s="199">
        <v>1305</v>
      </c>
      <c r="H5" s="199">
        <v>1565</v>
      </c>
      <c r="I5" s="199">
        <v>1565</v>
      </c>
      <c r="J5" s="199"/>
      <c r="K5" s="199"/>
      <c r="L5" s="366" t="b">
        <f t="shared" si="0"/>
        <v>0</v>
      </c>
      <c r="M5" s="460"/>
      <c r="N5" s="460"/>
    </row>
    <row r="6" spans="1:14">
      <c r="A6" s="199" t="s">
        <v>1799</v>
      </c>
      <c r="B6" s="365" t="str">
        <f t="shared" si="1"/>
        <v>3ds Max with Softimage</v>
      </c>
      <c r="C6" s="199">
        <v>860</v>
      </c>
      <c r="D6" s="200"/>
      <c r="E6" s="200"/>
      <c r="F6" s="200"/>
      <c r="G6" s="199">
        <v>945</v>
      </c>
      <c r="H6" s="199">
        <v>1135</v>
      </c>
      <c r="I6" s="199">
        <v>1135</v>
      </c>
      <c r="J6" s="199">
        <v>1915</v>
      </c>
      <c r="K6" s="199"/>
      <c r="L6" s="366" t="b">
        <f t="shared" si="0"/>
        <v>0</v>
      </c>
      <c r="M6" s="460"/>
      <c r="N6" s="460"/>
    </row>
    <row r="7" spans="1:14">
      <c r="A7" s="199" t="s">
        <v>1669</v>
      </c>
      <c r="B7" s="365" t="str">
        <f t="shared" si="1"/>
        <v>Advance Steel</v>
      </c>
      <c r="C7" s="199">
        <v>2060</v>
      </c>
      <c r="D7" s="200">
        <v>2165</v>
      </c>
      <c r="E7" s="200">
        <v>2275</v>
      </c>
      <c r="F7" s="200">
        <v>2275</v>
      </c>
      <c r="G7" s="199">
        <v>2265</v>
      </c>
      <c r="H7" s="199">
        <v>2720</v>
      </c>
      <c r="I7" s="199">
        <v>2720</v>
      </c>
      <c r="J7" s="199">
        <v>2545</v>
      </c>
      <c r="K7" s="400">
        <v>4455</v>
      </c>
      <c r="L7" s="366" t="b">
        <f t="shared" si="0"/>
        <v>0</v>
      </c>
      <c r="M7" s="460"/>
      <c r="N7" s="460"/>
    </row>
    <row r="8" spans="1:14">
      <c r="A8" s="199" t="s">
        <v>1670</v>
      </c>
      <c r="B8" s="365" t="str">
        <f t="shared" si="1"/>
        <v>Alias AutoStudio</v>
      </c>
      <c r="C8" s="199">
        <v>9270</v>
      </c>
      <c r="D8" s="200">
        <v>9735</v>
      </c>
      <c r="E8" s="200">
        <v>10220</v>
      </c>
      <c r="F8" s="200">
        <v>10220</v>
      </c>
      <c r="G8" s="199">
        <v>10195</v>
      </c>
      <c r="H8" s="199">
        <v>12235</v>
      </c>
      <c r="I8" s="199">
        <v>12235</v>
      </c>
      <c r="J8" s="199">
        <v>19310</v>
      </c>
      <c r="K8" s="400">
        <v>33795</v>
      </c>
      <c r="L8" s="366" t="b">
        <f t="shared" si="0"/>
        <v>0</v>
      </c>
      <c r="M8" s="460"/>
      <c r="N8" s="460"/>
    </row>
    <row r="9" spans="1:14">
      <c r="A9" s="199" t="s">
        <v>1671</v>
      </c>
      <c r="B9" s="365" t="str">
        <f t="shared" si="1"/>
        <v>Alias Concept</v>
      </c>
      <c r="C9" s="199">
        <v>2075</v>
      </c>
      <c r="D9" s="200">
        <v>2180</v>
      </c>
      <c r="E9" s="200">
        <v>2290</v>
      </c>
      <c r="F9" s="200">
        <v>2290</v>
      </c>
      <c r="G9" s="199">
        <v>2285</v>
      </c>
      <c r="H9" s="199">
        <v>2740</v>
      </c>
      <c r="I9" s="199">
        <v>2740</v>
      </c>
      <c r="J9" s="199">
        <v>5385</v>
      </c>
      <c r="K9" s="400">
        <v>9425</v>
      </c>
      <c r="L9" s="366" t="b">
        <f t="shared" si="0"/>
        <v>0</v>
      </c>
      <c r="M9" s="460"/>
      <c r="N9" s="460"/>
    </row>
    <row r="10" spans="1:14">
      <c r="A10" s="199" t="s">
        <v>1672</v>
      </c>
      <c r="B10" s="365" t="str">
        <f t="shared" si="1"/>
        <v>Alias Design</v>
      </c>
      <c r="C10" s="199">
        <v>1275</v>
      </c>
      <c r="D10" s="200">
        <v>1340</v>
      </c>
      <c r="E10" s="200">
        <v>1405</v>
      </c>
      <c r="F10" s="200">
        <v>1405</v>
      </c>
      <c r="G10" s="199">
        <v>1405</v>
      </c>
      <c r="H10" s="199">
        <v>1685</v>
      </c>
      <c r="I10" s="199">
        <v>1685</v>
      </c>
      <c r="J10" s="199">
        <v>3310</v>
      </c>
      <c r="K10" s="400">
        <v>5795</v>
      </c>
      <c r="L10" s="366" t="b">
        <f t="shared" si="0"/>
        <v>0</v>
      </c>
      <c r="M10" s="460"/>
      <c r="N10" s="460"/>
    </row>
    <row r="11" spans="1:14">
      <c r="A11" s="199" t="s">
        <v>1673</v>
      </c>
      <c r="B11" s="365" t="str">
        <f t="shared" si="1"/>
        <v>Alias SpeedForm</v>
      </c>
      <c r="C11" s="199">
        <v>1210</v>
      </c>
      <c r="D11" s="200">
        <v>1270</v>
      </c>
      <c r="E11" s="200">
        <v>1335</v>
      </c>
      <c r="F11" s="200">
        <v>1335</v>
      </c>
      <c r="G11" s="199">
        <v>1330</v>
      </c>
      <c r="H11" s="199">
        <v>1595</v>
      </c>
      <c r="I11" s="199">
        <v>1595</v>
      </c>
      <c r="J11" s="199">
        <v>3145</v>
      </c>
      <c r="K11" s="400">
        <v>5505</v>
      </c>
      <c r="L11" s="366" t="b">
        <f t="shared" si="0"/>
        <v>0</v>
      </c>
      <c r="M11" s="460"/>
      <c r="N11" s="460"/>
    </row>
    <row r="12" spans="1:14">
      <c r="A12" s="199" t="s">
        <v>1674</v>
      </c>
      <c r="B12" s="365" t="str">
        <f t="shared" si="1"/>
        <v>Alias Surface</v>
      </c>
      <c r="C12" s="199">
        <v>4310</v>
      </c>
      <c r="D12" s="200">
        <v>4525</v>
      </c>
      <c r="E12" s="200">
        <v>4750</v>
      </c>
      <c r="F12" s="200">
        <v>4750</v>
      </c>
      <c r="G12" s="199">
        <v>4740</v>
      </c>
      <c r="H12" s="199">
        <v>5690</v>
      </c>
      <c r="I12" s="199">
        <v>5690</v>
      </c>
      <c r="J12" s="199">
        <v>11225</v>
      </c>
      <c r="K12" s="400">
        <v>19645</v>
      </c>
      <c r="L12" s="366" t="b">
        <f t="shared" si="0"/>
        <v>0</v>
      </c>
      <c r="M12" s="460"/>
      <c r="N12" s="460"/>
    </row>
    <row r="13" spans="1:14">
      <c r="A13" s="199" t="s">
        <v>272</v>
      </c>
      <c r="B13" s="365" t="str">
        <f t="shared" si="1"/>
        <v>AutoCAD</v>
      </c>
      <c r="C13" s="199">
        <v>745</v>
      </c>
      <c r="D13" s="200" t="s">
        <v>1927</v>
      </c>
      <c r="E13" s="200" t="s">
        <v>1927</v>
      </c>
      <c r="F13" s="200" t="s">
        <v>1927</v>
      </c>
      <c r="G13" s="199">
        <v>820</v>
      </c>
      <c r="H13" s="199">
        <v>985</v>
      </c>
      <c r="I13" s="199">
        <v>985</v>
      </c>
      <c r="J13" s="199" t="s">
        <v>1927</v>
      </c>
      <c r="K13" s="400" t="s">
        <v>1927</v>
      </c>
      <c r="L13" s="366" t="b">
        <f t="shared" si="0"/>
        <v>0</v>
      </c>
      <c r="M13" s="460"/>
      <c r="N13" s="460"/>
    </row>
    <row r="14" spans="1:14">
      <c r="A14" s="199" t="s">
        <v>272</v>
      </c>
      <c r="B14" s="458" t="str">
        <f>SUBSTITUTE(M2S_Eligibility_List!M$21,nmADwSP,"")</f>
        <v>AutoCAD - including specialized toolsets</v>
      </c>
      <c r="C14" s="199" t="s">
        <v>1928</v>
      </c>
      <c r="D14" s="200">
        <v>805</v>
      </c>
      <c r="E14" s="200">
        <v>845</v>
      </c>
      <c r="F14" s="200">
        <v>845</v>
      </c>
      <c r="G14" s="199" t="s">
        <v>1928</v>
      </c>
      <c r="H14" s="199" t="s">
        <v>1928</v>
      </c>
      <c r="I14" s="199" t="s">
        <v>1928</v>
      </c>
      <c r="J14" s="199">
        <v>2055</v>
      </c>
      <c r="K14" s="400">
        <v>3595</v>
      </c>
      <c r="L14" s="366" t="b">
        <f t="shared" ref="L14" si="2">MAX(C14:K14)=MIN(C14:K14)</f>
        <v>0</v>
      </c>
      <c r="M14" s="460"/>
      <c r="N14" s="460"/>
    </row>
    <row r="15" spans="1:14">
      <c r="A15" s="199" t="s">
        <v>273</v>
      </c>
      <c r="B15" s="365" t="str">
        <f t="shared" si="1"/>
        <v>AutoCAD Architecture</v>
      </c>
      <c r="C15" s="199">
        <v>990</v>
      </c>
      <c r="D15" s="200">
        <v>1040</v>
      </c>
      <c r="E15" s="200">
        <v>1090</v>
      </c>
      <c r="F15" s="200">
        <v>1090</v>
      </c>
      <c r="G15" s="199">
        <v>1090</v>
      </c>
      <c r="H15" s="199">
        <v>1310</v>
      </c>
      <c r="I15" s="199">
        <v>1310</v>
      </c>
      <c r="J15" s="199">
        <v>2055</v>
      </c>
      <c r="K15" s="400">
        <v>3595</v>
      </c>
      <c r="L15" s="366" t="b">
        <f t="shared" si="0"/>
        <v>0</v>
      </c>
      <c r="M15" s="460"/>
      <c r="N15" s="460"/>
    </row>
    <row r="16" spans="1:14">
      <c r="A16" s="199" t="s">
        <v>1785</v>
      </c>
      <c r="B16" s="365" t="str">
        <f t="shared" si="1"/>
        <v>AutoCAD Civil 3D*</v>
      </c>
      <c r="C16" s="199">
        <v>1405</v>
      </c>
      <c r="D16" s="199" t="s">
        <v>1927</v>
      </c>
      <c r="E16" s="199" t="s">
        <v>1927</v>
      </c>
      <c r="F16" s="199" t="s">
        <v>1927</v>
      </c>
      <c r="G16" s="199">
        <v>1545</v>
      </c>
      <c r="H16" s="199">
        <v>1855</v>
      </c>
      <c r="I16" s="199">
        <v>1855</v>
      </c>
      <c r="J16" s="199" t="s">
        <v>1927</v>
      </c>
      <c r="K16" s="400" t="s">
        <v>1927</v>
      </c>
      <c r="L16" s="366" t="b">
        <f t="shared" si="0"/>
        <v>0</v>
      </c>
      <c r="M16" s="460"/>
      <c r="N16" s="460"/>
    </row>
    <row r="17" spans="1:14">
      <c r="A17" s="199" t="s">
        <v>1785</v>
      </c>
      <c r="B17" s="458" t="str">
        <f>SUBSTITUTE(VLOOKUP(IF(LEFT(A17,LEN(nmADwSP))=nmADwSP,RIGHT(A17,LEN(A17)-LEN(nmADwSP)),A17),DataPaths_List_ProdMT_NonCurrency,1,FALSE),nmAutoCAD,"")</f>
        <v>Civil 3D*</v>
      </c>
      <c r="C17" s="184" t="s">
        <v>1928</v>
      </c>
      <c r="D17" s="200">
        <v>1460</v>
      </c>
      <c r="E17" s="200">
        <v>1535</v>
      </c>
      <c r="F17" s="200">
        <v>1535</v>
      </c>
      <c r="G17" s="184" t="s">
        <v>1928</v>
      </c>
      <c r="H17" s="199" t="s">
        <v>1928</v>
      </c>
      <c r="I17" s="185" t="s">
        <v>1928</v>
      </c>
      <c r="J17" s="199">
        <v>2810</v>
      </c>
      <c r="K17" s="400">
        <v>4215</v>
      </c>
      <c r="L17" s="366" t="b">
        <f t="shared" ref="L17" si="3">MAX(C17:K17)=MIN(C17:K17)</f>
        <v>0</v>
      </c>
      <c r="M17" s="460"/>
      <c r="N17" s="460"/>
    </row>
    <row r="18" spans="1:14">
      <c r="A18" s="199" t="s">
        <v>274</v>
      </c>
      <c r="B18" s="365" t="str">
        <f t="shared" si="1"/>
        <v>AutoCAD Design Suite Premium</v>
      </c>
      <c r="C18" s="199">
        <v>1080</v>
      </c>
      <c r="D18" s="200" t="s">
        <v>389</v>
      </c>
      <c r="E18" s="200" t="s">
        <v>389</v>
      </c>
      <c r="F18" s="200" t="s">
        <v>389</v>
      </c>
      <c r="G18" s="199">
        <v>1190</v>
      </c>
      <c r="H18" s="199">
        <v>1430</v>
      </c>
      <c r="I18" s="199">
        <v>1430</v>
      </c>
      <c r="J18" s="199"/>
      <c r="K18" s="199"/>
      <c r="L18" s="366" t="b">
        <f t="shared" si="0"/>
        <v>0</v>
      </c>
      <c r="M18" s="460"/>
      <c r="N18" s="460"/>
    </row>
    <row r="19" spans="1:14">
      <c r="A19" s="199" t="s">
        <v>275</v>
      </c>
      <c r="B19" s="365" t="str">
        <f t="shared" si="1"/>
        <v>AutoCAD Design Suite Standard</v>
      </c>
      <c r="C19" s="199">
        <v>830</v>
      </c>
      <c r="D19" s="200" t="s">
        <v>389</v>
      </c>
      <c r="E19" s="200" t="s">
        <v>389</v>
      </c>
      <c r="F19" s="200" t="s">
        <v>389</v>
      </c>
      <c r="G19" s="199">
        <v>915</v>
      </c>
      <c r="H19" s="199">
        <v>1100</v>
      </c>
      <c r="I19" s="199">
        <v>1100</v>
      </c>
      <c r="J19" s="199"/>
      <c r="K19" s="199"/>
      <c r="L19" s="366" t="b">
        <f t="shared" si="0"/>
        <v>0</v>
      </c>
      <c r="M19" s="460"/>
      <c r="N19" s="460"/>
    </row>
    <row r="20" spans="1:14">
      <c r="A20" s="199" t="s">
        <v>1795</v>
      </c>
      <c r="B20" s="365" t="str">
        <f t="shared" si="1"/>
        <v>AutoCAD Design Suite Ultimate</v>
      </c>
      <c r="C20" s="199">
        <v>1375</v>
      </c>
      <c r="D20" s="200"/>
      <c r="E20" s="200"/>
      <c r="F20" s="200"/>
      <c r="G20" s="199">
        <v>1515</v>
      </c>
      <c r="H20" s="199">
        <v>1820</v>
      </c>
      <c r="I20" s="199">
        <v>1820</v>
      </c>
      <c r="J20" s="199"/>
      <c r="K20" s="199"/>
      <c r="L20" s="366" t="b">
        <f t="shared" si="0"/>
        <v>0</v>
      </c>
      <c r="M20" s="460"/>
      <c r="N20" s="460"/>
    </row>
    <row r="21" spans="1:14">
      <c r="A21" s="199" t="s">
        <v>1786</v>
      </c>
      <c r="B21" s="365" t="str">
        <f t="shared" si="1"/>
        <v>AutoCAD Electrical*</v>
      </c>
      <c r="C21" s="199">
        <v>985</v>
      </c>
      <c r="D21" s="200">
        <v>1035</v>
      </c>
      <c r="E21" s="200">
        <v>1085</v>
      </c>
      <c r="F21" s="200">
        <v>1085</v>
      </c>
      <c r="G21" s="199">
        <v>1085</v>
      </c>
      <c r="H21" s="199">
        <v>1300</v>
      </c>
      <c r="I21" s="199">
        <v>1300</v>
      </c>
      <c r="J21" s="199">
        <v>2055</v>
      </c>
      <c r="K21" s="400">
        <v>3595</v>
      </c>
      <c r="L21" s="366" t="b">
        <f t="shared" si="0"/>
        <v>0</v>
      </c>
      <c r="M21" s="460"/>
      <c r="N21" s="460"/>
    </row>
    <row r="22" spans="1:14">
      <c r="A22" s="199" t="s">
        <v>391</v>
      </c>
      <c r="B22" s="365" t="str">
        <f t="shared" si="1"/>
        <v>AutoCAD Inventor LT Suite</v>
      </c>
      <c r="C22" s="199">
        <v>305</v>
      </c>
      <c r="D22" s="200">
        <v>320</v>
      </c>
      <c r="E22" s="200">
        <v>335</v>
      </c>
      <c r="F22" s="200">
        <v>335</v>
      </c>
      <c r="G22" s="199">
        <v>335</v>
      </c>
      <c r="H22" s="199">
        <v>400</v>
      </c>
      <c r="I22" s="199">
        <v>400</v>
      </c>
      <c r="J22" s="199">
        <v>605</v>
      </c>
      <c r="K22" s="185"/>
      <c r="L22" s="366" t="b">
        <f t="shared" si="0"/>
        <v>0</v>
      </c>
      <c r="M22" s="460"/>
      <c r="N22" s="460"/>
    </row>
    <row r="23" spans="1:14">
      <c r="A23" s="199" t="s">
        <v>276</v>
      </c>
      <c r="B23" s="365" t="str">
        <f t="shared" si="1"/>
        <v>AutoCAD LT</v>
      </c>
      <c r="C23" s="199">
        <v>245</v>
      </c>
      <c r="D23" s="200">
        <v>255</v>
      </c>
      <c r="E23" s="200">
        <v>270</v>
      </c>
      <c r="F23" s="200">
        <v>270</v>
      </c>
      <c r="G23" s="199">
        <v>270</v>
      </c>
      <c r="H23" s="199">
        <v>325</v>
      </c>
      <c r="I23" s="199">
        <v>325</v>
      </c>
      <c r="J23" s="199">
        <v>500</v>
      </c>
      <c r="K23" s="400">
        <v>875</v>
      </c>
      <c r="L23" s="366" t="b">
        <f t="shared" si="0"/>
        <v>0</v>
      </c>
      <c r="M23" s="460"/>
      <c r="N23" s="460"/>
    </row>
    <row r="24" spans="1:14">
      <c r="A24" s="199" t="s">
        <v>1675</v>
      </c>
      <c r="B24" s="365" t="str">
        <f t="shared" si="1"/>
        <v>AutoCAD LT with CALS Tools</v>
      </c>
      <c r="C24" s="199">
        <v>0</v>
      </c>
      <c r="D24" s="200">
        <v>0</v>
      </c>
      <c r="E24" s="200">
        <v>0</v>
      </c>
      <c r="F24" s="200">
        <v>0</v>
      </c>
      <c r="G24" s="199">
        <v>0</v>
      </c>
      <c r="H24" s="199">
        <v>0</v>
      </c>
      <c r="I24" s="199">
        <v>0</v>
      </c>
      <c r="J24" s="199">
        <v>0</v>
      </c>
      <c r="K24" s="199">
        <v>0</v>
      </c>
      <c r="L24" s="366" t="b">
        <f t="shared" si="0"/>
        <v>1</v>
      </c>
      <c r="M24" s="460"/>
      <c r="N24" s="460"/>
    </row>
    <row r="25" spans="1:14">
      <c r="A25" s="199" t="s">
        <v>277</v>
      </c>
      <c r="B25" s="365" t="str">
        <f t="shared" si="1"/>
        <v>AutoCAD Map 3D</v>
      </c>
      <c r="C25" s="199">
        <v>1080</v>
      </c>
      <c r="D25" s="200">
        <v>1135</v>
      </c>
      <c r="E25" s="200">
        <v>1190</v>
      </c>
      <c r="F25" s="200">
        <v>1190</v>
      </c>
      <c r="G25" s="199">
        <v>1190</v>
      </c>
      <c r="H25" s="199">
        <v>1430</v>
      </c>
      <c r="I25" s="199">
        <v>1430</v>
      </c>
      <c r="J25" s="199">
        <v>2055</v>
      </c>
      <c r="K25" s="400">
        <v>3595</v>
      </c>
      <c r="L25" s="366" t="b">
        <f t="shared" si="0"/>
        <v>0</v>
      </c>
      <c r="M25" s="460"/>
      <c r="N25" s="460"/>
    </row>
    <row r="26" spans="1:14">
      <c r="A26" s="199" t="s">
        <v>278</v>
      </c>
      <c r="B26" s="365" t="str">
        <f t="shared" si="1"/>
        <v>AutoCAD Mechanical</v>
      </c>
      <c r="C26" s="388">
        <v>820</v>
      </c>
      <c r="D26" s="395">
        <v>860</v>
      </c>
      <c r="E26" s="395">
        <v>905</v>
      </c>
      <c r="F26" s="395">
        <v>905</v>
      </c>
      <c r="G26" s="388">
        <v>900</v>
      </c>
      <c r="H26" s="388">
        <v>1080</v>
      </c>
      <c r="I26" s="388">
        <v>1080</v>
      </c>
      <c r="J26" s="388">
        <v>2055</v>
      </c>
      <c r="K26" s="401">
        <v>3595</v>
      </c>
      <c r="L26" s="366" t="b">
        <f t="shared" si="0"/>
        <v>0</v>
      </c>
      <c r="M26" s="460"/>
      <c r="N26" s="460"/>
    </row>
    <row r="27" spans="1:14">
      <c r="A27" s="199" t="s">
        <v>279</v>
      </c>
      <c r="B27" s="365" t="str">
        <f t="shared" si="1"/>
        <v>AutoCAD MEP</v>
      </c>
      <c r="C27" s="199">
        <v>1040</v>
      </c>
      <c r="D27" s="200">
        <v>1090</v>
      </c>
      <c r="E27" s="200">
        <v>1145</v>
      </c>
      <c r="F27" s="200">
        <v>1145</v>
      </c>
      <c r="G27" s="199">
        <v>1145</v>
      </c>
      <c r="H27" s="199">
        <v>1375</v>
      </c>
      <c r="I27" s="199">
        <v>1375</v>
      </c>
      <c r="J27" s="199">
        <v>2055</v>
      </c>
      <c r="K27" s="400">
        <v>3595</v>
      </c>
      <c r="L27" s="366" t="b">
        <f t="shared" si="0"/>
        <v>0</v>
      </c>
      <c r="M27" s="460"/>
      <c r="N27" s="460"/>
    </row>
    <row r="28" spans="1:14">
      <c r="A28" s="199" t="s">
        <v>280</v>
      </c>
      <c r="B28" s="365" t="str">
        <f t="shared" si="1"/>
        <v>AutoCAD P&amp;ID</v>
      </c>
      <c r="C28" s="199">
        <v>1095</v>
      </c>
      <c r="D28" s="200">
        <v>1460</v>
      </c>
      <c r="E28" s="200">
        <v>1535</v>
      </c>
      <c r="F28" s="200">
        <v>1535</v>
      </c>
      <c r="G28" s="199">
        <v>1205</v>
      </c>
      <c r="H28" s="199">
        <v>1445</v>
      </c>
      <c r="I28" s="199">
        <v>1445</v>
      </c>
      <c r="J28" s="199"/>
      <c r="K28" s="199"/>
      <c r="L28" s="366" t="b">
        <f t="shared" si="0"/>
        <v>0</v>
      </c>
      <c r="M28" s="460"/>
      <c r="N28" s="460"/>
    </row>
    <row r="29" spans="1:14">
      <c r="A29" s="199" t="s">
        <v>1787</v>
      </c>
      <c r="B29" s="365" t="str">
        <f t="shared" si="1"/>
        <v>AutoCAD Plant 3D*</v>
      </c>
      <c r="C29" s="199">
        <v>1945</v>
      </c>
      <c r="D29" s="398">
        <v>1460</v>
      </c>
      <c r="E29" s="398">
        <v>1535</v>
      </c>
      <c r="F29" s="398">
        <v>1535</v>
      </c>
      <c r="G29" s="199">
        <v>2140</v>
      </c>
      <c r="H29" s="199">
        <v>2570</v>
      </c>
      <c r="I29" s="199">
        <v>2570</v>
      </c>
      <c r="J29" s="199">
        <v>2055</v>
      </c>
      <c r="K29" s="400">
        <v>3595</v>
      </c>
      <c r="L29" s="366" t="b">
        <f t="shared" si="0"/>
        <v>0</v>
      </c>
      <c r="M29" s="460"/>
      <c r="N29" s="460"/>
    </row>
    <row r="30" spans="1:14">
      <c r="A30" s="199" t="s">
        <v>281</v>
      </c>
      <c r="B30" s="365" t="str">
        <f t="shared" si="1"/>
        <v>AutoCAD Raster Design</v>
      </c>
      <c r="C30" s="199">
        <v>430</v>
      </c>
      <c r="D30" s="200">
        <v>450</v>
      </c>
      <c r="E30" s="200">
        <v>475</v>
      </c>
      <c r="F30" s="200">
        <v>475</v>
      </c>
      <c r="G30" s="199">
        <v>475</v>
      </c>
      <c r="H30" s="199">
        <v>570</v>
      </c>
      <c r="I30" s="199">
        <v>570</v>
      </c>
      <c r="J30" s="199">
        <v>1095</v>
      </c>
      <c r="K30" s="400">
        <v>1915</v>
      </c>
      <c r="L30" s="366" t="b">
        <f t="shared" si="0"/>
        <v>0</v>
      </c>
      <c r="M30" s="460"/>
      <c r="N30" s="460"/>
    </row>
    <row r="31" spans="1:14">
      <c r="A31" s="199" t="s">
        <v>388</v>
      </c>
      <c r="B31" s="365" t="str">
        <f t="shared" si="1"/>
        <v>AutoCAD Revit LT Suite</v>
      </c>
      <c r="C31" s="199">
        <v>320</v>
      </c>
      <c r="D31" s="200">
        <v>335</v>
      </c>
      <c r="E31" s="200">
        <v>350</v>
      </c>
      <c r="F31" s="200">
        <v>350</v>
      </c>
      <c r="G31" s="199">
        <v>350</v>
      </c>
      <c r="H31" s="199">
        <v>420</v>
      </c>
      <c r="I31" s="199">
        <v>420</v>
      </c>
      <c r="J31" s="199">
        <v>670</v>
      </c>
      <c r="K31" s="199"/>
      <c r="L31" s="366" t="b">
        <f t="shared" si="0"/>
        <v>0</v>
      </c>
      <c r="M31" s="460"/>
      <c r="N31" s="460"/>
    </row>
    <row r="32" spans="1:14">
      <c r="A32" s="199" t="s">
        <v>1714</v>
      </c>
      <c r="B32" s="365" t="str">
        <f t="shared" si="1"/>
        <v>AutoCAD with Advance Steel</v>
      </c>
      <c r="C32" s="199">
        <v>2460</v>
      </c>
      <c r="D32" s="200">
        <v>2165</v>
      </c>
      <c r="E32" s="200">
        <v>2275</v>
      </c>
      <c r="F32" s="200">
        <v>2275</v>
      </c>
      <c r="G32" s="199">
        <v>2705</v>
      </c>
      <c r="H32" s="199">
        <v>3245</v>
      </c>
      <c r="I32" s="199">
        <v>3245</v>
      </c>
      <c r="J32" s="199">
        <v>2480</v>
      </c>
      <c r="K32" s="199">
        <v>3720</v>
      </c>
      <c r="L32" s="366" t="b">
        <f t="shared" si="0"/>
        <v>0</v>
      </c>
      <c r="M32" s="460"/>
      <c r="N32" s="460"/>
    </row>
    <row r="33" spans="1:14">
      <c r="A33" s="199" t="s">
        <v>282</v>
      </c>
      <c r="B33" s="365" t="str">
        <f t="shared" si="1"/>
        <v>Building Design Suite Premium</v>
      </c>
      <c r="C33" s="199">
        <v>1400</v>
      </c>
      <c r="D33" s="200" t="s">
        <v>389</v>
      </c>
      <c r="E33" s="200" t="s">
        <v>389</v>
      </c>
      <c r="F33" s="200" t="s">
        <v>389</v>
      </c>
      <c r="G33" s="199">
        <v>1540</v>
      </c>
      <c r="H33" s="199">
        <v>1850</v>
      </c>
      <c r="I33" s="199">
        <v>1850</v>
      </c>
      <c r="J33" s="199"/>
      <c r="K33" s="199"/>
      <c r="L33" s="366" t="b">
        <f t="shared" si="0"/>
        <v>0</v>
      </c>
      <c r="M33" s="460"/>
      <c r="N33" s="460"/>
    </row>
    <row r="34" spans="1:14">
      <c r="A34" s="199" t="s">
        <v>283</v>
      </c>
      <c r="B34" s="365" t="str">
        <f t="shared" si="1"/>
        <v>Building Design Suite Standard</v>
      </c>
      <c r="C34" s="199">
        <v>1040</v>
      </c>
      <c r="D34" s="200" t="s">
        <v>389</v>
      </c>
      <c r="E34" s="200" t="s">
        <v>389</v>
      </c>
      <c r="F34" s="200" t="s">
        <v>389</v>
      </c>
      <c r="G34" s="199">
        <v>1145</v>
      </c>
      <c r="H34" s="199">
        <v>1375</v>
      </c>
      <c r="I34" s="199">
        <v>1375</v>
      </c>
      <c r="J34" s="199"/>
      <c r="K34" s="199"/>
      <c r="L34" s="366" t="b">
        <f t="shared" si="0"/>
        <v>0</v>
      </c>
      <c r="M34" s="460"/>
      <c r="N34" s="460"/>
    </row>
    <row r="35" spans="1:14">
      <c r="A35" s="199" t="s">
        <v>284</v>
      </c>
      <c r="B35" s="365" t="str">
        <f t="shared" si="1"/>
        <v>Building Design Suite Ultimate</v>
      </c>
      <c r="C35" s="199">
        <v>2645</v>
      </c>
      <c r="D35" s="200" t="s">
        <v>389</v>
      </c>
      <c r="E35" s="200" t="s">
        <v>389</v>
      </c>
      <c r="F35" s="200" t="s">
        <v>389</v>
      </c>
      <c r="G35" s="199">
        <v>2910</v>
      </c>
      <c r="H35" s="199">
        <v>3490</v>
      </c>
      <c r="I35" s="199">
        <v>3490</v>
      </c>
      <c r="J35" s="199"/>
      <c r="K35" s="199"/>
      <c r="L35" s="366" t="b">
        <f t="shared" si="0"/>
        <v>0</v>
      </c>
      <c r="M35" s="460"/>
      <c r="N35" s="460"/>
    </row>
    <row r="36" spans="1:14">
      <c r="A36" s="199" t="s">
        <v>1676</v>
      </c>
      <c r="B36" s="365" t="str">
        <f t="shared" si="1"/>
        <v>CFD</v>
      </c>
      <c r="C36" s="199">
        <v>3230</v>
      </c>
      <c r="D36" s="200">
        <v>3390</v>
      </c>
      <c r="E36" s="200">
        <v>3560</v>
      </c>
      <c r="F36" s="200">
        <v>3560</v>
      </c>
      <c r="G36" s="199">
        <v>3555</v>
      </c>
      <c r="H36" s="199">
        <v>4265</v>
      </c>
      <c r="I36" s="199">
        <v>4265</v>
      </c>
      <c r="J36" s="199"/>
      <c r="K36" s="400">
        <v>4930</v>
      </c>
      <c r="L36" s="366" t="b">
        <f t="shared" si="0"/>
        <v>0</v>
      </c>
      <c r="M36" s="460"/>
      <c r="N36" s="460"/>
    </row>
    <row r="37" spans="1:14">
      <c r="A37" s="199" t="s">
        <v>1915</v>
      </c>
      <c r="B37" s="365" t="str">
        <f t="shared" si="1"/>
        <v>CFD Premium (formerly CFD Advanced)</v>
      </c>
      <c r="C37" s="199">
        <v>4665</v>
      </c>
      <c r="D37" s="200">
        <v>4900</v>
      </c>
      <c r="E37" s="200">
        <v>5145</v>
      </c>
      <c r="F37" s="200">
        <v>5145</v>
      </c>
      <c r="G37" s="199">
        <v>5130</v>
      </c>
      <c r="H37" s="199">
        <v>6155</v>
      </c>
      <c r="I37" s="199">
        <v>6155</v>
      </c>
      <c r="J37" s="199"/>
      <c r="K37" s="400">
        <v>12350</v>
      </c>
      <c r="L37" s="366" t="b">
        <f t="shared" ref="L37:L67" si="4">MAX(C37:K37)=MIN(C37:K37)</f>
        <v>0</v>
      </c>
      <c r="M37" s="460"/>
      <c r="N37" s="460"/>
    </row>
    <row r="38" spans="1:14">
      <c r="A38" s="199" t="s">
        <v>1914</v>
      </c>
      <c r="B38" s="365" t="str">
        <f t="shared" si="1"/>
        <v>CFD Ultimate (formerly CFD Motion)</v>
      </c>
      <c r="C38" s="199">
        <v>6475</v>
      </c>
      <c r="D38" s="200">
        <v>6800</v>
      </c>
      <c r="E38" s="200">
        <v>7140</v>
      </c>
      <c r="F38" s="200">
        <v>7140</v>
      </c>
      <c r="G38" s="199">
        <v>7125</v>
      </c>
      <c r="H38" s="199">
        <v>8550</v>
      </c>
      <c r="I38" s="199">
        <v>8550</v>
      </c>
      <c r="J38" s="199"/>
      <c r="K38" s="400">
        <v>15160</v>
      </c>
      <c r="L38" s="366" t="b">
        <f t="shared" si="4"/>
        <v>0</v>
      </c>
      <c r="M38" s="460"/>
      <c r="N38" s="460"/>
    </row>
    <row r="39" spans="1:14">
      <c r="A39" s="199" t="s">
        <v>285</v>
      </c>
      <c r="B39" s="365" t="str">
        <f t="shared" si="1"/>
        <v>Entertainment Creation Suite Ultimate</v>
      </c>
      <c r="C39" s="199">
        <v>1495</v>
      </c>
      <c r="D39" s="200" t="s">
        <v>389</v>
      </c>
      <c r="E39" s="200" t="s">
        <v>389</v>
      </c>
      <c r="F39" s="200" t="s">
        <v>389</v>
      </c>
      <c r="G39" s="199">
        <v>1645</v>
      </c>
      <c r="H39" s="199">
        <v>1975</v>
      </c>
      <c r="I39" s="199">
        <v>1975</v>
      </c>
      <c r="J39" s="199"/>
      <c r="K39" s="199"/>
      <c r="L39" s="366" t="b">
        <f t="shared" si="4"/>
        <v>0</v>
      </c>
      <c r="M39" s="460"/>
      <c r="N39" s="460"/>
    </row>
    <row r="40" spans="1:14">
      <c r="A40" s="199" t="s">
        <v>1677</v>
      </c>
      <c r="B40" s="365" t="str">
        <f t="shared" si="1"/>
        <v>Fabrication CADmep</v>
      </c>
      <c r="C40" s="199">
        <v>795</v>
      </c>
      <c r="D40" s="200">
        <v>835</v>
      </c>
      <c r="E40" s="200">
        <v>875</v>
      </c>
      <c r="F40" s="200">
        <v>875</v>
      </c>
      <c r="G40" s="199">
        <v>875</v>
      </c>
      <c r="H40" s="199">
        <v>1050</v>
      </c>
      <c r="I40" s="199">
        <v>1050</v>
      </c>
      <c r="J40" s="199">
        <v>1200</v>
      </c>
      <c r="K40" s="400">
        <v>2100</v>
      </c>
      <c r="L40" s="366" t="b">
        <f t="shared" si="4"/>
        <v>0</v>
      </c>
      <c r="M40" s="460"/>
      <c r="N40" s="460"/>
    </row>
    <row r="41" spans="1:14">
      <c r="A41" s="199" t="s">
        <v>1678</v>
      </c>
      <c r="B41" s="365" t="str">
        <f t="shared" si="1"/>
        <v>Fabrication CAMduct</v>
      </c>
      <c r="C41" s="199">
        <v>905</v>
      </c>
      <c r="D41" s="200">
        <v>950</v>
      </c>
      <c r="E41" s="200">
        <v>1000</v>
      </c>
      <c r="F41" s="200">
        <v>1000</v>
      </c>
      <c r="G41" s="199">
        <v>995</v>
      </c>
      <c r="H41" s="199">
        <v>1195</v>
      </c>
      <c r="I41" s="199">
        <v>1195</v>
      </c>
      <c r="J41" s="199">
        <v>1200</v>
      </c>
      <c r="K41" s="400">
        <v>2100</v>
      </c>
      <c r="L41" s="366" t="b">
        <f t="shared" si="4"/>
        <v>0</v>
      </c>
      <c r="M41" s="460"/>
      <c r="N41" s="460"/>
    </row>
    <row r="42" spans="1:14">
      <c r="A42" s="199" t="s">
        <v>1679</v>
      </c>
      <c r="B42" s="365" t="str">
        <f t="shared" si="1"/>
        <v>Fabrication ESTmep</v>
      </c>
      <c r="C42" s="199">
        <v>970</v>
      </c>
      <c r="D42" s="200">
        <v>1020</v>
      </c>
      <c r="E42" s="200">
        <v>1070</v>
      </c>
      <c r="F42" s="200">
        <v>1070</v>
      </c>
      <c r="G42" s="199">
        <v>1065</v>
      </c>
      <c r="H42" s="199">
        <v>1280</v>
      </c>
      <c r="I42" s="199">
        <v>1280</v>
      </c>
      <c r="J42" s="199">
        <v>1200</v>
      </c>
      <c r="K42" s="400">
        <v>2100</v>
      </c>
      <c r="L42" s="366" t="b">
        <f t="shared" si="4"/>
        <v>0</v>
      </c>
      <c r="M42" s="460"/>
      <c r="N42" s="460"/>
    </row>
    <row r="43" spans="1:14">
      <c r="A43" s="199" t="s">
        <v>394</v>
      </c>
      <c r="B43" s="365" t="str">
        <f t="shared" si="1"/>
        <v>Factory Design Suite Premium</v>
      </c>
      <c r="C43" s="199">
        <v>1400</v>
      </c>
      <c r="D43" s="200" t="s">
        <v>389</v>
      </c>
      <c r="E43" s="200" t="s">
        <v>389</v>
      </c>
      <c r="F43" s="200" t="s">
        <v>389</v>
      </c>
      <c r="G43" s="199">
        <v>1540</v>
      </c>
      <c r="H43" s="199">
        <v>1850</v>
      </c>
      <c r="I43" s="199">
        <v>1850</v>
      </c>
      <c r="J43" s="199"/>
      <c r="K43" s="199"/>
      <c r="L43" s="366" t="b">
        <f t="shared" si="4"/>
        <v>0</v>
      </c>
      <c r="M43" s="460"/>
      <c r="N43" s="460"/>
    </row>
    <row r="44" spans="1:14">
      <c r="A44" s="368" t="s">
        <v>603</v>
      </c>
      <c r="B44" s="365" t="str">
        <f t="shared" si="1"/>
        <v>Factory Design Suite Standard</v>
      </c>
      <c r="C44" s="199">
        <v>1140</v>
      </c>
      <c r="D44" s="200" t="s">
        <v>389</v>
      </c>
      <c r="E44" s="200" t="s">
        <v>389</v>
      </c>
      <c r="F44" s="200" t="s">
        <v>389</v>
      </c>
      <c r="G44" s="199">
        <v>1255</v>
      </c>
      <c r="H44" s="199">
        <v>1505</v>
      </c>
      <c r="I44" s="199">
        <v>1505</v>
      </c>
      <c r="J44" s="199"/>
      <c r="K44" s="199"/>
      <c r="L44" s="366" t="b">
        <f t="shared" si="4"/>
        <v>0</v>
      </c>
      <c r="M44" s="460"/>
      <c r="N44" s="460"/>
    </row>
    <row r="45" spans="1:14">
      <c r="A45" s="199" t="s">
        <v>286</v>
      </c>
      <c r="B45" s="365" t="str">
        <f t="shared" si="1"/>
        <v>Factory Design Suite Ultimate</v>
      </c>
      <c r="C45" s="199">
        <v>2300</v>
      </c>
      <c r="D45" s="200" t="s">
        <v>389</v>
      </c>
      <c r="E45" s="200" t="s">
        <v>389</v>
      </c>
      <c r="F45" s="200" t="s">
        <v>389</v>
      </c>
      <c r="G45" s="199">
        <v>2530</v>
      </c>
      <c r="H45" s="199">
        <v>3035</v>
      </c>
      <c r="I45" s="199">
        <v>3035</v>
      </c>
      <c r="J45" s="199"/>
      <c r="K45" s="199"/>
      <c r="L45" s="366" t="b">
        <f t="shared" si="4"/>
        <v>0</v>
      </c>
      <c r="M45" s="460"/>
      <c r="N45" s="460"/>
    </row>
    <row r="46" spans="1:14">
      <c r="A46" s="199" t="s">
        <v>1680</v>
      </c>
      <c r="B46" s="365" t="str">
        <f t="shared" si="1"/>
        <v>Helius Composite</v>
      </c>
      <c r="C46" s="199">
        <v>150</v>
      </c>
      <c r="D46" s="200">
        <v>160</v>
      </c>
      <c r="E46" s="200">
        <v>170</v>
      </c>
      <c r="F46" s="200">
        <v>170</v>
      </c>
      <c r="G46" s="199">
        <v>165</v>
      </c>
      <c r="H46" s="199">
        <v>200</v>
      </c>
      <c r="I46" s="199">
        <v>200</v>
      </c>
      <c r="J46" s="199">
        <v>365</v>
      </c>
      <c r="K46" s="400">
        <v>640</v>
      </c>
      <c r="L46" s="366" t="b">
        <f t="shared" si="4"/>
        <v>0</v>
      </c>
      <c r="M46" s="460"/>
      <c r="N46" s="460"/>
    </row>
    <row r="47" spans="1:14">
      <c r="A47" s="199" t="s">
        <v>1681</v>
      </c>
      <c r="B47" s="365" t="str">
        <f t="shared" si="1"/>
        <v>HSM - Premium</v>
      </c>
      <c r="C47" s="199">
        <v>1460</v>
      </c>
      <c r="D47" s="200">
        <v>1535</v>
      </c>
      <c r="E47" s="200">
        <v>1610</v>
      </c>
      <c r="F47" s="200">
        <v>1610</v>
      </c>
      <c r="G47" s="199">
        <v>1605</v>
      </c>
      <c r="H47" s="199">
        <v>1925</v>
      </c>
      <c r="I47" s="199">
        <v>1925</v>
      </c>
      <c r="J47" s="199">
        <v>3220</v>
      </c>
      <c r="K47" s="199">
        <v>4830</v>
      </c>
      <c r="L47" s="366" t="b">
        <f t="shared" si="4"/>
        <v>0</v>
      </c>
      <c r="M47" s="460"/>
      <c r="N47" s="460"/>
    </row>
    <row r="48" spans="1:14">
      <c r="A48" s="199" t="s">
        <v>1682</v>
      </c>
      <c r="B48" s="365" t="str">
        <f t="shared" si="1"/>
        <v>HSM - Ultimate</v>
      </c>
      <c r="C48" s="199">
        <v>2060</v>
      </c>
      <c r="D48" s="200">
        <v>2165</v>
      </c>
      <c r="E48" s="200">
        <v>2275</v>
      </c>
      <c r="F48" s="200">
        <v>2275</v>
      </c>
      <c r="G48" s="199">
        <v>2265</v>
      </c>
      <c r="H48" s="199">
        <v>2720</v>
      </c>
      <c r="I48" s="199">
        <v>2720</v>
      </c>
      <c r="J48" s="199">
        <v>4595</v>
      </c>
      <c r="K48" s="199">
        <v>6895</v>
      </c>
      <c r="L48" s="366" t="b">
        <f t="shared" si="4"/>
        <v>0</v>
      </c>
      <c r="M48" s="460"/>
      <c r="N48" s="460"/>
    </row>
    <row r="49" spans="1:14">
      <c r="A49" s="199" t="s">
        <v>393</v>
      </c>
      <c r="B49" s="365" t="str">
        <f t="shared" si="1"/>
        <v>Infrastructure Design Suite Premium</v>
      </c>
      <c r="C49" s="199">
        <v>1510</v>
      </c>
      <c r="D49" s="200" t="s">
        <v>389</v>
      </c>
      <c r="E49" s="200" t="s">
        <v>389</v>
      </c>
      <c r="F49" s="200" t="s">
        <v>389</v>
      </c>
      <c r="G49" s="199">
        <v>1660</v>
      </c>
      <c r="H49" s="199">
        <v>1990</v>
      </c>
      <c r="I49" s="199">
        <v>1990</v>
      </c>
      <c r="J49" s="199"/>
      <c r="K49" s="199"/>
      <c r="L49" s="366" t="b">
        <f t="shared" si="4"/>
        <v>0</v>
      </c>
      <c r="M49" s="460"/>
      <c r="N49" s="460"/>
    </row>
    <row r="50" spans="1:14">
      <c r="A50" s="199" t="s">
        <v>287</v>
      </c>
      <c r="B50" s="365" t="str">
        <f t="shared" si="1"/>
        <v>Infrastructure Design Suite Standard</v>
      </c>
      <c r="C50" s="199">
        <v>1140</v>
      </c>
      <c r="D50" s="200" t="s">
        <v>389</v>
      </c>
      <c r="E50" s="200" t="s">
        <v>389</v>
      </c>
      <c r="F50" s="200" t="s">
        <v>389</v>
      </c>
      <c r="G50" s="199">
        <v>1255</v>
      </c>
      <c r="H50" s="199">
        <v>1505</v>
      </c>
      <c r="I50" s="199">
        <v>1505</v>
      </c>
      <c r="J50" s="199"/>
      <c r="K50" s="199"/>
      <c r="L50" s="366" t="b">
        <f t="shared" si="4"/>
        <v>0</v>
      </c>
      <c r="M50" s="460"/>
      <c r="N50" s="460"/>
    </row>
    <row r="51" spans="1:14">
      <c r="A51" s="199" t="s">
        <v>392</v>
      </c>
      <c r="B51" s="365" t="str">
        <f t="shared" si="1"/>
        <v>Infrastructure Design Suite Ultimate</v>
      </c>
      <c r="C51" s="199">
        <v>2645</v>
      </c>
      <c r="D51" s="200" t="s">
        <v>389</v>
      </c>
      <c r="E51" s="200" t="s">
        <v>389</v>
      </c>
      <c r="F51" s="200" t="s">
        <v>389</v>
      </c>
      <c r="G51" s="199">
        <v>2910</v>
      </c>
      <c r="H51" s="199">
        <v>3490</v>
      </c>
      <c r="I51" s="199">
        <v>3490</v>
      </c>
      <c r="J51" s="199"/>
      <c r="K51" s="199"/>
      <c r="L51" s="366" t="b">
        <f t="shared" si="4"/>
        <v>0</v>
      </c>
      <c r="M51" s="460"/>
      <c r="N51" s="460"/>
    </row>
    <row r="52" spans="1:14">
      <c r="A52" s="199" t="s">
        <v>1683</v>
      </c>
      <c r="B52" s="365" t="str">
        <f t="shared" si="1"/>
        <v>Infrastructure Map Server</v>
      </c>
      <c r="C52" s="199">
        <v>1080</v>
      </c>
      <c r="D52" s="200">
        <v>1135</v>
      </c>
      <c r="E52" s="200">
        <v>1190</v>
      </c>
      <c r="F52" s="200">
        <v>1190</v>
      </c>
      <c r="G52" s="199">
        <v>1190</v>
      </c>
      <c r="H52" s="199">
        <v>1430</v>
      </c>
      <c r="I52" s="199">
        <v>1430</v>
      </c>
      <c r="J52" s="199"/>
      <c r="K52" s="400">
        <v>3370</v>
      </c>
      <c r="L52" s="366" t="b">
        <f t="shared" si="4"/>
        <v>0</v>
      </c>
      <c r="M52" s="460"/>
      <c r="N52" s="460"/>
    </row>
    <row r="53" spans="1:14">
      <c r="A53" s="199" t="s">
        <v>1684</v>
      </c>
      <c r="B53" s="365" t="str">
        <f>RIGHT(A53,LEN(A53)-LEN(nmADwSP))</f>
        <v>Infraworks</v>
      </c>
      <c r="C53" s="199"/>
      <c r="D53" s="199">
        <v>855</v>
      </c>
      <c r="E53" s="199">
        <v>900</v>
      </c>
      <c r="F53" s="199">
        <v>900</v>
      </c>
      <c r="G53" s="204"/>
      <c r="H53" s="204"/>
      <c r="I53" s="204"/>
      <c r="J53" s="199">
        <v>2100</v>
      </c>
      <c r="K53" s="400">
        <v>3675</v>
      </c>
      <c r="L53" s="366" t="b">
        <f t="shared" si="4"/>
        <v>0</v>
      </c>
      <c r="M53" s="460"/>
      <c r="N53" s="460"/>
    </row>
    <row r="54" spans="1:14">
      <c r="A54" s="199" t="s">
        <v>390</v>
      </c>
      <c r="B54" s="365" t="str">
        <f t="shared" ref="B54:B85" si="5">VLOOKUP(IF(LEFT(A54,LEN(nmADwSP))=nmADwSP,RIGHT(A54,LEN(A54)-LEN(nmADwSP)),A54),DataPaths_List_ProdMT_NonCurrency,1,FALSE)</f>
        <v>Inventor</v>
      </c>
      <c r="C54" s="199">
        <v>1025</v>
      </c>
      <c r="D54" s="200">
        <v>1075</v>
      </c>
      <c r="E54" s="200">
        <v>1130</v>
      </c>
      <c r="F54" s="200">
        <v>1130</v>
      </c>
      <c r="G54" s="199">
        <v>1130</v>
      </c>
      <c r="H54" s="199">
        <v>1355</v>
      </c>
      <c r="I54" s="199">
        <v>1355</v>
      </c>
      <c r="J54" s="199"/>
      <c r="K54" s="199"/>
      <c r="L54" s="366" t="b">
        <f t="shared" si="4"/>
        <v>0</v>
      </c>
      <c r="M54" s="460"/>
      <c r="N54" s="460"/>
    </row>
    <row r="55" spans="1:14">
      <c r="A55" s="199" t="s">
        <v>288</v>
      </c>
      <c r="B55" s="365" t="str">
        <f t="shared" si="5"/>
        <v>Inventor LT</v>
      </c>
      <c r="C55" s="199">
        <v>245</v>
      </c>
      <c r="D55" s="200">
        <v>255</v>
      </c>
      <c r="E55" s="200">
        <v>270</v>
      </c>
      <c r="F55" s="200">
        <v>270</v>
      </c>
      <c r="G55" s="199">
        <v>270</v>
      </c>
      <c r="H55" s="199">
        <v>325</v>
      </c>
      <c r="I55" s="199">
        <v>325</v>
      </c>
      <c r="J55" s="199">
        <v>510</v>
      </c>
      <c r="K55" s="400">
        <v>895</v>
      </c>
      <c r="L55" s="366" t="b">
        <f t="shared" si="4"/>
        <v>0</v>
      </c>
      <c r="M55" s="460"/>
      <c r="N55" s="460"/>
    </row>
    <row r="56" spans="1:14">
      <c r="A56" s="199" t="s">
        <v>289</v>
      </c>
      <c r="B56" s="365" t="str">
        <f t="shared" si="5"/>
        <v>Inventor Professional</v>
      </c>
      <c r="C56" s="199">
        <v>1495</v>
      </c>
      <c r="D56" s="200">
        <v>1075</v>
      </c>
      <c r="E56" s="200">
        <v>1130</v>
      </c>
      <c r="F56" s="200">
        <v>1130</v>
      </c>
      <c r="G56" s="199">
        <v>1645</v>
      </c>
      <c r="H56" s="199">
        <v>1975</v>
      </c>
      <c r="I56" s="199">
        <v>1975</v>
      </c>
      <c r="J56" s="199">
        <v>2525</v>
      </c>
      <c r="K56" s="400">
        <v>3790</v>
      </c>
      <c r="L56" s="366" t="b">
        <f t="shared" si="4"/>
        <v>0</v>
      </c>
      <c r="M56" s="460"/>
      <c r="N56" s="460"/>
    </row>
    <row r="57" spans="1:14">
      <c r="A57" s="199" t="s">
        <v>290</v>
      </c>
      <c r="B57" s="365" t="str">
        <f t="shared" si="5"/>
        <v>Maya</v>
      </c>
      <c r="C57" s="199">
        <v>860</v>
      </c>
      <c r="D57" s="200">
        <v>905</v>
      </c>
      <c r="E57" s="200">
        <v>950</v>
      </c>
      <c r="F57" s="200">
        <v>950</v>
      </c>
      <c r="G57" s="199">
        <v>945</v>
      </c>
      <c r="H57" s="199">
        <v>1135</v>
      </c>
      <c r="I57" s="199">
        <v>1135</v>
      </c>
      <c r="J57" s="199">
        <v>1965</v>
      </c>
      <c r="K57" s="400">
        <v>3440</v>
      </c>
      <c r="L57" s="366" t="b">
        <f t="shared" si="4"/>
        <v>0</v>
      </c>
      <c r="M57" s="460"/>
      <c r="N57" s="460"/>
    </row>
    <row r="58" spans="1:14">
      <c r="A58" s="199" t="s">
        <v>291</v>
      </c>
      <c r="B58" s="365" t="str">
        <f t="shared" si="5"/>
        <v>Maya Entertainment Creation Suite Standard</v>
      </c>
      <c r="C58" s="199">
        <v>1185</v>
      </c>
      <c r="D58" s="200" t="s">
        <v>389</v>
      </c>
      <c r="E58" s="200" t="s">
        <v>389</v>
      </c>
      <c r="F58" s="200" t="s">
        <v>389</v>
      </c>
      <c r="G58" s="199">
        <v>1305</v>
      </c>
      <c r="H58" s="199">
        <v>1565</v>
      </c>
      <c r="I58" s="199">
        <v>1565</v>
      </c>
      <c r="J58" s="199"/>
      <c r="K58" s="199"/>
      <c r="L58" s="366" t="b">
        <f t="shared" si="4"/>
        <v>0</v>
      </c>
      <c r="M58" s="460"/>
      <c r="N58" s="460"/>
    </row>
    <row r="59" spans="1:14">
      <c r="A59" s="199" t="s">
        <v>1685</v>
      </c>
      <c r="B59" s="365" t="str">
        <f t="shared" si="5"/>
        <v>Maya LT</v>
      </c>
      <c r="C59" s="199">
        <v>160</v>
      </c>
      <c r="D59" s="200">
        <v>170</v>
      </c>
      <c r="E59" s="200">
        <v>180</v>
      </c>
      <c r="F59" s="200">
        <v>180</v>
      </c>
      <c r="G59" s="199">
        <v>175</v>
      </c>
      <c r="H59" s="199">
        <v>210</v>
      </c>
      <c r="I59" s="199">
        <v>210</v>
      </c>
      <c r="J59" s="199">
        <v>320</v>
      </c>
      <c r="K59" s="400">
        <v>560</v>
      </c>
      <c r="L59" s="366" t="b">
        <f t="shared" si="4"/>
        <v>0</v>
      </c>
      <c r="M59" s="460"/>
      <c r="N59" s="460"/>
    </row>
    <row r="60" spans="1:14">
      <c r="A60" s="199" t="s">
        <v>1800</v>
      </c>
      <c r="B60" s="365" t="str">
        <f t="shared" si="5"/>
        <v>Maya with Softimage</v>
      </c>
      <c r="C60" s="199">
        <v>860</v>
      </c>
      <c r="D60" s="200"/>
      <c r="E60" s="200"/>
      <c r="F60" s="200"/>
      <c r="G60" s="199">
        <v>945</v>
      </c>
      <c r="H60" s="199">
        <v>1135</v>
      </c>
      <c r="I60" s="199">
        <v>1135</v>
      </c>
      <c r="J60" s="199">
        <v>1915</v>
      </c>
      <c r="K60" s="199"/>
      <c r="L60" s="366" t="b">
        <f t="shared" si="4"/>
        <v>0</v>
      </c>
      <c r="M60" s="460"/>
      <c r="N60" s="460"/>
    </row>
    <row r="61" spans="1:14">
      <c r="A61" s="199" t="s">
        <v>1686</v>
      </c>
      <c r="B61" s="365" t="str">
        <f t="shared" si="5"/>
        <v>Moldflow Adviser Premium</v>
      </c>
      <c r="C61" s="199">
        <v>1240</v>
      </c>
      <c r="D61" s="200">
        <v>1300</v>
      </c>
      <c r="E61" s="200">
        <v>1365</v>
      </c>
      <c r="F61" s="200">
        <v>1365</v>
      </c>
      <c r="G61" s="199">
        <v>1365</v>
      </c>
      <c r="H61" s="199">
        <v>1640</v>
      </c>
      <c r="I61" s="199">
        <v>1640</v>
      </c>
      <c r="J61" s="199"/>
      <c r="K61" s="400">
        <v>2810</v>
      </c>
      <c r="L61" s="366" t="b">
        <f t="shared" si="4"/>
        <v>0</v>
      </c>
      <c r="M61" s="460"/>
      <c r="N61" s="460"/>
    </row>
    <row r="62" spans="1:14">
      <c r="A62" s="199" t="s">
        <v>1687</v>
      </c>
      <c r="B62" s="365" t="str">
        <f t="shared" si="5"/>
        <v>Moldflow Adviser Ultimate</v>
      </c>
      <c r="C62" s="199">
        <v>5390</v>
      </c>
      <c r="D62" s="200">
        <v>5660</v>
      </c>
      <c r="E62" s="200">
        <v>5945</v>
      </c>
      <c r="F62" s="200">
        <v>5945</v>
      </c>
      <c r="G62" s="199">
        <v>5930</v>
      </c>
      <c r="H62" s="199">
        <v>7115</v>
      </c>
      <c r="I62" s="199">
        <v>7115</v>
      </c>
      <c r="J62" s="199"/>
      <c r="K62" s="400">
        <v>14040</v>
      </c>
      <c r="L62" s="366" t="b">
        <f t="shared" si="4"/>
        <v>0</v>
      </c>
      <c r="M62" s="460"/>
      <c r="N62" s="460"/>
    </row>
    <row r="63" spans="1:14">
      <c r="A63" s="199" t="s">
        <v>1688</v>
      </c>
      <c r="B63" s="365" t="str">
        <f t="shared" si="5"/>
        <v>Moldflow Insight Premium</v>
      </c>
      <c r="C63" s="199">
        <v>12505</v>
      </c>
      <c r="D63" s="200">
        <v>13130</v>
      </c>
      <c r="E63" s="200">
        <v>13785</v>
      </c>
      <c r="F63" s="200">
        <v>13785</v>
      </c>
      <c r="G63" s="199">
        <v>13755</v>
      </c>
      <c r="H63" s="199">
        <v>16505</v>
      </c>
      <c r="I63" s="199">
        <v>16505</v>
      </c>
      <c r="J63" s="199"/>
      <c r="K63" s="400">
        <v>32560</v>
      </c>
      <c r="L63" s="366" t="b">
        <f t="shared" si="4"/>
        <v>0</v>
      </c>
      <c r="M63" s="460"/>
      <c r="N63" s="460"/>
    </row>
    <row r="64" spans="1:14">
      <c r="A64" s="199" t="s">
        <v>1689</v>
      </c>
      <c r="B64" s="365" t="str">
        <f t="shared" si="5"/>
        <v>Moldflow Insight Standard</v>
      </c>
      <c r="C64" s="199">
        <v>6260</v>
      </c>
      <c r="D64" s="200">
        <v>6575</v>
      </c>
      <c r="E64" s="200">
        <v>6905</v>
      </c>
      <c r="F64" s="200">
        <v>6905</v>
      </c>
      <c r="G64" s="199">
        <v>6885</v>
      </c>
      <c r="H64" s="199">
        <v>8260</v>
      </c>
      <c r="I64" s="199">
        <v>8260</v>
      </c>
      <c r="J64" s="199"/>
      <c r="K64" s="400">
        <v>16280</v>
      </c>
      <c r="L64" s="366" t="b">
        <f t="shared" si="4"/>
        <v>0</v>
      </c>
      <c r="M64" s="460"/>
      <c r="N64" s="460"/>
    </row>
    <row r="65" spans="1:14">
      <c r="A65" s="199" t="s">
        <v>1690</v>
      </c>
      <c r="B65" s="365" t="str">
        <f t="shared" si="5"/>
        <v>Moldflow Insight Ultimate</v>
      </c>
      <c r="C65" s="199">
        <v>16825</v>
      </c>
      <c r="D65" s="200">
        <v>17665</v>
      </c>
      <c r="E65" s="200">
        <v>18550</v>
      </c>
      <c r="F65" s="200">
        <v>18550</v>
      </c>
      <c r="G65" s="199">
        <v>18510</v>
      </c>
      <c r="H65" s="199">
        <v>22210</v>
      </c>
      <c r="I65" s="199">
        <v>22210</v>
      </c>
      <c r="J65" s="199"/>
      <c r="K65" s="400">
        <v>43790</v>
      </c>
      <c r="L65" s="366" t="b">
        <f t="shared" si="4"/>
        <v>0</v>
      </c>
      <c r="M65" s="460"/>
      <c r="N65" s="460"/>
    </row>
    <row r="66" spans="1:14">
      <c r="A66" s="199" t="s">
        <v>1691</v>
      </c>
      <c r="B66" s="365" t="str">
        <f t="shared" si="5"/>
        <v>Moldflow Synergy</v>
      </c>
      <c r="C66" s="199">
        <v>2585</v>
      </c>
      <c r="D66" s="200">
        <v>2715</v>
      </c>
      <c r="E66" s="200">
        <v>2850</v>
      </c>
      <c r="F66" s="200">
        <v>2850</v>
      </c>
      <c r="G66" s="199">
        <v>2845</v>
      </c>
      <c r="H66" s="199">
        <v>3415</v>
      </c>
      <c r="I66" s="199">
        <v>3415</v>
      </c>
      <c r="J66" s="199"/>
      <c r="K66" s="400">
        <v>6735</v>
      </c>
      <c r="L66" s="366" t="b">
        <f t="shared" si="4"/>
        <v>0</v>
      </c>
      <c r="M66" s="460"/>
      <c r="N66" s="460"/>
    </row>
    <row r="67" spans="1:14">
      <c r="A67" s="199" t="s">
        <v>292</v>
      </c>
      <c r="B67" s="365" t="str">
        <f t="shared" si="5"/>
        <v>MotionBuilder</v>
      </c>
      <c r="C67" s="199">
        <v>1145</v>
      </c>
      <c r="D67" s="200">
        <v>1200</v>
      </c>
      <c r="E67" s="200">
        <v>1260</v>
      </c>
      <c r="F67" s="200">
        <v>1260</v>
      </c>
      <c r="G67" s="199">
        <v>1260</v>
      </c>
      <c r="H67" s="199">
        <v>1510</v>
      </c>
      <c r="I67" s="199">
        <v>1510</v>
      </c>
      <c r="J67" s="199">
        <v>2245</v>
      </c>
      <c r="K67" s="400">
        <v>3930</v>
      </c>
      <c r="L67" s="366" t="b">
        <f t="shared" si="4"/>
        <v>0</v>
      </c>
      <c r="M67" s="460"/>
      <c r="N67" s="460"/>
    </row>
    <row r="68" spans="1:14">
      <c r="A68" s="199" t="s">
        <v>1692</v>
      </c>
      <c r="B68" s="365" t="str">
        <f t="shared" si="5"/>
        <v>Mudbox</v>
      </c>
      <c r="C68" s="199">
        <v>105</v>
      </c>
      <c r="D68" s="200">
        <v>110</v>
      </c>
      <c r="E68" s="200">
        <v>115</v>
      </c>
      <c r="F68" s="200">
        <v>115</v>
      </c>
      <c r="G68" s="199">
        <v>115</v>
      </c>
      <c r="H68" s="199">
        <v>140</v>
      </c>
      <c r="I68" s="199">
        <v>140</v>
      </c>
      <c r="J68" s="199">
        <v>105</v>
      </c>
      <c r="K68" s="400">
        <v>185</v>
      </c>
      <c r="L68" s="366" t="b">
        <f t="shared" ref="L68:L99" si="6">MAX(C68:K68)=MIN(C68:K68)</f>
        <v>0</v>
      </c>
      <c r="M68" s="460"/>
      <c r="N68" s="460"/>
    </row>
    <row r="69" spans="1:14">
      <c r="A69" s="199" t="s">
        <v>1693</v>
      </c>
      <c r="B69" s="365" t="str">
        <f t="shared" si="5"/>
        <v>Nastran</v>
      </c>
      <c r="C69" s="199">
        <v>1765</v>
      </c>
      <c r="D69" s="200">
        <v>1855</v>
      </c>
      <c r="E69" s="200">
        <v>1950</v>
      </c>
      <c r="F69" s="200">
        <v>1950</v>
      </c>
      <c r="G69" s="199">
        <v>1940</v>
      </c>
      <c r="H69" s="199">
        <v>2330</v>
      </c>
      <c r="I69" s="199">
        <v>2330</v>
      </c>
      <c r="J69" s="199"/>
      <c r="K69" s="400">
        <v>5755</v>
      </c>
      <c r="L69" s="366" t="b">
        <f t="shared" si="6"/>
        <v>0</v>
      </c>
      <c r="M69" s="460"/>
      <c r="N69" s="460"/>
    </row>
    <row r="70" spans="1:14">
      <c r="A70" s="199" t="s">
        <v>1694</v>
      </c>
      <c r="B70" s="365" t="str">
        <f t="shared" si="5"/>
        <v>Nastran In-CAD</v>
      </c>
      <c r="C70" s="199">
        <v>1830</v>
      </c>
      <c r="D70" s="200">
        <v>1920</v>
      </c>
      <c r="E70" s="200">
        <v>2015</v>
      </c>
      <c r="F70" s="200">
        <v>2015</v>
      </c>
      <c r="G70" s="199">
        <v>2015</v>
      </c>
      <c r="H70" s="199">
        <v>2420</v>
      </c>
      <c r="I70" s="199">
        <v>2420</v>
      </c>
      <c r="J70" s="199"/>
      <c r="K70" s="199">
        <v>4655</v>
      </c>
      <c r="L70" s="366" t="b">
        <f t="shared" si="6"/>
        <v>0</v>
      </c>
      <c r="M70" s="460"/>
      <c r="N70" s="460"/>
    </row>
    <row r="71" spans="1:14">
      <c r="A71" s="199" t="s">
        <v>1791</v>
      </c>
      <c r="B71" s="365" t="str">
        <f t="shared" si="5"/>
        <v>Navisworks Manage*</v>
      </c>
      <c r="C71" s="199">
        <v>1680</v>
      </c>
      <c r="D71" s="200">
        <v>1135</v>
      </c>
      <c r="E71" s="200">
        <v>1190</v>
      </c>
      <c r="F71" s="200">
        <v>1190</v>
      </c>
      <c r="G71" s="199">
        <v>1850</v>
      </c>
      <c r="H71" s="199">
        <v>2220</v>
      </c>
      <c r="I71" s="199">
        <v>2220</v>
      </c>
      <c r="J71" s="199">
        <v>2765</v>
      </c>
      <c r="K71" s="400">
        <v>4150</v>
      </c>
      <c r="L71" s="366" t="b">
        <f t="shared" si="6"/>
        <v>0</v>
      </c>
      <c r="M71" s="460"/>
      <c r="N71" s="460"/>
    </row>
    <row r="72" spans="1:14">
      <c r="A72" s="199" t="s">
        <v>1695</v>
      </c>
      <c r="B72" s="365" t="str">
        <f t="shared" si="5"/>
        <v>Navisworks Simulate</v>
      </c>
      <c r="C72" s="199">
        <v>430</v>
      </c>
      <c r="D72" s="200">
        <v>450</v>
      </c>
      <c r="E72" s="200">
        <v>475</v>
      </c>
      <c r="F72" s="200">
        <v>475</v>
      </c>
      <c r="G72" s="199">
        <v>475</v>
      </c>
      <c r="H72" s="199">
        <v>570</v>
      </c>
      <c r="I72" s="199">
        <v>570</v>
      </c>
      <c r="J72" s="199">
        <v>1120</v>
      </c>
      <c r="K72" s="400">
        <v>1960</v>
      </c>
      <c r="L72" s="366" t="b">
        <f t="shared" si="6"/>
        <v>0</v>
      </c>
      <c r="M72" s="460"/>
      <c r="N72" s="460"/>
    </row>
    <row r="73" spans="1:14">
      <c r="A73" s="199" t="s">
        <v>293</v>
      </c>
      <c r="B73" s="365" t="str">
        <f t="shared" si="5"/>
        <v>Plant Design Suite Premium</v>
      </c>
      <c r="C73" s="199">
        <v>2055</v>
      </c>
      <c r="D73" s="200" t="s">
        <v>389</v>
      </c>
      <c r="E73" s="200" t="s">
        <v>389</v>
      </c>
      <c r="F73" s="200" t="s">
        <v>389</v>
      </c>
      <c r="G73" s="199">
        <v>2260</v>
      </c>
      <c r="H73" s="199">
        <v>2710</v>
      </c>
      <c r="I73" s="199">
        <v>2710</v>
      </c>
      <c r="J73" s="199"/>
      <c r="K73" s="199"/>
      <c r="L73" s="366" t="b">
        <f t="shared" si="6"/>
        <v>0</v>
      </c>
      <c r="M73" s="460"/>
      <c r="N73" s="460"/>
    </row>
    <row r="74" spans="1:14">
      <c r="A74" s="199" t="s">
        <v>294</v>
      </c>
      <c r="B74" s="365" t="str">
        <f t="shared" si="5"/>
        <v>Plant Design Suite Standard</v>
      </c>
      <c r="C74" s="199">
        <v>1150</v>
      </c>
      <c r="D74" s="200" t="s">
        <v>389</v>
      </c>
      <c r="E74" s="200" t="s">
        <v>389</v>
      </c>
      <c r="F74" s="200" t="s">
        <v>389</v>
      </c>
      <c r="G74" s="199">
        <v>1265</v>
      </c>
      <c r="H74" s="199">
        <v>1520</v>
      </c>
      <c r="I74" s="199">
        <v>1520</v>
      </c>
      <c r="J74" s="199"/>
      <c r="K74" s="199"/>
      <c r="L74" s="366" t="b">
        <f t="shared" si="6"/>
        <v>0</v>
      </c>
      <c r="M74" s="460"/>
      <c r="N74" s="460"/>
    </row>
    <row r="75" spans="1:14">
      <c r="A75" s="199" t="s">
        <v>295</v>
      </c>
      <c r="B75" s="365" t="str">
        <f t="shared" si="5"/>
        <v>Plant Design Suite Ultimate</v>
      </c>
      <c r="C75" s="199">
        <v>2985</v>
      </c>
      <c r="D75" s="200" t="s">
        <v>389</v>
      </c>
      <c r="E75" s="200" t="s">
        <v>389</v>
      </c>
      <c r="F75" s="200" t="s">
        <v>389</v>
      </c>
      <c r="G75" s="199">
        <v>3285</v>
      </c>
      <c r="H75" s="199">
        <v>3940</v>
      </c>
      <c r="I75" s="199">
        <v>3940</v>
      </c>
      <c r="J75" s="199"/>
      <c r="K75" s="199"/>
      <c r="L75" s="366" t="b">
        <f t="shared" si="6"/>
        <v>0</v>
      </c>
      <c r="M75" s="460"/>
      <c r="N75" s="460"/>
    </row>
    <row r="76" spans="1:14">
      <c r="A76" s="199" t="s">
        <v>1696</v>
      </c>
      <c r="B76" s="365" t="str">
        <f t="shared" si="5"/>
        <v>Point Layout</v>
      </c>
      <c r="C76" s="199">
        <v>815</v>
      </c>
      <c r="D76" s="200">
        <v>855</v>
      </c>
      <c r="E76" s="200">
        <v>900</v>
      </c>
      <c r="F76" s="200">
        <v>900</v>
      </c>
      <c r="G76" s="199">
        <v>895</v>
      </c>
      <c r="H76" s="199">
        <v>1075</v>
      </c>
      <c r="I76" s="199">
        <v>1075</v>
      </c>
      <c r="J76" s="199">
        <v>2140</v>
      </c>
      <c r="K76" s="400">
        <v>3745</v>
      </c>
      <c r="L76" s="366" t="b">
        <f t="shared" si="6"/>
        <v>0</v>
      </c>
      <c r="M76" s="460"/>
      <c r="N76" s="460"/>
    </row>
    <row r="77" spans="1:14">
      <c r="A77" s="199" t="s">
        <v>296</v>
      </c>
      <c r="B77" s="365" t="str">
        <f t="shared" si="5"/>
        <v>Product Design Suite Premium</v>
      </c>
      <c r="C77" s="199">
        <v>1095</v>
      </c>
      <c r="D77" s="200" t="s">
        <v>389</v>
      </c>
      <c r="E77" s="200" t="s">
        <v>389</v>
      </c>
      <c r="F77" s="200" t="s">
        <v>389</v>
      </c>
      <c r="G77" s="199">
        <v>1205</v>
      </c>
      <c r="H77" s="199">
        <v>1445</v>
      </c>
      <c r="I77" s="199">
        <v>1445</v>
      </c>
      <c r="J77" s="199"/>
      <c r="K77" s="199"/>
      <c r="L77" s="366" t="b">
        <f t="shared" si="6"/>
        <v>0</v>
      </c>
      <c r="M77" s="460"/>
      <c r="N77" s="460"/>
    </row>
    <row r="78" spans="1:14">
      <c r="A78" s="199" t="s">
        <v>297</v>
      </c>
      <c r="B78" s="365" t="str">
        <f t="shared" si="5"/>
        <v>Product Design Suite Ultimate</v>
      </c>
      <c r="C78" s="199">
        <v>1540</v>
      </c>
      <c r="D78" s="200" t="s">
        <v>389</v>
      </c>
      <c r="E78" s="200" t="s">
        <v>389</v>
      </c>
      <c r="F78" s="200" t="s">
        <v>389</v>
      </c>
      <c r="G78" s="199">
        <v>1695</v>
      </c>
      <c r="H78" s="199">
        <v>2035</v>
      </c>
      <c r="I78" s="199">
        <v>2035</v>
      </c>
      <c r="J78" s="199"/>
      <c r="K78" s="199"/>
      <c r="L78" s="366" t="b">
        <f t="shared" si="6"/>
        <v>0</v>
      </c>
      <c r="M78" s="460"/>
      <c r="N78" s="460"/>
    </row>
    <row r="79" spans="1:14">
      <c r="A79" s="199" t="s">
        <v>1798</v>
      </c>
      <c r="B79" s="365" t="str">
        <f t="shared" si="5"/>
        <v>Quantity Take Off</v>
      </c>
      <c r="C79" s="199">
        <v>330</v>
      </c>
      <c r="D79" s="200"/>
      <c r="E79" s="200"/>
      <c r="F79" s="200"/>
      <c r="G79" s="199">
        <v>365</v>
      </c>
      <c r="H79" s="199">
        <v>440</v>
      </c>
      <c r="I79" s="199">
        <v>440</v>
      </c>
      <c r="J79" s="199"/>
      <c r="K79" s="199"/>
      <c r="L79" s="366" t="b">
        <f t="shared" si="6"/>
        <v>0</v>
      </c>
      <c r="M79" s="460"/>
      <c r="N79" s="460"/>
    </row>
    <row r="80" spans="1:14">
      <c r="A80" s="199" t="s">
        <v>298</v>
      </c>
      <c r="B80" s="365" t="str">
        <f t="shared" si="5"/>
        <v>Revit</v>
      </c>
      <c r="C80" s="199">
        <v>1160</v>
      </c>
      <c r="D80" s="200">
        <v>1220</v>
      </c>
      <c r="E80" s="200">
        <v>1280</v>
      </c>
      <c r="F80" s="200">
        <v>1280</v>
      </c>
      <c r="G80" s="199">
        <v>1275</v>
      </c>
      <c r="H80" s="199">
        <v>1530</v>
      </c>
      <c r="I80" s="199">
        <v>1530</v>
      </c>
      <c r="J80" s="400">
        <v>2935</v>
      </c>
      <c r="K80" s="400">
        <v>4015</v>
      </c>
      <c r="L80" s="366" t="b">
        <f t="shared" si="6"/>
        <v>0</v>
      </c>
      <c r="M80" s="460"/>
      <c r="N80" s="460"/>
    </row>
    <row r="81" spans="1:14">
      <c r="A81" s="199" t="s">
        <v>1715</v>
      </c>
      <c r="B81" s="365" t="str">
        <f t="shared" si="5"/>
        <v>Revit Architecture</v>
      </c>
      <c r="C81" s="199">
        <v>1160</v>
      </c>
      <c r="D81" s="200">
        <v>1220</v>
      </c>
      <c r="E81" s="200">
        <v>1280</v>
      </c>
      <c r="F81" s="200">
        <v>1280</v>
      </c>
      <c r="G81" s="199">
        <v>1275</v>
      </c>
      <c r="H81" s="199">
        <v>1530</v>
      </c>
      <c r="I81" s="199">
        <v>1530</v>
      </c>
      <c r="J81" s="199">
        <v>2610</v>
      </c>
      <c r="K81" s="199">
        <v>3915</v>
      </c>
      <c r="L81" s="366" t="b">
        <f t="shared" si="6"/>
        <v>0</v>
      </c>
      <c r="M81" s="460"/>
      <c r="N81" s="460"/>
    </row>
    <row r="82" spans="1:14">
      <c r="A82" s="184" t="s">
        <v>299</v>
      </c>
      <c r="B82" s="207" t="str">
        <f t="shared" si="5"/>
        <v>Revit LT</v>
      </c>
      <c r="C82" s="184">
        <v>255</v>
      </c>
      <c r="D82" s="200">
        <v>270</v>
      </c>
      <c r="E82" s="200">
        <v>285</v>
      </c>
      <c r="F82" s="201">
        <v>285</v>
      </c>
      <c r="G82" s="184">
        <v>280</v>
      </c>
      <c r="H82" s="199">
        <v>335</v>
      </c>
      <c r="I82" s="185">
        <v>335</v>
      </c>
      <c r="J82" s="184">
        <v>550</v>
      </c>
      <c r="K82" s="185"/>
      <c r="L82" s="366" t="b">
        <f t="shared" si="6"/>
        <v>0</v>
      </c>
      <c r="M82" s="460"/>
      <c r="N82" s="460"/>
    </row>
    <row r="83" spans="1:14">
      <c r="A83" s="199" t="s">
        <v>1716</v>
      </c>
      <c r="B83" s="365" t="str">
        <f t="shared" si="5"/>
        <v>Revit MEP</v>
      </c>
      <c r="C83" s="199">
        <v>1160</v>
      </c>
      <c r="D83" s="200">
        <v>1220</v>
      </c>
      <c r="E83" s="200">
        <v>1280</v>
      </c>
      <c r="F83" s="200">
        <v>1280</v>
      </c>
      <c r="G83" s="199">
        <v>1275</v>
      </c>
      <c r="H83" s="199">
        <v>1530</v>
      </c>
      <c r="I83" s="199">
        <v>1530</v>
      </c>
      <c r="J83" s="199">
        <v>2610</v>
      </c>
      <c r="K83" s="199">
        <v>3915</v>
      </c>
      <c r="L83" s="366" t="b">
        <f t="shared" si="6"/>
        <v>0</v>
      </c>
      <c r="M83" s="460"/>
      <c r="N83" s="460"/>
    </row>
    <row r="84" spans="1:14">
      <c r="A84" s="199" t="s">
        <v>1717</v>
      </c>
      <c r="B84" s="365" t="str">
        <f t="shared" si="5"/>
        <v>Revit Structure</v>
      </c>
      <c r="C84" s="199">
        <v>1160</v>
      </c>
      <c r="D84" s="200">
        <v>1220</v>
      </c>
      <c r="E84" s="200">
        <v>1280</v>
      </c>
      <c r="F84" s="200">
        <v>1280</v>
      </c>
      <c r="G84" s="199">
        <v>1275</v>
      </c>
      <c r="H84" s="199">
        <v>1530</v>
      </c>
      <c r="I84" s="199">
        <v>1530</v>
      </c>
      <c r="J84" s="199">
        <v>2610</v>
      </c>
      <c r="K84" s="199">
        <v>3915</v>
      </c>
      <c r="L84" s="366" t="b">
        <f t="shared" si="6"/>
        <v>0</v>
      </c>
      <c r="M84" s="460"/>
      <c r="N84" s="460"/>
    </row>
    <row r="85" spans="1:14">
      <c r="A85" s="199" t="s">
        <v>1697</v>
      </c>
      <c r="B85" s="365" t="str">
        <f t="shared" si="5"/>
        <v>Robot Structural Analysis Professional</v>
      </c>
      <c r="C85" s="199">
        <v>1295</v>
      </c>
      <c r="D85" s="200">
        <v>1360</v>
      </c>
      <c r="E85" s="200">
        <v>1430</v>
      </c>
      <c r="F85" s="200">
        <v>1430</v>
      </c>
      <c r="G85" s="199">
        <v>1425</v>
      </c>
      <c r="H85" s="199">
        <v>1710</v>
      </c>
      <c r="I85" s="199">
        <v>1710</v>
      </c>
      <c r="J85" s="199">
        <v>3370</v>
      </c>
      <c r="K85" s="400">
        <v>5900</v>
      </c>
      <c r="L85" s="366" t="b">
        <f t="shared" si="6"/>
        <v>0</v>
      </c>
      <c r="M85" s="460"/>
      <c r="N85" s="460"/>
    </row>
    <row r="86" spans="1:14">
      <c r="A86" s="199" t="s">
        <v>1718</v>
      </c>
      <c r="B86" s="365" t="str">
        <f t="shared" ref="B86:B116" si="7">VLOOKUP(IF(LEFT(A86,LEN(nmADwSP))=nmADwSP,RIGHT(A86,LEN(A86)-LEN(nmADwSP)),A86),DataPaths_List_ProdMT_NonCurrency,1,FALSE)</f>
        <v>Simulation Mechanical</v>
      </c>
      <c r="C86" s="199">
        <v>3230</v>
      </c>
      <c r="D86" s="200">
        <v>1920</v>
      </c>
      <c r="E86" s="200">
        <v>2015</v>
      </c>
      <c r="F86" s="200">
        <v>2015</v>
      </c>
      <c r="G86" s="199">
        <v>3555</v>
      </c>
      <c r="H86" s="199">
        <v>4265</v>
      </c>
      <c r="I86" s="199">
        <v>4265</v>
      </c>
      <c r="J86" s="199"/>
      <c r="K86" s="199">
        <v>4655</v>
      </c>
      <c r="L86" s="366" t="b">
        <f t="shared" si="6"/>
        <v>0</v>
      </c>
      <c r="M86" s="460"/>
      <c r="N86" s="460"/>
    </row>
    <row r="87" spans="1:14">
      <c r="A87" s="199" t="s">
        <v>1721</v>
      </c>
      <c r="B87" s="365" t="str">
        <f t="shared" si="7"/>
        <v>SketchBook - For Enterprise</v>
      </c>
      <c r="C87" s="199">
        <v>40</v>
      </c>
      <c r="D87" s="200">
        <v>40</v>
      </c>
      <c r="E87" s="200">
        <v>40</v>
      </c>
      <c r="F87" s="200">
        <v>40</v>
      </c>
      <c r="G87" s="199">
        <v>45</v>
      </c>
      <c r="H87" s="199">
        <v>55</v>
      </c>
      <c r="I87" s="199">
        <v>55</v>
      </c>
      <c r="J87" s="199">
        <v>110</v>
      </c>
      <c r="K87" s="400">
        <v>195</v>
      </c>
      <c r="L87" s="366" t="b">
        <f t="shared" si="6"/>
        <v>0</v>
      </c>
      <c r="M87" s="460"/>
      <c r="N87" s="460"/>
    </row>
    <row r="88" spans="1:14">
      <c r="A88" s="199" t="s">
        <v>1901</v>
      </c>
      <c r="B88" s="365" t="str">
        <f t="shared" si="7"/>
        <v>Structural Bridge Design</v>
      </c>
      <c r="C88" s="199">
        <v>815</v>
      </c>
      <c r="D88" s="200" t="s">
        <v>389</v>
      </c>
      <c r="E88" s="200" t="s">
        <v>389</v>
      </c>
      <c r="F88" s="200" t="s">
        <v>389</v>
      </c>
      <c r="G88" s="199">
        <v>895</v>
      </c>
      <c r="H88" s="199">
        <v>1075</v>
      </c>
      <c r="I88" s="199">
        <v>1075</v>
      </c>
      <c r="J88" s="199"/>
      <c r="K88" s="199"/>
      <c r="L88" s="366" t="b">
        <f t="shared" si="6"/>
        <v>0</v>
      </c>
      <c r="M88" s="460"/>
      <c r="N88" s="460"/>
    </row>
    <row r="89" spans="1:14">
      <c r="A89" s="199" t="s">
        <v>1699</v>
      </c>
      <c r="B89" s="365" t="str">
        <f t="shared" si="7"/>
        <v>TruComp</v>
      </c>
      <c r="C89" s="199">
        <v>17965</v>
      </c>
      <c r="D89" s="200">
        <v>18865</v>
      </c>
      <c r="E89" s="200">
        <v>19810</v>
      </c>
      <c r="F89" s="200">
        <v>19810</v>
      </c>
      <c r="G89" s="199">
        <v>19760</v>
      </c>
      <c r="H89" s="199">
        <v>23710</v>
      </c>
      <c r="I89" s="199">
        <v>23710</v>
      </c>
      <c r="J89" s="199"/>
      <c r="K89" s="400">
        <v>70140</v>
      </c>
      <c r="L89" s="366" t="b">
        <f t="shared" si="6"/>
        <v>0</v>
      </c>
      <c r="M89" s="460"/>
      <c r="N89" s="460"/>
    </row>
    <row r="90" spans="1:14">
      <c r="A90" s="199" t="s">
        <v>1700</v>
      </c>
      <c r="B90" s="365" t="str">
        <f t="shared" si="7"/>
        <v>TruLaser</v>
      </c>
      <c r="C90" s="199">
        <v>3080</v>
      </c>
      <c r="D90" s="200">
        <v>3235</v>
      </c>
      <c r="E90" s="200">
        <v>3395</v>
      </c>
      <c r="F90" s="200">
        <v>3395</v>
      </c>
      <c r="G90" s="199">
        <v>3390</v>
      </c>
      <c r="H90" s="199">
        <v>4070</v>
      </c>
      <c r="I90" s="199">
        <v>4070</v>
      </c>
      <c r="J90" s="199">
        <v>8035</v>
      </c>
      <c r="K90" s="400">
        <v>14060</v>
      </c>
      <c r="L90" s="366" t="b">
        <f t="shared" si="6"/>
        <v>0</v>
      </c>
      <c r="M90" s="460"/>
      <c r="N90" s="460"/>
    </row>
    <row r="91" spans="1:14">
      <c r="A91" s="199" t="s">
        <v>1701</v>
      </c>
      <c r="B91" s="365" t="str">
        <f t="shared" si="7"/>
        <v>TruNest Composites</v>
      </c>
      <c r="C91" s="199">
        <v>5135</v>
      </c>
      <c r="D91" s="200">
        <v>5390</v>
      </c>
      <c r="E91" s="200">
        <v>5660</v>
      </c>
      <c r="F91" s="200">
        <v>5660</v>
      </c>
      <c r="G91" s="199">
        <v>5650</v>
      </c>
      <c r="H91" s="199">
        <v>6780</v>
      </c>
      <c r="I91" s="199">
        <v>6780</v>
      </c>
      <c r="J91" s="199">
        <v>13365</v>
      </c>
      <c r="K91" s="400">
        <v>23390</v>
      </c>
      <c r="L91" s="366" t="b">
        <f t="shared" si="6"/>
        <v>0</v>
      </c>
      <c r="M91" s="460"/>
      <c r="N91" s="460"/>
    </row>
    <row r="92" spans="1:14">
      <c r="A92" s="199" t="s">
        <v>1702</v>
      </c>
      <c r="B92" s="365" t="str">
        <f t="shared" si="7"/>
        <v>TruNest Contour</v>
      </c>
      <c r="C92" s="199">
        <v>4095</v>
      </c>
      <c r="D92" s="200">
        <v>4300</v>
      </c>
      <c r="E92" s="200">
        <v>4515</v>
      </c>
      <c r="F92" s="200">
        <v>4515</v>
      </c>
      <c r="G92" s="199">
        <v>4505</v>
      </c>
      <c r="H92" s="199">
        <v>5405</v>
      </c>
      <c r="I92" s="199">
        <v>5405</v>
      </c>
      <c r="J92" s="199">
        <v>10665</v>
      </c>
      <c r="K92" s="400">
        <v>18665</v>
      </c>
      <c r="L92" s="366" t="b">
        <f t="shared" si="6"/>
        <v>0</v>
      </c>
      <c r="M92" s="460"/>
      <c r="N92" s="460"/>
    </row>
    <row r="93" spans="1:14">
      <c r="A93" s="199" t="s">
        <v>1703</v>
      </c>
      <c r="B93" s="365" t="str">
        <f t="shared" si="7"/>
        <v>TruNest Multi-Tool</v>
      </c>
      <c r="C93" s="199">
        <v>5135</v>
      </c>
      <c r="D93" s="200">
        <v>5390</v>
      </c>
      <c r="E93" s="200">
        <v>5660</v>
      </c>
      <c r="F93" s="200">
        <v>5660</v>
      </c>
      <c r="G93" s="199">
        <v>5650</v>
      </c>
      <c r="H93" s="199">
        <v>6780</v>
      </c>
      <c r="I93" s="199">
        <v>6780</v>
      </c>
      <c r="J93" s="199">
        <v>13365</v>
      </c>
      <c r="K93" s="400">
        <v>23390</v>
      </c>
      <c r="L93" s="366" t="b">
        <f t="shared" si="6"/>
        <v>0</v>
      </c>
      <c r="M93" s="460"/>
      <c r="N93" s="460"/>
    </row>
    <row r="94" spans="1:14">
      <c r="A94" s="199" t="s">
        <v>1704</v>
      </c>
      <c r="B94" s="365" t="str">
        <f t="shared" si="7"/>
        <v>Vault Office</v>
      </c>
      <c r="C94" s="199">
        <v>105</v>
      </c>
      <c r="D94" s="200">
        <v>110</v>
      </c>
      <c r="E94" s="200">
        <v>115</v>
      </c>
      <c r="F94" s="200">
        <v>115</v>
      </c>
      <c r="G94" s="199">
        <v>115</v>
      </c>
      <c r="H94" s="199">
        <v>140</v>
      </c>
      <c r="I94" s="199">
        <v>140</v>
      </c>
      <c r="J94" s="199"/>
      <c r="K94" s="400">
        <v>335</v>
      </c>
      <c r="L94" s="366" t="b">
        <f t="shared" si="6"/>
        <v>0</v>
      </c>
      <c r="M94" s="460"/>
      <c r="N94" s="460"/>
    </row>
    <row r="95" spans="1:14">
      <c r="A95" s="199" t="s">
        <v>1705</v>
      </c>
      <c r="B95" s="365" t="str">
        <f t="shared" si="7"/>
        <v>Vault Professional</v>
      </c>
      <c r="C95" s="199">
        <v>410</v>
      </c>
      <c r="D95" s="200">
        <v>430</v>
      </c>
      <c r="E95" s="200">
        <v>450</v>
      </c>
      <c r="F95" s="200">
        <v>450</v>
      </c>
      <c r="G95" s="199">
        <v>450</v>
      </c>
      <c r="H95" s="199">
        <v>540</v>
      </c>
      <c r="I95" s="199">
        <v>540</v>
      </c>
      <c r="J95" s="199">
        <v>850</v>
      </c>
      <c r="K95" s="400">
        <v>1275</v>
      </c>
      <c r="L95" s="366" t="b">
        <f t="shared" si="6"/>
        <v>0</v>
      </c>
      <c r="M95" s="460"/>
      <c r="N95" s="460"/>
    </row>
    <row r="96" spans="1:14">
      <c r="A96" s="199" t="s">
        <v>1706</v>
      </c>
      <c r="B96" s="365" t="str">
        <f t="shared" si="7"/>
        <v>Vault Workgroup</v>
      </c>
      <c r="C96" s="199">
        <v>215</v>
      </c>
      <c r="D96" s="200">
        <v>225</v>
      </c>
      <c r="E96" s="200">
        <v>235</v>
      </c>
      <c r="F96" s="200">
        <v>235</v>
      </c>
      <c r="G96" s="199">
        <v>235</v>
      </c>
      <c r="H96" s="199">
        <v>280</v>
      </c>
      <c r="I96" s="199">
        <v>280</v>
      </c>
      <c r="J96" s="199">
        <v>450</v>
      </c>
      <c r="K96" s="400">
        <v>675</v>
      </c>
      <c r="L96" s="366" t="b">
        <f t="shared" si="6"/>
        <v>0</v>
      </c>
      <c r="M96" s="460"/>
      <c r="N96" s="460"/>
    </row>
    <row r="97" spans="1:15">
      <c r="A97" s="199" t="s">
        <v>1707</v>
      </c>
      <c r="B97" s="365" t="str">
        <f t="shared" si="7"/>
        <v>Vehicle Tracking</v>
      </c>
      <c r="C97" s="199">
        <v>410</v>
      </c>
      <c r="D97" s="200">
        <v>430</v>
      </c>
      <c r="E97" s="200">
        <v>450</v>
      </c>
      <c r="F97" s="200">
        <v>450</v>
      </c>
      <c r="G97" s="199">
        <v>450</v>
      </c>
      <c r="H97" s="199">
        <v>540</v>
      </c>
      <c r="I97" s="199">
        <v>540</v>
      </c>
      <c r="J97" s="199">
        <v>1070</v>
      </c>
      <c r="K97" s="400">
        <v>1875</v>
      </c>
      <c r="L97" s="366" t="b">
        <f t="shared" si="6"/>
        <v>0</v>
      </c>
      <c r="M97" s="460"/>
      <c r="N97" s="460"/>
    </row>
    <row r="98" spans="1:15">
      <c r="A98" s="199" t="s">
        <v>1708</v>
      </c>
      <c r="B98" s="365" t="str">
        <f t="shared" si="7"/>
        <v>VRED</v>
      </c>
      <c r="C98" s="199">
        <v>315</v>
      </c>
      <c r="D98" s="200">
        <v>330</v>
      </c>
      <c r="E98" s="200">
        <v>345</v>
      </c>
      <c r="F98" s="200">
        <v>345</v>
      </c>
      <c r="G98" s="199">
        <v>345</v>
      </c>
      <c r="H98" s="199">
        <v>415</v>
      </c>
      <c r="I98" s="199">
        <v>415</v>
      </c>
      <c r="J98" s="199">
        <v>815</v>
      </c>
      <c r="K98" s="400">
        <v>1425</v>
      </c>
      <c r="L98" s="366" t="b">
        <f t="shared" si="6"/>
        <v>0</v>
      </c>
      <c r="M98" s="460"/>
      <c r="N98" s="460"/>
    </row>
    <row r="99" spans="1:15">
      <c r="A99" s="199" t="s">
        <v>1709</v>
      </c>
      <c r="B99" s="365" t="str">
        <f t="shared" si="7"/>
        <v>VRED Design</v>
      </c>
      <c r="C99" s="199">
        <v>1400</v>
      </c>
      <c r="D99" s="200">
        <v>1470</v>
      </c>
      <c r="E99" s="200">
        <v>1545</v>
      </c>
      <c r="F99" s="200">
        <v>1545</v>
      </c>
      <c r="G99" s="199">
        <v>1540</v>
      </c>
      <c r="H99" s="199">
        <v>1850</v>
      </c>
      <c r="I99" s="199">
        <v>1850</v>
      </c>
      <c r="J99" s="199">
        <v>3650</v>
      </c>
      <c r="K99" s="400">
        <v>6390</v>
      </c>
      <c r="L99" s="366" t="b">
        <f t="shared" si="6"/>
        <v>0</v>
      </c>
      <c r="M99" s="460"/>
      <c r="N99" s="460"/>
    </row>
    <row r="100" spans="1:15">
      <c r="A100" s="199" t="s">
        <v>1710</v>
      </c>
      <c r="B100" s="365" t="str">
        <f t="shared" si="7"/>
        <v>VRED Presenter</v>
      </c>
      <c r="C100" s="199">
        <v>315</v>
      </c>
      <c r="D100" s="200">
        <v>330</v>
      </c>
      <c r="E100" s="200">
        <v>345</v>
      </c>
      <c r="F100" s="200">
        <v>345</v>
      </c>
      <c r="G100" s="199">
        <v>345</v>
      </c>
      <c r="H100" s="199">
        <v>415</v>
      </c>
      <c r="I100" s="199">
        <v>415</v>
      </c>
      <c r="J100" s="199">
        <v>815</v>
      </c>
      <c r="K100" s="400">
        <v>1425</v>
      </c>
      <c r="L100" s="366" t="b">
        <f t="shared" ref="L100:L118" si="8">MAX(C100:K100)=MIN(C100:K100)</f>
        <v>0</v>
      </c>
      <c r="M100" s="460"/>
      <c r="N100" s="460"/>
    </row>
    <row r="101" spans="1:15">
      <c r="A101" s="199" t="s">
        <v>1711</v>
      </c>
      <c r="B101" s="365" t="str">
        <f t="shared" si="7"/>
        <v>VRED Professional</v>
      </c>
      <c r="C101" s="199">
        <v>5745</v>
      </c>
      <c r="D101" s="200">
        <v>6030</v>
      </c>
      <c r="E101" s="200">
        <v>6330</v>
      </c>
      <c r="F101" s="200">
        <v>6330</v>
      </c>
      <c r="G101" s="199">
        <v>6320</v>
      </c>
      <c r="H101" s="199">
        <v>7585</v>
      </c>
      <c r="I101" s="199">
        <v>7585</v>
      </c>
      <c r="J101" s="199">
        <v>14955</v>
      </c>
      <c r="K101" s="400">
        <v>26170</v>
      </c>
      <c r="L101" s="366" t="b">
        <f t="shared" si="8"/>
        <v>0</v>
      </c>
      <c r="M101" s="460"/>
      <c r="N101" s="460"/>
    </row>
    <row r="102" spans="1:15">
      <c r="A102" s="420" t="s">
        <v>1712</v>
      </c>
      <c r="B102" s="428" t="str">
        <f t="shared" si="7"/>
        <v>VRED Render Node</v>
      </c>
      <c r="C102" s="429">
        <v>970</v>
      </c>
      <c r="D102" s="430">
        <v>1020</v>
      </c>
      <c r="E102" s="430">
        <v>1070</v>
      </c>
      <c r="F102" s="430">
        <v>1070</v>
      </c>
      <c r="G102" s="429">
        <v>1065</v>
      </c>
      <c r="H102" s="429">
        <v>1280</v>
      </c>
      <c r="I102" s="429">
        <v>1280</v>
      </c>
      <c r="J102" s="429">
        <v>0</v>
      </c>
      <c r="K102" s="431">
        <v>2545</v>
      </c>
      <c r="L102" s="366" t="b">
        <f t="shared" si="8"/>
        <v>0</v>
      </c>
      <c r="M102" s="460"/>
      <c r="N102" s="460"/>
    </row>
    <row r="103" spans="1:15" s="415" customFormat="1">
      <c r="A103" s="388" t="s">
        <v>1713</v>
      </c>
      <c r="B103" s="423" t="str">
        <f t="shared" si="7"/>
        <v>VRED Server</v>
      </c>
      <c r="C103" s="388">
        <v>15310</v>
      </c>
      <c r="D103" s="395">
        <v>16075</v>
      </c>
      <c r="E103" s="395">
        <v>16880</v>
      </c>
      <c r="F103" s="395">
        <v>16880</v>
      </c>
      <c r="G103" s="388">
        <v>16840</v>
      </c>
      <c r="H103" s="388">
        <v>20210</v>
      </c>
      <c r="I103" s="388">
        <v>20210</v>
      </c>
      <c r="J103" s="388"/>
      <c r="K103" s="444">
        <v>47825</v>
      </c>
      <c r="L103" s="414" t="b">
        <f t="shared" si="8"/>
        <v>0</v>
      </c>
      <c r="M103" s="460"/>
      <c r="N103" s="460"/>
      <c r="O103"/>
    </row>
    <row r="104" spans="1:15">
      <c r="A104" s="388" t="s">
        <v>1967</v>
      </c>
      <c r="B104" s="423" t="str">
        <f t="shared" si="7"/>
        <v>PowerInspect - Premium</v>
      </c>
      <c r="C104" s="388"/>
      <c r="D104" s="395">
        <v>2055</v>
      </c>
      <c r="E104" s="395">
        <v>2160</v>
      </c>
      <c r="F104" s="395">
        <v>2270</v>
      </c>
      <c r="G104" s="388">
        <v>2055</v>
      </c>
      <c r="H104" s="388">
        <v>2260</v>
      </c>
      <c r="I104" s="388">
        <v>2710</v>
      </c>
      <c r="J104" s="388">
        <v>5345</v>
      </c>
      <c r="K104" s="444">
        <v>8020</v>
      </c>
      <c r="L104" s="414" t="b">
        <f t="shared" si="8"/>
        <v>0</v>
      </c>
      <c r="M104" s="460"/>
      <c r="N104" s="460"/>
    </row>
    <row r="105" spans="1:15">
      <c r="A105" s="388" t="s">
        <v>1968</v>
      </c>
      <c r="B105" s="423" t="str">
        <f t="shared" si="7"/>
        <v xml:space="preserve">PowerInspect - Standard </v>
      </c>
      <c r="C105" s="388"/>
      <c r="D105" s="395">
        <v>510</v>
      </c>
      <c r="E105" s="395">
        <v>535</v>
      </c>
      <c r="F105" s="395">
        <v>560</v>
      </c>
      <c r="G105" s="388">
        <v>510</v>
      </c>
      <c r="H105" s="388">
        <v>560</v>
      </c>
      <c r="I105" s="388">
        <v>670</v>
      </c>
      <c r="J105" s="388">
        <v>1335</v>
      </c>
      <c r="K105" s="444">
        <v>2005</v>
      </c>
      <c r="L105" s="414" t="b">
        <f t="shared" si="8"/>
        <v>0</v>
      </c>
      <c r="M105" s="460"/>
      <c r="N105" s="460"/>
    </row>
    <row r="106" spans="1:15">
      <c r="A106" s="388" t="s">
        <v>1969</v>
      </c>
      <c r="B106" s="423" t="str">
        <f t="shared" si="7"/>
        <v>PowerInspect - Ultimate</v>
      </c>
      <c r="C106" s="388"/>
      <c r="D106" s="395">
        <v>3075</v>
      </c>
      <c r="E106" s="395">
        <v>3230</v>
      </c>
      <c r="F106" s="395">
        <v>3390</v>
      </c>
      <c r="G106" s="388">
        <v>3075</v>
      </c>
      <c r="H106" s="388">
        <v>3385</v>
      </c>
      <c r="I106" s="388">
        <v>4060</v>
      </c>
      <c r="J106" s="388">
        <v>8025</v>
      </c>
      <c r="K106" s="444">
        <v>12040</v>
      </c>
      <c r="L106" s="414" t="b">
        <f t="shared" si="8"/>
        <v>0</v>
      </c>
      <c r="M106" s="460"/>
      <c r="N106" s="460"/>
    </row>
    <row r="107" spans="1:15">
      <c r="A107" s="388" t="s">
        <v>1970</v>
      </c>
      <c r="B107" s="423" t="str">
        <f t="shared" si="7"/>
        <v>PowerMill - Premium</v>
      </c>
      <c r="C107" s="388"/>
      <c r="D107" s="395">
        <v>4620</v>
      </c>
      <c r="E107" s="395">
        <v>4850</v>
      </c>
      <c r="F107" s="395">
        <v>5095</v>
      </c>
      <c r="G107" s="388">
        <v>4620</v>
      </c>
      <c r="H107" s="388">
        <v>5080</v>
      </c>
      <c r="I107" s="388">
        <v>6095</v>
      </c>
      <c r="J107" s="388">
        <v>12030</v>
      </c>
      <c r="K107" s="444">
        <v>18045</v>
      </c>
      <c r="L107" s="414" t="b">
        <f t="shared" si="8"/>
        <v>0</v>
      </c>
      <c r="M107" s="460"/>
      <c r="N107" s="460"/>
    </row>
    <row r="108" spans="1:15">
      <c r="A108" s="388" t="s">
        <v>1971</v>
      </c>
      <c r="B108" s="423" t="str">
        <f t="shared" si="7"/>
        <v>PowerMill - Standard</v>
      </c>
      <c r="C108" s="388"/>
      <c r="D108" s="395">
        <v>3075</v>
      </c>
      <c r="E108" s="395">
        <v>3230</v>
      </c>
      <c r="F108" s="395">
        <v>3390</v>
      </c>
      <c r="G108" s="388">
        <v>3075</v>
      </c>
      <c r="H108" s="388">
        <v>3385</v>
      </c>
      <c r="I108" s="388">
        <v>4060</v>
      </c>
      <c r="J108" s="388">
        <v>8025</v>
      </c>
      <c r="K108" s="444">
        <v>12040</v>
      </c>
      <c r="L108" s="414" t="b">
        <f t="shared" si="8"/>
        <v>0</v>
      </c>
      <c r="M108" s="460"/>
      <c r="N108" s="460"/>
    </row>
    <row r="109" spans="1:15">
      <c r="A109" s="388" t="s">
        <v>1972</v>
      </c>
      <c r="B109" s="423" t="str">
        <f t="shared" si="7"/>
        <v>PowerMill - Ultimate</v>
      </c>
      <c r="C109" s="388"/>
      <c r="D109" s="395">
        <v>5645</v>
      </c>
      <c r="E109" s="395">
        <v>5925</v>
      </c>
      <c r="F109" s="395">
        <v>6220</v>
      </c>
      <c r="G109" s="388">
        <v>5645</v>
      </c>
      <c r="H109" s="388">
        <v>6210</v>
      </c>
      <c r="I109" s="388">
        <v>7450</v>
      </c>
      <c r="J109" s="388">
        <v>14695</v>
      </c>
      <c r="K109" s="444">
        <v>22045</v>
      </c>
      <c r="L109" s="414" t="b">
        <f t="shared" si="8"/>
        <v>0</v>
      </c>
      <c r="M109" s="460"/>
      <c r="N109" s="460"/>
    </row>
    <row r="110" spans="1:15">
      <c r="A110" s="388" t="s">
        <v>1973</v>
      </c>
      <c r="B110" s="423" t="str">
        <f t="shared" si="7"/>
        <v>PowerShape - Premium</v>
      </c>
      <c r="C110" s="388"/>
      <c r="D110" s="395">
        <v>1645</v>
      </c>
      <c r="E110" s="395">
        <v>1725</v>
      </c>
      <c r="F110" s="395">
        <v>1810</v>
      </c>
      <c r="G110" s="388">
        <v>1645</v>
      </c>
      <c r="H110" s="388">
        <v>1810</v>
      </c>
      <c r="I110" s="388">
        <v>2170</v>
      </c>
      <c r="J110" s="388">
        <v>4275</v>
      </c>
      <c r="K110" s="444">
        <v>6415</v>
      </c>
      <c r="L110" s="414" t="b">
        <f t="shared" si="8"/>
        <v>0</v>
      </c>
      <c r="M110" s="460"/>
      <c r="N110" s="460"/>
    </row>
    <row r="111" spans="1:15">
      <c r="A111" s="388" t="s">
        <v>1974</v>
      </c>
      <c r="B111" s="423" t="str">
        <f t="shared" si="7"/>
        <v>PowerShape - Standard</v>
      </c>
      <c r="C111" s="388"/>
      <c r="D111" s="395">
        <v>1235</v>
      </c>
      <c r="E111" s="395">
        <v>1295</v>
      </c>
      <c r="F111" s="395">
        <v>1360</v>
      </c>
      <c r="G111" s="388">
        <v>1235</v>
      </c>
      <c r="H111" s="388">
        <v>1360</v>
      </c>
      <c r="I111" s="388">
        <v>1630</v>
      </c>
      <c r="J111" s="388">
        <v>3200</v>
      </c>
      <c r="K111" s="444">
        <v>4800</v>
      </c>
      <c r="L111" s="414" t="b">
        <f t="shared" si="8"/>
        <v>0</v>
      </c>
      <c r="M111" s="460"/>
      <c r="N111" s="460"/>
    </row>
    <row r="112" spans="1:15">
      <c r="A112" s="388" t="s">
        <v>1975</v>
      </c>
      <c r="B112" s="423" t="str">
        <f t="shared" si="7"/>
        <v>PowerShape - Ultimate</v>
      </c>
      <c r="C112" s="388"/>
      <c r="D112" s="395">
        <v>2055</v>
      </c>
      <c r="E112" s="395">
        <v>2160</v>
      </c>
      <c r="F112" s="395">
        <v>2270</v>
      </c>
      <c r="G112" s="388">
        <v>2055</v>
      </c>
      <c r="H112" s="388">
        <v>2260</v>
      </c>
      <c r="I112" s="388">
        <v>2710</v>
      </c>
      <c r="J112" s="388">
        <v>5345</v>
      </c>
      <c r="K112" s="444">
        <v>8020</v>
      </c>
      <c r="L112" s="414" t="b">
        <f t="shared" si="8"/>
        <v>0</v>
      </c>
      <c r="M112" s="460"/>
      <c r="N112" s="460"/>
    </row>
    <row r="113" spans="1:15">
      <c r="A113" s="388" t="s">
        <v>1976</v>
      </c>
      <c r="B113" s="423" t="str">
        <f t="shared" si="7"/>
        <v>FeatureCAM - Premium</v>
      </c>
      <c r="C113" s="388"/>
      <c r="D113" s="395">
        <v>2565</v>
      </c>
      <c r="E113" s="395">
        <v>2695</v>
      </c>
      <c r="F113" s="395">
        <v>2830</v>
      </c>
      <c r="G113" s="388">
        <v>2565</v>
      </c>
      <c r="H113" s="388">
        <v>2820</v>
      </c>
      <c r="I113" s="388">
        <v>3385</v>
      </c>
      <c r="J113" s="388">
        <v>6685</v>
      </c>
      <c r="K113" s="444">
        <v>10030</v>
      </c>
      <c r="L113" s="414" t="b">
        <f t="shared" si="8"/>
        <v>0</v>
      </c>
      <c r="M113" s="460"/>
      <c r="N113" s="460"/>
    </row>
    <row r="114" spans="1:15">
      <c r="A114" s="388" t="s">
        <v>1977</v>
      </c>
      <c r="B114" s="423" t="str">
        <f t="shared" si="7"/>
        <v>FeatureCAM - Standard</v>
      </c>
      <c r="C114" s="388"/>
      <c r="D114" s="395">
        <v>1030</v>
      </c>
      <c r="E114" s="395">
        <v>1080</v>
      </c>
      <c r="F114" s="395">
        <v>1135</v>
      </c>
      <c r="G114" s="388">
        <v>1030</v>
      </c>
      <c r="H114" s="388">
        <v>1135</v>
      </c>
      <c r="I114" s="388">
        <v>1360</v>
      </c>
      <c r="J114" s="388">
        <v>2680</v>
      </c>
      <c r="K114" s="444">
        <v>4020</v>
      </c>
      <c r="L114" s="414" t="b">
        <f t="shared" si="8"/>
        <v>0</v>
      </c>
      <c r="M114" s="460"/>
      <c r="N114" s="460"/>
    </row>
    <row r="115" spans="1:15">
      <c r="A115" s="388" t="s">
        <v>1978</v>
      </c>
      <c r="B115" s="423" t="str">
        <f t="shared" si="7"/>
        <v>FeatureCAM - Ultimate</v>
      </c>
      <c r="C115" s="388"/>
      <c r="D115" s="395">
        <v>3595</v>
      </c>
      <c r="E115" s="395">
        <v>3775</v>
      </c>
      <c r="F115" s="395">
        <v>3965</v>
      </c>
      <c r="G115" s="388">
        <v>3595</v>
      </c>
      <c r="H115" s="388">
        <v>3955</v>
      </c>
      <c r="I115" s="388">
        <v>4745</v>
      </c>
      <c r="J115" s="388">
        <v>9350</v>
      </c>
      <c r="K115" s="444">
        <v>14025</v>
      </c>
      <c r="L115" s="414" t="b">
        <f t="shared" si="8"/>
        <v>0</v>
      </c>
      <c r="M115" s="460"/>
      <c r="N115" s="460"/>
    </row>
    <row r="116" spans="1:15">
      <c r="A116" s="388" t="s">
        <v>1979</v>
      </c>
      <c r="B116" s="423" t="str">
        <f t="shared" si="7"/>
        <v>Arnold</v>
      </c>
      <c r="C116" s="388"/>
      <c r="D116" s="395">
        <v>305</v>
      </c>
      <c r="E116" s="395">
        <v>320</v>
      </c>
      <c r="F116" s="395">
        <v>335</v>
      </c>
      <c r="G116" s="388">
        <v>305</v>
      </c>
      <c r="H116" s="388">
        <v>335</v>
      </c>
      <c r="I116" s="388">
        <v>400</v>
      </c>
      <c r="J116" s="388"/>
      <c r="K116" s="444">
        <v>800</v>
      </c>
      <c r="L116" s="414" t="b">
        <f t="shared" si="8"/>
        <v>0</v>
      </c>
      <c r="M116" s="460"/>
      <c r="N116" s="460"/>
    </row>
    <row r="117" spans="1:15" s="415" customFormat="1">
      <c r="A117" s="388" t="s">
        <v>387</v>
      </c>
      <c r="B117" s="423" t="str">
        <f>M2S_Eligibility_List!$E$21</f>
        <v>Media and Entertainment Collection</v>
      </c>
      <c r="C117" s="424"/>
      <c r="D117" s="388">
        <v>1245</v>
      </c>
      <c r="E117" s="388">
        <v>1305</v>
      </c>
      <c r="F117" s="388">
        <v>1305</v>
      </c>
      <c r="G117" s="424"/>
      <c r="H117" s="424"/>
      <c r="I117" s="424"/>
      <c r="J117" s="388">
        <v>2730</v>
      </c>
      <c r="K117" s="445">
        <v>3820</v>
      </c>
      <c r="L117" s="414" t="b">
        <f t="shared" si="8"/>
        <v>0</v>
      </c>
      <c r="M117" s="460"/>
      <c r="N117" s="460"/>
      <c r="O117"/>
    </row>
    <row r="118" spans="1:15" s="415" customFormat="1">
      <c r="A118" s="388" t="s">
        <v>301</v>
      </c>
      <c r="B118" s="423" t="str">
        <f>M2S_Eligibility_List!$D$21</f>
        <v>Product Design &amp; Manufacturing Collection</v>
      </c>
      <c r="C118" s="424"/>
      <c r="D118" s="388">
        <v>1150</v>
      </c>
      <c r="E118" s="388">
        <v>1210</v>
      </c>
      <c r="F118" s="388">
        <v>1210</v>
      </c>
      <c r="G118" s="424"/>
      <c r="H118" s="424"/>
      <c r="I118" s="424"/>
      <c r="J118" s="388">
        <v>3295</v>
      </c>
      <c r="K118" s="445">
        <v>4615</v>
      </c>
      <c r="L118" s="414" t="b">
        <f t="shared" si="8"/>
        <v>0</v>
      </c>
      <c r="M118" s="460"/>
      <c r="N118" s="460"/>
    </row>
    <row r="119" spans="1:15">
      <c r="A119" s="191"/>
      <c r="B119" s="191"/>
      <c r="C119" s="191"/>
      <c r="D119" s="191"/>
      <c r="E119" s="191"/>
      <c r="F119" s="191"/>
      <c r="G119" s="191"/>
      <c r="H119" s="191"/>
      <c r="I119" s="191"/>
      <c r="J119" s="191"/>
      <c r="K119" s="191" t="s">
        <v>608</v>
      </c>
      <c r="L119" s="191"/>
    </row>
    <row r="120" spans="1:15" ht="14.25" customHeight="1">
      <c r="E120" s="457"/>
    </row>
    <row r="121" spans="1:15" ht="14.25" customHeight="1">
      <c r="E121" s="457"/>
    </row>
    <row r="122" spans="1:15" ht="14.25" customHeight="1">
      <c r="E122" s="457"/>
    </row>
    <row r="123" spans="1:15" ht="14.25" customHeight="1">
      <c r="E123" s="457"/>
    </row>
    <row r="124" spans="1:15" ht="14.25" customHeight="1">
      <c r="E124" s="457"/>
    </row>
    <row r="125" spans="1:15" ht="14.25" customHeight="1">
      <c r="E125" s="457"/>
    </row>
    <row r="126" spans="1:15" ht="14.25" customHeight="1">
      <c r="E126" s="457"/>
    </row>
    <row r="127" spans="1:15" ht="14.25" customHeight="1">
      <c r="E127" s="457"/>
    </row>
    <row r="128" spans="1:15" ht="14.25" customHeight="1">
      <c r="E128" s="457"/>
    </row>
    <row r="129" spans="5:5" ht="14.25" customHeight="1">
      <c r="E129" s="457"/>
    </row>
    <row r="130" spans="5:5" ht="14.25" customHeight="1">
      <c r="E130" s="457"/>
    </row>
    <row r="131" spans="5:5" ht="14.25" customHeight="1">
      <c r="E131" s="457"/>
    </row>
    <row r="132" spans="5:5" ht="14.25" customHeight="1">
      <c r="E132" s="457"/>
    </row>
  </sheetData>
  <autoFilter ref="A2:L118">
    <sortState ref="A3:L119">
      <sortCondition ref="A2:A118"/>
    </sortState>
  </autoFilter>
  <mergeCells count="3">
    <mergeCell ref="J1:K1"/>
    <mergeCell ref="D1:F1"/>
    <mergeCell ref="G1:I1"/>
  </mergeCells>
  <conditionalFormatting sqref="A102 A4:A13 A83:A100 A15:A16 A18:A81">
    <cfRule type="duplicateValues" dxfId="26" priority="25"/>
  </conditionalFormatting>
  <conditionalFormatting sqref="L3:L13 L15:L16 L18:L81 L83:L118">
    <cfRule type="cellIs" dxfId="25" priority="22" operator="equal">
      <formula>TRUE</formula>
    </cfRule>
  </conditionalFormatting>
  <conditionalFormatting sqref="A101">
    <cfRule type="duplicateValues" dxfId="24" priority="21"/>
  </conditionalFormatting>
  <conditionalFormatting sqref="L101">
    <cfRule type="cellIs" dxfId="23" priority="20" operator="equal">
      <formula>TRUE</formula>
    </cfRule>
  </conditionalFormatting>
  <conditionalFormatting sqref="A51:A59">
    <cfRule type="duplicateValues" dxfId="22" priority="98"/>
  </conditionalFormatting>
  <conditionalFormatting sqref="L82">
    <cfRule type="cellIs" dxfId="21" priority="19" operator="equal">
      <formula>TRUE</formula>
    </cfRule>
  </conditionalFormatting>
  <conditionalFormatting sqref="A17">
    <cfRule type="duplicateValues" dxfId="20" priority="14"/>
  </conditionalFormatting>
  <conditionalFormatting sqref="L17">
    <cfRule type="cellIs" dxfId="19" priority="13" operator="equal">
      <formula>TRUE</formula>
    </cfRule>
  </conditionalFormatting>
  <conditionalFormatting sqref="A14">
    <cfRule type="duplicateValues" dxfId="18" priority="10"/>
  </conditionalFormatting>
  <conditionalFormatting sqref="L14">
    <cfRule type="cellIs" dxfId="17" priority="9" operator="equal">
      <formula>TRUE</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N132"/>
  <sheetViews>
    <sheetView zoomScale="80" zoomScaleNormal="80" workbookViewId="0">
      <pane ySplit="2" topLeftCell="A87" activePane="bottomLeft" state="frozen"/>
      <selection pane="bottomLeft" activeCell="A104" sqref="A104:XFD104"/>
    </sheetView>
  </sheetViews>
  <sheetFormatPr defaultColWidth="8.796875" defaultRowHeight="14.25" customHeight="1"/>
  <cols>
    <col min="1" max="1" width="46.19921875" bestFit="1" customWidth="1"/>
    <col min="2" max="2" width="38.5" bestFit="1" customWidth="1"/>
    <col min="3" max="11" width="15.69921875" customWidth="1"/>
    <col min="12" max="12" width="21.796875" bestFit="1" customWidth="1"/>
    <col min="13" max="13" width="39.59765625" bestFit="1" customWidth="1"/>
  </cols>
  <sheetData>
    <row r="1" spans="1:14">
      <c r="A1" s="173"/>
      <c r="B1" s="181"/>
      <c r="C1" s="173" t="s">
        <v>407</v>
      </c>
      <c r="D1" s="463" t="s">
        <v>406</v>
      </c>
      <c r="E1" s="463"/>
      <c r="F1" s="464"/>
      <c r="G1" s="465" t="s">
        <v>405</v>
      </c>
      <c r="H1" s="463"/>
      <c r="I1" s="464"/>
      <c r="J1" s="465" t="s">
        <v>404</v>
      </c>
      <c r="K1" s="464"/>
      <c r="L1" s="174"/>
    </row>
    <row r="2" spans="1:14">
      <c r="A2" s="182" t="s">
        <v>403</v>
      </c>
      <c r="B2" s="183" t="s">
        <v>408</v>
      </c>
      <c r="C2" s="177"/>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4">
      <c r="A3" s="184" t="s">
        <v>300</v>
      </c>
      <c r="B3" s="207" t="str">
        <f>M2S_Eligibility_List!C21</f>
        <v>Architecture Engineering Construction Collection</v>
      </c>
      <c r="C3" s="186"/>
      <c r="D3" s="189">
        <v>1325</v>
      </c>
      <c r="E3" s="189">
        <v>1390</v>
      </c>
      <c r="F3" s="190">
        <v>1390</v>
      </c>
      <c r="G3" s="192"/>
      <c r="H3" s="187"/>
      <c r="I3" s="188"/>
      <c r="J3" s="186">
        <v>3005</v>
      </c>
      <c r="K3" s="190">
        <v>4205</v>
      </c>
      <c r="L3" s="366" t="b">
        <f t="shared" ref="L3:L36" si="0">MAX(C3:K3)=MIN(C3:K3)</f>
        <v>0</v>
      </c>
      <c r="M3" s="460"/>
      <c r="N3" s="460"/>
    </row>
    <row r="4" spans="1:14">
      <c r="A4" s="184" t="s">
        <v>270</v>
      </c>
      <c r="B4" s="207" t="str">
        <f t="shared" ref="B4:B52" si="1">VLOOKUP(IF(LEFT(A4,LEN(nmADwSP))=nmADwSP,RIGHT(A4,LEN(A4)-LEN(nmADwSP)),A4),DataPaths_List_ProdMT_NonCurrency,1,FALSE)</f>
        <v>3ds Max</v>
      </c>
      <c r="C4" s="186">
        <v>715</v>
      </c>
      <c r="D4" s="187">
        <v>790</v>
      </c>
      <c r="E4" s="187">
        <v>830</v>
      </c>
      <c r="F4" s="188">
        <v>830</v>
      </c>
      <c r="G4" s="186">
        <v>825</v>
      </c>
      <c r="H4" s="189">
        <v>990</v>
      </c>
      <c r="I4" s="190">
        <v>990</v>
      </c>
      <c r="J4" s="186">
        <v>1640</v>
      </c>
      <c r="K4" s="404">
        <v>2870</v>
      </c>
      <c r="L4" s="366" t="b">
        <f t="shared" si="0"/>
        <v>0</v>
      </c>
      <c r="M4" s="460"/>
      <c r="N4" s="460"/>
    </row>
    <row r="5" spans="1:14">
      <c r="A5" s="184" t="s">
        <v>271</v>
      </c>
      <c r="B5" s="207" t="str">
        <f t="shared" si="1"/>
        <v>3ds Max Entertainment Creation Suite Standard</v>
      </c>
      <c r="C5" s="186">
        <v>975</v>
      </c>
      <c r="D5" s="187" t="s">
        <v>389</v>
      </c>
      <c r="E5" s="187" t="s">
        <v>389</v>
      </c>
      <c r="F5" s="188" t="s">
        <v>389</v>
      </c>
      <c r="G5" s="186">
        <v>1130</v>
      </c>
      <c r="H5" s="189">
        <v>1355</v>
      </c>
      <c r="I5" s="190">
        <v>1355</v>
      </c>
      <c r="J5" s="186"/>
      <c r="K5" s="190"/>
      <c r="L5" s="366" t="b">
        <f t="shared" si="0"/>
        <v>0</v>
      </c>
      <c r="M5" s="460"/>
      <c r="N5" s="460"/>
    </row>
    <row r="6" spans="1:14">
      <c r="A6" s="184" t="s">
        <v>1799</v>
      </c>
      <c r="B6" s="207" t="str">
        <f t="shared" si="1"/>
        <v>3ds Max with Softimage</v>
      </c>
      <c r="C6" s="186">
        <v>750</v>
      </c>
      <c r="D6" s="187"/>
      <c r="E6" s="187"/>
      <c r="F6" s="188"/>
      <c r="G6" s="186">
        <v>825</v>
      </c>
      <c r="H6" s="189">
        <v>990</v>
      </c>
      <c r="I6" s="190">
        <v>990</v>
      </c>
      <c r="J6" s="186">
        <v>1600</v>
      </c>
      <c r="K6" s="190"/>
      <c r="L6" s="366" t="b">
        <f t="shared" si="0"/>
        <v>0</v>
      </c>
      <c r="M6" s="460"/>
      <c r="N6" s="460"/>
    </row>
    <row r="7" spans="1:14">
      <c r="A7" s="184" t="s">
        <v>1669</v>
      </c>
      <c r="B7" s="207" t="str">
        <f t="shared" si="1"/>
        <v>Advance Steel</v>
      </c>
      <c r="C7" s="186">
        <v>1460</v>
      </c>
      <c r="D7" s="187">
        <v>1535</v>
      </c>
      <c r="E7" s="187">
        <v>1610</v>
      </c>
      <c r="F7" s="188">
        <v>1610</v>
      </c>
      <c r="G7" s="186">
        <v>1605</v>
      </c>
      <c r="H7" s="189">
        <v>1925</v>
      </c>
      <c r="I7" s="190">
        <v>1925</v>
      </c>
      <c r="J7" s="186">
        <v>2120</v>
      </c>
      <c r="K7" s="404">
        <v>3710</v>
      </c>
      <c r="L7" s="366" t="b">
        <f t="shared" si="0"/>
        <v>0</v>
      </c>
      <c r="M7" s="460"/>
      <c r="N7" s="460"/>
    </row>
    <row r="8" spans="1:14">
      <c r="A8" s="184" t="s">
        <v>1670</v>
      </c>
      <c r="B8" s="207" t="str">
        <f t="shared" si="1"/>
        <v>Alias AutoStudio</v>
      </c>
      <c r="C8" s="186">
        <v>8070</v>
      </c>
      <c r="D8" s="187">
        <v>8475</v>
      </c>
      <c r="E8" s="187">
        <v>8900</v>
      </c>
      <c r="F8" s="188">
        <v>8900</v>
      </c>
      <c r="G8" s="186">
        <v>8875</v>
      </c>
      <c r="H8" s="189">
        <v>10650</v>
      </c>
      <c r="I8" s="190">
        <v>10650</v>
      </c>
      <c r="J8" s="186">
        <v>16135</v>
      </c>
      <c r="K8" s="404">
        <v>28235</v>
      </c>
      <c r="L8" s="366" t="b">
        <f t="shared" si="0"/>
        <v>0</v>
      </c>
      <c r="M8" s="460"/>
      <c r="N8" s="460"/>
    </row>
    <row r="9" spans="1:14">
      <c r="A9" s="184" t="s">
        <v>1671</v>
      </c>
      <c r="B9" s="207" t="str">
        <f t="shared" si="1"/>
        <v>Alias Concept</v>
      </c>
      <c r="C9" s="186">
        <v>1810</v>
      </c>
      <c r="D9" s="187">
        <v>1900</v>
      </c>
      <c r="E9" s="187">
        <v>1995</v>
      </c>
      <c r="F9" s="188">
        <v>1995</v>
      </c>
      <c r="G9" s="186">
        <v>1990</v>
      </c>
      <c r="H9" s="189">
        <v>2390</v>
      </c>
      <c r="I9" s="190">
        <v>2390</v>
      </c>
      <c r="J9" s="186">
        <v>4500</v>
      </c>
      <c r="K9" s="404">
        <v>7875</v>
      </c>
      <c r="L9" s="366" t="b">
        <f t="shared" si="0"/>
        <v>0</v>
      </c>
      <c r="M9" s="460"/>
      <c r="N9" s="460"/>
    </row>
    <row r="10" spans="1:14">
      <c r="A10" s="184" t="s">
        <v>1672</v>
      </c>
      <c r="B10" s="207" t="str">
        <f t="shared" si="1"/>
        <v>Alias Design</v>
      </c>
      <c r="C10" s="186">
        <v>1105</v>
      </c>
      <c r="D10" s="187">
        <v>1160</v>
      </c>
      <c r="E10" s="187">
        <v>1220</v>
      </c>
      <c r="F10" s="188">
        <v>1220</v>
      </c>
      <c r="G10" s="186">
        <v>1215</v>
      </c>
      <c r="H10" s="189">
        <v>1460</v>
      </c>
      <c r="I10" s="190">
        <v>1460</v>
      </c>
      <c r="J10" s="186">
        <v>2770</v>
      </c>
      <c r="K10" s="404">
        <v>4850</v>
      </c>
      <c r="L10" s="366" t="b">
        <f t="shared" si="0"/>
        <v>0</v>
      </c>
      <c r="M10" s="460"/>
      <c r="N10" s="460"/>
    </row>
    <row r="11" spans="1:14">
      <c r="A11" s="184" t="s">
        <v>1673</v>
      </c>
      <c r="B11" s="207" t="str">
        <f t="shared" si="1"/>
        <v>Alias SpeedForm</v>
      </c>
      <c r="C11" s="186">
        <v>1065</v>
      </c>
      <c r="D11" s="187">
        <v>1120</v>
      </c>
      <c r="E11" s="187">
        <v>1175</v>
      </c>
      <c r="F11" s="188">
        <v>1175</v>
      </c>
      <c r="G11" s="186">
        <v>1170</v>
      </c>
      <c r="H11" s="189">
        <v>1405</v>
      </c>
      <c r="I11" s="190">
        <v>1405</v>
      </c>
      <c r="J11" s="186">
        <v>2625</v>
      </c>
      <c r="K11" s="404">
        <v>4595</v>
      </c>
      <c r="L11" s="366" t="b">
        <f t="shared" si="0"/>
        <v>0</v>
      </c>
      <c r="M11" s="460"/>
      <c r="N11" s="460"/>
    </row>
    <row r="12" spans="1:14">
      <c r="A12" s="184" t="s">
        <v>1674</v>
      </c>
      <c r="B12" s="207" t="str">
        <f t="shared" si="1"/>
        <v>Alias Surface</v>
      </c>
      <c r="C12" s="186">
        <v>3780</v>
      </c>
      <c r="D12" s="187">
        <v>3970</v>
      </c>
      <c r="E12" s="187">
        <v>4170</v>
      </c>
      <c r="F12" s="188">
        <v>4170</v>
      </c>
      <c r="G12" s="186">
        <v>4160</v>
      </c>
      <c r="H12" s="189">
        <v>4990</v>
      </c>
      <c r="I12" s="190">
        <v>4990</v>
      </c>
      <c r="J12" s="186">
        <v>9380</v>
      </c>
      <c r="K12" s="404">
        <v>16415</v>
      </c>
      <c r="L12" s="366" t="b">
        <f t="shared" si="0"/>
        <v>0</v>
      </c>
      <c r="M12" s="460"/>
      <c r="N12" s="460"/>
    </row>
    <row r="13" spans="1:14">
      <c r="A13" s="184" t="s">
        <v>272</v>
      </c>
      <c r="B13" s="207" t="str">
        <f t="shared" si="1"/>
        <v>AutoCAD</v>
      </c>
      <c r="C13" s="186">
        <v>725</v>
      </c>
      <c r="D13" s="187" t="s">
        <v>1927</v>
      </c>
      <c r="E13" s="187" t="s">
        <v>1927</v>
      </c>
      <c r="F13" s="188" t="s">
        <v>1927</v>
      </c>
      <c r="G13" s="186">
        <v>835</v>
      </c>
      <c r="H13" s="189">
        <v>1000</v>
      </c>
      <c r="I13" s="190">
        <v>1000</v>
      </c>
      <c r="J13" s="186" t="s">
        <v>1927</v>
      </c>
      <c r="K13" s="404" t="s">
        <v>1927</v>
      </c>
      <c r="L13" s="366" t="b">
        <f t="shared" si="0"/>
        <v>0</v>
      </c>
      <c r="M13" s="460"/>
      <c r="N13" s="460"/>
    </row>
    <row r="14" spans="1:14">
      <c r="A14" s="184" t="s">
        <v>272</v>
      </c>
      <c r="B14" s="458" t="str">
        <f>SUBSTITUTE(M2S_Eligibility_List!M$21,nmADwSP,"")</f>
        <v>AutoCAD - including specialized toolsets</v>
      </c>
      <c r="C14" s="186" t="s">
        <v>1928</v>
      </c>
      <c r="D14" s="187">
        <v>825</v>
      </c>
      <c r="E14" s="187">
        <v>865</v>
      </c>
      <c r="F14" s="188">
        <v>865</v>
      </c>
      <c r="G14" s="186" t="s">
        <v>1928</v>
      </c>
      <c r="H14" s="189" t="s">
        <v>1928</v>
      </c>
      <c r="I14" s="190" t="s">
        <v>1928</v>
      </c>
      <c r="J14" s="186">
        <v>1715</v>
      </c>
      <c r="K14" s="404">
        <v>3000</v>
      </c>
      <c r="L14" s="366" t="b">
        <f t="shared" ref="L14" si="2">MAX(C14:K14)=MIN(C14:K14)</f>
        <v>0</v>
      </c>
      <c r="M14" s="460"/>
      <c r="N14" s="460"/>
    </row>
    <row r="15" spans="1:14">
      <c r="A15" s="184" t="s">
        <v>273</v>
      </c>
      <c r="B15" s="207" t="str">
        <f t="shared" si="1"/>
        <v>AutoCAD Architecture</v>
      </c>
      <c r="C15" s="186">
        <v>870</v>
      </c>
      <c r="D15" s="187">
        <v>960</v>
      </c>
      <c r="E15" s="187">
        <v>1010</v>
      </c>
      <c r="F15" s="188">
        <v>1010</v>
      </c>
      <c r="G15" s="186">
        <v>1005</v>
      </c>
      <c r="H15" s="189">
        <v>1205</v>
      </c>
      <c r="I15" s="190">
        <v>1205</v>
      </c>
      <c r="J15" s="186">
        <v>1715</v>
      </c>
      <c r="K15" s="404">
        <v>3000</v>
      </c>
      <c r="L15" s="366" t="b">
        <f t="shared" si="0"/>
        <v>0</v>
      </c>
      <c r="M15" s="460"/>
      <c r="N15" s="460"/>
    </row>
    <row r="16" spans="1:14">
      <c r="A16" s="184" t="s">
        <v>1785</v>
      </c>
      <c r="B16" s="207" t="str">
        <f t="shared" si="1"/>
        <v>AutoCAD Civil 3D*</v>
      </c>
      <c r="C16" s="186">
        <v>1080</v>
      </c>
      <c r="D16" s="187" t="s">
        <v>1927</v>
      </c>
      <c r="E16" s="187" t="s">
        <v>1927</v>
      </c>
      <c r="F16" s="188" t="s">
        <v>1927</v>
      </c>
      <c r="G16" s="186">
        <v>1190</v>
      </c>
      <c r="H16" s="189">
        <v>1430</v>
      </c>
      <c r="I16" s="190">
        <v>1430</v>
      </c>
      <c r="J16" s="186" t="s">
        <v>1927</v>
      </c>
      <c r="K16" s="404" t="s">
        <v>1927</v>
      </c>
      <c r="L16" s="366" t="b">
        <f t="shared" si="0"/>
        <v>0</v>
      </c>
      <c r="M16" s="460"/>
      <c r="N16" s="460"/>
    </row>
    <row r="17" spans="1:14">
      <c r="A17" s="184" t="s">
        <v>1785</v>
      </c>
      <c r="B17" s="458" t="str">
        <f>SUBSTITUTE(VLOOKUP(IF(LEFT(A17,LEN(nmADwSP))=nmADwSP,RIGHT(A17,LEN(A17)-LEN(nmADwSP)),A17),DataPaths_List_ProdMT_NonCurrency,1,FALSE),nmAutoCAD,"")</f>
        <v>Civil 3D*</v>
      </c>
      <c r="C17" s="186" t="s">
        <v>1928</v>
      </c>
      <c r="D17" s="187">
        <v>1135</v>
      </c>
      <c r="E17" s="187">
        <v>1190</v>
      </c>
      <c r="F17" s="188">
        <v>1190</v>
      </c>
      <c r="G17" s="186" t="s">
        <v>1928</v>
      </c>
      <c r="H17" s="189" t="s">
        <v>1928</v>
      </c>
      <c r="I17" s="190" t="s">
        <v>1928</v>
      </c>
      <c r="J17" s="186">
        <v>2345</v>
      </c>
      <c r="K17" s="404">
        <v>3520</v>
      </c>
      <c r="L17" s="366" t="b">
        <f t="shared" ref="L17" si="3">MAX(C17:K17)=MIN(C17:K17)</f>
        <v>0</v>
      </c>
      <c r="M17" s="460"/>
      <c r="N17" s="460"/>
    </row>
    <row r="18" spans="1:14">
      <c r="A18" s="184" t="s">
        <v>274</v>
      </c>
      <c r="B18" s="207" t="str">
        <f t="shared" si="1"/>
        <v>AutoCAD Design Suite Premium</v>
      </c>
      <c r="C18" s="186">
        <v>1015</v>
      </c>
      <c r="D18" s="187" t="s">
        <v>389</v>
      </c>
      <c r="E18" s="187" t="s">
        <v>389</v>
      </c>
      <c r="F18" s="188" t="s">
        <v>389</v>
      </c>
      <c r="G18" s="186">
        <v>1170</v>
      </c>
      <c r="H18" s="189">
        <v>1405</v>
      </c>
      <c r="I18" s="190">
        <v>1405</v>
      </c>
      <c r="J18" s="186"/>
      <c r="K18" s="190"/>
      <c r="L18" s="366" t="b">
        <f t="shared" si="0"/>
        <v>0</v>
      </c>
      <c r="M18" s="460"/>
      <c r="N18" s="460"/>
    </row>
    <row r="19" spans="1:14">
      <c r="A19" s="184" t="s">
        <v>275</v>
      </c>
      <c r="B19" s="207" t="str">
        <f t="shared" si="1"/>
        <v>AutoCAD Design Suite Standard</v>
      </c>
      <c r="C19" s="186">
        <v>720</v>
      </c>
      <c r="D19" s="187" t="s">
        <v>389</v>
      </c>
      <c r="E19" s="187" t="s">
        <v>389</v>
      </c>
      <c r="F19" s="188" t="s">
        <v>389</v>
      </c>
      <c r="G19" s="186">
        <v>830</v>
      </c>
      <c r="H19" s="189">
        <v>995</v>
      </c>
      <c r="I19" s="190">
        <v>995</v>
      </c>
      <c r="J19" s="186"/>
      <c r="K19" s="190"/>
      <c r="L19" s="366" t="b">
        <f t="shared" si="0"/>
        <v>0</v>
      </c>
      <c r="M19" s="460"/>
      <c r="N19" s="460"/>
    </row>
    <row r="20" spans="1:14">
      <c r="A20" s="184" t="s">
        <v>1795</v>
      </c>
      <c r="B20" s="207" t="str">
        <f t="shared" si="1"/>
        <v>AutoCAD Design Suite Ultimate</v>
      </c>
      <c r="C20" s="186">
        <v>1300</v>
      </c>
      <c r="D20" s="187"/>
      <c r="E20" s="187"/>
      <c r="F20" s="188"/>
      <c r="G20" s="186">
        <v>1430</v>
      </c>
      <c r="H20" s="189">
        <v>1715</v>
      </c>
      <c r="I20" s="190">
        <v>1715</v>
      </c>
      <c r="J20" s="186"/>
      <c r="K20" s="190"/>
      <c r="L20" s="366" t="b">
        <f t="shared" si="0"/>
        <v>0</v>
      </c>
      <c r="M20" s="460"/>
      <c r="N20" s="460"/>
    </row>
    <row r="21" spans="1:14">
      <c r="A21" s="184" t="s">
        <v>1786</v>
      </c>
      <c r="B21" s="207" t="str">
        <f t="shared" si="1"/>
        <v>AutoCAD Electrical*</v>
      </c>
      <c r="C21" s="186">
        <v>945</v>
      </c>
      <c r="D21" s="187">
        <v>950</v>
      </c>
      <c r="E21" s="187">
        <v>1000</v>
      </c>
      <c r="F21" s="188">
        <v>1000</v>
      </c>
      <c r="G21" s="186">
        <v>1090</v>
      </c>
      <c r="H21" s="189">
        <v>1310</v>
      </c>
      <c r="I21" s="190">
        <v>1310</v>
      </c>
      <c r="J21" s="186">
        <v>1715</v>
      </c>
      <c r="K21" s="404">
        <v>3000</v>
      </c>
      <c r="L21" s="366" t="b">
        <f t="shared" si="0"/>
        <v>0</v>
      </c>
      <c r="M21" s="460"/>
      <c r="N21" s="460"/>
    </row>
    <row r="22" spans="1:14">
      <c r="A22" s="184" t="s">
        <v>391</v>
      </c>
      <c r="B22" s="207" t="str">
        <f t="shared" si="1"/>
        <v>AutoCAD Inventor LT Suite</v>
      </c>
      <c r="C22" s="186">
        <v>275</v>
      </c>
      <c r="D22" s="187">
        <v>305</v>
      </c>
      <c r="E22" s="187">
        <v>320</v>
      </c>
      <c r="F22" s="188">
        <v>320</v>
      </c>
      <c r="G22" s="186">
        <v>320</v>
      </c>
      <c r="H22" s="189">
        <v>385</v>
      </c>
      <c r="I22" s="190">
        <v>385</v>
      </c>
      <c r="J22" s="186">
        <v>565</v>
      </c>
      <c r="K22" s="190"/>
      <c r="L22" s="366" t="b">
        <f t="shared" si="0"/>
        <v>0</v>
      </c>
      <c r="M22" s="460"/>
      <c r="N22" s="460"/>
    </row>
    <row r="23" spans="1:14">
      <c r="A23" s="184" t="s">
        <v>276</v>
      </c>
      <c r="B23" s="207" t="str">
        <f t="shared" si="1"/>
        <v>AutoCAD LT</v>
      </c>
      <c r="C23" s="186">
        <v>220</v>
      </c>
      <c r="D23" s="187">
        <v>240</v>
      </c>
      <c r="E23" s="187">
        <v>250</v>
      </c>
      <c r="F23" s="188">
        <v>250</v>
      </c>
      <c r="G23" s="186">
        <v>255</v>
      </c>
      <c r="H23" s="189">
        <v>305</v>
      </c>
      <c r="I23" s="190">
        <v>305</v>
      </c>
      <c r="J23" s="186">
        <v>390</v>
      </c>
      <c r="K23" s="404">
        <v>775</v>
      </c>
      <c r="L23" s="366" t="b">
        <f t="shared" si="0"/>
        <v>0</v>
      </c>
      <c r="M23" s="460"/>
      <c r="N23" s="460"/>
    </row>
    <row r="24" spans="1:14">
      <c r="A24" s="184" t="s">
        <v>1675</v>
      </c>
      <c r="B24" s="207" t="str">
        <f t="shared" si="1"/>
        <v>AutoCAD LT with CALS Tools</v>
      </c>
      <c r="C24" s="186">
        <v>0</v>
      </c>
      <c r="D24" s="187">
        <v>0</v>
      </c>
      <c r="E24" s="187">
        <v>0</v>
      </c>
      <c r="F24" s="188">
        <v>0</v>
      </c>
      <c r="G24" s="186">
        <v>0</v>
      </c>
      <c r="H24" s="189">
        <v>0</v>
      </c>
      <c r="I24" s="190">
        <v>0</v>
      </c>
      <c r="J24" s="186">
        <v>0</v>
      </c>
      <c r="K24" s="190">
        <v>0</v>
      </c>
      <c r="L24" s="366" t="b">
        <f t="shared" si="0"/>
        <v>1</v>
      </c>
      <c r="M24" s="460"/>
      <c r="N24" s="460"/>
    </row>
    <row r="25" spans="1:14">
      <c r="A25" s="184" t="s">
        <v>277</v>
      </c>
      <c r="B25" s="207" t="str">
        <f t="shared" si="1"/>
        <v>AutoCAD Map 3D</v>
      </c>
      <c r="C25" s="186">
        <v>900</v>
      </c>
      <c r="D25" s="187">
        <v>990</v>
      </c>
      <c r="E25" s="187">
        <v>1040</v>
      </c>
      <c r="F25" s="188">
        <v>1040</v>
      </c>
      <c r="G25" s="186">
        <v>1040</v>
      </c>
      <c r="H25" s="189">
        <v>1250</v>
      </c>
      <c r="I25" s="190">
        <v>1250</v>
      </c>
      <c r="J25" s="186">
        <v>1715</v>
      </c>
      <c r="K25" s="404">
        <v>3000</v>
      </c>
      <c r="L25" s="366" t="b">
        <f t="shared" si="0"/>
        <v>0</v>
      </c>
      <c r="M25" s="460"/>
      <c r="N25" s="460"/>
    </row>
    <row r="26" spans="1:14">
      <c r="A26" s="184" t="s">
        <v>278</v>
      </c>
      <c r="B26" s="207" t="str">
        <f t="shared" si="1"/>
        <v>AutoCAD Mechanical</v>
      </c>
      <c r="C26" s="186">
        <v>765</v>
      </c>
      <c r="D26" s="403">
        <v>845</v>
      </c>
      <c r="E26" s="403">
        <v>885</v>
      </c>
      <c r="F26" s="188">
        <v>885</v>
      </c>
      <c r="G26" s="186">
        <v>885</v>
      </c>
      <c r="H26" s="390">
        <v>1060</v>
      </c>
      <c r="I26" s="190">
        <v>1060</v>
      </c>
      <c r="J26" s="186">
        <v>1715</v>
      </c>
      <c r="K26" s="404">
        <v>3000</v>
      </c>
      <c r="L26" s="366" t="b">
        <f t="shared" si="0"/>
        <v>0</v>
      </c>
      <c r="M26" s="460"/>
      <c r="N26" s="460"/>
    </row>
    <row r="27" spans="1:14">
      <c r="A27" s="184" t="s">
        <v>279</v>
      </c>
      <c r="B27" s="207" t="str">
        <f t="shared" si="1"/>
        <v>AutoCAD MEP</v>
      </c>
      <c r="C27" s="186">
        <v>900</v>
      </c>
      <c r="D27" s="187">
        <v>990</v>
      </c>
      <c r="E27" s="187">
        <v>1040</v>
      </c>
      <c r="F27" s="188">
        <v>1040</v>
      </c>
      <c r="G27" s="186">
        <v>1040</v>
      </c>
      <c r="H27" s="189">
        <v>1250</v>
      </c>
      <c r="I27" s="190">
        <v>1250</v>
      </c>
      <c r="J27" s="186">
        <v>1715</v>
      </c>
      <c r="K27" s="404">
        <v>3000</v>
      </c>
      <c r="L27" s="366" t="b">
        <f t="shared" si="0"/>
        <v>0</v>
      </c>
      <c r="M27" s="460"/>
      <c r="N27" s="460"/>
    </row>
    <row r="28" spans="1:14">
      <c r="A28" s="184" t="s">
        <v>280</v>
      </c>
      <c r="B28" s="207" t="str">
        <f t="shared" si="1"/>
        <v>AutoCAD P&amp;ID</v>
      </c>
      <c r="C28" s="186">
        <v>945</v>
      </c>
      <c r="D28" s="187">
        <v>1220</v>
      </c>
      <c r="E28" s="187">
        <v>1280</v>
      </c>
      <c r="F28" s="188">
        <v>1280</v>
      </c>
      <c r="G28" s="186">
        <v>1090</v>
      </c>
      <c r="H28" s="189">
        <v>1310</v>
      </c>
      <c r="I28" s="190">
        <v>1310</v>
      </c>
      <c r="J28" s="186"/>
      <c r="K28" s="190"/>
      <c r="L28" s="366" t="b">
        <f t="shared" si="0"/>
        <v>0</v>
      </c>
      <c r="M28" s="460"/>
      <c r="N28" s="460"/>
    </row>
    <row r="29" spans="1:14">
      <c r="A29" s="184" t="s">
        <v>1787</v>
      </c>
      <c r="B29" s="207" t="str">
        <f t="shared" si="1"/>
        <v>AutoCAD Plant 3D*</v>
      </c>
      <c r="C29" s="186">
        <v>1615</v>
      </c>
      <c r="D29" s="402">
        <v>1220</v>
      </c>
      <c r="E29" s="402">
        <v>1280</v>
      </c>
      <c r="F29" s="389">
        <v>1280</v>
      </c>
      <c r="G29" s="186">
        <v>1865</v>
      </c>
      <c r="H29" s="189">
        <v>2240</v>
      </c>
      <c r="I29" s="190">
        <v>2240</v>
      </c>
      <c r="J29" s="186">
        <v>1715</v>
      </c>
      <c r="K29" s="404">
        <v>3000</v>
      </c>
      <c r="L29" s="366" t="b">
        <f t="shared" si="0"/>
        <v>0</v>
      </c>
      <c r="M29" s="460"/>
      <c r="N29" s="460"/>
    </row>
    <row r="30" spans="1:14">
      <c r="A30" s="184" t="s">
        <v>281</v>
      </c>
      <c r="B30" s="207" t="str">
        <f t="shared" si="1"/>
        <v>AutoCAD Raster Design</v>
      </c>
      <c r="C30" s="186">
        <v>360</v>
      </c>
      <c r="D30" s="187">
        <v>400</v>
      </c>
      <c r="E30" s="187">
        <v>420</v>
      </c>
      <c r="F30" s="188">
        <v>420</v>
      </c>
      <c r="G30" s="186">
        <v>420</v>
      </c>
      <c r="H30" s="189">
        <v>505</v>
      </c>
      <c r="I30" s="190">
        <v>505</v>
      </c>
      <c r="J30" s="186">
        <v>915</v>
      </c>
      <c r="K30" s="404">
        <v>1600</v>
      </c>
      <c r="L30" s="366" t="b">
        <f t="shared" si="0"/>
        <v>0</v>
      </c>
      <c r="M30" s="460"/>
      <c r="N30" s="460"/>
    </row>
    <row r="31" spans="1:14">
      <c r="A31" s="184" t="s">
        <v>388</v>
      </c>
      <c r="B31" s="207" t="str">
        <f t="shared" si="1"/>
        <v>AutoCAD Revit LT Suite</v>
      </c>
      <c r="C31" s="186">
        <v>280</v>
      </c>
      <c r="D31" s="187">
        <v>310</v>
      </c>
      <c r="E31" s="187">
        <v>325</v>
      </c>
      <c r="F31" s="188">
        <v>325</v>
      </c>
      <c r="G31" s="186">
        <v>325</v>
      </c>
      <c r="H31" s="189">
        <v>390</v>
      </c>
      <c r="I31" s="190">
        <v>390</v>
      </c>
      <c r="J31" s="186">
        <v>615</v>
      </c>
      <c r="K31" s="190"/>
      <c r="L31" s="366" t="b">
        <f t="shared" si="0"/>
        <v>0</v>
      </c>
      <c r="M31" s="460"/>
      <c r="N31" s="460"/>
    </row>
    <row r="32" spans="1:14">
      <c r="A32" s="184" t="s">
        <v>1714</v>
      </c>
      <c r="B32" s="207" t="str">
        <f t="shared" si="1"/>
        <v>AutoCAD with Advance Steel</v>
      </c>
      <c r="C32" s="186">
        <v>1775</v>
      </c>
      <c r="D32" s="187">
        <v>1535</v>
      </c>
      <c r="E32" s="187">
        <v>1610</v>
      </c>
      <c r="F32" s="188">
        <v>1610</v>
      </c>
      <c r="G32" s="186">
        <v>1955</v>
      </c>
      <c r="H32" s="189">
        <v>2345</v>
      </c>
      <c r="I32" s="190">
        <v>2345</v>
      </c>
      <c r="J32" s="186">
        <v>2070</v>
      </c>
      <c r="K32" s="190">
        <v>3105</v>
      </c>
      <c r="L32" s="366" t="b">
        <f t="shared" si="0"/>
        <v>0</v>
      </c>
      <c r="M32" s="460"/>
      <c r="N32" s="460"/>
    </row>
    <row r="33" spans="1:14">
      <c r="A33" s="184" t="s">
        <v>282</v>
      </c>
      <c r="B33" s="207" t="str">
        <f t="shared" si="1"/>
        <v>Building Design Suite Premium</v>
      </c>
      <c r="C33" s="186">
        <v>1200</v>
      </c>
      <c r="D33" s="187" t="s">
        <v>389</v>
      </c>
      <c r="E33" s="187" t="s">
        <v>389</v>
      </c>
      <c r="F33" s="188" t="s">
        <v>389</v>
      </c>
      <c r="G33" s="186">
        <v>1385</v>
      </c>
      <c r="H33" s="189">
        <v>1660</v>
      </c>
      <c r="I33" s="190">
        <v>1660</v>
      </c>
      <c r="J33" s="186"/>
      <c r="K33" s="190"/>
      <c r="L33" s="366" t="b">
        <f t="shared" si="0"/>
        <v>0</v>
      </c>
      <c r="M33" s="460"/>
      <c r="N33" s="460"/>
    </row>
    <row r="34" spans="1:14">
      <c r="A34" s="184" t="s">
        <v>283</v>
      </c>
      <c r="B34" s="207" t="str">
        <f t="shared" si="1"/>
        <v>Building Design Suite Standard</v>
      </c>
      <c r="C34" s="186">
        <v>905</v>
      </c>
      <c r="D34" s="187" t="s">
        <v>389</v>
      </c>
      <c r="E34" s="187" t="s">
        <v>389</v>
      </c>
      <c r="F34" s="188" t="s">
        <v>389</v>
      </c>
      <c r="G34" s="186">
        <v>1045</v>
      </c>
      <c r="H34" s="189">
        <v>1255</v>
      </c>
      <c r="I34" s="190">
        <v>1255</v>
      </c>
      <c r="J34" s="186"/>
      <c r="K34" s="190"/>
      <c r="L34" s="366" t="b">
        <f t="shared" si="0"/>
        <v>0</v>
      </c>
      <c r="M34" s="460"/>
      <c r="N34" s="460"/>
    </row>
    <row r="35" spans="1:14">
      <c r="A35" s="184" t="s">
        <v>284</v>
      </c>
      <c r="B35" s="207" t="str">
        <f t="shared" si="1"/>
        <v>Building Design Suite Ultimate</v>
      </c>
      <c r="C35" s="186">
        <v>1920</v>
      </c>
      <c r="D35" s="187" t="s">
        <v>389</v>
      </c>
      <c r="E35" s="187" t="s">
        <v>389</v>
      </c>
      <c r="F35" s="188" t="s">
        <v>389</v>
      </c>
      <c r="G35" s="186">
        <v>2215</v>
      </c>
      <c r="H35" s="189">
        <v>2660</v>
      </c>
      <c r="I35" s="190">
        <v>2660</v>
      </c>
      <c r="J35" s="186"/>
      <c r="K35" s="190"/>
      <c r="L35" s="366" t="b">
        <f t="shared" si="0"/>
        <v>0</v>
      </c>
      <c r="M35" s="460"/>
      <c r="N35" s="460"/>
    </row>
    <row r="36" spans="1:14">
      <c r="A36" s="184" t="s">
        <v>1676</v>
      </c>
      <c r="B36" s="207" t="str">
        <f t="shared" si="1"/>
        <v>CFD</v>
      </c>
      <c r="C36" s="186">
        <v>2580</v>
      </c>
      <c r="D36" s="187">
        <v>2710</v>
      </c>
      <c r="E36" s="187">
        <v>2845</v>
      </c>
      <c r="F36" s="188">
        <v>2845</v>
      </c>
      <c r="G36" s="186">
        <v>2840</v>
      </c>
      <c r="H36" s="189">
        <v>3410</v>
      </c>
      <c r="I36" s="190">
        <v>3410</v>
      </c>
      <c r="J36" s="186"/>
      <c r="K36" s="404">
        <v>4120</v>
      </c>
      <c r="L36" s="366" t="b">
        <f t="shared" si="0"/>
        <v>0</v>
      </c>
      <c r="M36" s="460"/>
      <c r="N36" s="460"/>
    </row>
    <row r="37" spans="1:14">
      <c r="A37" s="184" t="s">
        <v>1915</v>
      </c>
      <c r="B37" s="207" t="str">
        <f t="shared" si="1"/>
        <v>CFD Premium (formerly CFD Advanced)</v>
      </c>
      <c r="C37" s="186">
        <v>3730</v>
      </c>
      <c r="D37" s="187">
        <v>3915</v>
      </c>
      <c r="E37" s="187">
        <v>4110</v>
      </c>
      <c r="F37" s="188">
        <v>4110</v>
      </c>
      <c r="G37" s="186">
        <v>4105</v>
      </c>
      <c r="H37" s="189">
        <v>4925</v>
      </c>
      <c r="I37" s="190">
        <v>4925</v>
      </c>
      <c r="J37" s="186"/>
      <c r="K37" s="404">
        <v>10320</v>
      </c>
      <c r="L37" s="366" t="b">
        <f t="shared" ref="L37:L67" si="4">MAX(C37:K37)=MIN(C37:K37)</f>
        <v>0</v>
      </c>
      <c r="M37" s="460"/>
      <c r="N37" s="460"/>
    </row>
    <row r="38" spans="1:14">
      <c r="A38" s="184" t="s">
        <v>1914</v>
      </c>
      <c r="B38" s="207" t="str">
        <f t="shared" si="1"/>
        <v>CFD Ultimate (formerly CFD Motion)</v>
      </c>
      <c r="C38" s="186">
        <v>5160</v>
      </c>
      <c r="D38" s="187">
        <v>5420</v>
      </c>
      <c r="E38" s="187">
        <v>5690</v>
      </c>
      <c r="F38" s="188">
        <v>5690</v>
      </c>
      <c r="G38" s="186">
        <v>5675</v>
      </c>
      <c r="H38" s="189">
        <v>6810</v>
      </c>
      <c r="I38" s="190">
        <v>6810</v>
      </c>
      <c r="J38" s="186"/>
      <c r="K38" s="404">
        <v>12660</v>
      </c>
      <c r="L38" s="366" t="b">
        <f t="shared" si="4"/>
        <v>0</v>
      </c>
      <c r="M38" s="460"/>
      <c r="N38" s="460"/>
    </row>
    <row r="39" spans="1:14">
      <c r="A39" s="184" t="s">
        <v>285</v>
      </c>
      <c r="B39" s="207" t="str">
        <f t="shared" si="1"/>
        <v>Entertainment Creation Suite Ultimate</v>
      </c>
      <c r="C39" s="186">
        <v>1280</v>
      </c>
      <c r="D39" s="187" t="s">
        <v>389</v>
      </c>
      <c r="E39" s="187" t="s">
        <v>389</v>
      </c>
      <c r="F39" s="188" t="s">
        <v>389</v>
      </c>
      <c r="G39" s="186">
        <v>1480</v>
      </c>
      <c r="H39" s="189">
        <v>1775</v>
      </c>
      <c r="I39" s="190">
        <v>1775</v>
      </c>
      <c r="J39" s="186"/>
      <c r="K39" s="190"/>
      <c r="L39" s="366" t="b">
        <f t="shared" si="4"/>
        <v>0</v>
      </c>
      <c r="M39" s="460"/>
      <c r="N39" s="460"/>
    </row>
    <row r="40" spans="1:14">
      <c r="A40" s="184" t="s">
        <v>1677</v>
      </c>
      <c r="B40" s="207" t="str">
        <f t="shared" si="1"/>
        <v>Fabrication CADmep</v>
      </c>
      <c r="C40" s="186">
        <v>490</v>
      </c>
      <c r="D40" s="187">
        <v>515</v>
      </c>
      <c r="E40" s="187">
        <v>540</v>
      </c>
      <c r="F40" s="188">
        <v>540</v>
      </c>
      <c r="G40" s="186">
        <v>540</v>
      </c>
      <c r="H40" s="189">
        <v>650</v>
      </c>
      <c r="I40" s="190">
        <v>650</v>
      </c>
      <c r="J40" s="186">
        <v>1000</v>
      </c>
      <c r="K40" s="404">
        <v>1750</v>
      </c>
      <c r="L40" s="366" t="b">
        <f t="shared" si="4"/>
        <v>0</v>
      </c>
      <c r="M40" s="460"/>
      <c r="N40" s="460"/>
    </row>
    <row r="41" spans="1:14">
      <c r="A41" s="184" t="s">
        <v>1678</v>
      </c>
      <c r="B41" s="207" t="str">
        <f t="shared" si="1"/>
        <v>Fabrication CAMduct</v>
      </c>
      <c r="C41" s="186">
        <v>800</v>
      </c>
      <c r="D41" s="187">
        <v>840</v>
      </c>
      <c r="E41" s="187">
        <v>880</v>
      </c>
      <c r="F41" s="188">
        <v>880</v>
      </c>
      <c r="G41" s="186">
        <v>880</v>
      </c>
      <c r="H41" s="189">
        <v>1055</v>
      </c>
      <c r="I41" s="190">
        <v>1055</v>
      </c>
      <c r="J41" s="186">
        <v>1000</v>
      </c>
      <c r="K41" s="404">
        <v>1750</v>
      </c>
      <c r="L41" s="366" t="b">
        <f t="shared" si="4"/>
        <v>0</v>
      </c>
      <c r="M41" s="460"/>
      <c r="N41" s="460"/>
    </row>
    <row r="42" spans="1:14">
      <c r="A42" s="184" t="s">
        <v>1679</v>
      </c>
      <c r="B42" s="207" t="str">
        <f t="shared" si="1"/>
        <v>Fabrication ESTmep</v>
      </c>
      <c r="C42" s="186">
        <v>565</v>
      </c>
      <c r="D42" s="187">
        <v>595</v>
      </c>
      <c r="E42" s="187">
        <v>625</v>
      </c>
      <c r="F42" s="188">
        <v>625</v>
      </c>
      <c r="G42" s="186">
        <v>620</v>
      </c>
      <c r="H42" s="189">
        <v>745</v>
      </c>
      <c r="I42" s="190">
        <v>745</v>
      </c>
      <c r="J42" s="186">
        <v>1000</v>
      </c>
      <c r="K42" s="404">
        <v>1750</v>
      </c>
      <c r="L42" s="366" t="b">
        <f t="shared" si="4"/>
        <v>0</v>
      </c>
      <c r="M42" s="460"/>
      <c r="N42" s="460"/>
    </row>
    <row r="43" spans="1:14">
      <c r="A43" s="184" t="s">
        <v>394</v>
      </c>
      <c r="B43" s="207" t="str">
        <f t="shared" si="1"/>
        <v>Factory Design Suite Premium</v>
      </c>
      <c r="C43" s="186">
        <v>1200</v>
      </c>
      <c r="D43" s="187" t="s">
        <v>389</v>
      </c>
      <c r="E43" s="187" t="s">
        <v>389</v>
      </c>
      <c r="F43" s="188" t="s">
        <v>389</v>
      </c>
      <c r="G43" s="186">
        <v>1385</v>
      </c>
      <c r="H43" s="189">
        <v>1660</v>
      </c>
      <c r="I43" s="190">
        <v>1660</v>
      </c>
      <c r="J43" s="186"/>
      <c r="K43" s="190"/>
      <c r="L43" s="366" t="b">
        <f t="shared" si="4"/>
        <v>0</v>
      </c>
      <c r="M43" s="460"/>
      <c r="N43" s="460"/>
    </row>
    <row r="44" spans="1:14">
      <c r="A44" s="184" t="s">
        <v>603</v>
      </c>
      <c r="B44" s="207" t="str">
        <f t="shared" si="1"/>
        <v>Factory Design Suite Standard</v>
      </c>
      <c r="C44" s="186">
        <v>975</v>
      </c>
      <c r="D44" s="187" t="s">
        <v>389</v>
      </c>
      <c r="E44" s="187" t="s">
        <v>389</v>
      </c>
      <c r="F44" s="188" t="s">
        <v>389</v>
      </c>
      <c r="G44" s="186">
        <v>1130</v>
      </c>
      <c r="H44" s="189">
        <v>1355</v>
      </c>
      <c r="I44" s="190">
        <v>1355</v>
      </c>
      <c r="J44" s="186"/>
      <c r="K44" s="190"/>
      <c r="L44" s="366" t="b">
        <f t="shared" si="4"/>
        <v>0</v>
      </c>
      <c r="M44" s="460"/>
      <c r="N44" s="460"/>
    </row>
    <row r="45" spans="1:14">
      <c r="A45" s="184" t="s">
        <v>286</v>
      </c>
      <c r="B45" s="207" t="str">
        <f t="shared" si="1"/>
        <v>Factory Design Suite Ultimate</v>
      </c>
      <c r="C45" s="186">
        <v>1920</v>
      </c>
      <c r="D45" s="187" t="s">
        <v>389</v>
      </c>
      <c r="E45" s="187" t="s">
        <v>389</v>
      </c>
      <c r="F45" s="188" t="s">
        <v>389</v>
      </c>
      <c r="G45" s="186">
        <v>2215</v>
      </c>
      <c r="H45" s="189">
        <v>2660</v>
      </c>
      <c r="I45" s="190">
        <v>2660</v>
      </c>
      <c r="J45" s="186"/>
      <c r="K45" s="190"/>
      <c r="L45" s="366" t="b">
        <f t="shared" si="4"/>
        <v>0</v>
      </c>
      <c r="M45" s="460"/>
      <c r="N45" s="460"/>
    </row>
    <row r="46" spans="1:14">
      <c r="A46" s="184" t="s">
        <v>1680</v>
      </c>
      <c r="B46" s="207" t="str">
        <f t="shared" si="1"/>
        <v>Helius Composite</v>
      </c>
      <c r="C46" s="186">
        <v>135</v>
      </c>
      <c r="D46" s="187">
        <v>140</v>
      </c>
      <c r="E46" s="187">
        <v>145</v>
      </c>
      <c r="F46" s="188">
        <v>145</v>
      </c>
      <c r="G46" s="186">
        <v>150</v>
      </c>
      <c r="H46" s="189">
        <v>180</v>
      </c>
      <c r="I46" s="190">
        <v>180</v>
      </c>
      <c r="J46" s="186">
        <v>305</v>
      </c>
      <c r="K46" s="404">
        <v>535</v>
      </c>
      <c r="L46" s="366" t="b">
        <f t="shared" si="4"/>
        <v>0</v>
      </c>
      <c r="M46" s="460"/>
      <c r="N46" s="460"/>
    </row>
    <row r="47" spans="1:14">
      <c r="A47" s="184" t="s">
        <v>1681</v>
      </c>
      <c r="B47" s="207" t="str">
        <f t="shared" si="1"/>
        <v>HSM - Premium</v>
      </c>
      <c r="C47" s="186">
        <v>1225</v>
      </c>
      <c r="D47" s="187">
        <v>1285</v>
      </c>
      <c r="E47" s="187">
        <v>1350</v>
      </c>
      <c r="F47" s="188">
        <v>1350</v>
      </c>
      <c r="G47" s="186">
        <v>1350</v>
      </c>
      <c r="H47" s="189">
        <v>1620</v>
      </c>
      <c r="I47" s="190">
        <v>1620</v>
      </c>
      <c r="J47" s="186">
        <v>2690</v>
      </c>
      <c r="K47" s="190">
        <v>4035</v>
      </c>
      <c r="L47" s="366" t="b">
        <f t="shared" si="4"/>
        <v>0</v>
      </c>
      <c r="M47" s="460"/>
      <c r="N47" s="460"/>
    </row>
    <row r="48" spans="1:14">
      <c r="A48" s="184" t="s">
        <v>1682</v>
      </c>
      <c r="B48" s="207" t="str">
        <f t="shared" si="1"/>
        <v>HSM - Ultimate</v>
      </c>
      <c r="C48" s="186">
        <v>1735</v>
      </c>
      <c r="D48" s="187">
        <v>1820</v>
      </c>
      <c r="E48" s="187">
        <v>1910</v>
      </c>
      <c r="F48" s="188">
        <v>1910</v>
      </c>
      <c r="G48" s="186">
        <v>1910</v>
      </c>
      <c r="H48" s="189">
        <v>2290</v>
      </c>
      <c r="I48" s="190">
        <v>2290</v>
      </c>
      <c r="J48" s="186">
        <v>4230</v>
      </c>
      <c r="K48" s="190">
        <v>6345</v>
      </c>
      <c r="L48" s="366" t="b">
        <f t="shared" si="4"/>
        <v>0</v>
      </c>
      <c r="M48" s="460"/>
      <c r="N48" s="460"/>
    </row>
    <row r="49" spans="1:14">
      <c r="A49" s="184" t="s">
        <v>393</v>
      </c>
      <c r="B49" s="207" t="str">
        <f t="shared" si="1"/>
        <v>Infrastructure Design Suite Premium</v>
      </c>
      <c r="C49" s="186">
        <v>1200</v>
      </c>
      <c r="D49" s="187" t="s">
        <v>389</v>
      </c>
      <c r="E49" s="187" t="s">
        <v>389</v>
      </c>
      <c r="F49" s="188" t="s">
        <v>389</v>
      </c>
      <c r="G49" s="186">
        <v>1385</v>
      </c>
      <c r="H49" s="189">
        <v>1660</v>
      </c>
      <c r="I49" s="190">
        <v>1660</v>
      </c>
      <c r="J49" s="186"/>
      <c r="K49" s="190"/>
      <c r="L49" s="366" t="b">
        <f t="shared" si="4"/>
        <v>0</v>
      </c>
      <c r="M49" s="460"/>
      <c r="N49" s="460"/>
    </row>
    <row r="50" spans="1:14">
      <c r="A50" s="184" t="s">
        <v>287</v>
      </c>
      <c r="B50" s="207" t="str">
        <f t="shared" si="1"/>
        <v>Infrastructure Design Suite Standard</v>
      </c>
      <c r="C50" s="186">
        <v>975</v>
      </c>
      <c r="D50" s="187" t="s">
        <v>389</v>
      </c>
      <c r="E50" s="187" t="s">
        <v>389</v>
      </c>
      <c r="F50" s="188" t="s">
        <v>389</v>
      </c>
      <c r="G50" s="186">
        <v>1130</v>
      </c>
      <c r="H50" s="189">
        <v>1355</v>
      </c>
      <c r="I50" s="190">
        <v>1355</v>
      </c>
      <c r="J50" s="186"/>
      <c r="K50" s="190"/>
      <c r="L50" s="366" t="b">
        <f t="shared" si="4"/>
        <v>0</v>
      </c>
      <c r="M50" s="460"/>
      <c r="N50" s="460"/>
    </row>
    <row r="51" spans="1:14">
      <c r="A51" s="184" t="s">
        <v>392</v>
      </c>
      <c r="B51" s="207" t="str">
        <f t="shared" si="1"/>
        <v>Infrastructure Design Suite Ultimate</v>
      </c>
      <c r="C51" s="186">
        <v>1920</v>
      </c>
      <c r="D51" s="187" t="s">
        <v>389</v>
      </c>
      <c r="E51" s="187" t="s">
        <v>389</v>
      </c>
      <c r="F51" s="188" t="s">
        <v>389</v>
      </c>
      <c r="G51" s="186">
        <v>2215</v>
      </c>
      <c r="H51" s="189">
        <v>2660</v>
      </c>
      <c r="I51" s="190">
        <v>2660</v>
      </c>
      <c r="J51" s="186"/>
      <c r="K51" s="190"/>
      <c r="L51" s="366" t="b">
        <f t="shared" si="4"/>
        <v>0</v>
      </c>
      <c r="M51" s="460"/>
      <c r="N51" s="460"/>
    </row>
    <row r="52" spans="1:14">
      <c r="A52" s="184" t="s">
        <v>1683</v>
      </c>
      <c r="B52" s="207" t="str">
        <f t="shared" si="1"/>
        <v>Infrastructure Map Server</v>
      </c>
      <c r="C52" s="186">
        <v>945</v>
      </c>
      <c r="D52" s="187">
        <v>990</v>
      </c>
      <c r="E52" s="187">
        <v>1040</v>
      </c>
      <c r="F52" s="188">
        <v>1040</v>
      </c>
      <c r="G52" s="186">
        <v>1040</v>
      </c>
      <c r="H52" s="189">
        <v>1250</v>
      </c>
      <c r="I52" s="190">
        <v>1250</v>
      </c>
      <c r="J52" s="186"/>
      <c r="K52" s="404">
        <v>2815</v>
      </c>
      <c r="L52" s="366" t="b">
        <f t="shared" si="4"/>
        <v>0</v>
      </c>
      <c r="M52" s="460"/>
      <c r="N52" s="460"/>
    </row>
    <row r="53" spans="1:14">
      <c r="A53" s="184" t="s">
        <v>1684</v>
      </c>
      <c r="B53" s="207" t="str">
        <f>RIGHT(A53,LEN(A53)-LEN(nmADwSP))</f>
        <v>Infraworks</v>
      </c>
      <c r="C53" s="186"/>
      <c r="D53" s="189">
        <v>745</v>
      </c>
      <c r="E53" s="189">
        <v>780</v>
      </c>
      <c r="F53" s="190">
        <v>780</v>
      </c>
      <c r="G53" s="192"/>
      <c r="H53" s="187"/>
      <c r="I53" s="188"/>
      <c r="J53" s="186">
        <v>1755</v>
      </c>
      <c r="K53" s="404">
        <v>3070</v>
      </c>
      <c r="L53" s="366" t="b">
        <f t="shared" si="4"/>
        <v>0</v>
      </c>
      <c r="M53" s="460"/>
      <c r="N53" s="460"/>
    </row>
    <row r="54" spans="1:14">
      <c r="A54" s="184" t="s">
        <v>390</v>
      </c>
      <c r="B54" s="207" t="str">
        <f t="shared" ref="B54:B85" si="5">VLOOKUP(IF(LEFT(A54,LEN(nmADwSP))=nmADwSP,RIGHT(A54,LEN(A54)-LEN(nmADwSP)),A54),DataPaths_List_ProdMT_NonCurrency,1,FALSE)</f>
        <v>Inventor</v>
      </c>
      <c r="C54" s="186">
        <v>1090</v>
      </c>
      <c r="D54" s="187">
        <v>1200</v>
      </c>
      <c r="E54" s="187">
        <v>1260</v>
      </c>
      <c r="F54" s="188">
        <v>1260</v>
      </c>
      <c r="G54" s="186">
        <v>1260</v>
      </c>
      <c r="H54" s="189">
        <v>1510</v>
      </c>
      <c r="I54" s="190">
        <v>1510</v>
      </c>
      <c r="J54" s="186">
        <v>2060</v>
      </c>
      <c r="K54" s="190">
        <v>3090</v>
      </c>
      <c r="L54" s="366" t="b">
        <f t="shared" si="4"/>
        <v>0</v>
      </c>
      <c r="M54" s="460"/>
      <c r="N54" s="460"/>
    </row>
    <row r="55" spans="1:14">
      <c r="A55" s="184" t="s">
        <v>288</v>
      </c>
      <c r="B55" s="207" t="str">
        <f t="shared" si="5"/>
        <v>Inventor LT</v>
      </c>
      <c r="C55" s="186">
        <v>200</v>
      </c>
      <c r="D55" s="187">
        <v>220</v>
      </c>
      <c r="E55" s="187">
        <v>230</v>
      </c>
      <c r="F55" s="188">
        <v>230</v>
      </c>
      <c r="G55" s="186">
        <v>230</v>
      </c>
      <c r="H55" s="189">
        <v>275</v>
      </c>
      <c r="I55" s="190">
        <v>275</v>
      </c>
      <c r="J55" s="186">
        <v>425</v>
      </c>
      <c r="K55" s="404">
        <v>840</v>
      </c>
      <c r="L55" s="366" t="b">
        <f t="shared" si="4"/>
        <v>0</v>
      </c>
      <c r="M55" s="460"/>
      <c r="N55" s="460"/>
    </row>
    <row r="56" spans="1:14">
      <c r="A56" s="184" t="s">
        <v>289</v>
      </c>
      <c r="B56" s="207" t="str">
        <f t="shared" si="5"/>
        <v>Inventor Professional</v>
      </c>
      <c r="C56" s="186">
        <v>1315</v>
      </c>
      <c r="D56" s="187">
        <v>1200</v>
      </c>
      <c r="E56" s="187">
        <v>1260</v>
      </c>
      <c r="F56" s="188">
        <v>1260</v>
      </c>
      <c r="G56" s="186">
        <v>1520</v>
      </c>
      <c r="H56" s="189">
        <v>1825</v>
      </c>
      <c r="I56" s="190">
        <v>1825</v>
      </c>
      <c r="J56" s="186">
        <v>2110</v>
      </c>
      <c r="K56" s="404">
        <v>3165</v>
      </c>
      <c r="L56" s="366" t="b">
        <f t="shared" si="4"/>
        <v>0</v>
      </c>
      <c r="M56" s="460"/>
      <c r="N56" s="460"/>
    </row>
    <row r="57" spans="1:14">
      <c r="A57" s="184" t="s">
        <v>290</v>
      </c>
      <c r="B57" s="207" t="str">
        <f t="shared" si="5"/>
        <v>Maya</v>
      </c>
      <c r="C57" s="186">
        <v>715</v>
      </c>
      <c r="D57" s="187">
        <v>790</v>
      </c>
      <c r="E57" s="187">
        <v>830</v>
      </c>
      <c r="F57" s="188">
        <v>830</v>
      </c>
      <c r="G57" s="186">
        <v>825</v>
      </c>
      <c r="H57" s="189">
        <v>990</v>
      </c>
      <c r="I57" s="190">
        <v>990</v>
      </c>
      <c r="J57" s="186">
        <v>1640</v>
      </c>
      <c r="K57" s="404">
        <v>2870</v>
      </c>
      <c r="L57" s="366" t="b">
        <f t="shared" si="4"/>
        <v>0</v>
      </c>
      <c r="M57" s="460"/>
      <c r="N57" s="460"/>
    </row>
    <row r="58" spans="1:14">
      <c r="A58" s="184" t="s">
        <v>291</v>
      </c>
      <c r="B58" s="207" t="str">
        <f t="shared" si="5"/>
        <v>Maya Entertainment Creation Suite Standard</v>
      </c>
      <c r="C58" s="186">
        <v>975</v>
      </c>
      <c r="D58" s="187" t="s">
        <v>389</v>
      </c>
      <c r="E58" s="187" t="s">
        <v>389</v>
      </c>
      <c r="F58" s="188" t="s">
        <v>389</v>
      </c>
      <c r="G58" s="186">
        <v>1130</v>
      </c>
      <c r="H58" s="189">
        <v>1355</v>
      </c>
      <c r="I58" s="190">
        <v>1355</v>
      </c>
      <c r="J58" s="186"/>
      <c r="K58" s="190"/>
      <c r="L58" s="366" t="b">
        <f t="shared" si="4"/>
        <v>0</v>
      </c>
      <c r="M58" s="460"/>
      <c r="N58" s="460"/>
    </row>
    <row r="59" spans="1:14">
      <c r="A59" s="184" t="s">
        <v>1685</v>
      </c>
      <c r="B59" s="207" t="str">
        <f t="shared" si="5"/>
        <v>Maya LT</v>
      </c>
      <c r="C59" s="186">
        <v>130</v>
      </c>
      <c r="D59" s="187">
        <v>135</v>
      </c>
      <c r="E59" s="187">
        <v>140</v>
      </c>
      <c r="F59" s="188">
        <v>140</v>
      </c>
      <c r="G59" s="186">
        <v>145</v>
      </c>
      <c r="H59" s="189">
        <v>175</v>
      </c>
      <c r="I59" s="190">
        <v>175</v>
      </c>
      <c r="J59" s="186">
        <v>255</v>
      </c>
      <c r="K59" s="404">
        <v>445</v>
      </c>
      <c r="L59" s="366" t="b">
        <f t="shared" si="4"/>
        <v>0</v>
      </c>
      <c r="M59" s="460"/>
      <c r="N59" s="460"/>
    </row>
    <row r="60" spans="1:14">
      <c r="A60" s="184" t="s">
        <v>1800</v>
      </c>
      <c r="B60" s="207" t="str">
        <f t="shared" si="5"/>
        <v>Maya with Softimage</v>
      </c>
      <c r="C60" s="186">
        <v>750</v>
      </c>
      <c r="D60" s="187"/>
      <c r="E60" s="187"/>
      <c r="F60" s="188"/>
      <c r="G60" s="186">
        <v>825</v>
      </c>
      <c r="H60" s="189">
        <v>990</v>
      </c>
      <c r="I60" s="190">
        <v>990</v>
      </c>
      <c r="J60" s="186">
        <v>1600</v>
      </c>
      <c r="K60" s="190"/>
      <c r="L60" s="366" t="b">
        <f t="shared" si="4"/>
        <v>0</v>
      </c>
      <c r="M60" s="460"/>
      <c r="N60" s="460"/>
    </row>
    <row r="61" spans="1:14">
      <c r="A61" s="184" t="s">
        <v>1686</v>
      </c>
      <c r="B61" s="207" t="str">
        <f t="shared" si="5"/>
        <v>Moldflow Adviser Premium</v>
      </c>
      <c r="C61" s="186">
        <v>1090</v>
      </c>
      <c r="D61" s="187">
        <v>1145</v>
      </c>
      <c r="E61" s="187">
        <v>1200</v>
      </c>
      <c r="F61" s="188">
        <v>1200</v>
      </c>
      <c r="G61" s="186">
        <v>1200</v>
      </c>
      <c r="H61" s="189">
        <v>1440</v>
      </c>
      <c r="I61" s="190">
        <v>1440</v>
      </c>
      <c r="J61" s="186"/>
      <c r="K61" s="404">
        <v>2345</v>
      </c>
      <c r="L61" s="366" t="b">
        <f t="shared" si="4"/>
        <v>0</v>
      </c>
      <c r="M61" s="460"/>
      <c r="N61" s="460"/>
    </row>
    <row r="62" spans="1:14">
      <c r="A62" s="184" t="s">
        <v>1687</v>
      </c>
      <c r="B62" s="207" t="str">
        <f t="shared" si="5"/>
        <v>Moldflow Adviser Ultimate</v>
      </c>
      <c r="C62" s="186">
        <v>4800</v>
      </c>
      <c r="D62" s="187">
        <v>5040</v>
      </c>
      <c r="E62" s="187">
        <v>5290</v>
      </c>
      <c r="F62" s="188">
        <v>5290</v>
      </c>
      <c r="G62" s="186">
        <v>5280</v>
      </c>
      <c r="H62" s="189">
        <v>6335</v>
      </c>
      <c r="I62" s="190">
        <v>6335</v>
      </c>
      <c r="J62" s="186"/>
      <c r="K62" s="404">
        <v>11725</v>
      </c>
      <c r="L62" s="366" t="b">
        <f t="shared" si="4"/>
        <v>0</v>
      </c>
      <c r="M62" s="460"/>
      <c r="N62" s="460"/>
    </row>
    <row r="63" spans="1:14">
      <c r="A63" s="184" t="s">
        <v>1688</v>
      </c>
      <c r="B63" s="207" t="str">
        <f t="shared" si="5"/>
        <v>Moldflow Insight Premium</v>
      </c>
      <c r="C63" s="186">
        <v>10915</v>
      </c>
      <c r="D63" s="187">
        <v>11460</v>
      </c>
      <c r="E63" s="187">
        <v>12035</v>
      </c>
      <c r="F63" s="188">
        <v>12035</v>
      </c>
      <c r="G63" s="186">
        <v>12005</v>
      </c>
      <c r="H63" s="189">
        <v>14405</v>
      </c>
      <c r="I63" s="190">
        <v>14405</v>
      </c>
      <c r="J63" s="186"/>
      <c r="K63" s="404">
        <v>27200</v>
      </c>
      <c r="L63" s="366" t="b">
        <f t="shared" si="4"/>
        <v>0</v>
      </c>
      <c r="M63" s="460"/>
      <c r="N63" s="460"/>
    </row>
    <row r="64" spans="1:14">
      <c r="A64" s="184" t="s">
        <v>1689</v>
      </c>
      <c r="B64" s="207" t="str">
        <f t="shared" si="5"/>
        <v>Moldflow Insight Standard</v>
      </c>
      <c r="C64" s="186">
        <v>5460</v>
      </c>
      <c r="D64" s="187">
        <v>5735</v>
      </c>
      <c r="E64" s="187">
        <v>6020</v>
      </c>
      <c r="F64" s="188">
        <v>6020</v>
      </c>
      <c r="G64" s="186">
        <v>6005</v>
      </c>
      <c r="H64" s="189">
        <v>7205</v>
      </c>
      <c r="I64" s="190">
        <v>7205</v>
      </c>
      <c r="J64" s="186"/>
      <c r="K64" s="404">
        <v>13600</v>
      </c>
      <c r="L64" s="366" t="b">
        <f t="shared" si="4"/>
        <v>0</v>
      </c>
      <c r="M64" s="460"/>
      <c r="N64" s="460"/>
    </row>
    <row r="65" spans="1:14">
      <c r="A65" s="184" t="s">
        <v>1690</v>
      </c>
      <c r="B65" s="207" t="str">
        <f t="shared" si="5"/>
        <v>Moldflow Insight Ultimate</v>
      </c>
      <c r="C65" s="186">
        <v>14720</v>
      </c>
      <c r="D65" s="187">
        <v>15455</v>
      </c>
      <c r="E65" s="187">
        <v>16230</v>
      </c>
      <c r="F65" s="188">
        <v>16230</v>
      </c>
      <c r="G65" s="186">
        <v>16190</v>
      </c>
      <c r="H65" s="189">
        <v>19430</v>
      </c>
      <c r="I65" s="190">
        <v>19430</v>
      </c>
      <c r="J65" s="186"/>
      <c r="K65" s="404">
        <v>36580</v>
      </c>
      <c r="L65" s="366" t="b">
        <f t="shared" si="4"/>
        <v>0</v>
      </c>
      <c r="M65" s="460"/>
      <c r="N65" s="460"/>
    </row>
    <row r="66" spans="1:14">
      <c r="A66" s="184" t="s">
        <v>1691</v>
      </c>
      <c r="B66" s="207" t="str">
        <f t="shared" si="5"/>
        <v>Moldflow Synergy</v>
      </c>
      <c r="C66" s="186">
        <v>2315</v>
      </c>
      <c r="D66" s="187">
        <v>2430</v>
      </c>
      <c r="E66" s="187">
        <v>2550</v>
      </c>
      <c r="F66" s="188">
        <v>2550</v>
      </c>
      <c r="G66" s="186">
        <v>2545</v>
      </c>
      <c r="H66" s="189">
        <v>3055</v>
      </c>
      <c r="I66" s="190">
        <v>3055</v>
      </c>
      <c r="J66" s="186"/>
      <c r="K66" s="404">
        <v>5630</v>
      </c>
      <c r="L66" s="366" t="b">
        <f t="shared" si="4"/>
        <v>0</v>
      </c>
      <c r="M66" s="460"/>
      <c r="N66" s="460"/>
    </row>
    <row r="67" spans="1:14">
      <c r="A67" s="184" t="s">
        <v>292</v>
      </c>
      <c r="B67" s="207" t="str">
        <f t="shared" si="5"/>
        <v>MotionBuilder</v>
      </c>
      <c r="C67" s="186">
        <v>950</v>
      </c>
      <c r="D67" s="187">
        <v>1050</v>
      </c>
      <c r="E67" s="187">
        <v>1105</v>
      </c>
      <c r="F67" s="188">
        <v>1105</v>
      </c>
      <c r="G67" s="186">
        <v>1100</v>
      </c>
      <c r="H67" s="189">
        <v>1320</v>
      </c>
      <c r="I67" s="190">
        <v>1320</v>
      </c>
      <c r="J67" s="186">
        <v>1875</v>
      </c>
      <c r="K67" s="404">
        <v>3280</v>
      </c>
      <c r="L67" s="366" t="b">
        <f t="shared" si="4"/>
        <v>0</v>
      </c>
      <c r="M67" s="460"/>
      <c r="N67" s="460"/>
    </row>
    <row r="68" spans="1:14">
      <c r="A68" s="184" t="s">
        <v>1692</v>
      </c>
      <c r="B68" s="207" t="str">
        <f t="shared" si="5"/>
        <v>Mudbox</v>
      </c>
      <c r="C68" s="186">
        <v>90</v>
      </c>
      <c r="D68" s="187">
        <v>95</v>
      </c>
      <c r="E68" s="187">
        <v>100</v>
      </c>
      <c r="F68" s="188">
        <v>100</v>
      </c>
      <c r="G68" s="186">
        <v>100</v>
      </c>
      <c r="H68" s="189">
        <v>120</v>
      </c>
      <c r="I68" s="190">
        <v>120</v>
      </c>
      <c r="J68" s="186">
        <v>85</v>
      </c>
      <c r="K68" s="404">
        <v>150</v>
      </c>
      <c r="L68" s="366" t="b">
        <f t="shared" ref="L68:L99" si="6">MAX(C68:K68)=MIN(C68:K68)</f>
        <v>0</v>
      </c>
      <c r="M68" s="460"/>
      <c r="N68" s="460"/>
    </row>
    <row r="69" spans="1:14">
      <c r="A69" s="184" t="s">
        <v>1693</v>
      </c>
      <c r="B69" s="207" t="str">
        <f t="shared" si="5"/>
        <v>Nastran</v>
      </c>
      <c r="C69" s="186">
        <v>1555</v>
      </c>
      <c r="D69" s="187">
        <v>1635</v>
      </c>
      <c r="E69" s="187">
        <v>1715</v>
      </c>
      <c r="F69" s="188">
        <v>1715</v>
      </c>
      <c r="G69" s="186">
        <v>1710</v>
      </c>
      <c r="H69" s="189">
        <v>2050</v>
      </c>
      <c r="I69" s="190">
        <v>2050</v>
      </c>
      <c r="J69" s="186"/>
      <c r="K69" s="404">
        <v>4810</v>
      </c>
      <c r="L69" s="366" t="b">
        <f t="shared" si="6"/>
        <v>0</v>
      </c>
      <c r="M69" s="460"/>
      <c r="N69" s="460"/>
    </row>
    <row r="70" spans="1:14">
      <c r="A70" s="184" t="s">
        <v>1694</v>
      </c>
      <c r="B70" s="207" t="str">
        <f t="shared" si="5"/>
        <v>Nastran In-CAD</v>
      </c>
      <c r="C70" s="186">
        <v>1610</v>
      </c>
      <c r="D70" s="187">
        <v>1690</v>
      </c>
      <c r="E70" s="187">
        <v>1775</v>
      </c>
      <c r="F70" s="188">
        <v>1775</v>
      </c>
      <c r="G70" s="186">
        <v>1770</v>
      </c>
      <c r="H70" s="189">
        <v>2125</v>
      </c>
      <c r="I70" s="190">
        <v>2125</v>
      </c>
      <c r="J70" s="186"/>
      <c r="K70" s="190">
        <v>3890</v>
      </c>
      <c r="L70" s="366" t="b">
        <f t="shared" si="6"/>
        <v>0</v>
      </c>
      <c r="M70" s="460"/>
      <c r="N70" s="460"/>
    </row>
    <row r="71" spans="1:14">
      <c r="A71" s="184" t="s">
        <v>1791</v>
      </c>
      <c r="B71" s="207" t="str">
        <f t="shared" si="5"/>
        <v>Navisworks Manage*</v>
      </c>
      <c r="C71" s="186">
        <v>1050</v>
      </c>
      <c r="D71" s="187">
        <v>950</v>
      </c>
      <c r="E71" s="187">
        <v>1000</v>
      </c>
      <c r="F71" s="188">
        <v>1000</v>
      </c>
      <c r="G71" s="186">
        <v>1215</v>
      </c>
      <c r="H71" s="189">
        <v>1460</v>
      </c>
      <c r="I71" s="190">
        <v>1460</v>
      </c>
      <c r="J71" s="186">
        <v>2310</v>
      </c>
      <c r="K71" s="404">
        <v>3465</v>
      </c>
      <c r="L71" s="366" t="b">
        <f t="shared" si="6"/>
        <v>0</v>
      </c>
      <c r="M71" s="460"/>
      <c r="N71" s="460"/>
    </row>
    <row r="72" spans="1:14">
      <c r="A72" s="184" t="s">
        <v>1695</v>
      </c>
      <c r="B72" s="207" t="str">
        <f t="shared" si="5"/>
        <v>Navisworks Simulate</v>
      </c>
      <c r="C72" s="186">
        <v>380</v>
      </c>
      <c r="D72" s="187">
        <v>400</v>
      </c>
      <c r="E72" s="187">
        <v>420</v>
      </c>
      <c r="F72" s="188">
        <v>420</v>
      </c>
      <c r="G72" s="186">
        <v>420</v>
      </c>
      <c r="H72" s="189">
        <v>505</v>
      </c>
      <c r="I72" s="190">
        <v>505</v>
      </c>
      <c r="J72" s="186">
        <v>940</v>
      </c>
      <c r="K72" s="404">
        <v>1645</v>
      </c>
      <c r="L72" s="366" t="b">
        <f t="shared" si="6"/>
        <v>0</v>
      </c>
      <c r="M72" s="460"/>
      <c r="N72" s="460"/>
    </row>
    <row r="73" spans="1:14">
      <c r="A73" s="184" t="s">
        <v>293</v>
      </c>
      <c r="B73" s="207" t="str">
        <f t="shared" si="5"/>
        <v>Plant Design Suite Premium</v>
      </c>
      <c r="C73" s="186">
        <v>1690</v>
      </c>
      <c r="D73" s="187" t="s">
        <v>389</v>
      </c>
      <c r="E73" s="187" t="s">
        <v>389</v>
      </c>
      <c r="F73" s="188" t="s">
        <v>389</v>
      </c>
      <c r="G73" s="186">
        <v>1955</v>
      </c>
      <c r="H73" s="189">
        <v>2345</v>
      </c>
      <c r="I73" s="190">
        <v>2345</v>
      </c>
      <c r="J73" s="186"/>
      <c r="K73" s="190"/>
      <c r="L73" s="366" t="b">
        <f t="shared" si="6"/>
        <v>0</v>
      </c>
      <c r="M73" s="460"/>
      <c r="N73" s="460"/>
    </row>
    <row r="74" spans="1:14">
      <c r="A74" s="184" t="s">
        <v>294</v>
      </c>
      <c r="B74" s="207" t="str">
        <f t="shared" si="5"/>
        <v>Plant Design Suite Standard</v>
      </c>
      <c r="C74" s="186">
        <v>985</v>
      </c>
      <c r="D74" s="187" t="s">
        <v>389</v>
      </c>
      <c r="E74" s="187" t="s">
        <v>389</v>
      </c>
      <c r="F74" s="188" t="s">
        <v>389</v>
      </c>
      <c r="G74" s="186">
        <v>1140</v>
      </c>
      <c r="H74" s="189">
        <v>1370</v>
      </c>
      <c r="I74" s="190">
        <v>1370</v>
      </c>
      <c r="J74" s="186"/>
      <c r="K74" s="190"/>
      <c r="L74" s="366" t="b">
        <f t="shared" si="6"/>
        <v>0</v>
      </c>
      <c r="M74" s="460"/>
      <c r="N74" s="460"/>
    </row>
    <row r="75" spans="1:14">
      <c r="A75" s="184" t="s">
        <v>295</v>
      </c>
      <c r="B75" s="207" t="str">
        <f t="shared" si="5"/>
        <v>Plant Design Suite Ultimate</v>
      </c>
      <c r="C75" s="186">
        <v>2560</v>
      </c>
      <c r="D75" s="187" t="s">
        <v>389</v>
      </c>
      <c r="E75" s="187" t="s">
        <v>389</v>
      </c>
      <c r="F75" s="188" t="s">
        <v>389</v>
      </c>
      <c r="G75" s="186">
        <v>2960</v>
      </c>
      <c r="H75" s="189">
        <v>3550</v>
      </c>
      <c r="I75" s="190">
        <v>3550</v>
      </c>
      <c r="J75" s="186"/>
      <c r="K75" s="190"/>
      <c r="L75" s="366" t="b">
        <f t="shared" si="6"/>
        <v>0</v>
      </c>
      <c r="M75" s="460"/>
      <c r="N75" s="460"/>
    </row>
    <row r="76" spans="1:14">
      <c r="A76" s="184" t="s">
        <v>1696</v>
      </c>
      <c r="B76" s="207" t="str">
        <f t="shared" si="5"/>
        <v>Point Layout</v>
      </c>
      <c r="C76" s="186">
        <v>710</v>
      </c>
      <c r="D76" s="187">
        <v>745</v>
      </c>
      <c r="E76" s="187">
        <v>780</v>
      </c>
      <c r="F76" s="188">
        <v>780</v>
      </c>
      <c r="G76" s="186">
        <v>780</v>
      </c>
      <c r="H76" s="189">
        <v>935</v>
      </c>
      <c r="I76" s="190">
        <v>935</v>
      </c>
      <c r="J76" s="186">
        <v>1785</v>
      </c>
      <c r="K76" s="404">
        <v>3125</v>
      </c>
      <c r="L76" s="366" t="b">
        <f t="shared" si="6"/>
        <v>0</v>
      </c>
      <c r="M76" s="460"/>
      <c r="N76" s="460"/>
    </row>
    <row r="77" spans="1:14">
      <c r="A77" s="184" t="s">
        <v>296</v>
      </c>
      <c r="B77" s="207" t="str">
        <f t="shared" si="5"/>
        <v>Product Design Suite Premium</v>
      </c>
      <c r="C77" s="186">
        <v>1280</v>
      </c>
      <c r="D77" s="187" t="s">
        <v>389</v>
      </c>
      <c r="E77" s="187" t="s">
        <v>389</v>
      </c>
      <c r="F77" s="188" t="s">
        <v>389</v>
      </c>
      <c r="G77" s="186">
        <v>1480</v>
      </c>
      <c r="H77" s="189">
        <v>1775</v>
      </c>
      <c r="I77" s="190">
        <v>1775</v>
      </c>
      <c r="J77" s="186"/>
      <c r="K77" s="190"/>
      <c r="L77" s="366" t="b">
        <f t="shared" si="6"/>
        <v>0</v>
      </c>
      <c r="M77" s="460"/>
      <c r="N77" s="460"/>
    </row>
    <row r="78" spans="1:14">
      <c r="A78" s="184" t="s">
        <v>297</v>
      </c>
      <c r="B78" s="207" t="str">
        <f t="shared" si="5"/>
        <v>Product Design Suite Ultimate</v>
      </c>
      <c r="C78" s="186">
        <v>1465</v>
      </c>
      <c r="D78" s="187" t="s">
        <v>389</v>
      </c>
      <c r="E78" s="187" t="s">
        <v>389</v>
      </c>
      <c r="F78" s="188" t="s">
        <v>389</v>
      </c>
      <c r="G78" s="186">
        <v>1695</v>
      </c>
      <c r="H78" s="189">
        <v>2035</v>
      </c>
      <c r="I78" s="190">
        <v>2035</v>
      </c>
      <c r="J78" s="186"/>
      <c r="K78" s="190"/>
      <c r="L78" s="366" t="b">
        <f t="shared" si="6"/>
        <v>0</v>
      </c>
      <c r="M78" s="460"/>
      <c r="N78" s="460"/>
    </row>
    <row r="79" spans="1:14">
      <c r="A79" s="184" t="s">
        <v>1798</v>
      </c>
      <c r="B79" s="207" t="str">
        <f t="shared" si="5"/>
        <v>Quantity Take Off</v>
      </c>
      <c r="C79" s="186">
        <v>300</v>
      </c>
      <c r="D79" s="187"/>
      <c r="E79" s="187"/>
      <c r="F79" s="188"/>
      <c r="G79" s="186">
        <v>330</v>
      </c>
      <c r="H79" s="189">
        <v>395</v>
      </c>
      <c r="I79" s="190">
        <v>395</v>
      </c>
      <c r="J79" s="186"/>
      <c r="K79" s="190"/>
      <c r="L79" s="366" t="b">
        <f t="shared" si="6"/>
        <v>0</v>
      </c>
      <c r="M79" s="460"/>
      <c r="N79" s="460"/>
    </row>
    <row r="80" spans="1:14">
      <c r="A80" s="184" t="s">
        <v>298</v>
      </c>
      <c r="B80" s="207" t="str">
        <f t="shared" si="5"/>
        <v>Revit</v>
      </c>
      <c r="C80" s="186">
        <v>900</v>
      </c>
      <c r="D80" s="187">
        <v>990</v>
      </c>
      <c r="E80" s="187">
        <v>1040</v>
      </c>
      <c r="F80" s="188">
        <v>1040</v>
      </c>
      <c r="G80" s="186">
        <v>1040</v>
      </c>
      <c r="H80" s="189">
        <v>1250</v>
      </c>
      <c r="I80" s="190">
        <v>1250</v>
      </c>
      <c r="J80" s="405">
        <v>2455</v>
      </c>
      <c r="K80" s="404">
        <v>3350</v>
      </c>
      <c r="L80" s="366" t="b">
        <f t="shared" si="6"/>
        <v>0</v>
      </c>
      <c r="M80" s="460"/>
      <c r="N80" s="460"/>
    </row>
    <row r="81" spans="1:14">
      <c r="A81" s="184" t="s">
        <v>1715</v>
      </c>
      <c r="B81" s="207" t="str">
        <f t="shared" si="5"/>
        <v>Revit Architecture</v>
      </c>
      <c r="C81" s="186">
        <v>945</v>
      </c>
      <c r="D81" s="187">
        <v>990</v>
      </c>
      <c r="E81" s="187">
        <v>1040</v>
      </c>
      <c r="F81" s="188">
        <v>1040</v>
      </c>
      <c r="G81" s="186">
        <v>1040</v>
      </c>
      <c r="H81" s="189">
        <v>1250</v>
      </c>
      <c r="I81" s="190">
        <v>1250</v>
      </c>
      <c r="J81" s="186">
        <v>2180</v>
      </c>
      <c r="K81" s="190">
        <v>3270</v>
      </c>
      <c r="L81" s="366" t="b">
        <f t="shared" si="6"/>
        <v>0</v>
      </c>
      <c r="M81" s="460"/>
      <c r="N81" s="460"/>
    </row>
    <row r="82" spans="1:14">
      <c r="A82" s="184" t="s">
        <v>299</v>
      </c>
      <c r="B82" s="207" t="str">
        <f t="shared" si="5"/>
        <v>Revit LT</v>
      </c>
      <c r="C82" s="186">
        <v>200</v>
      </c>
      <c r="D82" s="187">
        <v>220</v>
      </c>
      <c r="E82" s="187">
        <v>230</v>
      </c>
      <c r="F82" s="188">
        <v>230</v>
      </c>
      <c r="G82" s="186">
        <v>230</v>
      </c>
      <c r="H82" s="189">
        <v>275</v>
      </c>
      <c r="I82" s="190">
        <v>275</v>
      </c>
      <c r="J82" s="186">
        <v>500</v>
      </c>
      <c r="K82" s="190"/>
      <c r="L82" s="366" t="b">
        <f t="shared" si="6"/>
        <v>0</v>
      </c>
      <c r="M82" s="460"/>
      <c r="N82" s="460"/>
    </row>
    <row r="83" spans="1:14">
      <c r="A83" s="184" t="s">
        <v>1716</v>
      </c>
      <c r="B83" s="207" t="str">
        <f t="shared" si="5"/>
        <v>Revit MEP</v>
      </c>
      <c r="C83" s="186">
        <v>945</v>
      </c>
      <c r="D83" s="187">
        <v>990</v>
      </c>
      <c r="E83" s="187">
        <v>1040</v>
      </c>
      <c r="F83" s="188">
        <v>1040</v>
      </c>
      <c r="G83" s="186">
        <v>1040</v>
      </c>
      <c r="H83" s="189">
        <v>1250</v>
      </c>
      <c r="I83" s="190">
        <v>1250</v>
      </c>
      <c r="J83" s="186">
        <v>2180</v>
      </c>
      <c r="K83" s="190">
        <v>3270</v>
      </c>
      <c r="L83" s="366" t="b">
        <f t="shared" si="6"/>
        <v>0</v>
      </c>
      <c r="M83" s="460"/>
      <c r="N83" s="460"/>
    </row>
    <row r="84" spans="1:14">
      <c r="A84" s="184" t="s">
        <v>1717</v>
      </c>
      <c r="B84" s="207" t="str">
        <f t="shared" si="5"/>
        <v>Revit Structure</v>
      </c>
      <c r="C84" s="186">
        <v>945</v>
      </c>
      <c r="D84" s="187">
        <v>990</v>
      </c>
      <c r="E84" s="187">
        <v>1040</v>
      </c>
      <c r="F84" s="188">
        <v>1040</v>
      </c>
      <c r="G84" s="186">
        <v>1040</v>
      </c>
      <c r="H84" s="189">
        <v>1250</v>
      </c>
      <c r="I84" s="190">
        <v>1250</v>
      </c>
      <c r="J84" s="186">
        <v>2180</v>
      </c>
      <c r="K84" s="190">
        <v>3270</v>
      </c>
      <c r="L84" s="366" t="b">
        <f t="shared" si="6"/>
        <v>0</v>
      </c>
      <c r="M84" s="460"/>
      <c r="N84" s="460"/>
    </row>
    <row r="85" spans="1:14">
      <c r="A85" s="184" t="s">
        <v>1697</v>
      </c>
      <c r="B85" s="207" t="str">
        <f t="shared" si="5"/>
        <v>Robot Structural Analysis Professional</v>
      </c>
      <c r="C85" s="186">
        <v>1105</v>
      </c>
      <c r="D85" s="187">
        <v>1160</v>
      </c>
      <c r="E85" s="187">
        <v>1220</v>
      </c>
      <c r="F85" s="188">
        <v>1220</v>
      </c>
      <c r="G85" s="186">
        <v>1215</v>
      </c>
      <c r="H85" s="189">
        <v>1460</v>
      </c>
      <c r="I85" s="190">
        <v>1460</v>
      </c>
      <c r="J85" s="186">
        <v>2815</v>
      </c>
      <c r="K85" s="404">
        <v>4925</v>
      </c>
      <c r="L85" s="366" t="b">
        <f t="shared" si="6"/>
        <v>0</v>
      </c>
      <c r="M85" s="460"/>
      <c r="N85" s="460"/>
    </row>
    <row r="86" spans="1:14">
      <c r="A86" s="184" t="s">
        <v>1718</v>
      </c>
      <c r="B86" s="207" t="str">
        <f t="shared" ref="B86:B116" si="7">VLOOKUP(IF(LEFT(A86,LEN(nmADwSP))=nmADwSP,RIGHT(A86,LEN(A86)-LEN(nmADwSP)),A86),DataPaths_List_ProdMT_NonCurrency,1,FALSE)</f>
        <v>Simulation Mechanical</v>
      </c>
      <c r="C86" s="186">
        <v>2835</v>
      </c>
      <c r="D86" s="187">
        <v>1690</v>
      </c>
      <c r="E86" s="187">
        <v>1775</v>
      </c>
      <c r="F86" s="188">
        <v>1775</v>
      </c>
      <c r="G86" s="186">
        <v>3120</v>
      </c>
      <c r="H86" s="189">
        <v>3745</v>
      </c>
      <c r="I86" s="190">
        <v>3745</v>
      </c>
      <c r="J86" s="186"/>
      <c r="K86" s="190">
        <v>3890</v>
      </c>
      <c r="L86" s="366" t="b">
        <f t="shared" si="6"/>
        <v>0</v>
      </c>
      <c r="M86" s="460"/>
      <c r="N86" s="460"/>
    </row>
    <row r="87" spans="1:14">
      <c r="A87" s="184" t="s">
        <v>1721</v>
      </c>
      <c r="B87" s="207" t="str">
        <f t="shared" si="7"/>
        <v>SketchBook - For Enterprise</v>
      </c>
      <c r="C87" s="186">
        <v>35</v>
      </c>
      <c r="D87" s="187">
        <v>35</v>
      </c>
      <c r="E87" s="187">
        <v>35</v>
      </c>
      <c r="F87" s="188">
        <v>35</v>
      </c>
      <c r="G87" s="186">
        <v>40</v>
      </c>
      <c r="H87" s="189">
        <v>50</v>
      </c>
      <c r="I87" s="190">
        <v>50</v>
      </c>
      <c r="J87" s="186">
        <v>90</v>
      </c>
      <c r="K87" s="404">
        <v>160</v>
      </c>
      <c r="L87" s="366" t="b">
        <f t="shared" si="6"/>
        <v>0</v>
      </c>
      <c r="M87" s="460"/>
      <c r="N87" s="460"/>
    </row>
    <row r="88" spans="1:14">
      <c r="A88" s="184" t="s">
        <v>1901</v>
      </c>
      <c r="B88" s="207" t="str">
        <f t="shared" si="7"/>
        <v>Structural Bridge Design</v>
      </c>
      <c r="C88" s="184">
        <v>675</v>
      </c>
      <c r="D88" s="200" t="s">
        <v>389</v>
      </c>
      <c r="E88" s="200" t="s">
        <v>389</v>
      </c>
      <c r="F88" s="201" t="s">
        <v>389</v>
      </c>
      <c r="G88" s="184">
        <v>745</v>
      </c>
      <c r="H88" s="199">
        <v>895</v>
      </c>
      <c r="I88" s="185">
        <v>895</v>
      </c>
      <c r="J88" s="184"/>
      <c r="K88" s="185"/>
      <c r="L88" s="366" t="b">
        <f t="shared" si="6"/>
        <v>0</v>
      </c>
      <c r="M88" s="460"/>
      <c r="N88" s="460"/>
    </row>
    <row r="89" spans="1:14">
      <c r="A89" s="184" t="s">
        <v>1699</v>
      </c>
      <c r="B89" s="207" t="str">
        <f t="shared" si="7"/>
        <v>TruComp</v>
      </c>
      <c r="C89" s="186">
        <v>14965</v>
      </c>
      <c r="D89" s="187">
        <v>15715</v>
      </c>
      <c r="E89" s="187">
        <v>16500</v>
      </c>
      <c r="F89" s="188">
        <v>16500</v>
      </c>
      <c r="G89" s="186">
        <v>16460</v>
      </c>
      <c r="H89" s="189">
        <v>19750</v>
      </c>
      <c r="I89" s="190">
        <v>19750</v>
      </c>
      <c r="J89" s="186"/>
      <c r="K89" s="404">
        <v>58600</v>
      </c>
      <c r="L89" s="366" t="b">
        <f t="shared" si="6"/>
        <v>0</v>
      </c>
      <c r="M89" s="460"/>
      <c r="N89" s="460"/>
    </row>
    <row r="90" spans="1:14">
      <c r="A90" s="184" t="s">
        <v>1700</v>
      </c>
      <c r="B90" s="207" t="str">
        <f t="shared" si="7"/>
        <v>TruLaser</v>
      </c>
      <c r="C90" s="186">
        <v>2520</v>
      </c>
      <c r="D90" s="187">
        <v>2645</v>
      </c>
      <c r="E90" s="187">
        <v>2775</v>
      </c>
      <c r="F90" s="188">
        <v>2775</v>
      </c>
      <c r="G90" s="186">
        <v>2770</v>
      </c>
      <c r="H90" s="189">
        <v>3325</v>
      </c>
      <c r="I90" s="190">
        <v>3325</v>
      </c>
      <c r="J90" s="186">
        <v>6710</v>
      </c>
      <c r="K90" s="404">
        <v>11745</v>
      </c>
      <c r="L90" s="366" t="b">
        <f t="shared" si="6"/>
        <v>0</v>
      </c>
      <c r="M90" s="460"/>
      <c r="N90" s="460"/>
    </row>
    <row r="91" spans="1:14">
      <c r="A91" s="184" t="s">
        <v>1701</v>
      </c>
      <c r="B91" s="207" t="str">
        <f t="shared" si="7"/>
        <v>TruNest Composites</v>
      </c>
      <c r="C91" s="186">
        <v>4255</v>
      </c>
      <c r="D91" s="187">
        <v>4470</v>
      </c>
      <c r="E91" s="187">
        <v>4695</v>
      </c>
      <c r="F91" s="188">
        <v>4695</v>
      </c>
      <c r="G91" s="186">
        <v>4680</v>
      </c>
      <c r="H91" s="189">
        <v>5615</v>
      </c>
      <c r="I91" s="190">
        <v>5615</v>
      </c>
      <c r="J91" s="186">
        <v>11165</v>
      </c>
      <c r="K91" s="404">
        <v>19540</v>
      </c>
      <c r="L91" s="366" t="b">
        <f t="shared" si="6"/>
        <v>0</v>
      </c>
      <c r="M91" s="460"/>
      <c r="N91" s="460"/>
    </row>
    <row r="92" spans="1:14">
      <c r="A92" s="184" t="s">
        <v>1702</v>
      </c>
      <c r="B92" s="207" t="str">
        <f t="shared" si="7"/>
        <v>TruNest Contour</v>
      </c>
      <c r="C92" s="186">
        <v>3465</v>
      </c>
      <c r="D92" s="187">
        <v>3640</v>
      </c>
      <c r="E92" s="187">
        <v>3820</v>
      </c>
      <c r="F92" s="188">
        <v>3820</v>
      </c>
      <c r="G92" s="186">
        <v>3810</v>
      </c>
      <c r="H92" s="189">
        <v>4570</v>
      </c>
      <c r="I92" s="190">
        <v>4570</v>
      </c>
      <c r="J92" s="186">
        <v>8910</v>
      </c>
      <c r="K92" s="404">
        <v>15595</v>
      </c>
      <c r="L92" s="366" t="b">
        <f t="shared" si="6"/>
        <v>0</v>
      </c>
      <c r="M92" s="460"/>
      <c r="N92" s="460"/>
    </row>
    <row r="93" spans="1:14">
      <c r="A93" s="184" t="s">
        <v>1703</v>
      </c>
      <c r="B93" s="207" t="str">
        <f t="shared" si="7"/>
        <v>TruNest Multi-Tool</v>
      </c>
      <c r="C93" s="186">
        <v>4255</v>
      </c>
      <c r="D93" s="187">
        <v>4470</v>
      </c>
      <c r="E93" s="187">
        <v>4695</v>
      </c>
      <c r="F93" s="188">
        <v>4695</v>
      </c>
      <c r="G93" s="186">
        <v>4680</v>
      </c>
      <c r="H93" s="189">
        <v>5615</v>
      </c>
      <c r="I93" s="190">
        <v>5615</v>
      </c>
      <c r="J93" s="186">
        <v>11165</v>
      </c>
      <c r="K93" s="404">
        <v>19540</v>
      </c>
      <c r="L93" s="366" t="b">
        <f t="shared" si="6"/>
        <v>0</v>
      </c>
      <c r="M93" s="460"/>
      <c r="N93" s="460"/>
    </row>
    <row r="94" spans="1:14">
      <c r="A94" s="184" t="s">
        <v>1704</v>
      </c>
      <c r="B94" s="207" t="str">
        <f t="shared" si="7"/>
        <v>Vault Office</v>
      </c>
      <c r="C94" s="186">
        <v>95</v>
      </c>
      <c r="D94" s="187">
        <v>100</v>
      </c>
      <c r="E94" s="187">
        <v>105</v>
      </c>
      <c r="F94" s="188">
        <v>105</v>
      </c>
      <c r="G94" s="186">
        <v>105</v>
      </c>
      <c r="H94" s="189">
        <v>125</v>
      </c>
      <c r="I94" s="190">
        <v>125</v>
      </c>
      <c r="J94" s="186"/>
      <c r="K94" s="404">
        <v>280</v>
      </c>
      <c r="L94" s="366" t="b">
        <f t="shared" si="6"/>
        <v>0</v>
      </c>
      <c r="M94" s="460"/>
      <c r="N94" s="460"/>
    </row>
    <row r="95" spans="1:14">
      <c r="A95" s="184" t="s">
        <v>1705</v>
      </c>
      <c r="B95" s="207" t="str">
        <f t="shared" si="7"/>
        <v>Vault Professional</v>
      </c>
      <c r="C95" s="186">
        <v>360</v>
      </c>
      <c r="D95" s="187">
        <v>380</v>
      </c>
      <c r="E95" s="187">
        <v>400</v>
      </c>
      <c r="F95" s="188">
        <v>400</v>
      </c>
      <c r="G95" s="186">
        <v>395</v>
      </c>
      <c r="H95" s="189">
        <v>475</v>
      </c>
      <c r="I95" s="190">
        <v>475</v>
      </c>
      <c r="J95" s="186">
        <v>710</v>
      </c>
      <c r="K95" s="404">
        <v>1065</v>
      </c>
      <c r="L95" s="366" t="b">
        <f t="shared" si="6"/>
        <v>0</v>
      </c>
      <c r="M95" s="460"/>
      <c r="N95" s="460"/>
    </row>
    <row r="96" spans="1:14">
      <c r="A96" s="184" t="s">
        <v>1706</v>
      </c>
      <c r="B96" s="207" t="str">
        <f t="shared" si="7"/>
        <v>Vault Workgroup</v>
      </c>
      <c r="C96" s="186">
        <v>190</v>
      </c>
      <c r="D96" s="187">
        <v>200</v>
      </c>
      <c r="E96" s="187">
        <v>210</v>
      </c>
      <c r="F96" s="188">
        <v>210</v>
      </c>
      <c r="G96" s="186">
        <v>210</v>
      </c>
      <c r="H96" s="189">
        <v>250</v>
      </c>
      <c r="I96" s="190">
        <v>250</v>
      </c>
      <c r="J96" s="186">
        <v>375</v>
      </c>
      <c r="K96" s="404">
        <v>565</v>
      </c>
      <c r="L96" s="366" t="b">
        <f t="shared" si="6"/>
        <v>0</v>
      </c>
      <c r="M96" s="460"/>
      <c r="N96" s="460"/>
    </row>
    <row r="97" spans="1:14">
      <c r="A97" s="184" t="s">
        <v>1707</v>
      </c>
      <c r="B97" s="207" t="str">
        <f t="shared" si="7"/>
        <v>Vehicle Tracking</v>
      </c>
      <c r="C97" s="186">
        <v>360</v>
      </c>
      <c r="D97" s="187">
        <v>380</v>
      </c>
      <c r="E97" s="187">
        <v>400</v>
      </c>
      <c r="F97" s="188">
        <v>400</v>
      </c>
      <c r="G97" s="186">
        <v>395</v>
      </c>
      <c r="H97" s="189">
        <v>475</v>
      </c>
      <c r="I97" s="190">
        <v>475</v>
      </c>
      <c r="J97" s="186">
        <v>890</v>
      </c>
      <c r="K97" s="404">
        <v>1560</v>
      </c>
      <c r="L97" s="366" t="b">
        <f t="shared" si="6"/>
        <v>0</v>
      </c>
      <c r="M97" s="460"/>
      <c r="N97" s="460"/>
    </row>
    <row r="98" spans="1:14">
      <c r="A98" s="184" t="s">
        <v>1708</v>
      </c>
      <c r="B98" s="207" t="str">
        <f t="shared" si="7"/>
        <v>VRED</v>
      </c>
      <c r="C98" s="186">
        <v>285</v>
      </c>
      <c r="D98" s="187">
        <v>300</v>
      </c>
      <c r="E98" s="187">
        <v>315</v>
      </c>
      <c r="F98" s="188">
        <v>315</v>
      </c>
      <c r="G98" s="186">
        <v>315</v>
      </c>
      <c r="H98" s="189">
        <v>380</v>
      </c>
      <c r="I98" s="190">
        <v>380</v>
      </c>
      <c r="J98" s="186">
        <v>680</v>
      </c>
      <c r="K98" s="404">
        <v>1190</v>
      </c>
      <c r="L98" s="366" t="b">
        <f t="shared" si="6"/>
        <v>0</v>
      </c>
      <c r="M98" s="460"/>
      <c r="N98" s="460"/>
    </row>
    <row r="99" spans="1:14">
      <c r="A99" s="184" t="s">
        <v>1709</v>
      </c>
      <c r="B99" s="207" t="str">
        <f t="shared" si="7"/>
        <v>VRED Design</v>
      </c>
      <c r="C99" s="186">
        <v>1260</v>
      </c>
      <c r="D99" s="187">
        <v>1325</v>
      </c>
      <c r="E99" s="187">
        <v>1390</v>
      </c>
      <c r="F99" s="188">
        <v>1390</v>
      </c>
      <c r="G99" s="186">
        <v>1385</v>
      </c>
      <c r="H99" s="189">
        <v>1660</v>
      </c>
      <c r="I99" s="190">
        <v>1660</v>
      </c>
      <c r="J99" s="186">
        <v>3050</v>
      </c>
      <c r="K99" s="404">
        <v>5340</v>
      </c>
      <c r="L99" s="366" t="b">
        <f t="shared" si="6"/>
        <v>0</v>
      </c>
      <c r="M99" s="460"/>
      <c r="N99" s="460"/>
    </row>
    <row r="100" spans="1:14">
      <c r="A100" s="184" t="s">
        <v>1710</v>
      </c>
      <c r="B100" s="207" t="str">
        <f t="shared" si="7"/>
        <v>VRED Presenter</v>
      </c>
      <c r="C100" s="186">
        <v>285</v>
      </c>
      <c r="D100" s="187">
        <v>300</v>
      </c>
      <c r="E100" s="187">
        <v>315</v>
      </c>
      <c r="F100" s="188">
        <v>315</v>
      </c>
      <c r="G100" s="186">
        <v>315</v>
      </c>
      <c r="H100" s="189">
        <v>380</v>
      </c>
      <c r="I100" s="190">
        <v>380</v>
      </c>
      <c r="J100" s="186">
        <v>740</v>
      </c>
      <c r="K100" s="404">
        <v>1295</v>
      </c>
      <c r="L100" s="366" t="b">
        <f t="shared" ref="L100:L118" si="8">MAX(C100:K100)=MIN(C100:K100)</f>
        <v>0</v>
      </c>
      <c r="M100" s="460"/>
      <c r="N100" s="460"/>
    </row>
    <row r="101" spans="1:14">
      <c r="A101" s="416" t="s">
        <v>1711</v>
      </c>
      <c r="B101" s="417" t="str">
        <f t="shared" si="7"/>
        <v>VRED Professional</v>
      </c>
      <c r="C101" s="446">
        <v>5040</v>
      </c>
      <c r="D101" s="447">
        <v>5290</v>
      </c>
      <c r="E101" s="447">
        <v>5555</v>
      </c>
      <c r="F101" s="448">
        <v>5555</v>
      </c>
      <c r="G101" s="446">
        <v>5545</v>
      </c>
      <c r="H101" s="449">
        <v>6655</v>
      </c>
      <c r="I101" s="450">
        <v>6655</v>
      </c>
      <c r="J101" s="446">
        <v>12495</v>
      </c>
      <c r="K101" s="451">
        <v>21865</v>
      </c>
      <c r="L101" s="366" t="b">
        <f t="shared" si="8"/>
        <v>0</v>
      </c>
      <c r="M101" s="460"/>
      <c r="N101" s="460"/>
    </row>
    <row r="102" spans="1:14">
      <c r="A102" s="388" t="s">
        <v>1712</v>
      </c>
      <c r="B102" s="423" t="str">
        <f t="shared" si="7"/>
        <v>VRED Render Node</v>
      </c>
      <c r="C102" s="390">
        <v>850</v>
      </c>
      <c r="D102" s="403">
        <v>895</v>
      </c>
      <c r="E102" s="403">
        <v>940</v>
      </c>
      <c r="F102" s="403">
        <v>940</v>
      </c>
      <c r="G102" s="390">
        <v>935</v>
      </c>
      <c r="H102" s="390">
        <v>1120</v>
      </c>
      <c r="I102" s="390">
        <v>1120</v>
      </c>
      <c r="J102" s="390">
        <v>0</v>
      </c>
      <c r="K102" s="452">
        <v>2120</v>
      </c>
      <c r="L102" s="366" t="b">
        <f t="shared" si="8"/>
        <v>0</v>
      </c>
      <c r="M102" s="460"/>
      <c r="N102" s="460"/>
    </row>
    <row r="103" spans="1:14">
      <c r="A103" s="388" t="s">
        <v>1713</v>
      </c>
      <c r="B103" s="423" t="str">
        <f t="shared" si="7"/>
        <v>VRED Server</v>
      </c>
      <c r="C103" s="390">
        <v>13400</v>
      </c>
      <c r="D103" s="403">
        <v>14070</v>
      </c>
      <c r="E103" s="403">
        <v>14775</v>
      </c>
      <c r="F103" s="403">
        <v>14775</v>
      </c>
      <c r="G103" s="390">
        <v>14740</v>
      </c>
      <c r="H103" s="390">
        <v>17690</v>
      </c>
      <c r="I103" s="390">
        <v>17690</v>
      </c>
      <c r="J103" s="390"/>
      <c r="K103" s="452">
        <v>39955</v>
      </c>
      <c r="L103" s="366" t="b">
        <f t="shared" si="8"/>
        <v>0</v>
      </c>
      <c r="M103" s="460"/>
      <c r="N103" s="460"/>
    </row>
    <row r="104" spans="1:14">
      <c r="A104" s="388" t="s">
        <v>1967</v>
      </c>
      <c r="B104" s="423" t="str">
        <f t="shared" si="7"/>
        <v>PowerInspect - Premium</v>
      </c>
      <c r="C104" s="390"/>
      <c r="D104" s="403">
        <v>1735</v>
      </c>
      <c r="E104" s="403">
        <v>1820</v>
      </c>
      <c r="F104" s="403">
        <v>1910</v>
      </c>
      <c r="G104" s="390">
        <v>1735</v>
      </c>
      <c r="H104" s="390">
        <v>1910</v>
      </c>
      <c r="I104" s="390">
        <v>2290</v>
      </c>
      <c r="J104" s="390">
        <v>4465</v>
      </c>
      <c r="K104" s="452">
        <v>6700</v>
      </c>
      <c r="L104" s="366" t="b">
        <f t="shared" si="8"/>
        <v>0</v>
      </c>
      <c r="M104" s="460"/>
      <c r="N104" s="460"/>
    </row>
    <row r="105" spans="1:14">
      <c r="A105" s="388" t="s">
        <v>1968</v>
      </c>
      <c r="B105" s="423" t="str">
        <f t="shared" si="7"/>
        <v xml:space="preserve">PowerInspect - Standard </v>
      </c>
      <c r="C105" s="390"/>
      <c r="D105" s="403">
        <v>425</v>
      </c>
      <c r="E105" s="403">
        <v>445</v>
      </c>
      <c r="F105" s="403">
        <v>465</v>
      </c>
      <c r="G105" s="390">
        <v>425</v>
      </c>
      <c r="H105" s="390">
        <v>470</v>
      </c>
      <c r="I105" s="390">
        <v>565</v>
      </c>
      <c r="J105" s="390">
        <v>1115</v>
      </c>
      <c r="K105" s="452">
        <v>1675</v>
      </c>
      <c r="L105" s="366" t="b">
        <f t="shared" si="8"/>
        <v>0</v>
      </c>
      <c r="M105" s="460"/>
      <c r="N105" s="460"/>
    </row>
    <row r="106" spans="1:14">
      <c r="A106" s="388" t="s">
        <v>1969</v>
      </c>
      <c r="B106" s="423" t="str">
        <f t="shared" si="7"/>
        <v>PowerInspect - Ultimate</v>
      </c>
      <c r="C106" s="390"/>
      <c r="D106" s="403">
        <v>2520</v>
      </c>
      <c r="E106" s="403">
        <v>2645</v>
      </c>
      <c r="F106" s="403">
        <v>2775</v>
      </c>
      <c r="G106" s="390">
        <v>2520</v>
      </c>
      <c r="H106" s="390">
        <v>2770</v>
      </c>
      <c r="I106" s="390">
        <v>3325</v>
      </c>
      <c r="J106" s="390">
        <v>6705</v>
      </c>
      <c r="K106" s="452">
        <v>10060</v>
      </c>
      <c r="L106" s="366" t="b">
        <f t="shared" si="8"/>
        <v>0</v>
      </c>
      <c r="M106" s="460"/>
      <c r="N106" s="460"/>
    </row>
    <row r="107" spans="1:14">
      <c r="A107" s="388" t="s">
        <v>1970</v>
      </c>
      <c r="B107" s="423" t="str">
        <f t="shared" si="7"/>
        <v>PowerMill - Premium</v>
      </c>
      <c r="C107" s="390"/>
      <c r="D107" s="403">
        <v>3940</v>
      </c>
      <c r="E107" s="403">
        <v>4135</v>
      </c>
      <c r="F107" s="403">
        <v>4340</v>
      </c>
      <c r="G107" s="390">
        <v>3940</v>
      </c>
      <c r="H107" s="390">
        <v>4335</v>
      </c>
      <c r="I107" s="390">
        <v>5200</v>
      </c>
      <c r="J107" s="390">
        <v>8040</v>
      </c>
      <c r="K107" s="452">
        <v>12060</v>
      </c>
      <c r="L107" s="366" t="b">
        <f t="shared" si="8"/>
        <v>0</v>
      </c>
      <c r="M107" s="460"/>
      <c r="N107" s="460"/>
    </row>
    <row r="108" spans="1:14">
      <c r="A108" s="388" t="s">
        <v>1971</v>
      </c>
      <c r="B108" s="423" t="str">
        <f t="shared" si="7"/>
        <v>PowerMill - Standard</v>
      </c>
      <c r="C108" s="390"/>
      <c r="D108" s="403">
        <v>2520</v>
      </c>
      <c r="E108" s="403">
        <v>2645</v>
      </c>
      <c r="F108" s="403">
        <v>2775</v>
      </c>
      <c r="G108" s="390">
        <v>2520</v>
      </c>
      <c r="H108" s="390">
        <v>2770</v>
      </c>
      <c r="I108" s="390">
        <v>3325</v>
      </c>
      <c r="J108" s="390">
        <v>5360</v>
      </c>
      <c r="K108" s="452">
        <v>8040</v>
      </c>
      <c r="L108" s="366" t="b">
        <f t="shared" si="8"/>
        <v>0</v>
      </c>
      <c r="M108" s="460"/>
      <c r="N108" s="460"/>
    </row>
    <row r="109" spans="1:14">
      <c r="A109" s="388" t="s">
        <v>1972</v>
      </c>
      <c r="B109" s="423" t="str">
        <f t="shared" si="7"/>
        <v>PowerMill - Ultimate</v>
      </c>
      <c r="C109" s="390"/>
      <c r="D109" s="403">
        <v>4725</v>
      </c>
      <c r="E109" s="403">
        <v>4960</v>
      </c>
      <c r="F109" s="403">
        <v>5210</v>
      </c>
      <c r="G109" s="390">
        <v>4725</v>
      </c>
      <c r="H109" s="390">
        <v>5200</v>
      </c>
      <c r="I109" s="390">
        <v>6240</v>
      </c>
      <c r="J109" s="390">
        <v>12280</v>
      </c>
      <c r="K109" s="452">
        <v>18420</v>
      </c>
      <c r="L109" s="366" t="b">
        <f t="shared" si="8"/>
        <v>0</v>
      </c>
      <c r="M109" s="460"/>
      <c r="N109" s="460"/>
    </row>
    <row r="110" spans="1:14">
      <c r="A110" s="388" t="s">
        <v>1973</v>
      </c>
      <c r="B110" s="423" t="str">
        <f t="shared" si="7"/>
        <v>PowerShape - Premium</v>
      </c>
      <c r="C110" s="390"/>
      <c r="D110" s="403">
        <v>1380</v>
      </c>
      <c r="E110" s="403">
        <v>1450</v>
      </c>
      <c r="F110" s="403">
        <v>1525</v>
      </c>
      <c r="G110" s="390">
        <v>1380</v>
      </c>
      <c r="H110" s="390">
        <v>1520</v>
      </c>
      <c r="I110" s="390">
        <v>1825</v>
      </c>
      <c r="J110" s="390">
        <v>2860</v>
      </c>
      <c r="K110" s="452">
        <v>4290</v>
      </c>
      <c r="L110" s="366" t="b">
        <f t="shared" si="8"/>
        <v>0</v>
      </c>
      <c r="M110" s="460"/>
      <c r="N110" s="460"/>
    </row>
    <row r="111" spans="1:14">
      <c r="A111" s="388" t="s">
        <v>1974</v>
      </c>
      <c r="B111" s="423" t="str">
        <f t="shared" si="7"/>
        <v>PowerShape - Standard</v>
      </c>
      <c r="C111" s="390"/>
      <c r="D111" s="403">
        <v>1025</v>
      </c>
      <c r="E111" s="403">
        <v>1075</v>
      </c>
      <c r="F111" s="403">
        <v>1130</v>
      </c>
      <c r="G111" s="390">
        <v>1025</v>
      </c>
      <c r="H111" s="390">
        <v>1130</v>
      </c>
      <c r="I111" s="390">
        <v>1355</v>
      </c>
      <c r="J111" s="390">
        <v>2140</v>
      </c>
      <c r="K111" s="452">
        <v>3210</v>
      </c>
      <c r="L111" s="366" t="b">
        <f t="shared" si="8"/>
        <v>0</v>
      </c>
      <c r="M111" s="460"/>
      <c r="N111" s="460"/>
    </row>
    <row r="112" spans="1:14">
      <c r="A112" s="388" t="s">
        <v>1975</v>
      </c>
      <c r="B112" s="423" t="str">
        <f t="shared" si="7"/>
        <v>PowerShape - Ultimate</v>
      </c>
      <c r="C112" s="390"/>
      <c r="D112" s="403">
        <v>1735</v>
      </c>
      <c r="E112" s="403">
        <v>1820</v>
      </c>
      <c r="F112" s="403">
        <v>1910</v>
      </c>
      <c r="G112" s="390">
        <v>1735</v>
      </c>
      <c r="H112" s="390">
        <v>1910</v>
      </c>
      <c r="I112" s="390">
        <v>2290</v>
      </c>
      <c r="J112" s="390">
        <v>4465</v>
      </c>
      <c r="K112" s="452">
        <v>6700</v>
      </c>
      <c r="L112" s="366" t="b">
        <f t="shared" si="8"/>
        <v>0</v>
      </c>
      <c r="M112" s="460"/>
      <c r="N112" s="460"/>
    </row>
    <row r="113" spans="1:14">
      <c r="A113" s="388" t="s">
        <v>1976</v>
      </c>
      <c r="B113" s="423" t="str">
        <f t="shared" si="7"/>
        <v>FeatureCAM - Premium</v>
      </c>
      <c r="C113" s="390"/>
      <c r="D113" s="403">
        <v>2205</v>
      </c>
      <c r="E113" s="403">
        <v>2315</v>
      </c>
      <c r="F113" s="403">
        <v>2430</v>
      </c>
      <c r="G113" s="390">
        <v>2205</v>
      </c>
      <c r="H113" s="390">
        <v>2425</v>
      </c>
      <c r="I113" s="390">
        <v>2910</v>
      </c>
      <c r="J113" s="390">
        <v>5580</v>
      </c>
      <c r="K113" s="452">
        <v>8370</v>
      </c>
      <c r="L113" s="366" t="b">
        <f t="shared" si="8"/>
        <v>0</v>
      </c>
      <c r="M113" s="460"/>
      <c r="N113" s="460"/>
    </row>
    <row r="114" spans="1:14">
      <c r="A114" s="388" t="s">
        <v>1977</v>
      </c>
      <c r="B114" s="423" t="str">
        <f t="shared" si="7"/>
        <v>FeatureCAM - Standard</v>
      </c>
      <c r="C114" s="390"/>
      <c r="D114" s="403">
        <v>865</v>
      </c>
      <c r="E114" s="403">
        <v>910</v>
      </c>
      <c r="F114" s="403">
        <v>955</v>
      </c>
      <c r="G114" s="390">
        <v>865</v>
      </c>
      <c r="H114" s="390">
        <v>950</v>
      </c>
      <c r="I114" s="390">
        <v>1140</v>
      </c>
      <c r="J114" s="390">
        <v>2235</v>
      </c>
      <c r="K114" s="452">
        <v>3355</v>
      </c>
      <c r="L114" s="366" t="b">
        <f t="shared" si="8"/>
        <v>0</v>
      </c>
      <c r="M114" s="460"/>
      <c r="N114" s="460"/>
    </row>
    <row r="115" spans="1:14">
      <c r="A115" s="388" t="s">
        <v>1978</v>
      </c>
      <c r="B115" s="423" t="str">
        <f t="shared" si="7"/>
        <v>FeatureCAM - Ultimate</v>
      </c>
      <c r="C115" s="390"/>
      <c r="D115" s="403">
        <v>2995</v>
      </c>
      <c r="E115" s="403">
        <v>3145</v>
      </c>
      <c r="F115" s="403">
        <v>3300</v>
      </c>
      <c r="G115" s="390">
        <v>2995</v>
      </c>
      <c r="H115" s="390">
        <v>3295</v>
      </c>
      <c r="I115" s="390">
        <v>3955</v>
      </c>
      <c r="J115" s="390">
        <v>7815</v>
      </c>
      <c r="K115" s="452">
        <v>11725</v>
      </c>
      <c r="L115" s="366" t="b">
        <f t="shared" si="8"/>
        <v>0</v>
      </c>
      <c r="M115" s="460"/>
      <c r="N115" s="460"/>
    </row>
    <row r="116" spans="1:14">
      <c r="A116" s="388" t="s">
        <v>1979</v>
      </c>
      <c r="B116" s="423" t="str">
        <f t="shared" si="7"/>
        <v>Arnold</v>
      </c>
      <c r="C116" s="390"/>
      <c r="D116" s="403">
        <v>250</v>
      </c>
      <c r="E116" s="403">
        <v>265</v>
      </c>
      <c r="F116" s="403">
        <v>280</v>
      </c>
      <c r="G116" s="390">
        <v>250</v>
      </c>
      <c r="H116" s="390">
        <v>275</v>
      </c>
      <c r="I116" s="390">
        <v>330</v>
      </c>
      <c r="J116" s="390"/>
      <c r="K116" s="452">
        <v>670</v>
      </c>
      <c r="L116" s="366" t="b">
        <f t="shared" si="8"/>
        <v>0</v>
      </c>
      <c r="M116" s="460"/>
      <c r="N116" s="460"/>
    </row>
    <row r="117" spans="1:14">
      <c r="A117" s="388" t="s">
        <v>387</v>
      </c>
      <c r="B117" s="423" t="str">
        <f>M2S_Eligibility_List!E21</f>
        <v>Media and Entertainment Collection</v>
      </c>
      <c r="C117" s="403"/>
      <c r="D117" s="390">
        <v>1075</v>
      </c>
      <c r="E117" s="390">
        <v>1130</v>
      </c>
      <c r="F117" s="390">
        <v>1130</v>
      </c>
      <c r="G117" s="403"/>
      <c r="H117" s="403"/>
      <c r="I117" s="403"/>
      <c r="J117" s="390">
        <v>2280</v>
      </c>
      <c r="K117" s="390">
        <v>2960</v>
      </c>
      <c r="L117" s="366" t="b">
        <f t="shared" si="8"/>
        <v>0</v>
      </c>
      <c r="M117" s="460"/>
      <c r="N117" s="460"/>
    </row>
    <row r="118" spans="1:14">
      <c r="A118" s="388" t="s">
        <v>301</v>
      </c>
      <c r="B118" s="423" t="str">
        <f>M2S_Eligibility_List!D21</f>
        <v>Product Design &amp; Manufacturing Collection</v>
      </c>
      <c r="C118" s="403"/>
      <c r="D118" s="390">
        <v>1410</v>
      </c>
      <c r="E118" s="390">
        <v>1480</v>
      </c>
      <c r="F118" s="390">
        <v>1480</v>
      </c>
      <c r="G118" s="403"/>
      <c r="H118" s="403"/>
      <c r="I118" s="403"/>
      <c r="J118" s="390">
        <v>2750</v>
      </c>
      <c r="K118" s="390">
        <v>3850</v>
      </c>
      <c r="L118" s="366" t="b">
        <f t="shared" si="8"/>
        <v>0</v>
      </c>
      <c r="M118" s="460"/>
      <c r="N118" s="460"/>
    </row>
    <row r="119" spans="1:14">
      <c r="A119" s="191"/>
      <c r="B119" s="191"/>
      <c r="C119" s="191"/>
      <c r="D119" s="191"/>
      <c r="E119" s="191"/>
      <c r="F119" s="191"/>
      <c r="G119" s="191"/>
      <c r="H119" s="191"/>
      <c r="I119" s="191"/>
      <c r="J119" s="191"/>
      <c r="K119" s="191" t="s">
        <v>609</v>
      </c>
      <c r="L119" s="191"/>
    </row>
    <row r="120" spans="1:14" ht="14.25" customHeight="1">
      <c r="E120" s="457"/>
    </row>
    <row r="121" spans="1:14" ht="14.25" customHeight="1">
      <c r="E121" s="457"/>
    </row>
    <row r="122" spans="1:14" ht="14.25" customHeight="1">
      <c r="E122" s="457"/>
    </row>
    <row r="123" spans="1:14" ht="14.25" customHeight="1">
      <c r="E123" s="457"/>
    </row>
    <row r="124" spans="1:14" ht="14.25" customHeight="1">
      <c r="E124" s="457"/>
    </row>
    <row r="125" spans="1:14" ht="14.25" customHeight="1">
      <c r="E125" s="457"/>
    </row>
    <row r="126" spans="1:14" ht="14.25" customHeight="1">
      <c r="E126" s="457"/>
    </row>
    <row r="127" spans="1:14" ht="14.25" customHeight="1">
      <c r="E127" s="457"/>
    </row>
    <row r="128" spans="1:14" ht="14.25" customHeight="1">
      <c r="E128" s="457"/>
    </row>
    <row r="129" spans="5:5" ht="14.25" customHeight="1">
      <c r="E129" s="457"/>
    </row>
    <row r="130" spans="5:5" ht="14.25" customHeight="1">
      <c r="E130" s="457"/>
    </row>
    <row r="131" spans="5:5" ht="14.25" customHeight="1">
      <c r="E131" s="457"/>
    </row>
    <row r="132" spans="5:5" ht="14.25" customHeight="1">
      <c r="E132" s="457"/>
    </row>
  </sheetData>
  <autoFilter ref="A2:L118">
    <sortState ref="A3:L119">
      <sortCondition ref="A2:A118"/>
    </sortState>
  </autoFilter>
  <mergeCells count="3">
    <mergeCell ref="D1:F1"/>
    <mergeCell ref="G1:I1"/>
    <mergeCell ref="J1:K1"/>
  </mergeCells>
  <conditionalFormatting sqref="L3:L13 L15:L16 L18:L81 L83:L118">
    <cfRule type="cellIs" dxfId="16" priority="16" operator="equal">
      <formula>TRUE</formula>
    </cfRule>
  </conditionalFormatting>
  <conditionalFormatting sqref="L82">
    <cfRule type="cellIs" dxfId="15" priority="15" operator="equal">
      <formula>TRUE</formula>
    </cfRule>
  </conditionalFormatting>
  <conditionalFormatting sqref="L17">
    <cfRule type="cellIs" dxfId="14" priority="10" operator="equal">
      <formula>TRUE</formula>
    </cfRule>
  </conditionalFormatting>
  <conditionalFormatting sqref="L14">
    <cfRule type="cellIs" dxfId="13" priority="7" operator="equal">
      <formula>TRUE</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030A0"/>
  </sheetPr>
  <dimension ref="A1:O132"/>
  <sheetViews>
    <sheetView zoomScale="85" zoomScaleNormal="85" workbookViewId="0">
      <pane ySplit="2" topLeftCell="A80" activePane="bottomLeft" state="frozen"/>
      <selection activeCell="B1" sqref="B1"/>
      <selection pane="bottomLeft" activeCell="A104" sqref="A104:XFD104"/>
    </sheetView>
  </sheetViews>
  <sheetFormatPr defaultColWidth="8.796875" defaultRowHeight="14.25" customHeight="1"/>
  <cols>
    <col min="1" max="1" width="46.19921875" bestFit="1" customWidth="1"/>
    <col min="2" max="2" width="38.5" bestFit="1" customWidth="1"/>
    <col min="3" max="11" width="15.69921875" customWidth="1"/>
    <col min="12" max="12" width="21.796875" bestFit="1" customWidth="1"/>
    <col min="13" max="13" width="37.296875" bestFit="1" customWidth="1"/>
  </cols>
  <sheetData>
    <row r="1" spans="1:14">
      <c r="A1" s="173"/>
      <c r="B1" s="181"/>
      <c r="C1" s="173"/>
      <c r="D1" s="463" t="s">
        <v>406</v>
      </c>
      <c r="E1" s="463"/>
      <c r="F1" s="464"/>
      <c r="G1" s="465" t="s">
        <v>405</v>
      </c>
      <c r="H1" s="463"/>
      <c r="I1" s="464"/>
      <c r="J1" s="465"/>
      <c r="K1" s="464"/>
      <c r="L1" s="174"/>
    </row>
    <row r="2" spans="1:14">
      <c r="A2" s="182" t="s">
        <v>403</v>
      </c>
      <c r="B2" s="183" t="s">
        <v>408</v>
      </c>
      <c r="C2" s="177" t="s">
        <v>407</v>
      </c>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4" ht="14.25" customHeight="1">
      <c r="A3" s="184" t="s">
        <v>300</v>
      </c>
      <c r="B3" s="207" t="str">
        <f>M2S_Eligibility_List!C21</f>
        <v>Architecture Engineering Construction Collection</v>
      </c>
      <c r="C3" s="193"/>
      <c r="D3" s="196">
        <v>173000</v>
      </c>
      <c r="E3" s="196">
        <v>182000</v>
      </c>
      <c r="F3" s="197">
        <v>182000</v>
      </c>
      <c r="G3" s="198"/>
      <c r="H3" s="194"/>
      <c r="I3" s="195"/>
      <c r="J3" s="193">
        <v>421000</v>
      </c>
      <c r="K3" s="197">
        <v>589000</v>
      </c>
      <c r="L3" s="366" t="b">
        <f t="shared" ref="L3:L36" si="0">MAX(C3:K3)=MIN(C3:K3)</f>
        <v>0</v>
      </c>
      <c r="M3" s="460"/>
      <c r="N3" s="460"/>
    </row>
    <row r="4" spans="1:14" ht="14.25" customHeight="1">
      <c r="A4" s="184" t="s">
        <v>270</v>
      </c>
      <c r="B4" s="207" t="str">
        <f t="shared" ref="B4:B52" si="1">VLOOKUP(IF(LEFT(A4,LEN(nmADwSP))=nmADwSP,RIGHT(A4,LEN(A4)-LEN(nmADwSP)),A4),DataPaths_List_ProdMT_NonCurrency,1,FALSE)</f>
        <v>3ds Max</v>
      </c>
      <c r="C4" s="193">
        <v>108000</v>
      </c>
      <c r="D4" s="196">
        <v>119000</v>
      </c>
      <c r="E4" s="196">
        <v>125000</v>
      </c>
      <c r="F4" s="197">
        <v>125000</v>
      </c>
      <c r="G4" s="193">
        <v>124000</v>
      </c>
      <c r="H4" s="196">
        <v>149000</v>
      </c>
      <c r="I4" s="197">
        <v>149000</v>
      </c>
      <c r="J4" s="193">
        <v>230000</v>
      </c>
      <c r="K4" s="407">
        <v>403000</v>
      </c>
      <c r="L4" s="366" t="b">
        <f t="shared" si="0"/>
        <v>0</v>
      </c>
      <c r="M4" s="460"/>
      <c r="N4" s="460"/>
    </row>
    <row r="5" spans="1:14" ht="14.25" customHeight="1">
      <c r="A5" s="184" t="s">
        <v>271</v>
      </c>
      <c r="B5" s="207" t="str">
        <f t="shared" si="1"/>
        <v>3ds Max Entertainment Creation Suite Standard</v>
      </c>
      <c r="C5" s="193">
        <v>133000</v>
      </c>
      <c r="D5" s="196" t="s">
        <v>389</v>
      </c>
      <c r="E5" s="196" t="s">
        <v>389</v>
      </c>
      <c r="F5" s="197" t="s">
        <v>389</v>
      </c>
      <c r="G5" s="193">
        <v>154000</v>
      </c>
      <c r="H5" s="196">
        <v>185000</v>
      </c>
      <c r="I5" s="197">
        <v>185000</v>
      </c>
      <c r="J5" s="193"/>
      <c r="K5" s="197"/>
      <c r="L5" s="366" t="b">
        <f t="shared" si="0"/>
        <v>0</v>
      </c>
      <c r="M5" s="460"/>
      <c r="N5" s="460"/>
    </row>
    <row r="6" spans="1:14" ht="14.25" customHeight="1">
      <c r="A6" s="184" t="s">
        <v>1799</v>
      </c>
      <c r="B6" s="207" t="str">
        <f t="shared" si="1"/>
        <v>3ds Max with Softimage</v>
      </c>
      <c r="C6" s="193">
        <v>113000</v>
      </c>
      <c r="D6" s="196"/>
      <c r="E6" s="196"/>
      <c r="F6" s="197"/>
      <c r="G6" s="193">
        <v>124000</v>
      </c>
      <c r="H6" s="196">
        <v>149000</v>
      </c>
      <c r="I6" s="197">
        <v>149000</v>
      </c>
      <c r="J6" s="193">
        <v>224000</v>
      </c>
      <c r="K6" s="197"/>
      <c r="L6" s="366" t="b">
        <f t="shared" si="0"/>
        <v>0</v>
      </c>
      <c r="M6" s="460"/>
      <c r="N6" s="460"/>
    </row>
    <row r="7" spans="1:14" ht="14.25" customHeight="1">
      <c r="A7" s="184" t="s">
        <v>1669</v>
      </c>
      <c r="B7" s="207" t="str">
        <f t="shared" si="1"/>
        <v>Advance Steel</v>
      </c>
      <c r="C7" s="193">
        <v>242000</v>
      </c>
      <c r="D7" s="196">
        <v>254100</v>
      </c>
      <c r="E7" s="196">
        <v>266805</v>
      </c>
      <c r="F7" s="197">
        <v>266805</v>
      </c>
      <c r="G7" s="193">
        <v>266000</v>
      </c>
      <c r="H7" s="196">
        <v>319000</v>
      </c>
      <c r="I7" s="197">
        <v>319000</v>
      </c>
      <c r="J7" s="193">
        <v>297000</v>
      </c>
      <c r="K7" s="407">
        <v>520000</v>
      </c>
      <c r="L7" s="366" t="b">
        <f t="shared" si="0"/>
        <v>0</v>
      </c>
      <c r="M7" s="460"/>
      <c r="N7" s="460"/>
    </row>
    <row r="8" spans="1:14" ht="14.25" customHeight="1">
      <c r="A8" s="184" t="s">
        <v>1670</v>
      </c>
      <c r="B8" s="207" t="str">
        <f t="shared" si="1"/>
        <v>Alias AutoStudio</v>
      </c>
      <c r="C8" s="193">
        <v>1086000</v>
      </c>
      <c r="D8" s="196">
        <v>1140300</v>
      </c>
      <c r="E8" s="196">
        <v>1197315</v>
      </c>
      <c r="F8" s="197">
        <v>1197315</v>
      </c>
      <c r="G8" s="193">
        <v>1195000</v>
      </c>
      <c r="H8" s="196">
        <v>1434000</v>
      </c>
      <c r="I8" s="197">
        <v>1434000</v>
      </c>
      <c r="J8" s="193">
        <v>2262000</v>
      </c>
      <c r="K8" s="407">
        <v>3959000</v>
      </c>
      <c r="L8" s="366" t="b">
        <f t="shared" si="0"/>
        <v>0</v>
      </c>
      <c r="M8" s="460"/>
      <c r="N8" s="460"/>
    </row>
    <row r="9" spans="1:14" ht="14.25" customHeight="1">
      <c r="A9" s="184" t="s">
        <v>1671</v>
      </c>
      <c r="B9" s="207" t="str">
        <f t="shared" si="1"/>
        <v>Alias Concept</v>
      </c>
      <c r="C9" s="193">
        <v>243000</v>
      </c>
      <c r="D9" s="196">
        <v>255150</v>
      </c>
      <c r="E9" s="196">
        <v>267910</v>
      </c>
      <c r="F9" s="197">
        <v>267910</v>
      </c>
      <c r="G9" s="193">
        <v>267000</v>
      </c>
      <c r="H9" s="196">
        <v>320000</v>
      </c>
      <c r="I9" s="197">
        <v>320000</v>
      </c>
      <c r="J9" s="193">
        <v>631000</v>
      </c>
      <c r="K9" s="407">
        <v>1104000</v>
      </c>
      <c r="L9" s="366" t="b">
        <f t="shared" si="0"/>
        <v>0</v>
      </c>
      <c r="M9" s="460"/>
      <c r="N9" s="460"/>
    </row>
    <row r="10" spans="1:14" ht="14.25" customHeight="1">
      <c r="A10" s="184" t="s">
        <v>1672</v>
      </c>
      <c r="B10" s="207" t="str">
        <f t="shared" si="1"/>
        <v>Alias Design</v>
      </c>
      <c r="C10" s="193">
        <v>150000</v>
      </c>
      <c r="D10" s="196">
        <v>157500</v>
      </c>
      <c r="E10" s="196">
        <v>165375</v>
      </c>
      <c r="F10" s="197">
        <v>165375</v>
      </c>
      <c r="G10" s="193">
        <v>165000</v>
      </c>
      <c r="H10" s="196">
        <v>198000</v>
      </c>
      <c r="I10" s="197">
        <v>198000</v>
      </c>
      <c r="J10" s="193">
        <v>388000</v>
      </c>
      <c r="K10" s="407">
        <v>679000</v>
      </c>
      <c r="L10" s="366" t="b">
        <f t="shared" si="0"/>
        <v>0</v>
      </c>
      <c r="M10" s="460"/>
      <c r="N10" s="460"/>
    </row>
    <row r="11" spans="1:14" ht="14.25" customHeight="1">
      <c r="A11" s="184" t="s">
        <v>1673</v>
      </c>
      <c r="B11" s="207" t="str">
        <f t="shared" si="1"/>
        <v>Alias SpeedForm</v>
      </c>
      <c r="C11" s="193">
        <v>142000</v>
      </c>
      <c r="D11" s="196">
        <v>149100</v>
      </c>
      <c r="E11" s="196">
        <v>156555</v>
      </c>
      <c r="F11" s="197">
        <v>156555</v>
      </c>
      <c r="G11" s="193">
        <v>156000</v>
      </c>
      <c r="H11" s="196">
        <v>187000</v>
      </c>
      <c r="I11" s="197">
        <v>187000</v>
      </c>
      <c r="J11" s="193">
        <v>368000</v>
      </c>
      <c r="K11" s="407">
        <v>644000</v>
      </c>
      <c r="L11" s="366" t="b">
        <f t="shared" si="0"/>
        <v>0</v>
      </c>
      <c r="M11" s="460"/>
      <c r="N11" s="460"/>
    </row>
    <row r="12" spans="1:14" ht="14.25" customHeight="1">
      <c r="A12" s="184" t="s">
        <v>1674</v>
      </c>
      <c r="B12" s="207" t="str">
        <f t="shared" si="1"/>
        <v>Alias Surface</v>
      </c>
      <c r="C12" s="193">
        <v>506000</v>
      </c>
      <c r="D12" s="196">
        <v>531300</v>
      </c>
      <c r="E12" s="196">
        <v>557865</v>
      </c>
      <c r="F12" s="197">
        <v>557865</v>
      </c>
      <c r="G12" s="193">
        <v>557000</v>
      </c>
      <c r="H12" s="196">
        <v>668000</v>
      </c>
      <c r="I12" s="197">
        <v>668000</v>
      </c>
      <c r="J12" s="193">
        <v>1315000</v>
      </c>
      <c r="K12" s="407">
        <v>2301000</v>
      </c>
      <c r="L12" s="366" t="b">
        <f t="shared" si="0"/>
        <v>0</v>
      </c>
      <c r="M12" s="460"/>
      <c r="N12" s="460"/>
    </row>
    <row r="13" spans="1:14" ht="14.25" customHeight="1">
      <c r="A13" s="184" t="s">
        <v>272</v>
      </c>
      <c r="B13" s="207" t="str">
        <f t="shared" si="1"/>
        <v>AutoCAD</v>
      </c>
      <c r="C13" s="193">
        <v>97000</v>
      </c>
      <c r="D13" s="196" t="s">
        <v>1927</v>
      </c>
      <c r="E13" s="196" t="s">
        <v>1927</v>
      </c>
      <c r="F13" s="197" t="s">
        <v>1927</v>
      </c>
      <c r="G13" s="193">
        <v>112000</v>
      </c>
      <c r="H13" s="196">
        <v>134000</v>
      </c>
      <c r="I13" s="197">
        <v>134000</v>
      </c>
      <c r="J13" s="193" t="s">
        <v>1927</v>
      </c>
      <c r="K13" s="407" t="s">
        <v>1927</v>
      </c>
      <c r="L13" s="366" t="b">
        <f t="shared" si="0"/>
        <v>0</v>
      </c>
      <c r="M13" s="460"/>
      <c r="N13" s="460"/>
    </row>
    <row r="14" spans="1:14" ht="14.25" customHeight="1">
      <c r="A14" s="184" t="s">
        <v>272</v>
      </c>
      <c r="B14" s="458" t="str">
        <f>SUBSTITUTE(M2S_Eligibility_List!M$21,nmADwSP,"")</f>
        <v>AutoCAD - including specialized toolsets</v>
      </c>
      <c r="C14" s="193" t="s">
        <v>1928</v>
      </c>
      <c r="D14" s="196">
        <v>111000</v>
      </c>
      <c r="E14" s="196">
        <v>117000</v>
      </c>
      <c r="F14" s="197">
        <v>117000</v>
      </c>
      <c r="G14" s="193" t="s">
        <v>1928</v>
      </c>
      <c r="H14" s="196" t="s">
        <v>1928</v>
      </c>
      <c r="I14" s="197" t="s">
        <v>1928</v>
      </c>
      <c r="J14" s="193">
        <v>185000</v>
      </c>
      <c r="K14" s="407">
        <v>324000</v>
      </c>
      <c r="L14" s="366" t="b">
        <f t="shared" ref="L14" si="2">MAX(C14:K14)=MIN(C14:K14)</f>
        <v>0</v>
      </c>
      <c r="M14" s="460"/>
      <c r="N14" s="460"/>
    </row>
    <row r="15" spans="1:14" ht="14.25" customHeight="1">
      <c r="A15" s="184" t="s">
        <v>273</v>
      </c>
      <c r="B15" s="207" t="str">
        <f t="shared" si="1"/>
        <v>AutoCAD Architecture</v>
      </c>
      <c r="C15" s="193">
        <v>121000</v>
      </c>
      <c r="D15" s="196">
        <v>133000</v>
      </c>
      <c r="E15" s="196">
        <v>140000</v>
      </c>
      <c r="F15" s="197">
        <v>140000</v>
      </c>
      <c r="G15" s="193">
        <v>140000</v>
      </c>
      <c r="H15" s="196">
        <v>168000</v>
      </c>
      <c r="I15" s="197">
        <v>168000</v>
      </c>
      <c r="J15" s="193">
        <v>185000</v>
      </c>
      <c r="K15" s="407">
        <v>324000</v>
      </c>
      <c r="L15" s="366" t="b">
        <f t="shared" si="0"/>
        <v>0</v>
      </c>
      <c r="M15" s="460"/>
      <c r="N15" s="460"/>
    </row>
    <row r="16" spans="1:14" ht="14.25" customHeight="1">
      <c r="A16" s="184" t="s">
        <v>1785</v>
      </c>
      <c r="B16" s="207" t="str">
        <f t="shared" si="1"/>
        <v>AutoCAD Civil 3D*</v>
      </c>
      <c r="C16" s="193">
        <v>151000</v>
      </c>
      <c r="D16" s="196" t="s">
        <v>1927</v>
      </c>
      <c r="E16" s="196" t="s">
        <v>1927</v>
      </c>
      <c r="F16" s="197" t="s">
        <v>1927</v>
      </c>
      <c r="G16" s="193">
        <v>166000</v>
      </c>
      <c r="H16" s="196">
        <v>199000</v>
      </c>
      <c r="I16" s="197">
        <v>199000</v>
      </c>
      <c r="J16" s="193" t="s">
        <v>1927</v>
      </c>
      <c r="K16" s="407" t="s">
        <v>1927</v>
      </c>
      <c r="L16" s="366" t="b">
        <f t="shared" si="0"/>
        <v>0</v>
      </c>
      <c r="M16" s="460"/>
      <c r="N16" s="460"/>
    </row>
    <row r="17" spans="1:14" ht="14.25" customHeight="1">
      <c r="A17" s="184" t="s">
        <v>1785</v>
      </c>
      <c r="B17" s="458" t="str">
        <f>SUBSTITUTE(VLOOKUP(IF(LEFT(A17,LEN(nmADwSP))=nmADwSP,RIGHT(A17,LEN(A17)-LEN(nmADwSP)),A17),DataPaths_List_ProdMT_NonCurrency,1,FALSE),nmAutoCAD,"")</f>
        <v>Civil 3D*</v>
      </c>
      <c r="C17" s="193" t="s">
        <v>1928</v>
      </c>
      <c r="D17" s="196">
        <v>159000</v>
      </c>
      <c r="E17" s="196">
        <v>167000</v>
      </c>
      <c r="F17" s="197">
        <v>167000</v>
      </c>
      <c r="G17" s="193" t="s">
        <v>1928</v>
      </c>
      <c r="H17" s="196" t="s">
        <v>1928</v>
      </c>
      <c r="I17" s="197" t="s">
        <v>1928</v>
      </c>
      <c r="J17" s="193">
        <v>329000</v>
      </c>
      <c r="K17" s="407">
        <v>494000</v>
      </c>
      <c r="L17" s="366" t="b">
        <f t="shared" ref="L17" si="3">MAX(C17:K17)=MIN(C17:K17)</f>
        <v>0</v>
      </c>
      <c r="M17" s="460"/>
      <c r="N17" s="460"/>
    </row>
    <row r="18" spans="1:14" ht="14.25" customHeight="1">
      <c r="A18" s="184" t="s">
        <v>274</v>
      </c>
      <c r="B18" s="207" t="str">
        <f t="shared" si="1"/>
        <v>AutoCAD Design Suite Premium</v>
      </c>
      <c r="C18" s="193">
        <v>121000</v>
      </c>
      <c r="D18" s="196" t="s">
        <v>389</v>
      </c>
      <c r="E18" s="196" t="s">
        <v>389</v>
      </c>
      <c r="F18" s="197" t="s">
        <v>389</v>
      </c>
      <c r="G18" s="193">
        <v>140000</v>
      </c>
      <c r="H18" s="196">
        <v>168000</v>
      </c>
      <c r="I18" s="197">
        <v>168000</v>
      </c>
      <c r="J18" s="193"/>
      <c r="K18" s="197"/>
      <c r="L18" s="366" t="b">
        <f t="shared" si="0"/>
        <v>0</v>
      </c>
      <c r="M18" s="460"/>
      <c r="N18" s="460"/>
    </row>
    <row r="19" spans="1:14" ht="14.25" customHeight="1">
      <c r="A19" s="184" t="s">
        <v>275</v>
      </c>
      <c r="B19" s="207" t="str">
        <f t="shared" si="1"/>
        <v>AutoCAD Design Suite Standard</v>
      </c>
      <c r="C19" s="193">
        <v>105000</v>
      </c>
      <c r="D19" s="196" t="s">
        <v>389</v>
      </c>
      <c r="E19" s="196" t="s">
        <v>389</v>
      </c>
      <c r="F19" s="197" t="s">
        <v>389</v>
      </c>
      <c r="G19" s="193">
        <v>121000</v>
      </c>
      <c r="H19" s="196">
        <v>145000</v>
      </c>
      <c r="I19" s="197">
        <v>145000</v>
      </c>
      <c r="J19" s="193"/>
      <c r="K19" s="197"/>
      <c r="L19" s="366" t="b">
        <f t="shared" si="0"/>
        <v>0</v>
      </c>
      <c r="M19" s="460"/>
      <c r="N19" s="460"/>
    </row>
    <row r="20" spans="1:14" ht="14.25" customHeight="1">
      <c r="A20" s="184" t="s">
        <v>1795</v>
      </c>
      <c r="B20" s="207" t="str">
        <f t="shared" si="1"/>
        <v>AutoCAD Design Suite Ultimate</v>
      </c>
      <c r="C20" s="193">
        <v>162000</v>
      </c>
      <c r="D20" s="196"/>
      <c r="E20" s="196"/>
      <c r="F20" s="197"/>
      <c r="G20" s="193">
        <v>178000</v>
      </c>
      <c r="H20" s="196">
        <v>214000</v>
      </c>
      <c r="I20" s="197">
        <v>214000</v>
      </c>
      <c r="J20" s="193"/>
      <c r="K20" s="197"/>
      <c r="L20" s="366" t="b">
        <f t="shared" si="0"/>
        <v>0</v>
      </c>
      <c r="M20" s="460"/>
      <c r="N20" s="460"/>
    </row>
    <row r="21" spans="1:14" ht="14.25" customHeight="1">
      <c r="A21" s="184" t="s">
        <v>1786</v>
      </c>
      <c r="B21" s="207" t="str">
        <f t="shared" si="1"/>
        <v>AutoCAD Electrical*</v>
      </c>
      <c r="C21" s="193">
        <v>133000</v>
      </c>
      <c r="D21" s="196">
        <v>133000</v>
      </c>
      <c r="E21" s="196">
        <v>140000</v>
      </c>
      <c r="F21" s="197">
        <v>140000</v>
      </c>
      <c r="G21" s="193">
        <v>154000</v>
      </c>
      <c r="H21" s="196">
        <v>185000</v>
      </c>
      <c r="I21" s="197">
        <v>185000</v>
      </c>
      <c r="J21" s="193">
        <v>185000</v>
      </c>
      <c r="K21" s="407">
        <v>324000</v>
      </c>
      <c r="L21" s="366" t="b">
        <f t="shared" si="0"/>
        <v>0</v>
      </c>
      <c r="M21" s="460"/>
      <c r="N21" s="460"/>
    </row>
    <row r="22" spans="1:14" ht="14.25" customHeight="1">
      <c r="A22" s="184" t="s">
        <v>391</v>
      </c>
      <c r="B22" s="207" t="str">
        <f t="shared" si="1"/>
        <v>AutoCAD Inventor LT Suite</v>
      </c>
      <c r="C22" s="193">
        <v>36000</v>
      </c>
      <c r="D22" s="196">
        <v>40000</v>
      </c>
      <c r="E22" s="196">
        <v>42000</v>
      </c>
      <c r="F22" s="197">
        <v>42000</v>
      </c>
      <c r="G22" s="193">
        <v>42000</v>
      </c>
      <c r="H22" s="196">
        <v>50000</v>
      </c>
      <c r="I22" s="197">
        <v>50000</v>
      </c>
      <c r="J22" s="193">
        <v>73000</v>
      </c>
      <c r="K22" s="197"/>
      <c r="L22" s="366" t="b">
        <f t="shared" si="0"/>
        <v>0</v>
      </c>
      <c r="M22" s="460"/>
      <c r="N22" s="460"/>
    </row>
    <row r="23" spans="1:14" ht="14.25" customHeight="1">
      <c r="A23" s="184" t="s">
        <v>276</v>
      </c>
      <c r="B23" s="207" t="str">
        <f t="shared" si="1"/>
        <v>AutoCAD LT</v>
      </c>
      <c r="C23" s="193">
        <v>29000</v>
      </c>
      <c r="D23" s="196">
        <v>32000</v>
      </c>
      <c r="E23" s="196">
        <v>34000</v>
      </c>
      <c r="F23" s="197">
        <v>34000</v>
      </c>
      <c r="G23" s="193">
        <v>33000</v>
      </c>
      <c r="H23" s="196">
        <v>40000</v>
      </c>
      <c r="I23" s="197">
        <v>40000</v>
      </c>
      <c r="J23" s="193">
        <v>58000</v>
      </c>
      <c r="K23" s="407">
        <v>88000</v>
      </c>
      <c r="L23" s="366" t="b">
        <f t="shared" si="0"/>
        <v>0</v>
      </c>
      <c r="M23" s="460"/>
      <c r="N23" s="460"/>
    </row>
    <row r="24" spans="1:14" ht="14.25" customHeight="1">
      <c r="A24" s="184" t="s">
        <v>1675</v>
      </c>
      <c r="B24" s="207" t="str">
        <f t="shared" si="1"/>
        <v>AutoCAD LT with CALS Tools</v>
      </c>
      <c r="C24" s="193">
        <v>38000</v>
      </c>
      <c r="D24" s="196">
        <v>39900</v>
      </c>
      <c r="E24" s="196">
        <v>41895</v>
      </c>
      <c r="F24" s="197">
        <v>41895</v>
      </c>
      <c r="G24" s="193">
        <v>42000</v>
      </c>
      <c r="H24" s="196">
        <v>50000</v>
      </c>
      <c r="I24" s="197">
        <v>50000</v>
      </c>
      <c r="J24" s="193">
        <v>74000</v>
      </c>
      <c r="K24" s="407">
        <v>111000</v>
      </c>
      <c r="L24" s="366" t="b">
        <f t="shared" si="0"/>
        <v>0</v>
      </c>
      <c r="M24" s="460"/>
      <c r="N24" s="460"/>
    </row>
    <row r="25" spans="1:14" ht="14.25" customHeight="1">
      <c r="A25" s="184" t="s">
        <v>277</v>
      </c>
      <c r="B25" s="207" t="str">
        <f t="shared" si="1"/>
        <v>AutoCAD Map 3D</v>
      </c>
      <c r="C25" s="193">
        <v>121000</v>
      </c>
      <c r="D25" s="196">
        <v>133000</v>
      </c>
      <c r="E25" s="196">
        <v>140000</v>
      </c>
      <c r="F25" s="197">
        <v>140000</v>
      </c>
      <c r="G25" s="193">
        <v>140000</v>
      </c>
      <c r="H25" s="196">
        <v>168000</v>
      </c>
      <c r="I25" s="197">
        <v>168000</v>
      </c>
      <c r="J25" s="193">
        <v>185000</v>
      </c>
      <c r="K25" s="407">
        <v>324000</v>
      </c>
      <c r="L25" s="366" t="b">
        <f t="shared" si="0"/>
        <v>0</v>
      </c>
      <c r="M25" s="460"/>
      <c r="N25" s="460"/>
    </row>
    <row r="26" spans="1:14" ht="14.25" customHeight="1">
      <c r="A26" s="184" t="s">
        <v>278</v>
      </c>
      <c r="B26" s="207" t="str">
        <f t="shared" si="1"/>
        <v>AutoCAD Mechanical</v>
      </c>
      <c r="C26" s="193">
        <v>109000</v>
      </c>
      <c r="D26" s="391">
        <v>120000</v>
      </c>
      <c r="E26" s="391">
        <v>126000</v>
      </c>
      <c r="F26" s="197">
        <v>126000</v>
      </c>
      <c r="G26" s="193">
        <v>125000</v>
      </c>
      <c r="H26" s="391">
        <v>150000</v>
      </c>
      <c r="I26" s="197">
        <v>150000</v>
      </c>
      <c r="J26" s="193">
        <v>185000</v>
      </c>
      <c r="K26" s="407">
        <v>324000</v>
      </c>
      <c r="L26" s="366" t="b">
        <f t="shared" si="0"/>
        <v>0</v>
      </c>
      <c r="M26" s="460"/>
      <c r="N26" s="460"/>
    </row>
    <row r="27" spans="1:14" ht="14.25" customHeight="1">
      <c r="A27" s="184" t="s">
        <v>279</v>
      </c>
      <c r="B27" s="207" t="str">
        <f t="shared" si="1"/>
        <v>AutoCAD MEP</v>
      </c>
      <c r="C27" s="193"/>
      <c r="D27" s="196"/>
      <c r="E27" s="196"/>
      <c r="F27" s="197"/>
      <c r="G27" s="193"/>
      <c r="H27" s="196"/>
      <c r="I27" s="197"/>
      <c r="J27" s="193"/>
      <c r="K27" s="197"/>
      <c r="L27" s="366" t="b">
        <f t="shared" si="0"/>
        <v>1</v>
      </c>
      <c r="M27" s="460"/>
      <c r="N27" s="460"/>
    </row>
    <row r="28" spans="1:14" ht="14.25" customHeight="1">
      <c r="A28" s="184" t="s">
        <v>280</v>
      </c>
      <c r="B28" s="207" t="str">
        <f t="shared" si="1"/>
        <v>AutoCAD P&amp;ID</v>
      </c>
      <c r="C28" s="193">
        <v>133000</v>
      </c>
      <c r="D28" s="196">
        <v>171000</v>
      </c>
      <c r="E28" s="196">
        <v>180000</v>
      </c>
      <c r="F28" s="197">
        <v>180000</v>
      </c>
      <c r="G28" s="193">
        <v>154000</v>
      </c>
      <c r="H28" s="196">
        <v>185000</v>
      </c>
      <c r="I28" s="197">
        <v>185000</v>
      </c>
      <c r="J28" s="193"/>
      <c r="K28" s="197"/>
      <c r="L28" s="366" t="b">
        <f t="shared" si="0"/>
        <v>0</v>
      </c>
      <c r="M28" s="460"/>
      <c r="N28" s="460"/>
    </row>
    <row r="29" spans="1:14" ht="14.25" customHeight="1">
      <c r="A29" s="184" t="s">
        <v>1787</v>
      </c>
      <c r="B29" s="207" t="str">
        <f t="shared" si="1"/>
        <v>AutoCAD Plant 3D*</v>
      </c>
      <c r="C29" s="193">
        <v>217000</v>
      </c>
      <c r="D29" s="196">
        <v>171000</v>
      </c>
      <c r="E29" s="196">
        <v>180000</v>
      </c>
      <c r="F29" s="197">
        <v>180000</v>
      </c>
      <c r="G29" s="193">
        <v>251000</v>
      </c>
      <c r="H29" s="196">
        <v>301000</v>
      </c>
      <c r="I29" s="197">
        <v>301000</v>
      </c>
      <c r="J29" s="193">
        <v>185000</v>
      </c>
      <c r="K29" s="407">
        <v>324000</v>
      </c>
      <c r="L29" s="366" t="b">
        <f t="shared" si="0"/>
        <v>0</v>
      </c>
      <c r="M29" s="460"/>
      <c r="N29" s="460"/>
    </row>
    <row r="30" spans="1:14" ht="14.25" customHeight="1">
      <c r="A30" s="184" t="s">
        <v>281</v>
      </c>
      <c r="B30" s="207" t="str">
        <f t="shared" si="1"/>
        <v>AutoCAD Raster Design</v>
      </c>
      <c r="C30" s="193">
        <v>49000</v>
      </c>
      <c r="D30" s="196">
        <v>54000</v>
      </c>
      <c r="E30" s="196">
        <v>57000</v>
      </c>
      <c r="F30" s="197">
        <v>57000</v>
      </c>
      <c r="G30" s="193">
        <v>56000</v>
      </c>
      <c r="H30" s="196">
        <v>67000</v>
      </c>
      <c r="I30" s="197">
        <v>67000</v>
      </c>
      <c r="J30" s="193">
        <v>128000</v>
      </c>
      <c r="K30" s="407">
        <v>224000</v>
      </c>
      <c r="L30" s="366" t="b">
        <f t="shared" si="0"/>
        <v>0</v>
      </c>
      <c r="M30" s="460"/>
      <c r="N30" s="460"/>
    </row>
    <row r="31" spans="1:14" ht="14.25" customHeight="1">
      <c r="A31" s="184" t="s">
        <v>388</v>
      </c>
      <c r="B31" s="207" t="str">
        <f t="shared" si="1"/>
        <v>AutoCAD Revit LT Suite</v>
      </c>
      <c r="C31" s="193">
        <v>38000</v>
      </c>
      <c r="D31" s="196">
        <v>42000</v>
      </c>
      <c r="E31" s="196">
        <v>44000</v>
      </c>
      <c r="F31" s="197">
        <v>44000</v>
      </c>
      <c r="G31" s="193">
        <v>44000</v>
      </c>
      <c r="H31" s="196">
        <v>53000</v>
      </c>
      <c r="I31" s="197">
        <v>53000</v>
      </c>
      <c r="J31" s="193">
        <v>83000</v>
      </c>
      <c r="K31" s="197"/>
      <c r="L31" s="366" t="b">
        <f t="shared" si="0"/>
        <v>0</v>
      </c>
      <c r="M31" s="460"/>
      <c r="N31" s="460"/>
    </row>
    <row r="32" spans="1:14" ht="14.25" customHeight="1">
      <c r="A32" s="184" t="s">
        <v>1714</v>
      </c>
      <c r="B32" s="207" t="str">
        <f t="shared" si="1"/>
        <v>AutoCAD with Advance Steel</v>
      </c>
      <c r="C32" s="193">
        <v>289000</v>
      </c>
      <c r="D32" s="196">
        <v>254100</v>
      </c>
      <c r="E32" s="196">
        <v>266805</v>
      </c>
      <c r="F32" s="197">
        <v>266805</v>
      </c>
      <c r="G32" s="193">
        <v>318000</v>
      </c>
      <c r="H32" s="196">
        <v>382000</v>
      </c>
      <c r="I32" s="197">
        <v>382000</v>
      </c>
      <c r="J32" s="193">
        <v>290000</v>
      </c>
      <c r="K32" s="197">
        <v>435000</v>
      </c>
      <c r="L32" s="366" t="b">
        <f t="shared" si="0"/>
        <v>0</v>
      </c>
      <c r="M32" s="460"/>
      <c r="N32" s="460"/>
    </row>
    <row r="33" spans="1:14" ht="14.25" customHeight="1">
      <c r="A33" s="184" t="s">
        <v>282</v>
      </c>
      <c r="B33" s="207" t="str">
        <f t="shared" si="1"/>
        <v>Building Design Suite Premium</v>
      </c>
      <c r="C33" s="193">
        <v>157000</v>
      </c>
      <c r="D33" s="196" t="s">
        <v>389</v>
      </c>
      <c r="E33" s="196" t="s">
        <v>389</v>
      </c>
      <c r="F33" s="197" t="s">
        <v>389</v>
      </c>
      <c r="G33" s="193">
        <v>182000</v>
      </c>
      <c r="H33" s="196">
        <v>218000</v>
      </c>
      <c r="I33" s="197">
        <v>218000</v>
      </c>
      <c r="J33" s="193"/>
      <c r="K33" s="197"/>
      <c r="L33" s="366" t="b">
        <f t="shared" si="0"/>
        <v>0</v>
      </c>
      <c r="M33" s="460"/>
      <c r="N33" s="460"/>
    </row>
    <row r="34" spans="1:14" ht="14.25" customHeight="1">
      <c r="A34" s="184" t="s">
        <v>283</v>
      </c>
      <c r="B34" s="207" t="str">
        <f t="shared" si="1"/>
        <v>Building Design Suite Standard</v>
      </c>
      <c r="C34" s="193">
        <v>133000</v>
      </c>
      <c r="D34" s="196" t="s">
        <v>389</v>
      </c>
      <c r="E34" s="196" t="s">
        <v>389</v>
      </c>
      <c r="F34" s="197" t="s">
        <v>389</v>
      </c>
      <c r="G34" s="193">
        <v>154000</v>
      </c>
      <c r="H34" s="196">
        <v>185000</v>
      </c>
      <c r="I34" s="197">
        <v>185000</v>
      </c>
      <c r="J34" s="193"/>
      <c r="K34" s="197"/>
      <c r="L34" s="366" t="b">
        <f t="shared" si="0"/>
        <v>0</v>
      </c>
      <c r="M34" s="460"/>
      <c r="N34" s="460"/>
    </row>
    <row r="35" spans="1:14" ht="14.25" customHeight="1">
      <c r="A35" s="184" t="s">
        <v>284</v>
      </c>
      <c r="B35" s="207" t="str">
        <f t="shared" si="1"/>
        <v>Building Design Suite Ultimate</v>
      </c>
      <c r="C35" s="193">
        <v>257000</v>
      </c>
      <c r="D35" s="196" t="s">
        <v>389</v>
      </c>
      <c r="E35" s="196" t="s">
        <v>389</v>
      </c>
      <c r="F35" s="197" t="s">
        <v>389</v>
      </c>
      <c r="G35" s="193">
        <v>297000</v>
      </c>
      <c r="H35" s="196">
        <v>356000</v>
      </c>
      <c r="I35" s="197">
        <v>356000</v>
      </c>
      <c r="J35" s="193"/>
      <c r="K35" s="197"/>
      <c r="L35" s="366" t="b">
        <f t="shared" si="0"/>
        <v>0</v>
      </c>
      <c r="M35" s="460"/>
      <c r="N35" s="460"/>
    </row>
    <row r="36" spans="1:14" ht="14.25" customHeight="1">
      <c r="A36" s="184" t="s">
        <v>1676</v>
      </c>
      <c r="B36" s="207" t="str">
        <f t="shared" si="1"/>
        <v>CFD</v>
      </c>
      <c r="C36" s="193">
        <v>379000</v>
      </c>
      <c r="D36" s="196">
        <v>397950</v>
      </c>
      <c r="E36" s="196">
        <v>417850</v>
      </c>
      <c r="F36" s="197">
        <v>417850</v>
      </c>
      <c r="G36" s="193">
        <v>417000</v>
      </c>
      <c r="H36" s="196">
        <v>500000</v>
      </c>
      <c r="I36" s="197">
        <v>500000</v>
      </c>
      <c r="J36" s="193"/>
      <c r="K36" s="407">
        <v>577000</v>
      </c>
      <c r="L36" s="366" t="b">
        <f t="shared" si="0"/>
        <v>0</v>
      </c>
      <c r="M36" s="460"/>
      <c r="N36" s="460"/>
    </row>
    <row r="37" spans="1:14" ht="14.25" customHeight="1">
      <c r="A37" s="184" t="s">
        <v>1915</v>
      </c>
      <c r="B37" s="207" t="str">
        <f t="shared" si="1"/>
        <v>CFD Premium (formerly CFD Advanced)</v>
      </c>
      <c r="C37" s="193">
        <v>547000</v>
      </c>
      <c r="D37" s="196">
        <v>574350</v>
      </c>
      <c r="E37" s="196">
        <v>603070</v>
      </c>
      <c r="F37" s="197">
        <v>603070</v>
      </c>
      <c r="G37" s="193">
        <v>602000</v>
      </c>
      <c r="H37" s="196">
        <v>722000</v>
      </c>
      <c r="I37" s="197">
        <v>722000</v>
      </c>
      <c r="J37" s="193"/>
      <c r="K37" s="407">
        <v>1446000</v>
      </c>
      <c r="L37" s="366" t="b">
        <f t="shared" ref="L37:L67" si="4">MAX(C37:K37)=MIN(C37:K37)</f>
        <v>0</v>
      </c>
      <c r="M37" s="460"/>
      <c r="N37" s="460"/>
    </row>
    <row r="38" spans="1:14" ht="14.25" customHeight="1">
      <c r="A38" s="184" t="s">
        <v>1914</v>
      </c>
      <c r="B38" s="207" t="str">
        <f t="shared" si="1"/>
        <v>CFD Ultimate (formerly CFD Motion)</v>
      </c>
      <c r="C38" s="193">
        <v>759000</v>
      </c>
      <c r="D38" s="196">
        <v>796950</v>
      </c>
      <c r="E38" s="196">
        <v>836800</v>
      </c>
      <c r="F38" s="197">
        <v>836800</v>
      </c>
      <c r="G38" s="193">
        <v>835000</v>
      </c>
      <c r="H38" s="196">
        <v>1002000</v>
      </c>
      <c r="I38" s="197">
        <v>1002000</v>
      </c>
      <c r="J38" s="193"/>
      <c r="K38" s="407">
        <v>1775000</v>
      </c>
      <c r="L38" s="366" t="b">
        <f t="shared" si="4"/>
        <v>0</v>
      </c>
      <c r="M38" s="460"/>
      <c r="N38" s="460"/>
    </row>
    <row r="39" spans="1:14" ht="14.25" customHeight="1">
      <c r="A39" s="184" t="s">
        <v>285</v>
      </c>
      <c r="B39" s="207" t="str">
        <f t="shared" si="1"/>
        <v>Entertainment Creation Suite Ultimate</v>
      </c>
      <c r="C39" s="193">
        <v>167000</v>
      </c>
      <c r="D39" s="196" t="s">
        <v>389</v>
      </c>
      <c r="E39" s="196" t="s">
        <v>389</v>
      </c>
      <c r="F39" s="197" t="s">
        <v>389</v>
      </c>
      <c r="G39" s="193">
        <v>193000</v>
      </c>
      <c r="H39" s="196">
        <v>232000</v>
      </c>
      <c r="I39" s="197">
        <v>232000</v>
      </c>
      <c r="J39" s="193"/>
      <c r="K39" s="197"/>
      <c r="L39" s="366" t="b">
        <f t="shared" si="4"/>
        <v>0</v>
      </c>
      <c r="M39" s="460"/>
      <c r="N39" s="460"/>
    </row>
    <row r="40" spans="1:14" ht="14.25" customHeight="1">
      <c r="A40" s="184" t="s">
        <v>1677</v>
      </c>
      <c r="B40" s="207" t="str">
        <f t="shared" si="1"/>
        <v>Fabrication CADmep</v>
      </c>
      <c r="C40" s="193"/>
      <c r="D40" s="196"/>
      <c r="E40" s="196"/>
      <c r="F40" s="197"/>
      <c r="G40" s="193"/>
      <c r="H40" s="196"/>
      <c r="I40" s="197"/>
      <c r="J40" s="193"/>
      <c r="K40" s="197"/>
      <c r="L40" s="366" t="b">
        <f t="shared" si="4"/>
        <v>1</v>
      </c>
      <c r="M40" s="460"/>
      <c r="N40" s="460"/>
    </row>
    <row r="41" spans="1:14" ht="14.25" customHeight="1">
      <c r="A41" s="184" t="s">
        <v>1678</v>
      </c>
      <c r="B41" s="207" t="str">
        <f t="shared" si="1"/>
        <v>Fabrication CAMduct</v>
      </c>
      <c r="C41" s="193"/>
      <c r="D41" s="196"/>
      <c r="E41" s="196"/>
      <c r="F41" s="197"/>
      <c r="G41" s="193"/>
      <c r="H41" s="196"/>
      <c r="I41" s="197"/>
      <c r="J41" s="193"/>
      <c r="K41" s="197"/>
      <c r="L41" s="366" t="b">
        <f t="shared" si="4"/>
        <v>1</v>
      </c>
      <c r="M41" s="460"/>
      <c r="N41" s="460"/>
    </row>
    <row r="42" spans="1:14" ht="14.25" customHeight="1">
      <c r="A42" s="184" t="s">
        <v>1679</v>
      </c>
      <c r="B42" s="207" t="str">
        <f t="shared" si="1"/>
        <v>Fabrication ESTmep</v>
      </c>
      <c r="C42" s="193"/>
      <c r="D42" s="196"/>
      <c r="E42" s="196"/>
      <c r="F42" s="197"/>
      <c r="G42" s="193"/>
      <c r="H42" s="196"/>
      <c r="I42" s="197"/>
      <c r="J42" s="193"/>
      <c r="K42" s="197"/>
      <c r="L42" s="366" t="b">
        <f t="shared" si="4"/>
        <v>1</v>
      </c>
      <c r="M42" s="460"/>
      <c r="N42" s="460"/>
    </row>
    <row r="43" spans="1:14" ht="14.25" customHeight="1">
      <c r="A43" s="184" t="s">
        <v>394</v>
      </c>
      <c r="B43" s="207" t="str">
        <f t="shared" si="1"/>
        <v>Factory Design Suite Premium</v>
      </c>
      <c r="C43" s="193">
        <v>157000</v>
      </c>
      <c r="D43" s="196" t="s">
        <v>389</v>
      </c>
      <c r="E43" s="196" t="s">
        <v>389</v>
      </c>
      <c r="F43" s="197" t="s">
        <v>389</v>
      </c>
      <c r="G43" s="193">
        <v>182000</v>
      </c>
      <c r="H43" s="196">
        <v>218000</v>
      </c>
      <c r="I43" s="197">
        <v>218000</v>
      </c>
      <c r="J43" s="193"/>
      <c r="K43" s="197"/>
      <c r="L43" s="366" t="b">
        <f t="shared" si="4"/>
        <v>0</v>
      </c>
      <c r="M43" s="460"/>
      <c r="N43" s="460"/>
    </row>
    <row r="44" spans="1:14" ht="14.25" customHeight="1">
      <c r="A44" s="184" t="s">
        <v>603</v>
      </c>
      <c r="B44" s="207" t="str">
        <f t="shared" si="1"/>
        <v>Factory Design Suite Standard</v>
      </c>
      <c r="C44" s="193">
        <v>133000</v>
      </c>
      <c r="D44" s="196" t="s">
        <v>389</v>
      </c>
      <c r="E44" s="196" t="s">
        <v>389</v>
      </c>
      <c r="F44" s="197" t="s">
        <v>389</v>
      </c>
      <c r="G44" s="193">
        <v>154000</v>
      </c>
      <c r="H44" s="196">
        <v>185000</v>
      </c>
      <c r="I44" s="197">
        <v>185000</v>
      </c>
      <c r="J44" s="193"/>
      <c r="K44" s="197"/>
      <c r="L44" s="366" t="b">
        <f t="shared" si="4"/>
        <v>0</v>
      </c>
      <c r="M44" s="460"/>
      <c r="N44" s="460"/>
    </row>
    <row r="45" spans="1:14" ht="14.25" customHeight="1">
      <c r="A45" s="184" t="s">
        <v>286</v>
      </c>
      <c r="B45" s="207" t="str">
        <f t="shared" si="1"/>
        <v>Factory Design Suite Ultimate</v>
      </c>
      <c r="C45" s="193">
        <v>257000</v>
      </c>
      <c r="D45" s="196" t="s">
        <v>389</v>
      </c>
      <c r="E45" s="196" t="s">
        <v>389</v>
      </c>
      <c r="F45" s="197" t="s">
        <v>389</v>
      </c>
      <c r="G45" s="193">
        <v>297000</v>
      </c>
      <c r="H45" s="196">
        <v>356000</v>
      </c>
      <c r="I45" s="197">
        <v>356000</v>
      </c>
      <c r="J45" s="193"/>
      <c r="K45" s="197"/>
      <c r="L45" s="366" t="b">
        <f t="shared" si="4"/>
        <v>0</v>
      </c>
      <c r="M45" s="460"/>
      <c r="N45" s="460"/>
    </row>
    <row r="46" spans="1:14" ht="14.25" customHeight="1">
      <c r="A46" s="184" t="s">
        <v>1680</v>
      </c>
      <c r="B46" s="207" t="str">
        <f t="shared" si="1"/>
        <v>Helius Composite</v>
      </c>
      <c r="C46" s="193">
        <v>18000</v>
      </c>
      <c r="D46" s="196">
        <v>18900</v>
      </c>
      <c r="E46" s="196">
        <v>19845</v>
      </c>
      <c r="F46" s="197">
        <v>19845</v>
      </c>
      <c r="G46" s="193">
        <v>20000</v>
      </c>
      <c r="H46" s="196">
        <v>24000</v>
      </c>
      <c r="I46" s="197">
        <v>24000</v>
      </c>
      <c r="J46" s="193">
        <v>42000</v>
      </c>
      <c r="K46" s="407">
        <v>74000</v>
      </c>
      <c r="L46" s="366" t="b">
        <f t="shared" si="4"/>
        <v>0</v>
      </c>
      <c r="M46" s="460"/>
      <c r="N46" s="460"/>
    </row>
    <row r="47" spans="1:14" ht="14.25" customHeight="1">
      <c r="A47" s="184" t="s">
        <v>1681</v>
      </c>
      <c r="B47" s="207" t="str">
        <f t="shared" si="1"/>
        <v>HSM - Premium</v>
      </c>
      <c r="C47" s="193">
        <v>172000</v>
      </c>
      <c r="D47" s="196">
        <v>180600</v>
      </c>
      <c r="E47" s="196">
        <v>189630</v>
      </c>
      <c r="F47" s="197">
        <v>189630</v>
      </c>
      <c r="G47" s="193">
        <v>189000</v>
      </c>
      <c r="H47" s="196">
        <v>227000</v>
      </c>
      <c r="I47" s="197">
        <v>227000</v>
      </c>
      <c r="J47" s="193">
        <v>377000</v>
      </c>
      <c r="K47" s="197">
        <v>566000</v>
      </c>
      <c r="L47" s="366" t="b">
        <f t="shared" si="4"/>
        <v>0</v>
      </c>
      <c r="M47" s="460"/>
      <c r="N47" s="460"/>
    </row>
    <row r="48" spans="1:14" ht="14.25" customHeight="1">
      <c r="A48" s="184" t="s">
        <v>1682</v>
      </c>
      <c r="B48" s="207" t="str">
        <f t="shared" si="1"/>
        <v>HSM - Ultimate</v>
      </c>
      <c r="C48" s="193">
        <v>242000</v>
      </c>
      <c r="D48" s="196">
        <v>254100</v>
      </c>
      <c r="E48" s="196">
        <v>266805</v>
      </c>
      <c r="F48" s="197">
        <v>266805</v>
      </c>
      <c r="G48" s="193">
        <v>266000</v>
      </c>
      <c r="H48" s="196">
        <v>319000</v>
      </c>
      <c r="I48" s="197">
        <v>319000</v>
      </c>
      <c r="J48" s="193">
        <v>593000</v>
      </c>
      <c r="K48" s="197">
        <v>890000</v>
      </c>
      <c r="L48" s="366" t="b">
        <f t="shared" si="4"/>
        <v>0</v>
      </c>
      <c r="M48" s="460"/>
      <c r="N48" s="460"/>
    </row>
    <row r="49" spans="1:14" ht="14.25" customHeight="1">
      <c r="A49" s="184" t="s">
        <v>393</v>
      </c>
      <c r="B49" s="207" t="str">
        <f t="shared" si="1"/>
        <v>Infrastructure Design Suite Premium</v>
      </c>
      <c r="C49" s="193">
        <v>157000</v>
      </c>
      <c r="D49" s="196" t="s">
        <v>389</v>
      </c>
      <c r="E49" s="196" t="s">
        <v>389</v>
      </c>
      <c r="F49" s="197" t="s">
        <v>389</v>
      </c>
      <c r="G49" s="193">
        <v>182000</v>
      </c>
      <c r="H49" s="196">
        <v>218000</v>
      </c>
      <c r="I49" s="197">
        <v>218000</v>
      </c>
      <c r="J49" s="193"/>
      <c r="K49" s="197"/>
      <c r="L49" s="366" t="b">
        <f t="shared" si="4"/>
        <v>0</v>
      </c>
      <c r="M49" s="460"/>
      <c r="N49" s="460"/>
    </row>
    <row r="50" spans="1:14" ht="14.25" customHeight="1">
      <c r="A50" s="184" t="s">
        <v>287</v>
      </c>
      <c r="B50" s="207" t="str">
        <f t="shared" si="1"/>
        <v>Infrastructure Design Suite Standard</v>
      </c>
      <c r="C50" s="193">
        <v>133000</v>
      </c>
      <c r="D50" s="196" t="s">
        <v>389</v>
      </c>
      <c r="E50" s="196" t="s">
        <v>389</v>
      </c>
      <c r="F50" s="197" t="s">
        <v>389</v>
      </c>
      <c r="G50" s="193">
        <v>154000</v>
      </c>
      <c r="H50" s="196">
        <v>185000</v>
      </c>
      <c r="I50" s="197">
        <v>185000</v>
      </c>
      <c r="J50" s="193"/>
      <c r="K50" s="197"/>
      <c r="L50" s="366" t="b">
        <f t="shared" si="4"/>
        <v>0</v>
      </c>
      <c r="M50" s="460"/>
      <c r="N50" s="460"/>
    </row>
    <row r="51" spans="1:14" ht="14.25" customHeight="1">
      <c r="A51" s="184" t="s">
        <v>392</v>
      </c>
      <c r="B51" s="207" t="str">
        <f t="shared" si="1"/>
        <v>Infrastructure Design Suite Ultimate</v>
      </c>
      <c r="C51" s="193">
        <v>257000</v>
      </c>
      <c r="D51" s="196" t="s">
        <v>389</v>
      </c>
      <c r="E51" s="196" t="s">
        <v>389</v>
      </c>
      <c r="F51" s="197" t="s">
        <v>389</v>
      </c>
      <c r="G51" s="193">
        <v>297000</v>
      </c>
      <c r="H51" s="196">
        <v>356000</v>
      </c>
      <c r="I51" s="197">
        <v>356000</v>
      </c>
      <c r="J51" s="193"/>
      <c r="K51" s="197"/>
      <c r="L51" s="366" t="b">
        <f t="shared" si="4"/>
        <v>0</v>
      </c>
      <c r="M51" s="460"/>
      <c r="N51" s="460"/>
    </row>
    <row r="52" spans="1:14" ht="14.25" customHeight="1">
      <c r="A52" s="184" t="s">
        <v>1683</v>
      </c>
      <c r="B52" s="207" t="str">
        <f t="shared" si="1"/>
        <v>Infrastructure Map Server</v>
      </c>
      <c r="C52" s="193">
        <v>127000</v>
      </c>
      <c r="D52" s="196">
        <v>133350</v>
      </c>
      <c r="E52" s="196">
        <v>140020</v>
      </c>
      <c r="F52" s="197">
        <v>140020</v>
      </c>
      <c r="G52" s="193">
        <v>140000</v>
      </c>
      <c r="H52" s="196">
        <v>168000</v>
      </c>
      <c r="I52" s="197">
        <v>168000</v>
      </c>
      <c r="J52" s="193"/>
      <c r="K52" s="407">
        <v>394000</v>
      </c>
      <c r="L52" s="366" t="b">
        <f t="shared" si="4"/>
        <v>0</v>
      </c>
      <c r="M52" s="460"/>
      <c r="N52" s="460"/>
    </row>
    <row r="53" spans="1:14" ht="14.25" customHeight="1">
      <c r="A53" s="184" t="s">
        <v>1684</v>
      </c>
      <c r="B53" s="207" t="str">
        <f>RIGHT(A53,LEN(A53)-LEN(nmADwSP))</f>
        <v>Infraworks</v>
      </c>
      <c r="C53" s="193"/>
      <c r="D53" s="196">
        <v>0</v>
      </c>
      <c r="E53" s="196">
        <v>0</v>
      </c>
      <c r="F53" s="197">
        <v>0</v>
      </c>
      <c r="G53" s="198"/>
      <c r="H53" s="194"/>
      <c r="I53" s="195"/>
      <c r="J53" s="193">
        <v>246000</v>
      </c>
      <c r="K53" s="407">
        <v>431000</v>
      </c>
      <c r="L53" s="366" t="b">
        <f t="shared" si="4"/>
        <v>0</v>
      </c>
      <c r="M53" s="460"/>
      <c r="N53" s="460"/>
    </row>
    <row r="54" spans="1:14" ht="14.25" customHeight="1">
      <c r="A54" s="184" t="s">
        <v>390</v>
      </c>
      <c r="B54" s="207" t="str">
        <f t="shared" ref="B54:B85" si="5">VLOOKUP(IF(LEFT(A54,LEN(nmADwSP))=nmADwSP,RIGHT(A54,LEN(A54)-LEN(nmADwSP)),A54),DataPaths_List_ProdMT_NonCurrency,1,FALSE)</f>
        <v>Inventor</v>
      </c>
      <c r="C54" s="193">
        <v>109000</v>
      </c>
      <c r="D54" s="196">
        <v>120000</v>
      </c>
      <c r="E54" s="196">
        <v>126000</v>
      </c>
      <c r="F54" s="197">
        <v>126000</v>
      </c>
      <c r="G54" s="193">
        <v>125000</v>
      </c>
      <c r="H54" s="196">
        <v>150000</v>
      </c>
      <c r="I54" s="197">
        <v>150000</v>
      </c>
      <c r="J54" s="193">
        <v>289000</v>
      </c>
      <c r="K54" s="197">
        <v>434000</v>
      </c>
      <c r="L54" s="366" t="b">
        <f t="shared" si="4"/>
        <v>0</v>
      </c>
      <c r="M54" s="460"/>
      <c r="N54" s="460"/>
    </row>
    <row r="55" spans="1:14" ht="14.25" customHeight="1">
      <c r="A55" s="184" t="s">
        <v>288</v>
      </c>
      <c r="B55" s="207" t="str">
        <f t="shared" si="5"/>
        <v>Inventor LT</v>
      </c>
      <c r="C55" s="193">
        <v>26000</v>
      </c>
      <c r="D55" s="196">
        <v>28000</v>
      </c>
      <c r="E55" s="196">
        <v>29000</v>
      </c>
      <c r="F55" s="197">
        <v>29000</v>
      </c>
      <c r="G55" s="193">
        <v>30000</v>
      </c>
      <c r="H55" s="196">
        <v>36000</v>
      </c>
      <c r="I55" s="197">
        <v>36000</v>
      </c>
      <c r="J55" s="193">
        <v>53000</v>
      </c>
      <c r="K55" s="407">
        <v>80000</v>
      </c>
      <c r="L55" s="366" t="b">
        <f t="shared" si="4"/>
        <v>0</v>
      </c>
      <c r="M55" s="460"/>
      <c r="N55" s="460"/>
    </row>
    <row r="56" spans="1:14" ht="14.25" customHeight="1">
      <c r="A56" s="184" t="s">
        <v>289</v>
      </c>
      <c r="B56" s="207" t="str">
        <f t="shared" si="5"/>
        <v>Inventor Professional</v>
      </c>
      <c r="C56" s="193">
        <v>176000</v>
      </c>
      <c r="D56" s="196">
        <v>120000</v>
      </c>
      <c r="E56" s="196">
        <v>126000</v>
      </c>
      <c r="F56" s="197">
        <v>126000</v>
      </c>
      <c r="G56" s="193">
        <v>204000</v>
      </c>
      <c r="H56" s="196">
        <v>245000</v>
      </c>
      <c r="I56" s="197">
        <v>245000</v>
      </c>
      <c r="J56" s="193">
        <v>296000</v>
      </c>
      <c r="K56" s="407">
        <v>444000</v>
      </c>
      <c r="L56" s="366" t="b">
        <f t="shared" si="4"/>
        <v>0</v>
      </c>
      <c r="M56" s="460"/>
      <c r="N56" s="460"/>
    </row>
    <row r="57" spans="1:14" ht="14.25" customHeight="1">
      <c r="A57" s="184" t="s">
        <v>290</v>
      </c>
      <c r="B57" s="207" t="str">
        <f t="shared" si="5"/>
        <v>Maya</v>
      </c>
      <c r="C57" s="193">
        <v>108000</v>
      </c>
      <c r="D57" s="196">
        <v>119000</v>
      </c>
      <c r="E57" s="196">
        <v>125000</v>
      </c>
      <c r="F57" s="197">
        <v>125000</v>
      </c>
      <c r="G57" s="193">
        <v>124000</v>
      </c>
      <c r="H57" s="196">
        <v>149000</v>
      </c>
      <c r="I57" s="197">
        <v>149000</v>
      </c>
      <c r="J57" s="193">
        <v>230000</v>
      </c>
      <c r="K57" s="407">
        <v>403000</v>
      </c>
      <c r="L57" s="366" t="b">
        <f t="shared" si="4"/>
        <v>0</v>
      </c>
      <c r="M57" s="460"/>
      <c r="N57" s="460"/>
    </row>
    <row r="58" spans="1:14" ht="14.25" customHeight="1">
      <c r="A58" s="184" t="s">
        <v>291</v>
      </c>
      <c r="B58" s="207" t="str">
        <f t="shared" si="5"/>
        <v>Maya Entertainment Creation Suite Standard</v>
      </c>
      <c r="C58" s="193">
        <v>133000</v>
      </c>
      <c r="D58" s="196" t="s">
        <v>389</v>
      </c>
      <c r="E58" s="196" t="s">
        <v>389</v>
      </c>
      <c r="F58" s="197" t="s">
        <v>389</v>
      </c>
      <c r="G58" s="193">
        <v>154000</v>
      </c>
      <c r="H58" s="196">
        <v>185000</v>
      </c>
      <c r="I58" s="197">
        <v>185000</v>
      </c>
      <c r="J58" s="193"/>
      <c r="K58" s="197"/>
      <c r="L58" s="366" t="b">
        <f t="shared" si="4"/>
        <v>0</v>
      </c>
      <c r="M58" s="460"/>
      <c r="N58" s="460"/>
    </row>
    <row r="59" spans="1:14" ht="14.25" customHeight="1">
      <c r="A59" s="184" t="s">
        <v>1685</v>
      </c>
      <c r="B59" s="207" t="str">
        <f t="shared" si="5"/>
        <v>Maya LT</v>
      </c>
      <c r="C59" s="193">
        <v>18000</v>
      </c>
      <c r="D59" s="196">
        <v>18900</v>
      </c>
      <c r="E59" s="196">
        <v>19845</v>
      </c>
      <c r="F59" s="197">
        <v>19845</v>
      </c>
      <c r="G59" s="193">
        <v>20000</v>
      </c>
      <c r="H59" s="196">
        <v>24000</v>
      </c>
      <c r="I59" s="197">
        <v>24000</v>
      </c>
      <c r="J59" s="193">
        <v>34000</v>
      </c>
      <c r="K59" s="407">
        <v>60000</v>
      </c>
      <c r="L59" s="366" t="b">
        <f t="shared" si="4"/>
        <v>0</v>
      </c>
      <c r="M59" s="460"/>
      <c r="N59" s="460"/>
    </row>
    <row r="60" spans="1:14" ht="14.25" customHeight="1">
      <c r="A60" s="184" t="s">
        <v>1800</v>
      </c>
      <c r="B60" s="207" t="str">
        <f t="shared" si="5"/>
        <v>Maya with Softimage</v>
      </c>
      <c r="C60" s="193">
        <v>113000</v>
      </c>
      <c r="D60" s="196"/>
      <c r="E60" s="196"/>
      <c r="F60" s="197"/>
      <c r="G60" s="193">
        <v>124000</v>
      </c>
      <c r="H60" s="196">
        <v>149000</v>
      </c>
      <c r="I60" s="197">
        <v>149000</v>
      </c>
      <c r="J60" s="193">
        <v>224000</v>
      </c>
      <c r="K60" s="197"/>
      <c r="L60" s="366" t="b">
        <f t="shared" si="4"/>
        <v>0</v>
      </c>
      <c r="M60" s="460"/>
      <c r="N60" s="460"/>
    </row>
    <row r="61" spans="1:14" ht="14.25" customHeight="1">
      <c r="A61" s="184" t="s">
        <v>1686</v>
      </c>
      <c r="B61" s="207" t="str">
        <f t="shared" si="5"/>
        <v>Moldflow Adviser Premium</v>
      </c>
      <c r="C61" s="193">
        <v>146000</v>
      </c>
      <c r="D61" s="196">
        <v>153300</v>
      </c>
      <c r="E61" s="196">
        <v>160965</v>
      </c>
      <c r="F61" s="197">
        <v>160965</v>
      </c>
      <c r="G61" s="193">
        <v>161000</v>
      </c>
      <c r="H61" s="196">
        <v>193000</v>
      </c>
      <c r="I61" s="197">
        <v>193000</v>
      </c>
      <c r="J61" s="193"/>
      <c r="K61" s="407">
        <v>329000</v>
      </c>
      <c r="L61" s="366" t="b">
        <f t="shared" si="4"/>
        <v>0</v>
      </c>
      <c r="M61" s="460"/>
      <c r="N61" s="460"/>
    </row>
    <row r="62" spans="1:14" ht="14.25" customHeight="1">
      <c r="A62" s="184" t="s">
        <v>1687</v>
      </c>
      <c r="B62" s="207" t="str">
        <f t="shared" si="5"/>
        <v>Moldflow Adviser Ultimate</v>
      </c>
      <c r="C62" s="193">
        <v>632000</v>
      </c>
      <c r="D62" s="196">
        <v>663600</v>
      </c>
      <c r="E62" s="196">
        <v>696780</v>
      </c>
      <c r="F62" s="197">
        <v>696780</v>
      </c>
      <c r="G62" s="193">
        <v>695000</v>
      </c>
      <c r="H62" s="196">
        <v>834000</v>
      </c>
      <c r="I62" s="197">
        <v>834000</v>
      </c>
      <c r="J62" s="193"/>
      <c r="K62" s="407">
        <v>1643000</v>
      </c>
      <c r="L62" s="366" t="b">
        <f t="shared" si="4"/>
        <v>0</v>
      </c>
      <c r="M62" s="460"/>
      <c r="N62" s="460"/>
    </row>
    <row r="63" spans="1:14" ht="14.25" customHeight="1">
      <c r="A63" s="184" t="s">
        <v>1688</v>
      </c>
      <c r="B63" s="207" t="str">
        <f t="shared" si="5"/>
        <v>Moldflow Insight Premium</v>
      </c>
      <c r="C63" s="193">
        <v>1465000</v>
      </c>
      <c r="D63" s="196">
        <v>1538250</v>
      </c>
      <c r="E63" s="196">
        <v>1615165</v>
      </c>
      <c r="F63" s="197">
        <v>1615165</v>
      </c>
      <c r="G63" s="193">
        <v>1612000</v>
      </c>
      <c r="H63" s="196">
        <v>1934000</v>
      </c>
      <c r="I63" s="197">
        <v>1934000</v>
      </c>
      <c r="J63" s="193"/>
      <c r="K63" s="407">
        <v>3813000</v>
      </c>
      <c r="L63" s="366" t="b">
        <f t="shared" si="4"/>
        <v>0</v>
      </c>
      <c r="M63" s="460"/>
      <c r="N63" s="460"/>
    </row>
    <row r="64" spans="1:14" ht="14.25" customHeight="1">
      <c r="A64" s="184" t="s">
        <v>1689</v>
      </c>
      <c r="B64" s="207" t="str">
        <f t="shared" si="5"/>
        <v>Moldflow Insight Standard</v>
      </c>
      <c r="C64" s="193">
        <v>733000</v>
      </c>
      <c r="D64" s="196">
        <v>769650</v>
      </c>
      <c r="E64" s="196">
        <v>808135</v>
      </c>
      <c r="F64" s="197">
        <v>808135</v>
      </c>
      <c r="G64" s="193">
        <v>806000</v>
      </c>
      <c r="H64" s="196">
        <v>967000</v>
      </c>
      <c r="I64" s="197">
        <v>967000</v>
      </c>
      <c r="J64" s="193"/>
      <c r="K64" s="407">
        <v>1906000</v>
      </c>
      <c r="L64" s="366" t="b">
        <f t="shared" si="4"/>
        <v>0</v>
      </c>
      <c r="M64" s="460"/>
      <c r="N64" s="460"/>
    </row>
    <row r="65" spans="1:14" ht="14.25" customHeight="1">
      <c r="A65" s="184" t="s">
        <v>1690</v>
      </c>
      <c r="B65" s="207" t="str">
        <f t="shared" si="5"/>
        <v>Moldflow Insight Ultimate</v>
      </c>
      <c r="C65" s="193">
        <v>1971000</v>
      </c>
      <c r="D65" s="196">
        <v>2069550</v>
      </c>
      <c r="E65" s="196">
        <v>2173030</v>
      </c>
      <c r="F65" s="197">
        <v>2173030</v>
      </c>
      <c r="G65" s="193">
        <v>2168000</v>
      </c>
      <c r="H65" s="196">
        <v>2602000</v>
      </c>
      <c r="I65" s="197">
        <v>2602000</v>
      </c>
      <c r="J65" s="193"/>
      <c r="K65" s="407">
        <v>5128000</v>
      </c>
      <c r="L65" s="366" t="b">
        <f t="shared" si="4"/>
        <v>0</v>
      </c>
      <c r="M65" s="460"/>
      <c r="N65" s="460"/>
    </row>
    <row r="66" spans="1:14" ht="14.25" customHeight="1">
      <c r="A66" s="184" t="s">
        <v>1691</v>
      </c>
      <c r="B66" s="207" t="str">
        <f t="shared" si="5"/>
        <v>Moldflow Synergy</v>
      </c>
      <c r="C66" s="193">
        <v>303000</v>
      </c>
      <c r="D66" s="196">
        <v>318150</v>
      </c>
      <c r="E66" s="196">
        <v>334060</v>
      </c>
      <c r="F66" s="197">
        <v>334060</v>
      </c>
      <c r="G66" s="193">
        <v>333000</v>
      </c>
      <c r="H66" s="196">
        <v>400000</v>
      </c>
      <c r="I66" s="197">
        <v>400000</v>
      </c>
      <c r="J66" s="193"/>
      <c r="K66" s="407">
        <v>789000</v>
      </c>
      <c r="L66" s="366" t="b">
        <f t="shared" si="4"/>
        <v>0</v>
      </c>
      <c r="M66" s="460"/>
      <c r="N66" s="460"/>
    </row>
    <row r="67" spans="1:14" ht="14.25" customHeight="1">
      <c r="A67" s="184" t="s">
        <v>292</v>
      </c>
      <c r="B67" s="207" t="str">
        <f t="shared" si="5"/>
        <v>MotionBuilder</v>
      </c>
      <c r="C67" s="193">
        <v>129000</v>
      </c>
      <c r="D67" s="196">
        <v>142000</v>
      </c>
      <c r="E67" s="196">
        <v>149000</v>
      </c>
      <c r="F67" s="197">
        <v>149000</v>
      </c>
      <c r="G67" s="193">
        <v>149000</v>
      </c>
      <c r="H67" s="196">
        <v>179000</v>
      </c>
      <c r="I67" s="197">
        <v>179000</v>
      </c>
      <c r="J67" s="193">
        <v>263000</v>
      </c>
      <c r="K67" s="407">
        <v>460000</v>
      </c>
      <c r="L67" s="366" t="b">
        <f t="shared" si="4"/>
        <v>0</v>
      </c>
      <c r="M67" s="460"/>
      <c r="N67" s="460"/>
    </row>
    <row r="68" spans="1:14" ht="14.25" customHeight="1">
      <c r="A68" s="184" t="s">
        <v>1692</v>
      </c>
      <c r="B68" s="207" t="str">
        <f t="shared" si="5"/>
        <v>Mudbox</v>
      </c>
      <c r="C68" s="193">
        <v>12000</v>
      </c>
      <c r="D68" s="196">
        <v>12600</v>
      </c>
      <c r="E68" s="196">
        <v>13230</v>
      </c>
      <c r="F68" s="197">
        <v>13230</v>
      </c>
      <c r="G68" s="193">
        <v>13000</v>
      </c>
      <c r="H68" s="196">
        <v>16000</v>
      </c>
      <c r="I68" s="197">
        <v>16000</v>
      </c>
      <c r="J68" s="193">
        <v>12000</v>
      </c>
      <c r="K68" s="407">
        <v>21000</v>
      </c>
      <c r="L68" s="366" t="b">
        <f t="shared" ref="L68:L99" si="6">MAX(C68:K68)=MIN(C68:K68)</f>
        <v>0</v>
      </c>
      <c r="M68" s="460"/>
      <c r="N68" s="460"/>
    </row>
    <row r="69" spans="1:14" ht="14.25" customHeight="1">
      <c r="A69" s="184" t="s">
        <v>1693</v>
      </c>
      <c r="B69" s="207" t="str">
        <f t="shared" si="5"/>
        <v>Nastran</v>
      </c>
      <c r="C69" s="193">
        <v>207000</v>
      </c>
      <c r="D69" s="196">
        <v>217350</v>
      </c>
      <c r="E69" s="196">
        <v>228220</v>
      </c>
      <c r="F69" s="197">
        <v>228220</v>
      </c>
      <c r="G69" s="193">
        <v>228000</v>
      </c>
      <c r="H69" s="196">
        <v>274000</v>
      </c>
      <c r="I69" s="197">
        <v>274000</v>
      </c>
      <c r="J69" s="193"/>
      <c r="K69" s="407">
        <v>674000</v>
      </c>
      <c r="L69" s="366" t="b">
        <f t="shared" si="6"/>
        <v>0</v>
      </c>
      <c r="M69" s="460"/>
      <c r="N69" s="460"/>
    </row>
    <row r="70" spans="1:14" ht="14.25" customHeight="1">
      <c r="A70" s="184" t="s">
        <v>1694</v>
      </c>
      <c r="B70" s="207" t="str">
        <f t="shared" si="5"/>
        <v>Nastran In-CAD</v>
      </c>
      <c r="C70" s="193">
        <v>215000</v>
      </c>
      <c r="D70" s="196">
        <v>225750</v>
      </c>
      <c r="E70" s="196">
        <v>237040</v>
      </c>
      <c r="F70" s="197">
        <v>237040</v>
      </c>
      <c r="G70" s="193">
        <v>237000</v>
      </c>
      <c r="H70" s="196">
        <v>284000</v>
      </c>
      <c r="I70" s="197">
        <v>284000</v>
      </c>
      <c r="J70" s="193"/>
      <c r="K70" s="197">
        <v>545000</v>
      </c>
      <c r="L70" s="366" t="b">
        <f t="shared" si="6"/>
        <v>0</v>
      </c>
      <c r="M70" s="460"/>
      <c r="N70" s="460"/>
    </row>
    <row r="71" spans="1:14" ht="14.25" customHeight="1">
      <c r="A71" s="184" t="s">
        <v>1791</v>
      </c>
      <c r="B71" s="207" t="str">
        <f t="shared" si="5"/>
        <v>Navisworks Manage*</v>
      </c>
      <c r="C71" s="193">
        <v>145000</v>
      </c>
      <c r="D71" s="196">
        <v>133000</v>
      </c>
      <c r="E71" s="196">
        <v>140000</v>
      </c>
      <c r="F71" s="197">
        <v>140000</v>
      </c>
      <c r="G71" s="193">
        <v>167000</v>
      </c>
      <c r="H71" s="196">
        <v>200000</v>
      </c>
      <c r="I71" s="197">
        <v>200000</v>
      </c>
      <c r="J71" s="193">
        <v>324000</v>
      </c>
      <c r="K71" s="407">
        <v>486000</v>
      </c>
      <c r="L71" s="366" t="b">
        <f t="shared" si="6"/>
        <v>0</v>
      </c>
      <c r="M71" s="460"/>
      <c r="N71" s="460"/>
    </row>
    <row r="72" spans="1:14" ht="14.25" customHeight="1">
      <c r="A72" s="184" t="s">
        <v>1695</v>
      </c>
      <c r="B72" s="207" t="str">
        <f t="shared" si="5"/>
        <v>Navisworks Simulate</v>
      </c>
      <c r="C72" s="193">
        <v>51000</v>
      </c>
      <c r="D72" s="196">
        <v>53550</v>
      </c>
      <c r="E72" s="196">
        <v>56230</v>
      </c>
      <c r="F72" s="197">
        <v>56230</v>
      </c>
      <c r="G72" s="193">
        <v>56000</v>
      </c>
      <c r="H72" s="196">
        <v>67000</v>
      </c>
      <c r="I72" s="197">
        <v>67000</v>
      </c>
      <c r="J72" s="193">
        <v>131000</v>
      </c>
      <c r="K72" s="407">
        <v>229000</v>
      </c>
      <c r="L72" s="366" t="b">
        <f t="shared" si="6"/>
        <v>0</v>
      </c>
      <c r="M72" s="460"/>
      <c r="N72" s="460"/>
    </row>
    <row r="73" spans="1:14" ht="14.25" customHeight="1">
      <c r="A73" s="184" t="s">
        <v>293</v>
      </c>
      <c r="B73" s="207" t="str">
        <f t="shared" si="5"/>
        <v>Plant Design Suite Premium</v>
      </c>
      <c r="C73" s="193">
        <v>229000</v>
      </c>
      <c r="D73" s="196" t="s">
        <v>389</v>
      </c>
      <c r="E73" s="196" t="s">
        <v>389</v>
      </c>
      <c r="F73" s="197" t="s">
        <v>389</v>
      </c>
      <c r="G73" s="193">
        <v>264000</v>
      </c>
      <c r="H73" s="196">
        <v>317000</v>
      </c>
      <c r="I73" s="197">
        <v>317000</v>
      </c>
      <c r="J73" s="193"/>
      <c r="K73" s="197"/>
      <c r="L73" s="366" t="b">
        <f t="shared" si="6"/>
        <v>0</v>
      </c>
      <c r="M73" s="460"/>
      <c r="N73" s="460"/>
    </row>
    <row r="74" spans="1:14" ht="14.25" customHeight="1">
      <c r="A74" s="184" t="s">
        <v>294</v>
      </c>
      <c r="B74" s="207" t="str">
        <f t="shared" si="5"/>
        <v>Plant Design Suite Standard</v>
      </c>
      <c r="C74" s="193">
        <v>144000</v>
      </c>
      <c r="D74" s="196" t="s">
        <v>389</v>
      </c>
      <c r="E74" s="196" t="s">
        <v>389</v>
      </c>
      <c r="F74" s="197" t="s">
        <v>389</v>
      </c>
      <c r="G74" s="193">
        <v>166000</v>
      </c>
      <c r="H74" s="196">
        <v>199000</v>
      </c>
      <c r="I74" s="197">
        <v>199000</v>
      </c>
      <c r="J74" s="193"/>
      <c r="K74" s="197"/>
      <c r="L74" s="366" t="b">
        <f t="shared" si="6"/>
        <v>0</v>
      </c>
      <c r="M74" s="460"/>
      <c r="N74" s="460"/>
    </row>
    <row r="75" spans="1:14" ht="14.25" customHeight="1">
      <c r="A75" s="184" t="s">
        <v>295</v>
      </c>
      <c r="B75" s="207" t="str">
        <f t="shared" si="5"/>
        <v>Plant Design Suite Ultimate</v>
      </c>
      <c r="C75" s="193">
        <v>334000</v>
      </c>
      <c r="D75" s="196" t="s">
        <v>389</v>
      </c>
      <c r="E75" s="196" t="s">
        <v>389</v>
      </c>
      <c r="F75" s="197" t="s">
        <v>389</v>
      </c>
      <c r="G75" s="193">
        <v>386000</v>
      </c>
      <c r="H75" s="196">
        <v>463000</v>
      </c>
      <c r="I75" s="197">
        <v>463000</v>
      </c>
      <c r="J75" s="193"/>
      <c r="K75" s="197"/>
      <c r="L75" s="366" t="b">
        <f t="shared" si="6"/>
        <v>0</v>
      </c>
      <c r="M75" s="460"/>
      <c r="N75" s="460"/>
    </row>
    <row r="76" spans="1:14" ht="14.25" customHeight="1">
      <c r="A76" s="184" t="s">
        <v>1696</v>
      </c>
      <c r="B76" s="207" t="str">
        <f t="shared" si="5"/>
        <v>Point Layout</v>
      </c>
      <c r="C76" s="193">
        <v>97000</v>
      </c>
      <c r="D76" s="196">
        <v>101850</v>
      </c>
      <c r="E76" s="196">
        <v>106945</v>
      </c>
      <c r="F76" s="197">
        <v>106945</v>
      </c>
      <c r="G76" s="193">
        <v>107000</v>
      </c>
      <c r="H76" s="196">
        <v>128000</v>
      </c>
      <c r="I76" s="197">
        <v>128000</v>
      </c>
      <c r="J76" s="193">
        <v>250000</v>
      </c>
      <c r="K76" s="407">
        <v>438000</v>
      </c>
      <c r="L76" s="366" t="b">
        <f t="shared" si="6"/>
        <v>0</v>
      </c>
      <c r="M76" s="460"/>
      <c r="N76" s="460"/>
    </row>
    <row r="77" spans="1:14" ht="14.25" customHeight="1">
      <c r="A77" s="184" t="s">
        <v>296</v>
      </c>
      <c r="B77" s="207" t="str">
        <f t="shared" si="5"/>
        <v>Product Design Suite Premium</v>
      </c>
      <c r="C77" s="193">
        <v>133000</v>
      </c>
      <c r="D77" s="196" t="s">
        <v>389</v>
      </c>
      <c r="E77" s="196" t="s">
        <v>389</v>
      </c>
      <c r="F77" s="197" t="s">
        <v>389</v>
      </c>
      <c r="G77" s="193">
        <v>154000</v>
      </c>
      <c r="H77" s="196">
        <v>185000</v>
      </c>
      <c r="I77" s="197">
        <v>185000</v>
      </c>
      <c r="J77" s="193" t="s">
        <v>1916</v>
      </c>
      <c r="K77" s="197" t="s">
        <v>1916</v>
      </c>
      <c r="L77" s="366" t="b">
        <f t="shared" si="6"/>
        <v>0</v>
      </c>
      <c r="M77" s="460"/>
      <c r="N77" s="460"/>
    </row>
    <row r="78" spans="1:14" ht="14.25" customHeight="1">
      <c r="A78" s="184" t="s">
        <v>297</v>
      </c>
      <c r="B78" s="207" t="str">
        <f t="shared" si="5"/>
        <v>Product Design Suite Ultimate</v>
      </c>
      <c r="C78" s="193">
        <v>209000</v>
      </c>
      <c r="D78" s="196" t="s">
        <v>389</v>
      </c>
      <c r="E78" s="196" t="s">
        <v>389</v>
      </c>
      <c r="F78" s="197" t="s">
        <v>389</v>
      </c>
      <c r="G78" s="193">
        <v>241000</v>
      </c>
      <c r="H78" s="196">
        <v>289000</v>
      </c>
      <c r="I78" s="197">
        <v>289000</v>
      </c>
      <c r="J78" s="193" t="s">
        <v>1916</v>
      </c>
      <c r="K78" s="197" t="s">
        <v>1916</v>
      </c>
      <c r="L78" s="366" t="b">
        <f t="shared" si="6"/>
        <v>0</v>
      </c>
      <c r="M78" s="460"/>
      <c r="N78" s="460"/>
    </row>
    <row r="79" spans="1:14" ht="14.25" customHeight="1">
      <c r="A79" s="184" t="s">
        <v>1798</v>
      </c>
      <c r="B79" s="207" t="str">
        <f t="shared" si="5"/>
        <v>Quantity Take Off</v>
      </c>
      <c r="C79" s="193"/>
      <c r="D79" s="196"/>
      <c r="E79" s="196"/>
      <c r="F79" s="197"/>
      <c r="G79" s="193"/>
      <c r="H79" s="196"/>
      <c r="I79" s="197"/>
      <c r="J79" s="193" t="s">
        <v>1916</v>
      </c>
      <c r="K79" s="197" t="s">
        <v>1916</v>
      </c>
      <c r="L79" s="366" t="b">
        <f t="shared" si="6"/>
        <v>1</v>
      </c>
      <c r="M79" s="460"/>
      <c r="N79" s="460"/>
    </row>
    <row r="80" spans="1:14" ht="14.25" customHeight="1">
      <c r="A80" s="184" t="s">
        <v>298</v>
      </c>
      <c r="B80" s="207" t="str">
        <f t="shared" si="5"/>
        <v>Revit</v>
      </c>
      <c r="C80" s="193">
        <v>121000</v>
      </c>
      <c r="D80" s="196">
        <v>133000</v>
      </c>
      <c r="E80" s="196">
        <v>140000</v>
      </c>
      <c r="F80" s="197">
        <v>140000</v>
      </c>
      <c r="G80" s="193">
        <v>140000</v>
      </c>
      <c r="H80" s="196">
        <v>168000</v>
      </c>
      <c r="I80" s="197">
        <v>168000</v>
      </c>
      <c r="J80" s="406">
        <v>344000</v>
      </c>
      <c r="K80" s="407">
        <v>469000</v>
      </c>
      <c r="L80" s="366" t="b">
        <f t="shared" si="6"/>
        <v>0</v>
      </c>
      <c r="M80" s="460"/>
      <c r="N80" s="460"/>
    </row>
    <row r="81" spans="1:14" ht="14.25" customHeight="1">
      <c r="A81" s="184" t="s">
        <v>1715</v>
      </c>
      <c r="B81" s="207" t="str">
        <f t="shared" si="5"/>
        <v>Revit Architecture</v>
      </c>
      <c r="C81" s="193">
        <v>127000</v>
      </c>
      <c r="D81" s="196">
        <v>133350</v>
      </c>
      <c r="E81" s="196">
        <v>140020</v>
      </c>
      <c r="F81" s="197">
        <v>140020</v>
      </c>
      <c r="G81" s="193">
        <v>140000</v>
      </c>
      <c r="H81" s="196">
        <v>168000</v>
      </c>
      <c r="I81" s="197">
        <v>168000</v>
      </c>
      <c r="J81" s="193">
        <v>305000</v>
      </c>
      <c r="K81" s="197">
        <v>458000</v>
      </c>
      <c r="L81" s="366" t="b">
        <f t="shared" si="6"/>
        <v>0</v>
      </c>
      <c r="M81" s="460"/>
      <c r="N81" s="460"/>
    </row>
    <row r="82" spans="1:14">
      <c r="A82" s="184" t="s">
        <v>299</v>
      </c>
      <c r="B82" s="207" t="str">
        <f t="shared" si="5"/>
        <v>Revit LT</v>
      </c>
      <c r="C82" s="193">
        <v>27000</v>
      </c>
      <c r="D82" s="196">
        <v>29000</v>
      </c>
      <c r="E82" s="196">
        <v>30000</v>
      </c>
      <c r="F82" s="197">
        <v>30000</v>
      </c>
      <c r="G82" s="193">
        <v>31000</v>
      </c>
      <c r="H82" s="196">
        <v>37000</v>
      </c>
      <c r="I82" s="197">
        <v>37000</v>
      </c>
      <c r="J82" s="193">
        <v>68000</v>
      </c>
      <c r="K82" s="197"/>
      <c r="L82" s="366" t="b">
        <f t="shared" si="6"/>
        <v>0</v>
      </c>
      <c r="M82" s="460"/>
      <c r="N82" s="460"/>
    </row>
    <row r="83" spans="1:14" ht="14.25" customHeight="1">
      <c r="A83" s="184" t="s">
        <v>1716</v>
      </c>
      <c r="B83" s="207" t="str">
        <f t="shared" si="5"/>
        <v>Revit MEP</v>
      </c>
      <c r="C83" s="193">
        <v>127000</v>
      </c>
      <c r="D83" s="196">
        <v>133350</v>
      </c>
      <c r="E83" s="196">
        <v>140020</v>
      </c>
      <c r="F83" s="197">
        <v>140020</v>
      </c>
      <c r="G83" s="193">
        <v>140000</v>
      </c>
      <c r="H83" s="196">
        <v>168000</v>
      </c>
      <c r="I83" s="197">
        <v>168000</v>
      </c>
      <c r="J83" s="193">
        <v>305000</v>
      </c>
      <c r="K83" s="197">
        <v>458000</v>
      </c>
      <c r="L83" s="366" t="b">
        <f t="shared" si="6"/>
        <v>0</v>
      </c>
      <c r="M83" s="460"/>
      <c r="N83" s="460"/>
    </row>
    <row r="84" spans="1:14" ht="14.25" customHeight="1">
      <c r="A84" s="184" t="s">
        <v>1717</v>
      </c>
      <c r="B84" s="207" t="str">
        <f t="shared" si="5"/>
        <v>Revit Structure</v>
      </c>
      <c r="C84" s="193">
        <v>127000</v>
      </c>
      <c r="D84" s="196">
        <v>133350</v>
      </c>
      <c r="E84" s="196">
        <v>140020</v>
      </c>
      <c r="F84" s="197">
        <v>140020</v>
      </c>
      <c r="G84" s="193">
        <v>140000</v>
      </c>
      <c r="H84" s="196">
        <v>168000</v>
      </c>
      <c r="I84" s="197">
        <v>168000</v>
      </c>
      <c r="J84" s="193">
        <v>305000</v>
      </c>
      <c r="K84" s="197">
        <v>458000</v>
      </c>
      <c r="L84" s="366" t="b">
        <f t="shared" si="6"/>
        <v>0</v>
      </c>
      <c r="M84" s="460"/>
      <c r="N84" s="460"/>
    </row>
    <row r="85" spans="1:14" ht="14.25" customHeight="1">
      <c r="A85" s="184" t="s">
        <v>1697</v>
      </c>
      <c r="B85" s="207" t="str">
        <f t="shared" si="5"/>
        <v>Robot Structural Analysis Professional</v>
      </c>
      <c r="C85" s="193">
        <v>152000</v>
      </c>
      <c r="D85" s="196">
        <v>159600</v>
      </c>
      <c r="E85" s="196">
        <v>167580</v>
      </c>
      <c r="F85" s="197">
        <v>167580</v>
      </c>
      <c r="G85" s="193">
        <v>167000</v>
      </c>
      <c r="H85" s="196">
        <v>200000</v>
      </c>
      <c r="I85" s="197">
        <v>200000</v>
      </c>
      <c r="J85" s="193">
        <v>394000</v>
      </c>
      <c r="K85" s="407">
        <v>690000</v>
      </c>
      <c r="L85" s="366" t="b">
        <f t="shared" si="6"/>
        <v>0</v>
      </c>
      <c r="M85" s="460"/>
      <c r="N85" s="460"/>
    </row>
    <row r="86" spans="1:14" ht="14.25" customHeight="1">
      <c r="A86" s="184" t="s">
        <v>1718</v>
      </c>
      <c r="B86" s="207" t="str">
        <f t="shared" ref="B86:B116" si="7">VLOOKUP(IF(LEFT(A86,LEN(nmADwSP))=nmADwSP,RIGHT(A86,LEN(A86)-LEN(nmADwSP)),A86),DataPaths_List_ProdMT_NonCurrency,1,FALSE)</f>
        <v>Simulation Mechanical</v>
      </c>
      <c r="C86" s="193">
        <v>380000</v>
      </c>
      <c r="D86" s="196">
        <v>225750</v>
      </c>
      <c r="E86" s="196">
        <v>237040</v>
      </c>
      <c r="F86" s="197">
        <v>237040</v>
      </c>
      <c r="G86" s="193">
        <v>418000</v>
      </c>
      <c r="H86" s="196">
        <v>502000</v>
      </c>
      <c r="I86" s="197">
        <v>502000</v>
      </c>
      <c r="J86" s="193"/>
      <c r="K86" s="197">
        <v>545000</v>
      </c>
      <c r="L86" s="366" t="b">
        <f t="shared" si="6"/>
        <v>0</v>
      </c>
      <c r="M86" s="460"/>
      <c r="N86" s="460"/>
    </row>
    <row r="87" spans="1:14" ht="14.25" customHeight="1">
      <c r="A87" s="184" t="s">
        <v>1721</v>
      </c>
      <c r="B87" s="207" t="str">
        <f t="shared" si="7"/>
        <v>SketchBook - For Enterprise</v>
      </c>
      <c r="C87" s="193">
        <v>5000</v>
      </c>
      <c r="D87" s="196">
        <v>5250</v>
      </c>
      <c r="E87" s="196">
        <v>5515</v>
      </c>
      <c r="F87" s="197">
        <v>5515</v>
      </c>
      <c r="G87" s="193">
        <v>6000</v>
      </c>
      <c r="H87" s="196">
        <v>7000</v>
      </c>
      <c r="I87" s="197">
        <v>7000</v>
      </c>
      <c r="J87" s="193">
        <v>13000</v>
      </c>
      <c r="K87" s="407">
        <v>23000</v>
      </c>
      <c r="L87" s="366" t="b">
        <f t="shared" si="6"/>
        <v>0</v>
      </c>
      <c r="M87" s="460"/>
      <c r="N87" s="460"/>
    </row>
    <row r="88" spans="1:14" ht="14.25" customHeight="1">
      <c r="A88" s="184" t="s">
        <v>1901</v>
      </c>
      <c r="B88" s="207" t="str">
        <f t="shared" si="7"/>
        <v>Structural Bridge Design</v>
      </c>
      <c r="C88" s="184"/>
      <c r="D88" s="200" t="s">
        <v>389</v>
      </c>
      <c r="E88" s="200" t="s">
        <v>389</v>
      </c>
      <c r="F88" s="201" t="s">
        <v>389</v>
      </c>
      <c r="G88" s="184">
        <v>0</v>
      </c>
      <c r="H88" s="199">
        <v>0</v>
      </c>
      <c r="I88" s="185">
        <v>0</v>
      </c>
      <c r="J88" s="184"/>
      <c r="K88" s="185"/>
      <c r="L88" s="366" t="b">
        <f t="shared" si="6"/>
        <v>1</v>
      </c>
      <c r="M88" s="460"/>
      <c r="N88" s="460"/>
    </row>
    <row r="89" spans="1:14" ht="14.25" customHeight="1">
      <c r="A89" s="184" t="s">
        <v>1699</v>
      </c>
      <c r="B89" s="207" t="str">
        <f t="shared" si="7"/>
        <v>TruComp</v>
      </c>
      <c r="C89" s="193">
        <v>2104000</v>
      </c>
      <c r="D89" s="196">
        <v>2209200</v>
      </c>
      <c r="E89" s="196">
        <v>2319660</v>
      </c>
      <c r="F89" s="197">
        <v>2319660</v>
      </c>
      <c r="G89" s="193">
        <v>2314000</v>
      </c>
      <c r="H89" s="196">
        <v>2777000</v>
      </c>
      <c r="I89" s="197">
        <v>2777000</v>
      </c>
      <c r="J89" s="193"/>
      <c r="K89" s="407">
        <v>8214000</v>
      </c>
      <c r="L89" s="366" t="b">
        <f t="shared" si="6"/>
        <v>0</v>
      </c>
      <c r="M89" s="460"/>
      <c r="N89" s="460"/>
    </row>
    <row r="90" spans="1:14" ht="14.25" customHeight="1">
      <c r="A90" s="184" t="s">
        <v>1700</v>
      </c>
      <c r="B90" s="207" t="str">
        <f t="shared" si="7"/>
        <v>TruLaser</v>
      </c>
      <c r="C90" s="193">
        <v>361000</v>
      </c>
      <c r="D90" s="196">
        <v>379050</v>
      </c>
      <c r="E90" s="196">
        <v>398005</v>
      </c>
      <c r="F90" s="197">
        <v>398005</v>
      </c>
      <c r="G90" s="193">
        <v>397000</v>
      </c>
      <c r="H90" s="196">
        <v>476000</v>
      </c>
      <c r="I90" s="197">
        <v>476000</v>
      </c>
      <c r="J90" s="193">
        <v>940000</v>
      </c>
      <c r="K90" s="407">
        <v>1645000</v>
      </c>
      <c r="L90" s="366" t="b">
        <f t="shared" si="6"/>
        <v>0</v>
      </c>
      <c r="M90" s="460"/>
      <c r="N90" s="460"/>
    </row>
    <row r="91" spans="1:14" ht="14.25" customHeight="1">
      <c r="A91" s="184" t="s">
        <v>1701</v>
      </c>
      <c r="B91" s="207" t="str">
        <f t="shared" si="7"/>
        <v>TruNest Composites</v>
      </c>
      <c r="C91" s="193">
        <v>602000</v>
      </c>
      <c r="D91" s="196">
        <v>632100</v>
      </c>
      <c r="E91" s="196">
        <v>663705</v>
      </c>
      <c r="F91" s="197">
        <v>663705</v>
      </c>
      <c r="G91" s="193">
        <v>662000</v>
      </c>
      <c r="H91" s="196">
        <v>794000</v>
      </c>
      <c r="I91" s="197">
        <v>794000</v>
      </c>
      <c r="J91" s="193">
        <v>1565000</v>
      </c>
      <c r="K91" s="407">
        <v>2739000</v>
      </c>
      <c r="L91" s="366" t="b">
        <f t="shared" si="6"/>
        <v>0</v>
      </c>
      <c r="M91" s="460"/>
      <c r="N91" s="460"/>
    </row>
    <row r="92" spans="1:14" ht="14.25" customHeight="1">
      <c r="A92" s="184" t="s">
        <v>1702</v>
      </c>
      <c r="B92" s="207" t="str">
        <f t="shared" si="7"/>
        <v>TruNest Contour</v>
      </c>
      <c r="C92" s="193">
        <v>481000</v>
      </c>
      <c r="D92" s="196">
        <v>505050</v>
      </c>
      <c r="E92" s="196">
        <v>530305</v>
      </c>
      <c r="F92" s="197">
        <v>530305</v>
      </c>
      <c r="G92" s="193">
        <v>529000</v>
      </c>
      <c r="H92" s="196">
        <v>635000</v>
      </c>
      <c r="I92" s="197">
        <v>635000</v>
      </c>
      <c r="J92" s="193">
        <v>1249000</v>
      </c>
      <c r="K92" s="407">
        <v>2186000</v>
      </c>
      <c r="L92" s="366" t="b">
        <f t="shared" si="6"/>
        <v>0</v>
      </c>
      <c r="M92" s="460"/>
      <c r="N92" s="460"/>
    </row>
    <row r="93" spans="1:14" ht="14.25" customHeight="1">
      <c r="A93" s="184" t="s">
        <v>1703</v>
      </c>
      <c r="B93" s="207" t="str">
        <f t="shared" si="7"/>
        <v>TruNest Multi-Tool</v>
      </c>
      <c r="C93" s="193">
        <v>602000</v>
      </c>
      <c r="D93" s="196">
        <v>632100</v>
      </c>
      <c r="E93" s="196">
        <v>663705</v>
      </c>
      <c r="F93" s="197">
        <v>663705</v>
      </c>
      <c r="G93" s="193">
        <v>662000</v>
      </c>
      <c r="H93" s="196">
        <v>794000</v>
      </c>
      <c r="I93" s="197">
        <v>794000</v>
      </c>
      <c r="J93" s="193">
        <v>1565000</v>
      </c>
      <c r="K93" s="407">
        <v>2739000</v>
      </c>
      <c r="L93" s="366" t="b">
        <f t="shared" si="6"/>
        <v>0</v>
      </c>
      <c r="M93" s="460"/>
      <c r="N93" s="460"/>
    </row>
    <row r="94" spans="1:14" ht="14.25" customHeight="1">
      <c r="A94" s="184" t="s">
        <v>1704</v>
      </c>
      <c r="B94" s="207" t="str">
        <f t="shared" si="7"/>
        <v>Vault Office</v>
      </c>
      <c r="C94" s="193">
        <v>13000</v>
      </c>
      <c r="D94" s="196">
        <v>13650</v>
      </c>
      <c r="E94" s="196">
        <v>14335</v>
      </c>
      <c r="F94" s="197">
        <v>14335</v>
      </c>
      <c r="G94" s="193">
        <v>14000</v>
      </c>
      <c r="H94" s="196">
        <v>17000</v>
      </c>
      <c r="I94" s="197">
        <v>17000</v>
      </c>
      <c r="J94" s="193"/>
      <c r="K94" s="407">
        <v>39000</v>
      </c>
      <c r="L94" s="366" t="b">
        <f t="shared" si="6"/>
        <v>0</v>
      </c>
      <c r="M94" s="460"/>
      <c r="N94" s="460"/>
    </row>
    <row r="95" spans="1:14" ht="14.25" customHeight="1">
      <c r="A95" s="184" t="s">
        <v>1705</v>
      </c>
      <c r="B95" s="207" t="str">
        <f t="shared" si="7"/>
        <v>Vault Professional</v>
      </c>
      <c r="C95" s="193">
        <v>48000</v>
      </c>
      <c r="D95" s="196">
        <v>50400</v>
      </c>
      <c r="E95" s="196">
        <v>52920</v>
      </c>
      <c r="F95" s="197">
        <v>52920</v>
      </c>
      <c r="G95" s="193">
        <v>53000</v>
      </c>
      <c r="H95" s="196">
        <v>64000</v>
      </c>
      <c r="I95" s="197">
        <v>64000</v>
      </c>
      <c r="J95" s="193">
        <v>99000</v>
      </c>
      <c r="K95" s="407">
        <v>149000</v>
      </c>
      <c r="L95" s="366" t="b">
        <f t="shared" si="6"/>
        <v>0</v>
      </c>
      <c r="M95" s="460"/>
      <c r="N95" s="460"/>
    </row>
    <row r="96" spans="1:14" ht="14.25" customHeight="1">
      <c r="A96" s="184" t="s">
        <v>1706</v>
      </c>
      <c r="B96" s="207" t="str">
        <f t="shared" si="7"/>
        <v>Vault Workgroup</v>
      </c>
      <c r="C96" s="193">
        <v>25000</v>
      </c>
      <c r="D96" s="196">
        <v>26250</v>
      </c>
      <c r="E96" s="196">
        <v>27565</v>
      </c>
      <c r="F96" s="197">
        <v>27565</v>
      </c>
      <c r="G96" s="193">
        <v>28000</v>
      </c>
      <c r="H96" s="196">
        <v>34000</v>
      </c>
      <c r="I96" s="197">
        <v>34000</v>
      </c>
      <c r="J96" s="193">
        <v>53000</v>
      </c>
      <c r="K96" s="407">
        <v>80000</v>
      </c>
      <c r="L96" s="366" t="b">
        <f t="shared" si="6"/>
        <v>0</v>
      </c>
      <c r="M96" s="460"/>
      <c r="N96" s="460"/>
    </row>
    <row r="97" spans="1:15" ht="14.25" customHeight="1">
      <c r="A97" s="184" t="s">
        <v>1707</v>
      </c>
      <c r="B97" s="207" t="str">
        <f t="shared" si="7"/>
        <v>Vehicle Tracking</v>
      </c>
      <c r="C97" s="193">
        <v>48000</v>
      </c>
      <c r="D97" s="196">
        <v>50400</v>
      </c>
      <c r="E97" s="196">
        <v>52920</v>
      </c>
      <c r="F97" s="197">
        <v>52920</v>
      </c>
      <c r="G97" s="193">
        <v>53000</v>
      </c>
      <c r="H97" s="196">
        <v>64000</v>
      </c>
      <c r="I97" s="197">
        <v>64000</v>
      </c>
      <c r="J97" s="193">
        <v>125000</v>
      </c>
      <c r="K97" s="407">
        <v>219000</v>
      </c>
      <c r="L97" s="366" t="b">
        <f t="shared" si="6"/>
        <v>0</v>
      </c>
      <c r="M97" s="460"/>
      <c r="N97" s="460"/>
    </row>
    <row r="98" spans="1:15" ht="14.25" customHeight="1">
      <c r="A98" s="184" t="s">
        <v>1708</v>
      </c>
      <c r="B98" s="207" t="str">
        <f t="shared" si="7"/>
        <v>VRED</v>
      </c>
      <c r="C98" s="193">
        <v>37000</v>
      </c>
      <c r="D98" s="196">
        <v>38850</v>
      </c>
      <c r="E98" s="196">
        <v>40795</v>
      </c>
      <c r="F98" s="197">
        <v>40795</v>
      </c>
      <c r="G98" s="193">
        <v>41000</v>
      </c>
      <c r="H98" s="196">
        <v>49000</v>
      </c>
      <c r="I98" s="197">
        <v>49000</v>
      </c>
      <c r="J98" s="193">
        <v>95000</v>
      </c>
      <c r="K98" s="407">
        <v>166000</v>
      </c>
      <c r="L98" s="366" t="b">
        <f t="shared" si="6"/>
        <v>0</v>
      </c>
      <c r="M98" s="460"/>
      <c r="N98" s="460"/>
    </row>
    <row r="99" spans="1:15" ht="14.25" customHeight="1">
      <c r="A99" s="184" t="s">
        <v>1709</v>
      </c>
      <c r="B99" s="207" t="str">
        <f t="shared" si="7"/>
        <v>VRED Design</v>
      </c>
      <c r="C99" s="193">
        <v>165000</v>
      </c>
      <c r="D99" s="196">
        <v>173250</v>
      </c>
      <c r="E99" s="196">
        <v>181915</v>
      </c>
      <c r="F99" s="197">
        <v>181915</v>
      </c>
      <c r="G99" s="193">
        <v>182000</v>
      </c>
      <c r="H99" s="196">
        <v>218000</v>
      </c>
      <c r="I99" s="197">
        <v>218000</v>
      </c>
      <c r="J99" s="193">
        <v>427000</v>
      </c>
      <c r="K99" s="407">
        <v>747000</v>
      </c>
      <c r="L99" s="366" t="b">
        <f t="shared" si="6"/>
        <v>0</v>
      </c>
      <c r="M99" s="460"/>
      <c r="N99" s="460"/>
    </row>
    <row r="100" spans="1:15" ht="14.25" customHeight="1">
      <c r="A100" s="184" t="s">
        <v>1710</v>
      </c>
      <c r="B100" s="207" t="str">
        <f t="shared" si="7"/>
        <v>VRED Presenter</v>
      </c>
      <c r="C100" s="193">
        <v>37000</v>
      </c>
      <c r="D100" s="196">
        <v>38850</v>
      </c>
      <c r="E100" s="196">
        <v>40795</v>
      </c>
      <c r="F100" s="197">
        <v>40795</v>
      </c>
      <c r="G100" s="193">
        <v>41000</v>
      </c>
      <c r="H100" s="196">
        <v>49000</v>
      </c>
      <c r="I100" s="197">
        <v>49000</v>
      </c>
      <c r="J100" s="193">
        <v>95000</v>
      </c>
      <c r="K100" s="407">
        <v>166000</v>
      </c>
      <c r="L100" s="366" t="b">
        <f t="shared" ref="L100:L118" si="8">MAX(C100:K100)=MIN(C100:K100)</f>
        <v>0</v>
      </c>
      <c r="M100" s="460"/>
      <c r="N100" s="460"/>
    </row>
    <row r="101" spans="1:15" ht="14.25" customHeight="1">
      <c r="A101" s="416" t="s">
        <v>1711</v>
      </c>
      <c r="B101" s="417" t="str">
        <f t="shared" si="7"/>
        <v>VRED Professional</v>
      </c>
      <c r="C101" s="439">
        <v>673000</v>
      </c>
      <c r="D101" s="440">
        <v>706650</v>
      </c>
      <c r="E101" s="440">
        <v>741985</v>
      </c>
      <c r="F101" s="441">
        <v>741985</v>
      </c>
      <c r="G101" s="439">
        <v>740000</v>
      </c>
      <c r="H101" s="440">
        <v>888000</v>
      </c>
      <c r="I101" s="441">
        <v>888000</v>
      </c>
      <c r="J101" s="439">
        <v>1752000</v>
      </c>
      <c r="K101" s="442">
        <v>3066000</v>
      </c>
      <c r="L101" s="366" t="b">
        <f t="shared" si="8"/>
        <v>0</v>
      </c>
      <c r="M101" s="460"/>
      <c r="N101" s="460"/>
    </row>
    <row r="102" spans="1:15" s="415" customFormat="1">
      <c r="A102" s="388" t="s">
        <v>1712</v>
      </c>
      <c r="B102" s="423" t="str">
        <f t="shared" si="7"/>
        <v>VRED Render Node</v>
      </c>
      <c r="C102" s="391">
        <v>114000</v>
      </c>
      <c r="D102" s="391">
        <v>119700</v>
      </c>
      <c r="E102" s="391">
        <v>125685</v>
      </c>
      <c r="F102" s="391">
        <v>125685</v>
      </c>
      <c r="G102" s="391">
        <v>125000</v>
      </c>
      <c r="H102" s="391">
        <v>150000</v>
      </c>
      <c r="I102" s="391">
        <v>150000</v>
      </c>
      <c r="J102" s="193"/>
      <c r="K102" s="453">
        <v>297000</v>
      </c>
      <c r="L102" s="414" t="b">
        <f t="shared" si="8"/>
        <v>0</v>
      </c>
      <c r="M102" s="460"/>
      <c r="N102" s="460"/>
      <c r="O102"/>
    </row>
    <row r="103" spans="1:15" s="415" customFormat="1" ht="14.25" customHeight="1">
      <c r="A103" s="388" t="s">
        <v>1713</v>
      </c>
      <c r="B103" s="423" t="str">
        <f t="shared" si="7"/>
        <v>VRED Server</v>
      </c>
      <c r="C103" s="391">
        <v>1793000</v>
      </c>
      <c r="D103" s="391">
        <v>1882650</v>
      </c>
      <c r="E103" s="391">
        <v>1976785</v>
      </c>
      <c r="F103" s="391">
        <v>1976785</v>
      </c>
      <c r="G103" s="391">
        <v>1972000</v>
      </c>
      <c r="H103" s="391">
        <v>2366000</v>
      </c>
      <c r="I103" s="391">
        <v>2366000</v>
      </c>
      <c r="J103" s="193"/>
      <c r="K103" s="453">
        <v>5601000</v>
      </c>
      <c r="L103" s="414" t="b">
        <f t="shared" si="8"/>
        <v>0</v>
      </c>
      <c r="M103" s="460"/>
      <c r="N103" s="460"/>
      <c r="O103"/>
    </row>
    <row r="104" spans="1:15" s="415" customFormat="1" ht="14.25" customHeight="1">
      <c r="A104" s="388" t="s">
        <v>1967</v>
      </c>
      <c r="B104" s="423" t="str">
        <f t="shared" si="7"/>
        <v>PowerInspect - Premium</v>
      </c>
      <c r="C104" s="391"/>
      <c r="D104" s="391">
        <v>242000</v>
      </c>
      <c r="E104" s="391">
        <v>254000</v>
      </c>
      <c r="F104" s="391">
        <v>267000</v>
      </c>
      <c r="G104" s="391">
        <v>242000</v>
      </c>
      <c r="H104" s="391">
        <v>266000</v>
      </c>
      <c r="I104" s="391">
        <v>319000</v>
      </c>
      <c r="J104" s="391">
        <v>626000</v>
      </c>
      <c r="K104" s="453">
        <v>939000</v>
      </c>
      <c r="L104" s="414" t="b">
        <f t="shared" si="8"/>
        <v>0</v>
      </c>
      <c r="M104" s="460"/>
      <c r="N104" s="460"/>
      <c r="O104"/>
    </row>
    <row r="105" spans="1:15" s="415" customFormat="1" ht="14.25" customHeight="1">
      <c r="A105" s="388" t="s">
        <v>1968</v>
      </c>
      <c r="B105" s="423" t="str">
        <f t="shared" si="7"/>
        <v xml:space="preserve">PowerInspect - Standard </v>
      </c>
      <c r="C105" s="391"/>
      <c r="D105" s="391">
        <v>61000</v>
      </c>
      <c r="E105" s="391">
        <v>64000</v>
      </c>
      <c r="F105" s="391">
        <v>67000</v>
      </c>
      <c r="G105" s="391">
        <v>61000</v>
      </c>
      <c r="H105" s="391">
        <v>67000</v>
      </c>
      <c r="I105" s="391">
        <v>80000</v>
      </c>
      <c r="J105" s="391">
        <v>156000</v>
      </c>
      <c r="K105" s="453">
        <v>234000</v>
      </c>
      <c r="L105" s="414" t="b">
        <f t="shared" si="8"/>
        <v>0</v>
      </c>
      <c r="M105" s="460"/>
      <c r="N105" s="460"/>
      <c r="O105"/>
    </row>
    <row r="106" spans="1:15" s="415" customFormat="1" ht="14.25" customHeight="1">
      <c r="A106" s="388" t="s">
        <v>1969</v>
      </c>
      <c r="B106" s="423" t="str">
        <f t="shared" si="7"/>
        <v>PowerInspect - Ultimate</v>
      </c>
      <c r="C106" s="391"/>
      <c r="D106" s="391">
        <v>361000</v>
      </c>
      <c r="E106" s="391">
        <v>379000</v>
      </c>
      <c r="F106" s="391">
        <v>398000</v>
      </c>
      <c r="G106" s="391">
        <v>361000</v>
      </c>
      <c r="H106" s="391">
        <v>397000</v>
      </c>
      <c r="I106" s="391">
        <v>476000</v>
      </c>
      <c r="J106" s="391">
        <v>940000</v>
      </c>
      <c r="K106" s="453">
        <v>1410000</v>
      </c>
      <c r="L106" s="414" t="b">
        <f t="shared" si="8"/>
        <v>0</v>
      </c>
      <c r="M106" s="460"/>
      <c r="N106" s="460"/>
      <c r="O106"/>
    </row>
    <row r="107" spans="1:15" s="415" customFormat="1" ht="14.25" customHeight="1">
      <c r="A107" s="388" t="s">
        <v>1970</v>
      </c>
      <c r="B107" s="423" t="str">
        <f t="shared" si="7"/>
        <v>PowerMill - Premium</v>
      </c>
      <c r="C107" s="391"/>
      <c r="D107" s="391">
        <v>542000</v>
      </c>
      <c r="E107" s="391">
        <v>569000</v>
      </c>
      <c r="F107" s="391">
        <v>597000</v>
      </c>
      <c r="G107" s="391">
        <v>542000</v>
      </c>
      <c r="H107" s="391">
        <v>596000</v>
      </c>
      <c r="I107" s="391">
        <v>715000</v>
      </c>
      <c r="J107" s="391">
        <v>1409000</v>
      </c>
      <c r="K107" s="453">
        <v>2114000</v>
      </c>
      <c r="L107" s="414" t="b">
        <f t="shared" si="8"/>
        <v>0</v>
      </c>
      <c r="M107" s="460"/>
      <c r="N107" s="460"/>
      <c r="O107"/>
    </row>
    <row r="108" spans="1:15" s="415" customFormat="1" ht="14.25" customHeight="1">
      <c r="A108" s="388" t="s">
        <v>1971</v>
      </c>
      <c r="B108" s="423" t="str">
        <f t="shared" si="7"/>
        <v>PowerMill - Standard</v>
      </c>
      <c r="C108" s="391"/>
      <c r="D108" s="391">
        <v>361000</v>
      </c>
      <c r="E108" s="391">
        <v>379000</v>
      </c>
      <c r="F108" s="391">
        <v>398000</v>
      </c>
      <c r="G108" s="391">
        <v>361000</v>
      </c>
      <c r="H108" s="391">
        <v>397000</v>
      </c>
      <c r="I108" s="391">
        <v>476000</v>
      </c>
      <c r="J108" s="391">
        <v>940000</v>
      </c>
      <c r="K108" s="453">
        <v>1410000</v>
      </c>
      <c r="L108" s="414" t="b">
        <f t="shared" si="8"/>
        <v>0</v>
      </c>
      <c r="M108" s="460"/>
      <c r="N108" s="460"/>
      <c r="O108"/>
    </row>
    <row r="109" spans="1:15" s="415" customFormat="1" ht="14.25" customHeight="1">
      <c r="A109" s="388" t="s">
        <v>1972</v>
      </c>
      <c r="B109" s="423" t="str">
        <f t="shared" si="7"/>
        <v>PowerMill - Ultimate</v>
      </c>
      <c r="C109" s="391"/>
      <c r="D109" s="391">
        <v>662000</v>
      </c>
      <c r="E109" s="391">
        <v>695000</v>
      </c>
      <c r="F109" s="391">
        <v>730000</v>
      </c>
      <c r="G109" s="391">
        <v>662000</v>
      </c>
      <c r="H109" s="391">
        <v>728000</v>
      </c>
      <c r="I109" s="391">
        <v>874000</v>
      </c>
      <c r="J109" s="391">
        <v>1721000</v>
      </c>
      <c r="K109" s="453">
        <v>2582000</v>
      </c>
      <c r="L109" s="414" t="b">
        <f t="shared" si="8"/>
        <v>0</v>
      </c>
      <c r="M109" s="460"/>
      <c r="N109" s="460"/>
      <c r="O109"/>
    </row>
    <row r="110" spans="1:15" s="415" customFormat="1" ht="14.25" customHeight="1">
      <c r="A110" s="388" t="s">
        <v>1973</v>
      </c>
      <c r="B110" s="423" t="str">
        <f t="shared" si="7"/>
        <v>PowerShape - Premium</v>
      </c>
      <c r="C110" s="391"/>
      <c r="D110" s="391">
        <v>193000</v>
      </c>
      <c r="E110" s="391">
        <v>203000</v>
      </c>
      <c r="F110" s="391">
        <v>213000</v>
      </c>
      <c r="G110" s="391">
        <v>193000</v>
      </c>
      <c r="H110" s="391">
        <v>212000</v>
      </c>
      <c r="I110" s="391">
        <v>254000</v>
      </c>
      <c r="J110" s="391">
        <v>501000</v>
      </c>
      <c r="K110" s="453">
        <v>752000</v>
      </c>
      <c r="L110" s="414" t="b">
        <f t="shared" si="8"/>
        <v>0</v>
      </c>
      <c r="M110" s="460"/>
      <c r="N110" s="460"/>
      <c r="O110"/>
    </row>
    <row r="111" spans="1:15" s="415" customFormat="1" ht="14.25" customHeight="1">
      <c r="A111" s="388" t="s">
        <v>1974</v>
      </c>
      <c r="B111" s="423" t="str">
        <f t="shared" si="7"/>
        <v>PowerShape - Standard</v>
      </c>
      <c r="C111" s="391"/>
      <c r="D111" s="391">
        <v>145000</v>
      </c>
      <c r="E111" s="391">
        <v>152000</v>
      </c>
      <c r="F111" s="391">
        <v>160000</v>
      </c>
      <c r="G111" s="391">
        <v>145000</v>
      </c>
      <c r="H111" s="391">
        <v>160000</v>
      </c>
      <c r="I111" s="391">
        <v>192000</v>
      </c>
      <c r="J111" s="391">
        <v>375000</v>
      </c>
      <c r="K111" s="453">
        <v>563000</v>
      </c>
      <c r="L111" s="414" t="b">
        <f t="shared" si="8"/>
        <v>0</v>
      </c>
      <c r="M111" s="460"/>
      <c r="N111" s="460"/>
      <c r="O111"/>
    </row>
    <row r="112" spans="1:15" s="415" customFormat="1" ht="14.25" customHeight="1">
      <c r="A112" s="388" t="s">
        <v>1975</v>
      </c>
      <c r="B112" s="423" t="str">
        <f t="shared" si="7"/>
        <v>PowerShape - Ultimate</v>
      </c>
      <c r="C112" s="391"/>
      <c r="D112" s="391">
        <v>242000</v>
      </c>
      <c r="E112" s="391">
        <v>254000</v>
      </c>
      <c r="F112" s="391">
        <v>267000</v>
      </c>
      <c r="G112" s="391">
        <v>242000</v>
      </c>
      <c r="H112" s="391">
        <v>266000</v>
      </c>
      <c r="I112" s="391">
        <v>319000</v>
      </c>
      <c r="J112" s="391">
        <v>626000</v>
      </c>
      <c r="K112" s="453">
        <v>939000</v>
      </c>
      <c r="L112" s="414" t="b">
        <f t="shared" si="8"/>
        <v>0</v>
      </c>
      <c r="M112" s="460"/>
      <c r="N112" s="460"/>
      <c r="O112"/>
    </row>
    <row r="113" spans="1:15" s="415" customFormat="1" ht="14.25" customHeight="1">
      <c r="A113" s="388" t="s">
        <v>1976</v>
      </c>
      <c r="B113" s="423" t="str">
        <f t="shared" si="7"/>
        <v>FeatureCAM - Premium</v>
      </c>
      <c r="C113" s="391"/>
      <c r="D113" s="391">
        <v>301000</v>
      </c>
      <c r="E113" s="391">
        <v>316000</v>
      </c>
      <c r="F113" s="391">
        <v>332000</v>
      </c>
      <c r="G113" s="391">
        <v>301000</v>
      </c>
      <c r="H113" s="391">
        <v>331000</v>
      </c>
      <c r="I113" s="391">
        <v>397000</v>
      </c>
      <c r="J113" s="391">
        <v>782000</v>
      </c>
      <c r="K113" s="453">
        <v>1173000</v>
      </c>
      <c r="L113" s="414" t="b">
        <f t="shared" si="8"/>
        <v>0</v>
      </c>
      <c r="M113" s="460"/>
      <c r="N113" s="460"/>
      <c r="O113"/>
    </row>
    <row r="114" spans="1:15" s="415" customFormat="1" ht="14.25" customHeight="1">
      <c r="A114" s="388" t="s">
        <v>1977</v>
      </c>
      <c r="B114" s="423" t="str">
        <f t="shared" si="7"/>
        <v>FeatureCAM - Standard</v>
      </c>
      <c r="C114" s="391"/>
      <c r="D114" s="391">
        <v>121000</v>
      </c>
      <c r="E114" s="391">
        <v>127000</v>
      </c>
      <c r="F114" s="391">
        <v>133000</v>
      </c>
      <c r="G114" s="391">
        <v>121000</v>
      </c>
      <c r="H114" s="391">
        <v>133000</v>
      </c>
      <c r="I114" s="391">
        <v>160000</v>
      </c>
      <c r="J114" s="391">
        <v>313000</v>
      </c>
      <c r="K114" s="453">
        <v>470000</v>
      </c>
      <c r="L114" s="414" t="b">
        <f t="shared" si="8"/>
        <v>0</v>
      </c>
      <c r="M114" s="460"/>
      <c r="N114" s="460"/>
      <c r="O114"/>
    </row>
    <row r="115" spans="1:15" s="415" customFormat="1" ht="14.25" customHeight="1">
      <c r="A115" s="388" t="s">
        <v>1978</v>
      </c>
      <c r="B115" s="423" t="str">
        <f t="shared" si="7"/>
        <v>FeatureCAM - Ultimate</v>
      </c>
      <c r="C115" s="391"/>
      <c r="D115" s="391">
        <v>421000</v>
      </c>
      <c r="E115" s="391">
        <v>442000</v>
      </c>
      <c r="F115" s="391">
        <v>464000</v>
      </c>
      <c r="G115" s="391">
        <v>421000</v>
      </c>
      <c r="H115" s="391">
        <v>463000</v>
      </c>
      <c r="I115" s="391">
        <v>556000</v>
      </c>
      <c r="J115" s="391">
        <v>1095000</v>
      </c>
      <c r="K115" s="453">
        <v>1643000</v>
      </c>
      <c r="L115" s="414" t="b">
        <f t="shared" si="8"/>
        <v>0</v>
      </c>
      <c r="M115" s="460"/>
      <c r="N115" s="460"/>
      <c r="O115"/>
    </row>
    <row r="116" spans="1:15" s="415" customFormat="1" ht="14.25" customHeight="1">
      <c r="A116" s="388" t="s">
        <v>1979</v>
      </c>
      <c r="B116" s="423" t="str">
        <f t="shared" si="7"/>
        <v>Arnold</v>
      </c>
      <c r="C116" s="391"/>
      <c r="D116" s="391">
        <v>36000</v>
      </c>
      <c r="E116" s="391">
        <v>38000</v>
      </c>
      <c r="F116" s="391">
        <v>40000</v>
      </c>
      <c r="G116" s="391">
        <v>36000</v>
      </c>
      <c r="H116" s="391">
        <v>40000</v>
      </c>
      <c r="I116" s="391">
        <v>48000</v>
      </c>
      <c r="J116" s="391"/>
      <c r="K116" s="453">
        <v>94000</v>
      </c>
      <c r="L116" s="414" t="b">
        <f t="shared" si="8"/>
        <v>0</v>
      </c>
      <c r="M116" s="460"/>
      <c r="N116" s="460"/>
      <c r="O116"/>
    </row>
    <row r="117" spans="1:15" s="415" customFormat="1" ht="14.25" customHeight="1">
      <c r="A117" s="388" t="s">
        <v>387</v>
      </c>
      <c r="B117" s="423" t="str">
        <f>M2S_Eligibility_List!E21</f>
        <v>Media and Entertainment Collection</v>
      </c>
      <c r="C117" s="443"/>
      <c r="D117" s="391">
        <v>147000</v>
      </c>
      <c r="E117" s="391">
        <v>154000</v>
      </c>
      <c r="F117" s="391">
        <v>154000</v>
      </c>
      <c r="G117" s="443"/>
      <c r="H117" s="443"/>
      <c r="I117" s="443"/>
      <c r="J117" s="391">
        <v>320000</v>
      </c>
      <c r="K117" s="454">
        <v>448000</v>
      </c>
      <c r="L117" s="414" t="b">
        <f t="shared" si="8"/>
        <v>0</v>
      </c>
      <c r="M117" s="460"/>
      <c r="N117" s="460"/>
      <c r="O117"/>
    </row>
    <row r="118" spans="1:15" s="415" customFormat="1" ht="14.25" customHeight="1">
      <c r="A118" s="388" t="s">
        <v>301</v>
      </c>
      <c r="B118" s="423" t="str">
        <f>M2S_Eligibility_List!D21</f>
        <v>Product Design &amp; Manufacturing Collection</v>
      </c>
      <c r="C118" s="443"/>
      <c r="D118" s="391">
        <v>147000</v>
      </c>
      <c r="E118" s="391">
        <v>154000</v>
      </c>
      <c r="F118" s="391">
        <v>154000</v>
      </c>
      <c r="G118" s="443"/>
      <c r="H118" s="443"/>
      <c r="I118" s="443"/>
      <c r="J118" s="391">
        <v>386000</v>
      </c>
      <c r="K118" s="454">
        <v>540000</v>
      </c>
      <c r="L118" s="414" t="b">
        <f t="shared" si="8"/>
        <v>0</v>
      </c>
      <c r="M118" s="460"/>
      <c r="N118" s="460"/>
    </row>
    <row r="119" spans="1:15" s="415" customFormat="1" ht="14.25" customHeight="1">
      <c r="A119" s="202"/>
      <c r="B119" s="202"/>
      <c r="C119" s="202"/>
      <c r="D119" s="202"/>
      <c r="E119" s="202"/>
      <c r="F119" s="202"/>
      <c r="G119" s="202"/>
      <c r="H119" s="202"/>
      <c r="I119" s="202"/>
      <c r="J119" s="202"/>
      <c r="K119" s="202" t="s">
        <v>610</v>
      </c>
      <c r="L119" s="202"/>
    </row>
    <row r="120" spans="1:15">
      <c r="A120" s="191"/>
      <c r="D120" s="191"/>
      <c r="E120" s="457"/>
      <c r="F120" s="191"/>
      <c r="G120" s="191"/>
      <c r="H120" s="191"/>
      <c r="I120" s="191"/>
      <c r="J120" s="191"/>
      <c r="K120" s="191"/>
      <c r="L120" s="191"/>
    </row>
    <row r="121" spans="1:15" ht="14.25" customHeight="1">
      <c r="E121" s="457"/>
    </row>
    <row r="122" spans="1:15" ht="14.25" customHeight="1">
      <c r="E122" s="457"/>
    </row>
    <row r="123" spans="1:15" ht="14.25" customHeight="1">
      <c r="E123" s="457"/>
    </row>
    <row r="124" spans="1:15" ht="14.25" customHeight="1">
      <c r="E124" s="457"/>
    </row>
    <row r="125" spans="1:15" ht="14.25" customHeight="1">
      <c r="E125" s="457"/>
    </row>
    <row r="126" spans="1:15" ht="14.25" customHeight="1">
      <c r="E126" s="457"/>
    </row>
    <row r="127" spans="1:15" ht="14.25" customHeight="1">
      <c r="E127" s="457"/>
    </row>
    <row r="128" spans="1:15" ht="14.25" customHeight="1">
      <c r="E128" s="457"/>
    </row>
    <row r="129" spans="5:5" ht="14.25" customHeight="1">
      <c r="E129" s="457"/>
    </row>
    <row r="130" spans="5:5" ht="14.25" customHeight="1">
      <c r="E130" s="457"/>
    </row>
    <row r="131" spans="5:5" ht="14.25" customHeight="1">
      <c r="E131" s="457"/>
    </row>
    <row r="132" spans="5:5" ht="14.25" customHeight="1">
      <c r="E132" s="457"/>
    </row>
  </sheetData>
  <autoFilter ref="A2:L118">
    <sortState ref="A3:L119">
      <sortCondition ref="A2:A118"/>
    </sortState>
  </autoFilter>
  <mergeCells count="3">
    <mergeCell ref="D1:F1"/>
    <mergeCell ref="G1:I1"/>
    <mergeCell ref="J1:K1"/>
  </mergeCells>
  <conditionalFormatting sqref="L3:L13 L15:L16 L18:L81 L83:L118">
    <cfRule type="cellIs" dxfId="12" priority="16" operator="equal">
      <formula>TRUE</formula>
    </cfRule>
  </conditionalFormatting>
  <conditionalFormatting sqref="L82">
    <cfRule type="cellIs" dxfId="11" priority="15" operator="equal">
      <formula>TRUE</formula>
    </cfRule>
  </conditionalFormatting>
  <conditionalFormatting sqref="L17">
    <cfRule type="cellIs" dxfId="10" priority="10" operator="equal">
      <formula>TRUE</formula>
    </cfRule>
  </conditionalFormatting>
  <conditionalFormatting sqref="L14">
    <cfRule type="cellIs" dxfId="9" priority="7" operator="equal">
      <formula>TRUE</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7030A0"/>
  </sheetPr>
  <dimension ref="A1:O132"/>
  <sheetViews>
    <sheetView zoomScale="80" zoomScaleNormal="80" workbookViewId="0">
      <pane ySplit="2" topLeftCell="A90" activePane="bottomLeft" state="frozen"/>
      <selection activeCell="C1" sqref="C1"/>
      <selection pane="bottomLeft" activeCell="A104" sqref="A104:XFD104"/>
    </sheetView>
  </sheetViews>
  <sheetFormatPr defaultColWidth="8.796875" defaultRowHeight="14.25" customHeight="1"/>
  <cols>
    <col min="1" max="1" width="46.19921875" bestFit="1" customWidth="1"/>
    <col min="2" max="2" width="38.5" bestFit="1" customWidth="1"/>
    <col min="3" max="11" width="15.69921875" customWidth="1"/>
    <col min="12" max="12" width="21.796875" bestFit="1" customWidth="1"/>
    <col min="13" max="14" width="37" bestFit="1" customWidth="1"/>
  </cols>
  <sheetData>
    <row r="1" spans="1:14">
      <c r="A1" s="173"/>
      <c r="B1" s="181"/>
      <c r="C1" s="173"/>
      <c r="D1" s="463" t="s">
        <v>406</v>
      </c>
      <c r="E1" s="463"/>
      <c r="F1" s="464"/>
      <c r="G1" s="465" t="s">
        <v>405</v>
      </c>
      <c r="H1" s="463"/>
      <c r="I1" s="464"/>
      <c r="J1" s="465"/>
      <c r="K1" s="464"/>
      <c r="L1" s="174"/>
    </row>
    <row r="2" spans="1:14">
      <c r="A2" s="182" t="s">
        <v>403</v>
      </c>
      <c r="B2" s="183" t="s">
        <v>408</v>
      </c>
      <c r="C2" s="177" t="s">
        <v>407</v>
      </c>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4">
      <c r="A3" s="184" t="s">
        <v>300</v>
      </c>
      <c r="B3" s="207" t="str">
        <f>M2S_Eligibility_List!C21</f>
        <v>Architecture Engineering Construction Collection</v>
      </c>
      <c r="C3" s="184"/>
      <c r="D3" s="199">
        <v>1585</v>
      </c>
      <c r="E3" s="199">
        <v>1665</v>
      </c>
      <c r="F3" s="185">
        <v>1665</v>
      </c>
      <c r="G3" s="203"/>
      <c r="H3" s="204"/>
      <c r="I3" s="205"/>
      <c r="J3" s="184">
        <v>3875</v>
      </c>
      <c r="K3" s="185">
        <v>5425</v>
      </c>
      <c r="L3" s="366" t="b">
        <f t="shared" ref="L3:L36" si="0">MAX(C3:K3)=MIN(C3:K3)</f>
        <v>0</v>
      </c>
      <c r="M3" s="460"/>
      <c r="N3" s="460"/>
    </row>
    <row r="4" spans="1:14">
      <c r="A4" s="184" t="s">
        <v>270</v>
      </c>
      <c r="B4" s="207" t="str">
        <f t="shared" ref="B4:B52" si="1">VLOOKUP(IF(LEFT(A4,LEN(nmADwSP))=nmADwSP,RIGHT(A4,LEN(A4)-LEN(nmADwSP)),A4),DataPaths_List_ProdMT_NonCurrency,1,FALSE)</f>
        <v>3ds Max</v>
      </c>
      <c r="C4" s="184">
        <v>875</v>
      </c>
      <c r="D4" s="200">
        <v>920</v>
      </c>
      <c r="E4" s="200">
        <v>965</v>
      </c>
      <c r="F4" s="201">
        <v>965</v>
      </c>
      <c r="G4" s="184">
        <v>965</v>
      </c>
      <c r="H4" s="199">
        <v>1160</v>
      </c>
      <c r="I4" s="185">
        <v>1160</v>
      </c>
      <c r="J4" s="184">
        <v>2120</v>
      </c>
      <c r="K4" s="399">
        <v>3710</v>
      </c>
      <c r="L4" s="366" t="b">
        <f t="shared" si="0"/>
        <v>0</v>
      </c>
      <c r="M4" s="460"/>
      <c r="N4" s="460"/>
    </row>
    <row r="5" spans="1:14">
      <c r="A5" s="184" t="s">
        <v>271</v>
      </c>
      <c r="B5" s="207" t="str">
        <f t="shared" si="1"/>
        <v>3ds Max Entertainment Creation Suite Standard</v>
      </c>
      <c r="C5" s="184">
        <v>1220</v>
      </c>
      <c r="D5" s="200" t="s">
        <v>389</v>
      </c>
      <c r="E5" s="200" t="s">
        <v>389</v>
      </c>
      <c r="F5" s="201" t="s">
        <v>389</v>
      </c>
      <c r="G5" s="184">
        <v>1410</v>
      </c>
      <c r="H5" s="199">
        <v>1690</v>
      </c>
      <c r="I5" s="185">
        <v>1690</v>
      </c>
      <c r="J5" s="184"/>
      <c r="K5" s="185"/>
      <c r="L5" s="366" t="b">
        <f t="shared" si="0"/>
        <v>0</v>
      </c>
      <c r="M5" s="460"/>
      <c r="N5" s="460"/>
    </row>
    <row r="6" spans="1:14">
      <c r="A6" s="184" t="s">
        <v>1799</v>
      </c>
      <c r="B6" s="207" t="str">
        <f t="shared" si="1"/>
        <v>3ds Max with Softimage</v>
      </c>
      <c r="C6" s="184">
        <v>925</v>
      </c>
      <c r="D6" s="200"/>
      <c r="E6" s="200"/>
      <c r="F6" s="201"/>
      <c r="G6" s="184">
        <v>1020</v>
      </c>
      <c r="H6" s="199">
        <v>1225</v>
      </c>
      <c r="I6" s="185">
        <v>1225</v>
      </c>
      <c r="J6" s="184">
        <v>2065</v>
      </c>
      <c r="K6" s="185"/>
      <c r="L6" s="366" t="b">
        <f t="shared" si="0"/>
        <v>0</v>
      </c>
      <c r="M6" s="460"/>
      <c r="N6" s="460"/>
    </row>
    <row r="7" spans="1:14">
      <c r="A7" s="184" t="s">
        <v>1669</v>
      </c>
      <c r="B7" s="207" t="str">
        <f t="shared" si="1"/>
        <v>Advance Steel</v>
      </c>
      <c r="C7" s="184">
        <v>1890</v>
      </c>
      <c r="D7" s="200">
        <v>1985</v>
      </c>
      <c r="E7" s="200">
        <v>2085</v>
      </c>
      <c r="F7" s="201">
        <v>2085</v>
      </c>
      <c r="G7" s="184">
        <v>2080</v>
      </c>
      <c r="H7" s="199">
        <v>2495</v>
      </c>
      <c r="I7" s="185">
        <v>2495</v>
      </c>
      <c r="J7" s="184">
        <v>2740</v>
      </c>
      <c r="K7" s="399">
        <v>4795</v>
      </c>
      <c r="L7" s="366" t="b">
        <f t="shared" si="0"/>
        <v>0</v>
      </c>
      <c r="M7" s="460"/>
      <c r="N7" s="460"/>
    </row>
    <row r="8" spans="1:14">
      <c r="A8" s="184" t="s">
        <v>1670</v>
      </c>
      <c r="B8" s="207" t="str">
        <f t="shared" si="1"/>
        <v>Alias AutoStudio</v>
      </c>
      <c r="C8" s="184">
        <v>9990</v>
      </c>
      <c r="D8" s="200">
        <v>10490</v>
      </c>
      <c r="E8" s="200">
        <v>11015</v>
      </c>
      <c r="F8" s="201">
        <v>11015</v>
      </c>
      <c r="G8" s="184">
        <v>10990</v>
      </c>
      <c r="H8" s="199">
        <v>13190</v>
      </c>
      <c r="I8" s="185">
        <v>13190</v>
      </c>
      <c r="J8" s="184">
        <v>20820</v>
      </c>
      <c r="K8" s="399">
        <v>36435</v>
      </c>
      <c r="L8" s="366" t="b">
        <f t="shared" si="0"/>
        <v>0</v>
      </c>
      <c r="M8" s="460"/>
      <c r="N8" s="460"/>
    </row>
    <row r="9" spans="1:14">
      <c r="A9" s="184" t="s">
        <v>1671</v>
      </c>
      <c r="B9" s="207" t="str">
        <f t="shared" si="1"/>
        <v>Alias Concept</v>
      </c>
      <c r="C9" s="184">
        <v>2230</v>
      </c>
      <c r="D9" s="200">
        <v>2340</v>
      </c>
      <c r="E9" s="200">
        <v>2455</v>
      </c>
      <c r="F9" s="201">
        <v>2455</v>
      </c>
      <c r="G9" s="184">
        <v>2455</v>
      </c>
      <c r="H9" s="199">
        <v>2945</v>
      </c>
      <c r="I9" s="185">
        <v>2945</v>
      </c>
      <c r="J9" s="184">
        <v>5810</v>
      </c>
      <c r="K9" s="399">
        <v>10170</v>
      </c>
      <c r="L9" s="366" t="b">
        <f t="shared" si="0"/>
        <v>0</v>
      </c>
      <c r="M9" s="460"/>
      <c r="N9" s="460"/>
    </row>
    <row r="10" spans="1:14">
      <c r="A10" s="184" t="s">
        <v>1672</v>
      </c>
      <c r="B10" s="207" t="str">
        <f t="shared" si="1"/>
        <v>Alias Design</v>
      </c>
      <c r="C10" s="184">
        <v>1375</v>
      </c>
      <c r="D10" s="200">
        <v>1445</v>
      </c>
      <c r="E10" s="200">
        <v>1515</v>
      </c>
      <c r="F10" s="201">
        <v>1515</v>
      </c>
      <c r="G10" s="184">
        <v>1515</v>
      </c>
      <c r="H10" s="199">
        <v>1820</v>
      </c>
      <c r="I10" s="185">
        <v>1820</v>
      </c>
      <c r="J10" s="184">
        <v>3570</v>
      </c>
      <c r="K10" s="399">
        <v>6250</v>
      </c>
      <c r="L10" s="366" t="b">
        <f t="shared" si="0"/>
        <v>0</v>
      </c>
      <c r="M10" s="460"/>
      <c r="N10" s="460"/>
    </row>
    <row r="11" spans="1:14">
      <c r="A11" s="184" t="s">
        <v>1673</v>
      </c>
      <c r="B11" s="207" t="str">
        <f t="shared" si="1"/>
        <v>Alias SpeedForm</v>
      </c>
      <c r="C11" s="184">
        <v>1300</v>
      </c>
      <c r="D11" s="200">
        <v>1365</v>
      </c>
      <c r="E11" s="200">
        <v>1435</v>
      </c>
      <c r="F11" s="201">
        <v>1435</v>
      </c>
      <c r="G11" s="184">
        <v>1430</v>
      </c>
      <c r="H11" s="199">
        <v>1715</v>
      </c>
      <c r="I11" s="185">
        <v>1715</v>
      </c>
      <c r="J11" s="184">
        <v>3385</v>
      </c>
      <c r="K11" s="399">
        <v>5925</v>
      </c>
      <c r="L11" s="366" t="b">
        <f t="shared" si="0"/>
        <v>0</v>
      </c>
      <c r="M11" s="460"/>
      <c r="N11" s="460"/>
    </row>
    <row r="12" spans="1:14">
      <c r="A12" s="184" t="s">
        <v>1674</v>
      </c>
      <c r="B12" s="207" t="str">
        <f t="shared" si="1"/>
        <v>Alias Surface</v>
      </c>
      <c r="C12" s="184">
        <v>4650</v>
      </c>
      <c r="D12" s="200">
        <v>4885</v>
      </c>
      <c r="E12" s="200">
        <v>5130</v>
      </c>
      <c r="F12" s="201">
        <v>5130</v>
      </c>
      <c r="G12" s="184">
        <v>5115</v>
      </c>
      <c r="H12" s="199">
        <v>6140</v>
      </c>
      <c r="I12" s="185">
        <v>6140</v>
      </c>
      <c r="J12" s="184">
        <v>12105</v>
      </c>
      <c r="K12" s="399">
        <v>21185</v>
      </c>
      <c r="L12" s="366" t="b">
        <f t="shared" si="0"/>
        <v>0</v>
      </c>
      <c r="M12" s="460"/>
      <c r="N12" s="460"/>
    </row>
    <row r="13" spans="1:14">
      <c r="A13" s="184" t="s">
        <v>272</v>
      </c>
      <c r="B13" s="207" t="str">
        <f t="shared" si="1"/>
        <v>AutoCAD</v>
      </c>
      <c r="C13" s="184">
        <v>860</v>
      </c>
      <c r="D13" s="199" t="s">
        <v>1927</v>
      </c>
      <c r="E13" s="199" t="s">
        <v>1927</v>
      </c>
      <c r="F13" s="185" t="s">
        <v>1927</v>
      </c>
      <c r="G13" s="184">
        <v>995</v>
      </c>
      <c r="H13" s="199">
        <v>1195</v>
      </c>
      <c r="I13" s="185">
        <v>1195</v>
      </c>
      <c r="J13" s="184" t="s">
        <v>1927</v>
      </c>
      <c r="K13" s="399" t="s">
        <v>1927</v>
      </c>
      <c r="L13" s="366" t="b">
        <f t="shared" si="0"/>
        <v>0</v>
      </c>
      <c r="M13" s="460"/>
      <c r="N13" s="460"/>
    </row>
    <row r="14" spans="1:14">
      <c r="A14" s="184" t="s">
        <v>272</v>
      </c>
      <c r="B14" s="458" t="str">
        <f>SUBSTITUTE(M2S_Eligibility_List!M$21,nmADwSP,"")</f>
        <v>AutoCAD - including specialized toolsets</v>
      </c>
      <c r="C14" s="184" t="s">
        <v>1928</v>
      </c>
      <c r="D14" s="199">
        <v>980</v>
      </c>
      <c r="E14" s="199">
        <v>1030</v>
      </c>
      <c r="F14" s="185">
        <v>1030</v>
      </c>
      <c r="G14" s="184" t="s">
        <v>1928</v>
      </c>
      <c r="H14" s="199" t="s">
        <v>1928</v>
      </c>
      <c r="I14" s="185" t="s">
        <v>1928</v>
      </c>
      <c r="J14" s="184">
        <v>2605</v>
      </c>
      <c r="K14" s="399">
        <v>4560</v>
      </c>
      <c r="L14" s="366" t="b">
        <f t="shared" ref="L14" si="2">MAX(C14:K14)=MIN(C14:K14)</f>
        <v>0</v>
      </c>
      <c r="M14" s="460"/>
      <c r="N14" s="460"/>
    </row>
    <row r="15" spans="1:14">
      <c r="A15" s="184" t="s">
        <v>273</v>
      </c>
      <c r="B15" s="207" t="str">
        <f t="shared" si="1"/>
        <v>AutoCAD Architecture</v>
      </c>
      <c r="C15" s="184">
        <v>1075</v>
      </c>
      <c r="D15" s="199">
        <v>1185</v>
      </c>
      <c r="E15" s="199">
        <v>1245</v>
      </c>
      <c r="F15" s="185">
        <v>1245</v>
      </c>
      <c r="G15" s="184">
        <v>1245</v>
      </c>
      <c r="H15" s="199">
        <v>1495</v>
      </c>
      <c r="I15" s="185">
        <v>1495</v>
      </c>
      <c r="J15" s="184">
        <v>2605</v>
      </c>
      <c r="K15" s="399">
        <v>4560</v>
      </c>
      <c r="L15" s="366" t="b">
        <f t="shared" si="0"/>
        <v>0</v>
      </c>
      <c r="M15" s="460"/>
      <c r="N15" s="460"/>
    </row>
    <row r="16" spans="1:14">
      <c r="A16" s="184" t="s">
        <v>1785</v>
      </c>
      <c r="B16" s="207" t="str">
        <f t="shared" si="1"/>
        <v>AutoCAD Civil 3D*</v>
      </c>
      <c r="C16" s="184">
        <v>1370</v>
      </c>
      <c r="D16" s="199" t="s">
        <v>1927</v>
      </c>
      <c r="E16" s="199" t="s">
        <v>1927</v>
      </c>
      <c r="F16" s="185" t="s">
        <v>1927</v>
      </c>
      <c r="G16" s="184">
        <v>1505</v>
      </c>
      <c r="H16" s="199">
        <v>1805</v>
      </c>
      <c r="I16" s="185">
        <v>1805</v>
      </c>
      <c r="J16" s="184" t="s">
        <v>1927</v>
      </c>
      <c r="K16" s="399" t="s">
        <v>1927</v>
      </c>
      <c r="L16" s="366" t="b">
        <f t="shared" si="0"/>
        <v>0</v>
      </c>
      <c r="M16" s="460"/>
      <c r="N16" s="460"/>
    </row>
    <row r="17" spans="1:14">
      <c r="A17" s="184" t="s">
        <v>1785</v>
      </c>
      <c r="B17" s="458" t="str">
        <f>SUBSTITUTE(VLOOKUP(IF(LEFT(A17,LEN(nmADwSP))=nmADwSP,RIGHT(A17,LEN(A17)-LEN(nmADwSP)),A17),DataPaths_List_ProdMT_NonCurrency,1,FALSE),nmAutoCAD,"")</f>
        <v>Civil 3D*</v>
      </c>
      <c r="C17" s="184" t="s">
        <v>1928</v>
      </c>
      <c r="D17" s="199">
        <v>1440</v>
      </c>
      <c r="E17" s="199">
        <v>1510</v>
      </c>
      <c r="F17" s="185">
        <v>1510</v>
      </c>
      <c r="G17" s="184" t="s">
        <v>1928</v>
      </c>
      <c r="H17" s="199" t="s">
        <v>1928</v>
      </c>
      <c r="I17" s="185" t="s">
        <v>1928</v>
      </c>
      <c r="J17" s="184">
        <v>3025</v>
      </c>
      <c r="K17" s="399">
        <v>4535</v>
      </c>
      <c r="L17" s="366" t="b">
        <f t="shared" ref="L17" si="3">MAX(C17:K17)=MIN(C17:K17)</f>
        <v>0</v>
      </c>
      <c r="M17" s="460"/>
      <c r="N17" s="460"/>
    </row>
    <row r="18" spans="1:14">
      <c r="A18" s="184" t="s">
        <v>274</v>
      </c>
      <c r="B18" s="207" t="str">
        <f t="shared" si="1"/>
        <v>AutoCAD Design Suite Premium</v>
      </c>
      <c r="C18" s="184">
        <v>1110</v>
      </c>
      <c r="D18" s="200" t="s">
        <v>389</v>
      </c>
      <c r="E18" s="200" t="s">
        <v>389</v>
      </c>
      <c r="F18" s="201" t="s">
        <v>389</v>
      </c>
      <c r="G18" s="184">
        <v>1280</v>
      </c>
      <c r="H18" s="199">
        <v>1535</v>
      </c>
      <c r="I18" s="185">
        <v>1535</v>
      </c>
      <c r="J18" s="184"/>
      <c r="K18" s="185"/>
      <c r="L18" s="366" t="b">
        <f t="shared" si="0"/>
        <v>0</v>
      </c>
      <c r="M18" s="460"/>
      <c r="N18" s="460"/>
    </row>
    <row r="19" spans="1:14">
      <c r="A19" s="184" t="s">
        <v>275</v>
      </c>
      <c r="B19" s="207" t="str">
        <f t="shared" si="1"/>
        <v>AutoCAD Design Suite Standard</v>
      </c>
      <c r="C19" s="184">
        <v>895</v>
      </c>
      <c r="D19" s="200" t="s">
        <v>389</v>
      </c>
      <c r="E19" s="200" t="s">
        <v>389</v>
      </c>
      <c r="F19" s="201" t="s">
        <v>389</v>
      </c>
      <c r="G19" s="184">
        <v>1035</v>
      </c>
      <c r="H19" s="199">
        <v>1240</v>
      </c>
      <c r="I19" s="185">
        <v>1240</v>
      </c>
      <c r="J19" s="184"/>
      <c r="K19" s="185"/>
      <c r="L19" s="366" t="b">
        <f t="shared" si="0"/>
        <v>0</v>
      </c>
      <c r="M19" s="460"/>
      <c r="N19" s="460"/>
    </row>
    <row r="20" spans="1:14">
      <c r="A20" s="184" t="s">
        <v>1795</v>
      </c>
      <c r="B20" s="207" t="str">
        <f t="shared" si="1"/>
        <v>AutoCAD Design Suite Ultimate</v>
      </c>
      <c r="C20" s="184">
        <v>1490</v>
      </c>
      <c r="D20" s="200"/>
      <c r="E20" s="200"/>
      <c r="F20" s="201"/>
      <c r="G20" s="184">
        <v>1640</v>
      </c>
      <c r="H20" s="199">
        <v>1970</v>
      </c>
      <c r="I20" s="185">
        <v>1970</v>
      </c>
      <c r="J20" s="184"/>
      <c r="K20" s="185"/>
      <c r="L20" s="366" t="b">
        <f t="shared" si="0"/>
        <v>0</v>
      </c>
      <c r="M20" s="460"/>
      <c r="N20" s="460"/>
    </row>
    <row r="21" spans="1:14">
      <c r="A21" s="184" t="s">
        <v>1786</v>
      </c>
      <c r="B21" s="207" t="str">
        <f t="shared" si="1"/>
        <v>AutoCAD Electrical*</v>
      </c>
      <c r="C21" s="184">
        <v>1180</v>
      </c>
      <c r="D21" s="199">
        <v>1225</v>
      </c>
      <c r="E21" s="199">
        <v>1285</v>
      </c>
      <c r="F21" s="185">
        <v>1285</v>
      </c>
      <c r="G21" s="184">
        <v>1365</v>
      </c>
      <c r="H21" s="199">
        <v>1640</v>
      </c>
      <c r="I21" s="185">
        <v>1640</v>
      </c>
      <c r="J21" s="184">
        <v>2605</v>
      </c>
      <c r="K21" s="399">
        <v>4560</v>
      </c>
      <c r="L21" s="366" t="b">
        <f t="shared" si="0"/>
        <v>0</v>
      </c>
      <c r="M21" s="460"/>
      <c r="N21" s="460"/>
    </row>
    <row r="22" spans="1:14">
      <c r="A22" s="184" t="s">
        <v>391</v>
      </c>
      <c r="B22" s="207" t="str">
        <f t="shared" si="1"/>
        <v>AutoCAD Inventor LT Suite</v>
      </c>
      <c r="C22" s="184">
        <v>335</v>
      </c>
      <c r="D22" s="199">
        <v>370</v>
      </c>
      <c r="E22" s="199">
        <v>390</v>
      </c>
      <c r="F22" s="185">
        <v>390</v>
      </c>
      <c r="G22" s="184">
        <v>385</v>
      </c>
      <c r="H22" s="199">
        <v>460</v>
      </c>
      <c r="I22" s="185">
        <v>460</v>
      </c>
      <c r="J22" s="184">
        <v>680</v>
      </c>
      <c r="K22" s="185"/>
      <c r="L22" s="366" t="b">
        <f t="shared" si="0"/>
        <v>0</v>
      </c>
      <c r="M22" s="460"/>
      <c r="N22" s="460"/>
    </row>
    <row r="23" spans="1:14">
      <c r="A23" s="184" t="s">
        <v>276</v>
      </c>
      <c r="B23" s="207" t="str">
        <f t="shared" si="1"/>
        <v>AutoCAD LT</v>
      </c>
      <c r="C23" s="184">
        <v>265</v>
      </c>
      <c r="D23" s="199">
        <v>295</v>
      </c>
      <c r="E23" s="199">
        <v>310</v>
      </c>
      <c r="F23" s="185">
        <v>310</v>
      </c>
      <c r="G23" s="184">
        <v>310</v>
      </c>
      <c r="H23" s="199">
        <v>370</v>
      </c>
      <c r="I23" s="185">
        <v>370</v>
      </c>
      <c r="J23" s="184">
        <v>575</v>
      </c>
      <c r="K23" s="399">
        <v>1005</v>
      </c>
      <c r="L23" s="366" t="b">
        <f t="shared" si="0"/>
        <v>0</v>
      </c>
      <c r="M23" s="460"/>
      <c r="N23" s="460"/>
    </row>
    <row r="24" spans="1:14">
      <c r="A24" s="184" t="s">
        <v>1675</v>
      </c>
      <c r="B24" s="207" t="str">
        <f t="shared" si="1"/>
        <v>AutoCAD LT with CALS Tools</v>
      </c>
      <c r="C24" s="184">
        <v>0</v>
      </c>
      <c r="D24" s="200">
        <v>0</v>
      </c>
      <c r="E24" s="200">
        <v>0</v>
      </c>
      <c r="F24" s="201">
        <v>0</v>
      </c>
      <c r="G24" s="184">
        <v>0</v>
      </c>
      <c r="H24" s="199">
        <v>0</v>
      </c>
      <c r="I24" s="185">
        <v>0</v>
      </c>
      <c r="J24" s="184"/>
      <c r="K24" s="185"/>
      <c r="L24" s="366" t="b">
        <f t="shared" si="0"/>
        <v>1</v>
      </c>
      <c r="M24" s="460"/>
      <c r="N24" s="460"/>
    </row>
    <row r="25" spans="1:14">
      <c r="A25" s="184" t="s">
        <v>277</v>
      </c>
      <c r="B25" s="207" t="str">
        <f t="shared" si="1"/>
        <v>AutoCAD Map 3D</v>
      </c>
      <c r="C25" s="184">
        <v>1110</v>
      </c>
      <c r="D25" s="199">
        <v>1225</v>
      </c>
      <c r="E25" s="199">
        <v>1285</v>
      </c>
      <c r="F25" s="185">
        <v>1285</v>
      </c>
      <c r="G25" s="184">
        <v>1280</v>
      </c>
      <c r="H25" s="199">
        <v>1535</v>
      </c>
      <c r="I25" s="185">
        <v>1535</v>
      </c>
      <c r="J25" s="184">
        <v>2605</v>
      </c>
      <c r="K25" s="399">
        <v>4560</v>
      </c>
      <c r="L25" s="366" t="b">
        <f t="shared" si="0"/>
        <v>0</v>
      </c>
      <c r="M25" s="460"/>
      <c r="N25" s="460"/>
    </row>
    <row r="26" spans="1:14">
      <c r="A26" s="184" t="s">
        <v>278</v>
      </c>
      <c r="B26" s="207" t="str">
        <f t="shared" si="1"/>
        <v>AutoCAD Mechanical</v>
      </c>
      <c r="C26" s="184">
        <v>965</v>
      </c>
      <c r="D26" s="388">
        <v>1065</v>
      </c>
      <c r="E26" s="388">
        <v>1120</v>
      </c>
      <c r="F26" s="185">
        <v>1120</v>
      </c>
      <c r="G26" s="184">
        <v>1115</v>
      </c>
      <c r="H26" s="388">
        <v>1340</v>
      </c>
      <c r="I26" s="185">
        <v>1340</v>
      </c>
      <c r="J26" s="184">
        <v>2605</v>
      </c>
      <c r="K26" s="399">
        <v>4560</v>
      </c>
      <c r="L26" s="366" t="b">
        <f t="shared" si="0"/>
        <v>0</v>
      </c>
      <c r="M26" s="460"/>
      <c r="N26" s="460"/>
    </row>
    <row r="27" spans="1:14">
      <c r="A27" s="184" t="s">
        <v>279</v>
      </c>
      <c r="B27" s="207" t="str">
        <f t="shared" si="1"/>
        <v>AutoCAD MEP</v>
      </c>
      <c r="C27" s="184">
        <v>1110</v>
      </c>
      <c r="D27" s="199">
        <v>1225</v>
      </c>
      <c r="E27" s="199">
        <v>1285</v>
      </c>
      <c r="F27" s="185">
        <v>1285</v>
      </c>
      <c r="G27" s="184">
        <v>1280</v>
      </c>
      <c r="H27" s="199">
        <v>1535</v>
      </c>
      <c r="I27" s="185">
        <v>1535</v>
      </c>
      <c r="J27" s="184">
        <v>2605</v>
      </c>
      <c r="K27" s="399">
        <v>4560</v>
      </c>
      <c r="L27" s="366" t="b">
        <f t="shared" si="0"/>
        <v>0</v>
      </c>
      <c r="M27" s="460"/>
      <c r="N27" s="460"/>
    </row>
    <row r="28" spans="1:14">
      <c r="A28" s="184" t="s">
        <v>280</v>
      </c>
      <c r="B28" s="207" t="str">
        <f t="shared" si="1"/>
        <v>AutoCAD P&amp;ID</v>
      </c>
      <c r="C28" s="184">
        <v>1180</v>
      </c>
      <c r="D28" s="199">
        <v>1575</v>
      </c>
      <c r="E28" s="199">
        <v>1655</v>
      </c>
      <c r="F28" s="185">
        <v>1655</v>
      </c>
      <c r="G28" s="184">
        <v>1365</v>
      </c>
      <c r="H28" s="199">
        <v>1640</v>
      </c>
      <c r="I28" s="185">
        <v>1640</v>
      </c>
      <c r="J28" s="184"/>
      <c r="K28" s="185"/>
      <c r="L28" s="366" t="b">
        <f t="shared" si="0"/>
        <v>0</v>
      </c>
      <c r="M28" s="460"/>
      <c r="N28" s="460"/>
    </row>
    <row r="29" spans="1:14">
      <c r="A29" s="184" t="s">
        <v>1787</v>
      </c>
      <c r="B29" s="207" t="str">
        <f t="shared" si="1"/>
        <v>AutoCAD Plant 3D*</v>
      </c>
      <c r="C29" s="184">
        <v>1995</v>
      </c>
      <c r="D29" s="199">
        <v>1575</v>
      </c>
      <c r="E29" s="199">
        <v>1655</v>
      </c>
      <c r="F29" s="185">
        <v>1655</v>
      </c>
      <c r="G29" s="184">
        <v>2305</v>
      </c>
      <c r="H29" s="199">
        <v>2765</v>
      </c>
      <c r="I29" s="185">
        <v>2765</v>
      </c>
      <c r="J29" s="184">
        <v>2605</v>
      </c>
      <c r="K29" s="399">
        <v>4560</v>
      </c>
      <c r="L29" s="366" t="b">
        <f t="shared" si="0"/>
        <v>0</v>
      </c>
      <c r="M29" s="460"/>
      <c r="N29" s="460"/>
    </row>
    <row r="30" spans="1:14">
      <c r="A30" s="184" t="s">
        <v>281</v>
      </c>
      <c r="B30" s="207" t="str">
        <f t="shared" si="1"/>
        <v>AutoCAD Raster Design</v>
      </c>
      <c r="C30" s="184">
        <v>445</v>
      </c>
      <c r="D30" s="199">
        <v>490</v>
      </c>
      <c r="E30" s="199">
        <v>515</v>
      </c>
      <c r="F30" s="185">
        <v>515</v>
      </c>
      <c r="G30" s="184">
        <v>510</v>
      </c>
      <c r="H30" s="199">
        <v>610</v>
      </c>
      <c r="I30" s="185">
        <v>610</v>
      </c>
      <c r="J30" s="184">
        <v>1180</v>
      </c>
      <c r="K30" s="399">
        <v>2065</v>
      </c>
      <c r="L30" s="366" t="b">
        <f t="shared" si="0"/>
        <v>0</v>
      </c>
      <c r="M30" s="460"/>
      <c r="N30" s="460"/>
    </row>
    <row r="31" spans="1:14">
      <c r="A31" s="184" t="s">
        <v>388</v>
      </c>
      <c r="B31" s="207" t="str">
        <f t="shared" si="1"/>
        <v>AutoCAD Revit LT Suite</v>
      </c>
      <c r="C31" s="184">
        <v>335</v>
      </c>
      <c r="D31" s="199">
        <v>370</v>
      </c>
      <c r="E31" s="199">
        <v>390</v>
      </c>
      <c r="F31" s="185">
        <v>390</v>
      </c>
      <c r="G31" s="184">
        <v>385</v>
      </c>
      <c r="H31" s="199">
        <v>460</v>
      </c>
      <c r="I31" s="185">
        <v>460</v>
      </c>
      <c r="J31" s="184">
        <v>725</v>
      </c>
      <c r="K31" s="185"/>
      <c r="L31" s="366" t="b">
        <f t="shared" si="0"/>
        <v>0</v>
      </c>
      <c r="M31" s="460"/>
      <c r="N31" s="460"/>
    </row>
    <row r="32" spans="1:14">
      <c r="A32" s="184" t="s">
        <v>1714</v>
      </c>
      <c r="B32" s="207" t="str">
        <f t="shared" si="1"/>
        <v>AutoCAD with Advance Steel</v>
      </c>
      <c r="C32" s="184">
        <v>2270</v>
      </c>
      <c r="D32" s="200">
        <v>1985</v>
      </c>
      <c r="E32" s="200">
        <v>2085</v>
      </c>
      <c r="F32" s="201">
        <v>2085</v>
      </c>
      <c r="G32" s="184">
        <v>2495</v>
      </c>
      <c r="H32" s="199">
        <v>2995</v>
      </c>
      <c r="I32" s="185">
        <v>2995</v>
      </c>
      <c r="J32" s="184">
        <v>2670</v>
      </c>
      <c r="K32" s="185">
        <v>4005</v>
      </c>
      <c r="L32" s="366" t="b">
        <f t="shared" si="0"/>
        <v>0</v>
      </c>
      <c r="M32" s="460"/>
      <c r="N32" s="460"/>
    </row>
    <row r="33" spans="1:14">
      <c r="A33" s="184" t="s">
        <v>282</v>
      </c>
      <c r="B33" s="207" t="str">
        <f t="shared" si="1"/>
        <v>Building Design Suite Premium</v>
      </c>
      <c r="C33" s="184">
        <v>1440</v>
      </c>
      <c r="D33" s="200" t="s">
        <v>389</v>
      </c>
      <c r="E33" s="200" t="s">
        <v>389</v>
      </c>
      <c r="F33" s="201" t="s">
        <v>389</v>
      </c>
      <c r="G33" s="184">
        <v>1660</v>
      </c>
      <c r="H33" s="199">
        <v>1990</v>
      </c>
      <c r="I33" s="185">
        <v>1990</v>
      </c>
      <c r="J33" s="184"/>
      <c r="K33" s="185"/>
      <c r="L33" s="366" t="b">
        <f t="shared" si="0"/>
        <v>0</v>
      </c>
      <c r="M33" s="460"/>
      <c r="N33" s="460"/>
    </row>
    <row r="34" spans="1:14">
      <c r="A34" s="184" t="s">
        <v>283</v>
      </c>
      <c r="B34" s="207" t="str">
        <f t="shared" si="1"/>
        <v>Building Design Suite Standard</v>
      </c>
      <c r="C34" s="184">
        <v>1130</v>
      </c>
      <c r="D34" s="200" t="s">
        <v>389</v>
      </c>
      <c r="E34" s="200" t="s">
        <v>389</v>
      </c>
      <c r="F34" s="201" t="s">
        <v>389</v>
      </c>
      <c r="G34" s="184">
        <v>1305</v>
      </c>
      <c r="H34" s="199">
        <v>1565</v>
      </c>
      <c r="I34" s="185">
        <v>1565</v>
      </c>
      <c r="J34" s="184"/>
      <c r="K34" s="185"/>
      <c r="L34" s="366" t="b">
        <f t="shared" si="0"/>
        <v>0</v>
      </c>
      <c r="M34" s="460"/>
      <c r="N34" s="460"/>
    </row>
    <row r="35" spans="1:14">
      <c r="A35" s="184" t="s">
        <v>284</v>
      </c>
      <c r="B35" s="207" t="str">
        <f t="shared" si="1"/>
        <v>Building Design Suite Ultimate</v>
      </c>
      <c r="C35" s="184">
        <v>2480</v>
      </c>
      <c r="D35" s="200" t="s">
        <v>389</v>
      </c>
      <c r="E35" s="200" t="s">
        <v>389</v>
      </c>
      <c r="F35" s="201" t="s">
        <v>389</v>
      </c>
      <c r="G35" s="184">
        <v>2730</v>
      </c>
      <c r="H35" s="199">
        <v>3275</v>
      </c>
      <c r="I35" s="185">
        <v>3275</v>
      </c>
      <c r="J35" s="184"/>
      <c r="K35" s="185"/>
      <c r="L35" s="366" t="b">
        <f t="shared" si="0"/>
        <v>0</v>
      </c>
      <c r="M35" s="460"/>
      <c r="N35" s="460"/>
    </row>
    <row r="36" spans="1:14">
      <c r="A36" s="184" t="s">
        <v>1676</v>
      </c>
      <c r="B36" s="207" t="str">
        <f t="shared" si="1"/>
        <v>CFD</v>
      </c>
      <c r="C36" s="184">
        <v>3490</v>
      </c>
      <c r="D36" s="200">
        <v>3665</v>
      </c>
      <c r="E36" s="200">
        <v>3850</v>
      </c>
      <c r="F36" s="201">
        <v>3850</v>
      </c>
      <c r="G36" s="184">
        <v>3840</v>
      </c>
      <c r="H36" s="199">
        <v>4610</v>
      </c>
      <c r="I36" s="185">
        <v>4610</v>
      </c>
      <c r="J36" s="184"/>
      <c r="K36" s="399">
        <v>5315</v>
      </c>
      <c r="L36" s="366" t="b">
        <f t="shared" si="0"/>
        <v>0</v>
      </c>
      <c r="M36" s="460"/>
      <c r="N36" s="460"/>
    </row>
    <row r="37" spans="1:14">
      <c r="A37" s="184" t="s">
        <v>1915</v>
      </c>
      <c r="B37" s="207" t="str">
        <f t="shared" si="1"/>
        <v>CFD Premium (formerly CFD Advanced)</v>
      </c>
      <c r="C37" s="184">
        <v>5040</v>
      </c>
      <c r="D37" s="200">
        <v>5290</v>
      </c>
      <c r="E37" s="200">
        <v>5555</v>
      </c>
      <c r="F37" s="201">
        <v>5555</v>
      </c>
      <c r="G37" s="184">
        <v>5545</v>
      </c>
      <c r="H37" s="199">
        <v>6655</v>
      </c>
      <c r="I37" s="185">
        <v>6655</v>
      </c>
      <c r="J37" s="184"/>
      <c r="K37" s="399">
        <v>13315</v>
      </c>
      <c r="L37" s="366" t="b">
        <f t="shared" ref="L37:L67" si="4">MAX(C37:K37)=MIN(C37:K37)</f>
        <v>0</v>
      </c>
      <c r="M37" s="460"/>
      <c r="N37" s="460"/>
    </row>
    <row r="38" spans="1:14">
      <c r="A38" s="184" t="s">
        <v>1914</v>
      </c>
      <c r="B38" s="207" t="str">
        <f t="shared" si="1"/>
        <v>CFD Ultimate (formerly CFD Motion)</v>
      </c>
      <c r="C38" s="184">
        <v>6975</v>
      </c>
      <c r="D38" s="200">
        <v>7325</v>
      </c>
      <c r="E38" s="200">
        <v>7690</v>
      </c>
      <c r="F38" s="201">
        <v>7690</v>
      </c>
      <c r="G38" s="184">
        <v>7675</v>
      </c>
      <c r="H38" s="199">
        <v>9210</v>
      </c>
      <c r="I38" s="185">
        <v>9210</v>
      </c>
      <c r="J38" s="184"/>
      <c r="K38" s="399">
        <v>16340</v>
      </c>
      <c r="L38" s="366" t="b">
        <f t="shared" si="4"/>
        <v>0</v>
      </c>
      <c r="M38" s="460"/>
      <c r="N38" s="460"/>
    </row>
    <row r="39" spans="1:14">
      <c r="A39" s="184" t="s">
        <v>285</v>
      </c>
      <c r="B39" s="207" t="str">
        <f t="shared" si="1"/>
        <v>Entertainment Creation Suite Ultimate</v>
      </c>
      <c r="C39" s="184">
        <v>1535</v>
      </c>
      <c r="D39" s="200" t="s">
        <v>389</v>
      </c>
      <c r="E39" s="200" t="s">
        <v>389</v>
      </c>
      <c r="F39" s="201" t="s">
        <v>389</v>
      </c>
      <c r="G39" s="184">
        <v>1770</v>
      </c>
      <c r="H39" s="199">
        <v>2125</v>
      </c>
      <c r="I39" s="185">
        <v>2125</v>
      </c>
      <c r="J39" s="184"/>
      <c r="K39" s="185"/>
      <c r="L39" s="366" t="b">
        <f t="shared" si="4"/>
        <v>0</v>
      </c>
      <c r="M39" s="460"/>
      <c r="N39" s="460"/>
    </row>
    <row r="40" spans="1:14">
      <c r="A40" s="184" t="s">
        <v>1677</v>
      </c>
      <c r="B40" s="207" t="str">
        <f t="shared" si="1"/>
        <v>Fabrication CADmep</v>
      </c>
      <c r="C40" s="184">
        <v>590</v>
      </c>
      <c r="D40" s="200">
        <v>620</v>
      </c>
      <c r="E40" s="200">
        <v>650</v>
      </c>
      <c r="F40" s="201">
        <v>650</v>
      </c>
      <c r="G40" s="184">
        <v>650</v>
      </c>
      <c r="H40" s="199">
        <v>780</v>
      </c>
      <c r="I40" s="185">
        <v>780</v>
      </c>
      <c r="J40" s="184">
        <v>1290</v>
      </c>
      <c r="K40" s="399">
        <v>2260</v>
      </c>
      <c r="L40" s="366" t="b">
        <f t="shared" si="4"/>
        <v>0</v>
      </c>
      <c r="M40" s="460"/>
      <c r="N40" s="460"/>
    </row>
    <row r="41" spans="1:14">
      <c r="A41" s="184" t="s">
        <v>1678</v>
      </c>
      <c r="B41" s="207" t="str">
        <f t="shared" si="1"/>
        <v>Fabrication CAMduct</v>
      </c>
      <c r="C41" s="184">
        <v>970</v>
      </c>
      <c r="D41" s="200">
        <v>1020</v>
      </c>
      <c r="E41" s="200">
        <v>1070</v>
      </c>
      <c r="F41" s="201">
        <v>1070</v>
      </c>
      <c r="G41" s="184">
        <v>1065</v>
      </c>
      <c r="H41" s="199">
        <v>1280</v>
      </c>
      <c r="I41" s="185">
        <v>1280</v>
      </c>
      <c r="J41" s="184">
        <v>1290</v>
      </c>
      <c r="K41" s="399">
        <v>2260</v>
      </c>
      <c r="L41" s="366" t="b">
        <f t="shared" si="4"/>
        <v>0</v>
      </c>
      <c r="M41" s="460"/>
      <c r="N41" s="460"/>
    </row>
    <row r="42" spans="1:14">
      <c r="A42" s="184" t="s">
        <v>1679</v>
      </c>
      <c r="B42" s="207" t="str">
        <f t="shared" si="1"/>
        <v>Fabrication ESTmep</v>
      </c>
      <c r="C42" s="184">
        <v>685</v>
      </c>
      <c r="D42" s="200">
        <v>720</v>
      </c>
      <c r="E42" s="200">
        <v>755</v>
      </c>
      <c r="F42" s="201">
        <v>755</v>
      </c>
      <c r="G42" s="184">
        <v>755</v>
      </c>
      <c r="H42" s="199">
        <v>905</v>
      </c>
      <c r="I42" s="185">
        <v>905</v>
      </c>
      <c r="J42" s="184">
        <v>1290</v>
      </c>
      <c r="K42" s="399">
        <v>2260</v>
      </c>
      <c r="L42" s="366" t="b">
        <f t="shared" si="4"/>
        <v>0</v>
      </c>
      <c r="M42" s="460"/>
      <c r="N42" s="460"/>
    </row>
    <row r="43" spans="1:14">
      <c r="A43" s="184" t="s">
        <v>394</v>
      </c>
      <c r="B43" s="207" t="str">
        <f t="shared" si="1"/>
        <v>Factory Design Suite Premium</v>
      </c>
      <c r="C43" s="184">
        <v>1440</v>
      </c>
      <c r="D43" s="200" t="s">
        <v>389</v>
      </c>
      <c r="E43" s="200" t="s">
        <v>389</v>
      </c>
      <c r="F43" s="201" t="s">
        <v>389</v>
      </c>
      <c r="G43" s="184">
        <v>1660</v>
      </c>
      <c r="H43" s="199">
        <v>1990</v>
      </c>
      <c r="I43" s="185">
        <v>1990</v>
      </c>
      <c r="J43" s="184"/>
      <c r="K43" s="185"/>
      <c r="L43" s="366" t="b">
        <f t="shared" si="4"/>
        <v>0</v>
      </c>
      <c r="M43" s="460"/>
      <c r="N43" s="460"/>
    </row>
    <row r="44" spans="1:14">
      <c r="A44" s="184" t="s">
        <v>603</v>
      </c>
      <c r="B44" s="207" t="str">
        <f t="shared" si="1"/>
        <v>Factory Design Suite Standard</v>
      </c>
      <c r="C44" s="184">
        <v>1220</v>
      </c>
      <c r="D44" s="200" t="s">
        <v>389</v>
      </c>
      <c r="E44" s="200" t="s">
        <v>389</v>
      </c>
      <c r="F44" s="201" t="s">
        <v>389</v>
      </c>
      <c r="G44" s="184">
        <v>1410</v>
      </c>
      <c r="H44" s="199">
        <v>1690</v>
      </c>
      <c r="I44" s="185">
        <v>1690</v>
      </c>
      <c r="J44" s="184"/>
      <c r="K44" s="185"/>
      <c r="L44" s="366" t="b">
        <f t="shared" si="4"/>
        <v>0</v>
      </c>
      <c r="M44" s="460"/>
      <c r="N44" s="460"/>
    </row>
    <row r="45" spans="1:14">
      <c r="A45" s="184" t="s">
        <v>286</v>
      </c>
      <c r="B45" s="207" t="str">
        <f t="shared" si="1"/>
        <v>Factory Design Suite Ultimate</v>
      </c>
      <c r="C45" s="184">
        <v>2365</v>
      </c>
      <c r="D45" s="200" t="s">
        <v>389</v>
      </c>
      <c r="E45" s="200" t="s">
        <v>389</v>
      </c>
      <c r="F45" s="201" t="s">
        <v>389</v>
      </c>
      <c r="G45" s="184">
        <v>2735</v>
      </c>
      <c r="H45" s="199">
        <v>3280</v>
      </c>
      <c r="I45" s="185">
        <v>3280</v>
      </c>
      <c r="J45" s="184"/>
      <c r="K45" s="185"/>
      <c r="L45" s="366" t="b">
        <f t="shared" si="4"/>
        <v>0</v>
      </c>
      <c r="M45" s="460"/>
      <c r="N45" s="460"/>
    </row>
    <row r="46" spans="1:14">
      <c r="A46" s="184" t="s">
        <v>1680</v>
      </c>
      <c r="B46" s="207" t="str">
        <f t="shared" si="1"/>
        <v>Helius Composite</v>
      </c>
      <c r="C46" s="184">
        <v>170</v>
      </c>
      <c r="D46" s="200">
        <v>180</v>
      </c>
      <c r="E46" s="200">
        <v>190</v>
      </c>
      <c r="F46" s="201">
        <v>190</v>
      </c>
      <c r="G46" s="184">
        <v>185</v>
      </c>
      <c r="H46" s="199">
        <v>220</v>
      </c>
      <c r="I46" s="185">
        <v>220</v>
      </c>
      <c r="J46" s="184">
        <v>390</v>
      </c>
      <c r="K46" s="399">
        <v>685</v>
      </c>
      <c r="L46" s="366" t="b">
        <f t="shared" si="4"/>
        <v>0</v>
      </c>
      <c r="M46" s="460"/>
      <c r="N46" s="460"/>
    </row>
    <row r="47" spans="1:14">
      <c r="A47" s="184" t="s">
        <v>1681</v>
      </c>
      <c r="B47" s="207" t="str">
        <f t="shared" si="1"/>
        <v>HSM - Premium</v>
      </c>
      <c r="C47" s="184">
        <v>1575</v>
      </c>
      <c r="D47" s="200">
        <v>1655</v>
      </c>
      <c r="E47" s="200">
        <v>1740</v>
      </c>
      <c r="F47" s="201">
        <v>1740</v>
      </c>
      <c r="G47" s="184">
        <v>1735</v>
      </c>
      <c r="H47" s="199">
        <v>2080</v>
      </c>
      <c r="I47" s="185">
        <v>2080</v>
      </c>
      <c r="J47" s="184">
        <v>3470</v>
      </c>
      <c r="K47" s="185">
        <v>5205</v>
      </c>
      <c r="L47" s="366" t="b">
        <f t="shared" si="4"/>
        <v>0</v>
      </c>
      <c r="M47" s="460"/>
      <c r="N47" s="460"/>
    </row>
    <row r="48" spans="1:14">
      <c r="A48" s="184" t="s">
        <v>1682</v>
      </c>
      <c r="B48" s="207" t="str">
        <f t="shared" si="1"/>
        <v>HSM - Ultimate</v>
      </c>
      <c r="C48" s="184">
        <v>2215</v>
      </c>
      <c r="D48" s="200">
        <v>2325</v>
      </c>
      <c r="E48" s="200">
        <v>2440</v>
      </c>
      <c r="F48" s="201">
        <v>2440</v>
      </c>
      <c r="G48" s="184">
        <v>2435</v>
      </c>
      <c r="H48" s="199">
        <v>2920</v>
      </c>
      <c r="I48" s="185">
        <v>2920</v>
      </c>
      <c r="J48" s="184">
        <v>5460</v>
      </c>
      <c r="K48" s="185">
        <v>8190</v>
      </c>
      <c r="L48" s="366" t="b">
        <f t="shared" si="4"/>
        <v>0</v>
      </c>
      <c r="M48" s="460"/>
      <c r="N48" s="460"/>
    </row>
    <row r="49" spans="1:14">
      <c r="A49" s="184" t="s">
        <v>393</v>
      </c>
      <c r="B49" s="207" t="str">
        <f t="shared" si="1"/>
        <v>Infrastructure Design Suite Premium</v>
      </c>
      <c r="C49" s="184">
        <v>1440</v>
      </c>
      <c r="D49" s="200" t="s">
        <v>389</v>
      </c>
      <c r="E49" s="200" t="s">
        <v>389</v>
      </c>
      <c r="F49" s="201" t="s">
        <v>389</v>
      </c>
      <c r="G49" s="184">
        <v>1660</v>
      </c>
      <c r="H49" s="199">
        <v>1990</v>
      </c>
      <c r="I49" s="185">
        <v>1990</v>
      </c>
      <c r="J49" s="184"/>
      <c r="K49" s="185"/>
      <c r="L49" s="366" t="b">
        <f t="shared" si="4"/>
        <v>0</v>
      </c>
      <c r="M49" s="460"/>
      <c r="N49" s="460"/>
    </row>
    <row r="50" spans="1:14">
      <c r="A50" s="184" t="s">
        <v>287</v>
      </c>
      <c r="B50" s="207" t="str">
        <f t="shared" si="1"/>
        <v>Infrastructure Design Suite Standard</v>
      </c>
      <c r="C50" s="184">
        <v>1220</v>
      </c>
      <c r="D50" s="200" t="s">
        <v>389</v>
      </c>
      <c r="E50" s="200" t="s">
        <v>389</v>
      </c>
      <c r="F50" s="201" t="s">
        <v>389</v>
      </c>
      <c r="G50" s="184">
        <v>1410</v>
      </c>
      <c r="H50" s="199">
        <v>1690</v>
      </c>
      <c r="I50" s="185">
        <v>1690</v>
      </c>
      <c r="J50" s="184"/>
      <c r="K50" s="185"/>
      <c r="L50" s="366" t="b">
        <f t="shared" si="4"/>
        <v>0</v>
      </c>
      <c r="M50" s="460"/>
      <c r="N50" s="460"/>
    </row>
    <row r="51" spans="1:14">
      <c r="A51" s="184" t="s">
        <v>392</v>
      </c>
      <c r="B51" s="207" t="str">
        <f t="shared" si="1"/>
        <v>Infrastructure Design Suite Ultimate</v>
      </c>
      <c r="C51" s="184">
        <v>2365</v>
      </c>
      <c r="D51" s="200" t="s">
        <v>389</v>
      </c>
      <c r="E51" s="200" t="s">
        <v>389</v>
      </c>
      <c r="F51" s="201" t="s">
        <v>389</v>
      </c>
      <c r="G51" s="184">
        <v>2735</v>
      </c>
      <c r="H51" s="199">
        <v>3280</v>
      </c>
      <c r="I51" s="185">
        <v>3280</v>
      </c>
      <c r="J51" s="184"/>
      <c r="K51" s="185"/>
      <c r="L51" s="366" t="b">
        <f t="shared" si="4"/>
        <v>0</v>
      </c>
      <c r="M51" s="460"/>
      <c r="N51" s="460"/>
    </row>
    <row r="52" spans="1:14">
      <c r="A52" s="184" t="s">
        <v>1683</v>
      </c>
      <c r="B52" s="207" t="str">
        <f t="shared" si="1"/>
        <v>Infrastructure Map Server</v>
      </c>
      <c r="C52" s="184">
        <v>1165</v>
      </c>
      <c r="D52" s="200">
        <v>1225</v>
      </c>
      <c r="E52" s="200">
        <v>1285</v>
      </c>
      <c r="F52" s="201">
        <v>1285</v>
      </c>
      <c r="G52" s="184">
        <v>1280</v>
      </c>
      <c r="H52" s="199">
        <v>1535</v>
      </c>
      <c r="I52" s="185">
        <v>1535</v>
      </c>
      <c r="J52" s="184"/>
      <c r="K52" s="399">
        <v>3630</v>
      </c>
      <c r="L52" s="366" t="b">
        <f t="shared" si="4"/>
        <v>0</v>
      </c>
      <c r="M52" s="460"/>
      <c r="N52" s="460"/>
    </row>
    <row r="53" spans="1:14">
      <c r="A53" s="184" t="s">
        <v>1684</v>
      </c>
      <c r="B53" s="207" t="str">
        <f>RIGHT(A53,LEN(A53)-LEN(nmADwSP))</f>
        <v>Infraworks</v>
      </c>
      <c r="C53" s="184"/>
      <c r="D53" s="199">
        <v>930</v>
      </c>
      <c r="E53" s="199">
        <v>975</v>
      </c>
      <c r="F53" s="185">
        <v>975</v>
      </c>
      <c r="G53" s="203"/>
      <c r="H53" s="204"/>
      <c r="I53" s="205"/>
      <c r="J53" s="184">
        <v>2265</v>
      </c>
      <c r="K53" s="399">
        <v>3965</v>
      </c>
      <c r="L53" s="366" t="b">
        <f t="shared" si="4"/>
        <v>0</v>
      </c>
      <c r="M53" s="460"/>
      <c r="N53" s="460"/>
    </row>
    <row r="54" spans="1:14">
      <c r="A54" s="184" t="s">
        <v>390</v>
      </c>
      <c r="B54" s="207" t="str">
        <f t="shared" ref="B54:B85" si="5">VLOOKUP(IF(LEFT(A54,LEN(nmADwSP))=nmADwSP,RIGHT(A54,LEN(A54)-LEN(nmADwSP)),A54),DataPaths_List_ProdMT_NonCurrency,1,FALSE)</f>
        <v>Inventor</v>
      </c>
      <c r="C54" s="184">
        <v>1095</v>
      </c>
      <c r="D54" s="199">
        <v>1210</v>
      </c>
      <c r="E54" s="199">
        <v>1270</v>
      </c>
      <c r="F54" s="185">
        <v>1270</v>
      </c>
      <c r="G54" s="184">
        <v>1265</v>
      </c>
      <c r="H54" s="199">
        <v>1520</v>
      </c>
      <c r="I54" s="185">
        <v>1520</v>
      </c>
      <c r="J54" s="184">
        <v>2655</v>
      </c>
      <c r="K54" s="185">
        <v>3985</v>
      </c>
      <c r="L54" s="366" t="b">
        <f t="shared" si="4"/>
        <v>0</v>
      </c>
      <c r="M54" s="460"/>
      <c r="N54" s="460"/>
    </row>
    <row r="55" spans="1:14">
      <c r="A55" s="184" t="s">
        <v>288</v>
      </c>
      <c r="B55" s="207" t="str">
        <f t="shared" si="5"/>
        <v>Inventor LT</v>
      </c>
      <c r="C55" s="184">
        <v>265</v>
      </c>
      <c r="D55" s="199">
        <v>295</v>
      </c>
      <c r="E55" s="199">
        <v>310</v>
      </c>
      <c r="F55" s="185">
        <v>310</v>
      </c>
      <c r="G55" s="184">
        <v>310</v>
      </c>
      <c r="H55" s="199">
        <v>370</v>
      </c>
      <c r="I55" s="185">
        <v>370</v>
      </c>
      <c r="J55" s="184">
        <v>545</v>
      </c>
      <c r="K55" s="399">
        <v>955</v>
      </c>
      <c r="L55" s="366" t="b">
        <f t="shared" si="4"/>
        <v>0</v>
      </c>
      <c r="M55" s="460"/>
      <c r="N55" s="460"/>
    </row>
    <row r="56" spans="1:14">
      <c r="A56" s="184" t="s">
        <v>289</v>
      </c>
      <c r="B56" s="207" t="str">
        <f t="shared" si="5"/>
        <v>Inventor Professional</v>
      </c>
      <c r="C56" s="184">
        <v>1615</v>
      </c>
      <c r="D56" s="199">
        <v>1210</v>
      </c>
      <c r="E56" s="199">
        <v>1270</v>
      </c>
      <c r="F56" s="185">
        <v>1270</v>
      </c>
      <c r="G56" s="184">
        <v>1865</v>
      </c>
      <c r="H56" s="199">
        <v>2240</v>
      </c>
      <c r="I56" s="185">
        <v>2240</v>
      </c>
      <c r="J56" s="184">
        <v>2725</v>
      </c>
      <c r="K56" s="399">
        <v>4090</v>
      </c>
      <c r="L56" s="366" t="b">
        <f t="shared" si="4"/>
        <v>0</v>
      </c>
      <c r="M56" s="460"/>
      <c r="N56" s="460"/>
    </row>
    <row r="57" spans="1:14">
      <c r="A57" s="184" t="s">
        <v>290</v>
      </c>
      <c r="B57" s="207" t="str">
        <f t="shared" si="5"/>
        <v>Maya</v>
      </c>
      <c r="C57" s="184">
        <v>880</v>
      </c>
      <c r="D57" s="199">
        <v>970</v>
      </c>
      <c r="E57" s="199">
        <v>1020</v>
      </c>
      <c r="F57" s="185">
        <v>1020</v>
      </c>
      <c r="G57" s="184">
        <v>1020</v>
      </c>
      <c r="H57" s="199">
        <v>1225</v>
      </c>
      <c r="I57" s="185">
        <v>1225</v>
      </c>
      <c r="J57" s="184">
        <v>2120</v>
      </c>
      <c r="K57" s="399">
        <v>3710</v>
      </c>
      <c r="L57" s="366" t="b">
        <f t="shared" si="4"/>
        <v>0</v>
      </c>
      <c r="M57" s="460"/>
      <c r="N57" s="460"/>
    </row>
    <row r="58" spans="1:14">
      <c r="A58" s="184" t="s">
        <v>291</v>
      </c>
      <c r="B58" s="207" t="str">
        <f t="shared" si="5"/>
        <v>Maya Entertainment Creation Suite Standard</v>
      </c>
      <c r="C58" s="184">
        <v>1220</v>
      </c>
      <c r="D58" s="200" t="s">
        <v>389</v>
      </c>
      <c r="E58" s="200" t="s">
        <v>389</v>
      </c>
      <c r="F58" s="201" t="s">
        <v>389</v>
      </c>
      <c r="G58" s="184">
        <v>1410</v>
      </c>
      <c r="H58" s="199">
        <v>1690</v>
      </c>
      <c r="I58" s="185">
        <v>1690</v>
      </c>
      <c r="J58" s="184"/>
      <c r="K58" s="185"/>
      <c r="L58" s="366" t="b">
        <f t="shared" si="4"/>
        <v>0</v>
      </c>
      <c r="M58" s="460"/>
      <c r="N58" s="460"/>
    </row>
    <row r="59" spans="1:14">
      <c r="A59" s="184" t="s">
        <v>1685</v>
      </c>
      <c r="B59" s="207" t="str">
        <f t="shared" si="5"/>
        <v>Maya LT</v>
      </c>
      <c r="C59" s="184">
        <v>180</v>
      </c>
      <c r="D59" s="200">
        <v>190</v>
      </c>
      <c r="E59" s="200">
        <v>200</v>
      </c>
      <c r="F59" s="201">
        <v>200</v>
      </c>
      <c r="G59" s="184">
        <v>200</v>
      </c>
      <c r="H59" s="199">
        <v>240</v>
      </c>
      <c r="I59" s="185">
        <v>240</v>
      </c>
      <c r="J59" s="184">
        <v>345</v>
      </c>
      <c r="K59" s="399">
        <v>605</v>
      </c>
      <c r="L59" s="366" t="b">
        <f t="shared" si="4"/>
        <v>0</v>
      </c>
      <c r="M59" s="460"/>
      <c r="N59" s="460"/>
    </row>
    <row r="60" spans="1:14">
      <c r="A60" s="184" t="s">
        <v>1800</v>
      </c>
      <c r="B60" s="207" t="str">
        <f t="shared" si="5"/>
        <v>Maya with Softimage</v>
      </c>
      <c r="C60" s="184">
        <v>925</v>
      </c>
      <c r="D60" s="200"/>
      <c r="E60" s="200"/>
      <c r="F60" s="201"/>
      <c r="G60" s="184">
        <v>1020</v>
      </c>
      <c r="H60" s="199">
        <v>1225</v>
      </c>
      <c r="I60" s="185">
        <v>1225</v>
      </c>
      <c r="J60" s="184">
        <v>2065</v>
      </c>
      <c r="K60" s="185"/>
      <c r="L60" s="366" t="b">
        <f t="shared" si="4"/>
        <v>0</v>
      </c>
      <c r="M60" s="460"/>
      <c r="N60" s="460"/>
    </row>
    <row r="61" spans="1:14">
      <c r="A61" s="184" t="s">
        <v>1686</v>
      </c>
      <c r="B61" s="207" t="str">
        <f t="shared" si="5"/>
        <v>Moldflow Adviser Premium</v>
      </c>
      <c r="C61" s="184">
        <v>1340</v>
      </c>
      <c r="D61" s="200">
        <v>1405</v>
      </c>
      <c r="E61" s="200">
        <v>1475</v>
      </c>
      <c r="F61" s="201">
        <v>1475</v>
      </c>
      <c r="G61" s="184">
        <v>1475</v>
      </c>
      <c r="H61" s="199">
        <v>1770</v>
      </c>
      <c r="I61" s="185">
        <v>1770</v>
      </c>
      <c r="J61" s="184"/>
      <c r="K61" s="399">
        <v>3025</v>
      </c>
      <c r="L61" s="366" t="b">
        <f t="shared" si="4"/>
        <v>0</v>
      </c>
      <c r="M61" s="460"/>
      <c r="N61" s="460"/>
    </row>
    <row r="62" spans="1:14">
      <c r="A62" s="184" t="s">
        <v>1687</v>
      </c>
      <c r="B62" s="207" t="str">
        <f t="shared" si="5"/>
        <v>Moldflow Adviser Ultimate</v>
      </c>
      <c r="C62" s="184">
        <v>5815</v>
      </c>
      <c r="D62" s="200">
        <v>6105</v>
      </c>
      <c r="E62" s="200">
        <v>6410</v>
      </c>
      <c r="F62" s="201">
        <v>6410</v>
      </c>
      <c r="G62" s="184">
        <v>6395</v>
      </c>
      <c r="H62" s="199">
        <v>7675</v>
      </c>
      <c r="I62" s="185">
        <v>7675</v>
      </c>
      <c r="J62" s="184"/>
      <c r="K62" s="399">
        <v>15130</v>
      </c>
      <c r="L62" s="366" t="b">
        <f t="shared" si="4"/>
        <v>0</v>
      </c>
      <c r="M62" s="460"/>
      <c r="N62" s="460"/>
    </row>
    <row r="63" spans="1:14">
      <c r="A63" s="184" t="s">
        <v>1688</v>
      </c>
      <c r="B63" s="207" t="str">
        <f t="shared" si="5"/>
        <v>Moldflow Insight Premium</v>
      </c>
      <c r="C63" s="184">
        <v>13485</v>
      </c>
      <c r="D63" s="200">
        <v>14160</v>
      </c>
      <c r="E63" s="200">
        <v>14870</v>
      </c>
      <c r="F63" s="201">
        <v>14870</v>
      </c>
      <c r="G63" s="184">
        <v>14835</v>
      </c>
      <c r="H63" s="199">
        <v>17800</v>
      </c>
      <c r="I63" s="185">
        <v>17800</v>
      </c>
      <c r="J63" s="184"/>
      <c r="K63" s="399">
        <v>35100</v>
      </c>
      <c r="L63" s="366" t="b">
        <f t="shared" si="4"/>
        <v>0</v>
      </c>
      <c r="M63" s="460"/>
      <c r="N63" s="460"/>
    </row>
    <row r="64" spans="1:14">
      <c r="A64" s="184" t="s">
        <v>1689</v>
      </c>
      <c r="B64" s="207" t="str">
        <f t="shared" si="5"/>
        <v>Moldflow Insight Standard</v>
      </c>
      <c r="C64" s="184">
        <v>6745</v>
      </c>
      <c r="D64" s="200">
        <v>7080</v>
      </c>
      <c r="E64" s="200">
        <v>7435</v>
      </c>
      <c r="F64" s="201">
        <v>7435</v>
      </c>
      <c r="G64" s="184">
        <v>7420</v>
      </c>
      <c r="H64" s="199">
        <v>8905</v>
      </c>
      <c r="I64" s="185">
        <v>8905</v>
      </c>
      <c r="J64" s="184"/>
      <c r="K64" s="399">
        <v>17550</v>
      </c>
      <c r="L64" s="366" t="b">
        <f t="shared" si="4"/>
        <v>0</v>
      </c>
      <c r="M64" s="460"/>
      <c r="N64" s="460"/>
    </row>
    <row r="65" spans="1:14">
      <c r="A65" s="184" t="s">
        <v>1690</v>
      </c>
      <c r="B65" s="207" t="str">
        <f t="shared" si="5"/>
        <v>Moldflow Insight Ultimate</v>
      </c>
      <c r="C65" s="184">
        <v>18140</v>
      </c>
      <c r="D65" s="200">
        <v>19045</v>
      </c>
      <c r="E65" s="200">
        <v>19995</v>
      </c>
      <c r="F65" s="201">
        <v>19995</v>
      </c>
      <c r="G65" s="184">
        <v>19955</v>
      </c>
      <c r="H65" s="199">
        <v>23945</v>
      </c>
      <c r="I65" s="185">
        <v>23945</v>
      </c>
      <c r="J65" s="184"/>
      <c r="K65" s="399">
        <v>47200</v>
      </c>
      <c r="L65" s="366" t="b">
        <f t="shared" si="4"/>
        <v>0</v>
      </c>
      <c r="M65" s="460"/>
      <c r="N65" s="460"/>
    </row>
    <row r="66" spans="1:14">
      <c r="A66" s="184" t="s">
        <v>1691</v>
      </c>
      <c r="B66" s="207" t="str">
        <f t="shared" si="5"/>
        <v>Moldflow Synergy</v>
      </c>
      <c r="C66" s="184">
        <v>2795</v>
      </c>
      <c r="D66" s="200">
        <v>2935</v>
      </c>
      <c r="E66" s="200">
        <v>3080</v>
      </c>
      <c r="F66" s="201">
        <v>3080</v>
      </c>
      <c r="G66" s="184">
        <v>3075</v>
      </c>
      <c r="H66" s="199">
        <v>3690</v>
      </c>
      <c r="I66" s="185">
        <v>3690</v>
      </c>
      <c r="J66" s="184"/>
      <c r="K66" s="399">
        <v>7260</v>
      </c>
      <c r="L66" s="366" t="b">
        <f t="shared" si="4"/>
        <v>0</v>
      </c>
      <c r="M66" s="460"/>
      <c r="N66" s="460"/>
    </row>
    <row r="67" spans="1:14">
      <c r="A67" s="184" t="s">
        <v>292</v>
      </c>
      <c r="B67" s="207" t="str">
        <f t="shared" si="5"/>
        <v>MotionBuilder</v>
      </c>
      <c r="C67" s="184">
        <v>1185</v>
      </c>
      <c r="D67" s="199">
        <v>1305</v>
      </c>
      <c r="E67" s="199">
        <v>1370</v>
      </c>
      <c r="F67" s="185">
        <v>1370</v>
      </c>
      <c r="G67" s="184">
        <v>1370</v>
      </c>
      <c r="H67" s="199">
        <v>1645</v>
      </c>
      <c r="I67" s="185">
        <v>1645</v>
      </c>
      <c r="J67" s="184">
        <v>2420</v>
      </c>
      <c r="K67" s="399">
        <v>4235</v>
      </c>
      <c r="L67" s="366" t="b">
        <f t="shared" si="4"/>
        <v>0</v>
      </c>
      <c r="M67" s="460"/>
      <c r="N67" s="460"/>
    </row>
    <row r="68" spans="1:14">
      <c r="A68" s="184" t="s">
        <v>1692</v>
      </c>
      <c r="B68" s="207" t="str">
        <f t="shared" si="5"/>
        <v>Mudbox</v>
      </c>
      <c r="C68" s="184">
        <v>110</v>
      </c>
      <c r="D68" s="200">
        <v>115</v>
      </c>
      <c r="E68" s="200">
        <v>120</v>
      </c>
      <c r="F68" s="201">
        <v>120</v>
      </c>
      <c r="G68" s="184">
        <v>120</v>
      </c>
      <c r="H68" s="199">
        <v>145</v>
      </c>
      <c r="I68" s="185">
        <v>145</v>
      </c>
      <c r="J68" s="184">
        <v>110</v>
      </c>
      <c r="K68" s="399">
        <v>195</v>
      </c>
      <c r="L68" s="366" t="b">
        <f t="shared" ref="L68:L99" si="6">MAX(C68:K68)=MIN(C68:K68)</f>
        <v>0</v>
      </c>
      <c r="M68" s="460"/>
      <c r="N68" s="460"/>
    </row>
    <row r="69" spans="1:14">
      <c r="A69" s="184" t="s">
        <v>1693</v>
      </c>
      <c r="B69" s="207" t="str">
        <f t="shared" si="5"/>
        <v>Nastran</v>
      </c>
      <c r="C69" s="184">
        <v>1905</v>
      </c>
      <c r="D69" s="200">
        <v>2000</v>
      </c>
      <c r="E69" s="200">
        <v>2100</v>
      </c>
      <c r="F69" s="201">
        <v>2100</v>
      </c>
      <c r="G69" s="184">
        <v>2095</v>
      </c>
      <c r="H69" s="199">
        <v>2515</v>
      </c>
      <c r="I69" s="185">
        <v>2515</v>
      </c>
      <c r="J69" s="184" t="s">
        <v>1916</v>
      </c>
      <c r="K69" s="399">
        <v>6205</v>
      </c>
      <c r="L69" s="366" t="b">
        <f t="shared" si="6"/>
        <v>0</v>
      </c>
      <c r="M69" s="460"/>
      <c r="N69" s="460"/>
    </row>
    <row r="70" spans="1:14">
      <c r="A70" s="184" t="s">
        <v>1694</v>
      </c>
      <c r="B70" s="207" t="str">
        <f t="shared" si="5"/>
        <v>Nastran In-CAD</v>
      </c>
      <c r="C70" s="184">
        <v>1980</v>
      </c>
      <c r="D70" s="200">
        <v>2080</v>
      </c>
      <c r="E70" s="200">
        <v>2185</v>
      </c>
      <c r="F70" s="201">
        <v>2185</v>
      </c>
      <c r="G70" s="184">
        <v>2180</v>
      </c>
      <c r="H70" s="199">
        <v>2615</v>
      </c>
      <c r="I70" s="185">
        <v>2615</v>
      </c>
      <c r="J70" s="184"/>
      <c r="K70" s="185">
        <v>5020</v>
      </c>
      <c r="L70" s="366" t="b">
        <f t="shared" si="6"/>
        <v>0</v>
      </c>
      <c r="M70" s="460"/>
      <c r="N70" s="460"/>
    </row>
    <row r="71" spans="1:14">
      <c r="A71" s="184" t="s">
        <v>1791</v>
      </c>
      <c r="B71" s="207" t="str">
        <f t="shared" si="5"/>
        <v>Navisworks Manage*</v>
      </c>
      <c r="C71" s="184">
        <v>1330</v>
      </c>
      <c r="D71" s="199">
        <v>1225</v>
      </c>
      <c r="E71" s="199">
        <v>1285</v>
      </c>
      <c r="F71" s="185">
        <v>1285</v>
      </c>
      <c r="G71" s="184">
        <v>1535</v>
      </c>
      <c r="H71" s="199">
        <v>1840</v>
      </c>
      <c r="I71" s="185">
        <v>1840</v>
      </c>
      <c r="J71" s="184">
        <v>2980</v>
      </c>
      <c r="K71" s="399">
        <v>4470</v>
      </c>
      <c r="L71" s="366" t="b">
        <f t="shared" si="6"/>
        <v>0</v>
      </c>
      <c r="M71" s="460"/>
      <c r="N71" s="460"/>
    </row>
    <row r="72" spans="1:14">
      <c r="A72" s="184" t="s">
        <v>1695</v>
      </c>
      <c r="B72" s="207" t="str">
        <f t="shared" si="5"/>
        <v>Navisworks Simulate</v>
      </c>
      <c r="C72" s="184">
        <v>465</v>
      </c>
      <c r="D72" s="200">
        <v>490</v>
      </c>
      <c r="E72" s="200">
        <v>515</v>
      </c>
      <c r="F72" s="201">
        <v>515</v>
      </c>
      <c r="G72" s="184">
        <v>510</v>
      </c>
      <c r="H72" s="199">
        <v>610</v>
      </c>
      <c r="I72" s="185">
        <v>610</v>
      </c>
      <c r="J72" s="184">
        <v>1210</v>
      </c>
      <c r="K72" s="399">
        <v>2120</v>
      </c>
      <c r="L72" s="366" t="b">
        <f t="shared" si="6"/>
        <v>0</v>
      </c>
      <c r="M72" s="460"/>
      <c r="N72" s="460"/>
    </row>
    <row r="73" spans="1:14">
      <c r="A73" s="184" t="s">
        <v>293</v>
      </c>
      <c r="B73" s="207" t="str">
        <f t="shared" si="5"/>
        <v>Plant Design Suite Premium</v>
      </c>
      <c r="C73" s="184">
        <v>2105</v>
      </c>
      <c r="D73" s="200" t="s">
        <v>389</v>
      </c>
      <c r="E73" s="200" t="s">
        <v>389</v>
      </c>
      <c r="F73" s="201" t="s">
        <v>389</v>
      </c>
      <c r="G73" s="184">
        <v>2430</v>
      </c>
      <c r="H73" s="199">
        <v>2915</v>
      </c>
      <c r="I73" s="185">
        <v>2915</v>
      </c>
      <c r="J73" s="184"/>
      <c r="K73" s="185"/>
      <c r="L73" s="366" t="b">
        <f t="shared" si="6"/>
        <v>0</v>
      </c>
      <c r="M73" s="460"/>
      <c r="N73" s="460"/>
    </row>
    <row r="74" spans="1:14">
      <c r="A74" s="184" t="s">
        <v>294</v>
      </c>
      <c r="B74" s="207" t="str">
        <f t="shared" si="5"/>
        <v>Plant Design Suite Standard</v>
      </c>
      <c r="C74" s="184">
        <v>1250</v>
      </c>
      <c r="D74" s="200" t="s">
        <v>389</v>
      </c>
      <c r="E74" s="200" t="s">
        <v>389</v>
      </c>
      <c r="F74" s="201" t="s">
        <v>389</v>
      </c>
      <c r="G74" s="184">
        <v>1445</v>
      </c>
      <c r="H74" s="199">
        <v>1735</v>
      </c>
      <c r="I74" s="185">
        <v>1735</v>
      </c>
      <c r="J74" s="184"/>
      <c r="K74" s="185"/>
      <c r="L74" s="366" t="b">
        <f t="shared" si="6"/>
        <v>0</v>
      </c>
      <c r="M74" s="460"/>
      <c r="N74" s="460"/>
    </row>
    <row r="75" spans="1:14">
      <c r="A75" s="184" t="s">
        <v>295</v>
      </c>
      <c r="B75" s="207" t="str">
        <f t="shared" si="5"/>
        <v>Plant Design Suite Ultimate</v>
      </c>
      <c r="C75" s="184">
        <v>3070</v>
      </c>
      <c r="D75" s="200" t="s">
        <v>389</v>
      </c>
      <c r="E75" s="200" t="s">
        <v>389</v>
      </c>
      <c r="F75" s="201" t="s">
        <v>389</v>
      </c>
      <c r="G75" s="184">
        <v>3550</v>
      </c>
      <c r="H75" s="199">
        <v>4260</v>
      </c>
      <c r="I75" s="185">
        <v>4260</v>
      </c>
      <c r="J75" s="184"/>
      <c r="K75" s="185"/>
      <c r="L75" s="366" t="b">
        <f t="shared" si="6"/>
        <v>0</v>
      </c>
      <c r="M75" s="460"/>
      <c r="N75" s="460"/>
    </row>
    <row r="76" spans="1:14">
      <c r="A76" s="184" t="s">
        <v>1696</v>
      </c>
      <c r="B76" s="207" t="str">
        <f t="shared" si="5"/>
        <v>Point Layout</v>
      </c>
      <c r="C76" s="184">
        <v>885</v>
      </c>
      <c r="D76" s="200">
        <v>930</v>
      </c>
      <c r="E76" s="200">
        <v>975</v>
      </c>
      <c r="F76" s="201">
        <v>975</v>
      </c>
      <c r="G76" s="184">
        <v>975</v>
      </c>
      <c r="H76" s="199">
        <v>1170</v>
      </c>
      <c r="I76" s="185">
        <v>1170</v>
      </c>
      <c r="J76" s="184">
        <v>2305</v>
      </c>
      <c r="K76" s="399">
        <v>4035</v>
      </c>
      <c r="L76" s="366" t="b">
        <f t="shared" si="6"/>
        <v>0</v>
      </c>
      <c r="M76" s="460"/>
      <c r="N76" s="460"/>
    </row>
    <row r="77" spans="1:14">
      <c r="A77" s="184" t="s">
        <v>296</v>
      </c>
      <c r="B77" s="207" t="str">
        <f t="shared" si="5"/>
        <v>Product Design Suite Premium</v>
      </c>
      <c r="C77" s="184">
        <v>1220</v>
      </c>
      <c r="D77" s="200" t="s">
        <v>389</v>
      </c>
      <c r="E77" s="200" t="s">
        <v>389</v>
      </c>
      <c r="F77" s="201" t="s">
        <v>389</v>
      </c>
      <c r="G77" s="184">
        <v>1410</v>
      </c>
      <c r="H77" s="199">
        <v>1690</v>
      </c>
      <c r="I77" s="185">
        <v>1690</v>
      </c>
      <c r="J77" s="184"/>
      <c r="K77" s="185"/>
      <c r="L77" s="366" t="b">
        <f t="shared" si="6"/>
        <v>0</v>
      </c>
      <c r="M77" s="460"/>
      <c r="N77" s="460"/>
    </row>
    <row r="78" spans="1:14">
      <c r="A78" s="184" t="s">
        <v>297</v>
      </c>
      <c r="B78" s="207" t="str">
        <f t="shared" si="5"/>
        <v>Product Design Suite Ultimate</v>
      </c>
      <c r="C78" s="184">
        <v>1775</v>
      </c>
      <c r="D78" s="200" t="s">
        <v>389</v>
      </c>
      <c r="E78" s="200" t="s">
        <v>389</v>
      </c>
      <c r="F78" s="201" t="s">
        <v>389</v>
      </c>
      <c r="G78" s="184">
        <v>2050</v>
      </c>
      <c r="H78" s="199">
        <v>2460</v>
      </c>
      <c r="I78" s="185">
        <v>2460</v>
      </c>
      <c r="J78" s="184"/>
      <c r="K78" s="185"/>
      <c r="L78" s="366" t="b">
        <f t="shared" si="6"/>
        <v>0</v>
      </c>
      <c r="M78" s="460"/>
      <c r="N78" s="460"/>
    </row>
    <row r="79" spans="1:14">
      <c r="A79" s="184" t="s">
        <v>1798</v>
      </c>
      <c r="B79" s="207" t="str">
        <f t="shared" si="5"/>
        <v>Quantity Take Off</v>
      </c>
      <c r="C79" s="184">
        <v>445</v>
      </c>
      <c r="D79" s="200"/>
      <c r="E79" s="200"/>
      <c r="F79" s="201"/>
      <c r="G79" s="184">
        <v>490</v>
      </c>
      <c r="H79" s="199">
        <v>590</v>
      </c>
      <c r="I79" s="185">
        <v>590</v>
      </c>
      <c r="J79" s="184"/>
      <c r="K79" s="185"/>
      <c r="L79" s="366" t="b">
        <f t="shared" si="6"/>
        <v>0</v>
      </c>
      <c r="M79" s="460"/>
      <c r="N79" s="460"/>
    </row>
    <row r="80" spans="1:14">
      <c r="A80" s="184" t="s">
        <v>298</v>
      </c>
      <c r="B80" s="207" t="str">
        <f t="shared" si="5"/>
        <v>Revit</v>
      </c>
      <c r="C80" s="184">
        <v>1220</v>
      </c>
      <c r="D80" s="199">
        <v>1345</v>
      </c>
      <c r="E80" s="199">
        <v>1410</v>
      </c>
      <c r="F80" s="185">
        <v>1410</v>
      </c>
      <c r="G80" s="184">
        <v>1410</v>
      </c>
      <c r="H80" s="199">
        <v>1690</v>
      </c>
      <c r="I80" s="185">
        <v>1690</v>
      </c>
      <c r="J80" s="397">
        <v>3165</v>
      </c>
      <c r="K80" s="399">
        <v>4320</v>
      </c>
      <c r="L80" s="366" t="b">
        <f t="shared" si="6"/>
        <v>0</v>
      </c>
      <c r="M80" s="460"/>
      <c r="N80" s="460"/>
    </row>
    <row r="81" spans="1:14">
      <c r="A81" s="184" t="s">
        <v>1715</v>
      </c>
      <c r="B81" s="207" t="str">
        <f t="shared" si="5"/>
        <v>Revit Architecture</v>
      </c>
      <c r="C81" s="184">
        <v>1280</v>
      </c>
      <c r="D81" s="200">
        <v>1345</v>
      </c>
      <c r="E81" s="200">
        <v>1410</v>
      </c>
      <c r="F81" s="201">
        <v>1410</v>
      </c>
      <c r="G81" s="184">
        <v>1410</v>
      </c>
      <c r="H81" s="199">
        <v>1690</v>
      </c>
      <c r="I81" s="185">
        <v>1690</v>
      </c>
      <c r="J81" s="184">
        <v>2810</v>
      </c>
      <c r="K81" s="185">
        <v>4215</v>
      </c>
      <c r="L81" s="366" t="b">
        <f t="shared" si="6"/>
        <v>0</v>
      </c>
      <c r="M81" s="460"/>
      <c r="N81" s="460"/>
    </row>
    <row r="82" spans="1:14">
      <c r="A82" s="184" t="s">
        <v>299</v>
      </c>
      <c r="B82" s="207" t="str">
        <f t="shared" si="5"/>
        <v>Revit LT</v>
      </c>
      <c r="C82" s="184">
        <v>270</v>
      </c>
      <c r="D82" s="199">
        <v>300</v>
      </c>
      <c r="E82" s="199">
        <v>315</v>
      </c>
      <c r="F82" s="185">
        <v>315</v>
      </c>
      <c r="G82" s="184">
        <v>315</v>
      </c>
      <c r="H82" s="199">
        <v>380</v>
      </c>
      <c r="I82" s="185">
        <v>380</v>
      </c>
      <c r="J82" s="184">
        <v>590</v>
      </c>
      <c r="K82" s="185"/>
      <c r="L82" s="366" t="b">
        <f t="shared" si="6"/>
        <v>0</v>
      </c>
      <c r="M82" s="460"/>
      <c r="N82" s="460"/>
    </row>
    <row r="83" spans="1:14">
      <c r="A83" s="184" t="s">
        <v>1716</v>
      </c>
      <c r="B83" s="207" t="str">
        <f t="shared" si="5"/>
        <v>Revit MEP</v>
      </c>
      <c r="C83" s="184">
        <v>1280</v>
      </c>
      <c r="D83" s="200">
        <v>1345</v>
      </c>
      <c r="E83" s="200">
        <v>1410</v>
      </c>
      <c r="F83" s="201">
        <v>1410</v>
      </c>
      <c r="G83" s="184">
        <v>1410</v>
      </c>
      <c r="H83" s="199">
        <v>1690</v>
      </c>
      <c r="I83" s="185">
        <v>1690</v>
      </c>
      <c r="J83" s="184">
        <v>2810</v>
      </c>
      <c r="K83" s="185">
        <v>4215</v>
      </c>
      <c r="L83" s="366" t="b">
        <f t="shared" si="6"/>
        <v>0</v>
      </c>
      <c r="M83" s="460"/>
      <c r="N83" s="460"/>
    </row>
    <row r="84" spans="1:14">
      <c r="A84" s="184" t="s">
        <v>1717</v>
      </c>
      <c r="B84" s="207" t="str">
        <f t="shared" si="5"/>
        <v>Revit Structure</v>
      </c>
      <c r="C84" s="184">
        <v>1280</v>
      </c>
      <c r="D84" s="200">
        <v>1345</v>
      </c>
      <c r="E84" s="200">
        <v>1410</v>
      </c>
      <c r="F84" s="201">
        <v>1410</v>
      </c>
      <c r="G84" s="184">
        <v>1410</v>
      </c>
      <c r="H84" s="199">
        <v>1690</v>
      </c>
      <c r="I84" s="185">
        <v>1690</v>
      </c>
      <c r="J84" s="184">
        <v>2810</v>
      </c>
      <c r="K84" s="185">
        <v>4215</v>
      </c>
      <c r="L84" s="366" t="b">
        <f t="shared" si="6"/>
        <v>0</v>
      </c>
      <c r="M84" s="460"/>
      <c r="N84" s="460"/>
    </row>
    <row r="85" spans="1:14">
      <c r="A85" s="184" t="s">
        <v>1697</v>
      </c>
      <c r="B85" s="207" t="str">
        <f t="shared" si="5"/>
        <v>Robot Structural Analysis Professional</v>
      </c>
      <c r="C85" s="184">
        <v>1395</v>
      </c>
      <c r="D85" s="200">
        <v>1465</v>
      </c>
      <c r="E85" s="200">
        <v>1540</v>
      </c>
      <c r="F85" s="201">
        <v>1540</v>
      </c>
      <c r="G85" s="184">
        <v>1535</v>
      </c>
      <c r="H85" s="199">
        <v>1840</v>
      </c>
      <c r="I85" s="185">
        <v>1840</v>
      </c>
      <c r="J85" s="184">
        <v>3630</v>
      </c>
      <c r="K85" s="399">
        <v>6355</v>
      </c>
      <c r="L85" s="366" t="b">
        <f t="shared" si="6"/>
        <v>0</v>
      </c>
      <c r="M85" s="460"/>
      <c r="N85" s="460"/>
    </row>
    <row r="86" spans="1:14">
      <c r="A86" s="184" t="s">
        <v>1718</v>
      </c>
      <c r="B86" s="207" t="str">
        <f t="shared" ref="B86:B116" si="7">VLOOKUP(IF(LEFT(A86,LEN(nmADwSP))=nmADwSP,RIGHT(A86,LEN(A86)-LEN(nmADwSP)),A86),DataPaths_List_ProdMT_NonCurrency,1,FALSE)</f>
        <v>Simulation Mechanical</v>
      </c>
      <c r="C86" s="184">
        <v>3490</v>
      </c>
      <c r="D86" s="200">
        <v>2080</v>
      </c>
      <c r="E86" s="200">
        <v>2185</v>
      </c>
      <c r="F86" s="201">
        <v>2185</v>
      </c>
      <c r="G86" s="184">
        <v>3840</v>
      </c>
      <c r="H86" s="199">
        <v>4610</v>
      </c>
      <c r="I86" s="185">
        <v>4610</v>
      </c>
      <c r="J86" s="184"/>
      <c r="K86" s="185">
        <v>5020</v>
      </c>
      <c r="L86" s="366" t="b">
        <f t="shared" si="6"/>
        <v>0</v>
      </c>
      <c r="M86" s="460"/>
      <c r="N86" s="460"/>
    </row>
    <row r="87" spans="1:14">
      <c r="A87" s="184" t="s">
        <v>1721</v>
      </c>
      <c r="B87" s="207" t="str">
        <f t="shared" si="7"/>
        <v>SketchBook - For Enterprise</v>
      </c>
      <c r="C87" s="184">
        <v>45</v>
      </c>
      <c r="D87" s="200">
        <v>45</v>
      </c>
      <c r="E87" s="200">
        <v>45</v>
      </c>
      <c r="F87" s="201">
        <v>45</v>
      </c>
      <c r="G87" s="184">
        <v>50</v>
      </c>
      <c r="H87" s="199">
        <v>60</v>
      </c>
      <c r="I87" s="185">
        <v>60</v>
      </c>
      <c r="J87" s="184">
        <v>120</v>
      </c>
      <c r="K87" s="399">
        <v>210</v>
      </c>
      <c r="L87" s="366" t="b">
        <f t="shared" si="6"/>
        <v>0</v>
      </c>
      <c r="M87" s="460"/>
      <c r="N87" s="460"/>
    </row>
    <row r="88" spans="1:14">
      <c r="A88" s="184" t="s">
        <v>1901</v>
      </c>
      <c r="B88" s="207" t="str">
        <f t="shared" si="7"/>
        <v>Structural Bridge Design</v>
      </c>
      <c r="C88" s="184">
        <v>885</v>
      </c>
      <c r="D88" s="200" t="s">
        <v>389</v>
      </c>
      <c r="E88" s="200" t="s">
        <v>389</v>
      </c>
      <c r="F88" s="201" t="s">
        <v>389</v>
      </c>
      <c r="G88" s="184">
        <v>975</v>
      </c>
      <c r="H88" s="199">
        <v>1170</v>
      </c>
      <c r="I88" s="185">
        <v>1170</v>
      </c>
      <c r="J88" s="184"/>
      <c r="K88" s="185"/>
      <c r="L88" s="366" t="b">
        <f t="shared" si="6"/>
        <v>0</v>
      </c>
      <c r="M88" s="460"/>
      <c r="N88" s="460"/>
    </row>
    <row r="89" spans="1:14">
      <c r="A89" s="184" t="s">
        <v>1699</v>
      </c>
      <c r="B89" s="207" t="str">
        <f t="shared" si="7"/>
        <v>TruComp</v>
      </c>
      <c r="C89" s="184">
        <v>19365</v>
      </c>
      <c r="D89" s="200">
        <v>20335</v>
      </c>
      <c r="E89" s="200">
        <v>21350</v>
      </c>
      <c r="F89" s="201">
        <v>21350</v>
      </c>
      <c r="G89" s="184">
        <v>21300</v>
      </c>
      <c r="H89" s="199">
        <v>25560</v>
      </c>
      <c r="I89" s="185">
        <v>25560</v>
      </c>
      <c r="J89" s="184"/>
      <c r="K89" s="399">
        <v>75615</v>
      </c>
      <c r="L89" s="366" t="b">
        <f t="shared" si="6"/>
        <v>0</v>
      </c>
      <c r="M89" s="460"/>
      <c r="N89" s="460"/>
    </row>
    <row r="90" spans="1:14">
      <c r="A90" s="184" t="s">
        <v>1700</v>
      </c>
      <c r="B90" s="207" t="str">
        <f t="shared" si="7"/>
        <v>TruLaser</v>
      </c>
      <c r="C90" s="184">
        <v>3330</v>
      </c>
      <c r="D90" s="200">
        <v>3495</v>
      </c>
      <c r="E90" s="200">
        <v>3670</v>
      </c>
      <c r="F90" s="201">
        <v>3670</v>
      </c>
      <c r="G90" s="184">
        <v>3665</v>
      </c>
      <c r="H90" s="199">
        <v>4400</v>
      </c>
      <c r="I90" s="185">
        <v>4400</v>
      </c>
      <c r="J90" s="184">
        <v>8655</v>
      </c>
      <c r="K90" s="399">
        <v>15145</v>
      </c>
      <c r="L90" s="366" t="b">
        <f t="shared" si="6"/>
        <v>0</v>
      </c>
      <c r="M90" s="460"/>
      <c r="N90" s="460"/>
    </row>
    <row r="91" spans="1:14">
      <c r="A91" s="184" t="s">
        <v>1701</v>
      </c>
      <c r="B91" s="207" t="str">
        <f t="shared" si="7"/>
        <v>TruNest Composites</v>
      </c>
      <c r="C91" s="184">
        <v>5540</v>
      </c>
      <c r="D91" s="200">
        <v>5815</v>
      </c>
      <c r="E91" s="200">
        <v>6105</v>
      </c>
      <c r="F91" s="201">
        <v>6105</v>
      </c>
      <c r="G91" s="184">
        <v>6095</v>
      </c>
      <c r="H91" s="199">
        <v>7315</v>
      </c>
      <c r="I91" s="185">
        <v>7315</v>
      </c>
      <c r="J91" s="184">
        <v>14405</v>
      </c>
      <c r="K91" s="399">
        <v>25210</v>
      </c>
      <c r="L91" s="366" t="b">
        <f t="shared" si="6"/>
        <v>0</v>
      </c>
      <c r="M91" s="460"/>
      <c r="N91" s="460"/>
    </row>
    <row r="92" spans="1:14">
      <c r="A92" s="184" t="s">
        <v>1702</v>
      </c>
      <c r="B92" s="207" t="str">
        <f t="shared" si="7"/>
        <v>TruNest Contour</v>
      </c>
      <c r="C92" s="184">
        <v>4420</v>
      </c>
      <c r="D92" s="200">
        <v>4640</v>
      </c>
      <c r="E92" s="200">
        <v>4870</v>
      </c>
      <c r="F92" s="201">
        <v>4870</v>
      </c>
      <c r="G92" s="184">
        <v>4860</v>
      </c>
      <c r="H92" s="199">
        <v>5830</v>
      </c>
      <c r="I92" s="185">
        <v>5830</v>
      </c>
      <c r="J92" s="184">
        <v>11500</v>
      </c>
      <c r="K92" s="399">
        <v>20125</v>
      </c>
      <c r="L92" s="366" t="b">
        <f t="shared" si="6"/>
        <v>0</v>
      </c>
      <c r="M92" s="460"/>
      <c r="N92" s="460"/>
    </row>
    <row r="93" spans="1:14">
      <c r="A93" s="184" t="s">
        <v>1703</v>
      </c>
      <c r="B93" s="207" t="str">
        <f t="shared" si="7"/>
        <v>TruNest Multi-Tool</v>
      </c>
      <c r="C93" s="184">
        <v>5540</v>
      </c>
      <c r="D93" s="200">
        <v>5815</v>
      </c>
      <c r="E93" s="200">
        <v>6105</v>
      </c>
      <c r="F93" s="201">
        <v>6105</v>
      </c>
      <c r="G93" s="184">
        <v>6095</v>
      </c>
      <c r="H93" s="199">
        <v>7315</v>
      </c>
      <c r="I93" s="185">
        <v>7315</v>
      </c>
      <c r="J93" s="184">
        <v>14405</v>
      </c>
      <c r="K93" s="399">
        <v>25210</v>
      </c>
      <c r="L93" s="366" t="b">
        <f t="shared" si="6"/>
        <v>0</v>
      </c>
      <c r="M93" s="460"/>
      <c r="N93" s="460"/>
    </row>
    <row r="94" spans="1:14">
      <c r="A94" s="184" t="s">
        <v>1704</v>
      </c>
      <c r="B94" s="207" t="str">
        <f t="shared" si="7"/>
        <v>Vault Office</v>
      </c>
      <c r="C94" s="184">
        <v>120</v>
      </c>
      <c r="D94" s="200">
        <v>125</v>
      </c>
      <c r="E94" s="200">
        <v>130</v>
      </c>
      <c r="F94" s="201">
        <v>130</v>
      </c>
      <c r="G94" s="184">
        <v>130</v>
      </c>
      <c r="H94" s="199">
        <v>155</v>
      </c>
      <c r="I94" s="185">
        <v>155</v>
      </c>
      <c r="J94" s="184"/>
      <c r="K94" s="399">
        <v>360</v>
      </c>
      <c r="L94" s="366" t="b">
        <f t="shared" si="6"/>
        <v>0</v>
      </c>
      <c r="M94" s="460"/>
      <c r="N94" s="460"/>
    </row>
    <row r="95" spans="1:14">
      <c r="A95" s="184" t="s">
        <v>1705</v>
      </c>
      <c r="B95" s="207" t="str">
        <f t="shared" si="7"/>
        <v>Vault Professional</v>
      </c>
      <c r="C95" s="184">
        <v>445</v>
      </c>
      <c r="D95" s="200">
        <v>465</v>
      </c>
      <c r="E95" s="200">
        <v>490</v>
      </c>
      <c r="F95" s="201">
        <v>490</v>
      </c>
      <c r="G95" s="184">
        <v>490</v>
      </c>
      <c r="H95" s="199">
        <v>590</v>
      </c>
      <c r="I95" s="185">
        <v>590</v>
      </c>
      <c r="J95" s="184">
        <v>915</v>
      </c>
      <c r="K95" s="399">
        <v>1375</v>
      </c>
      <c r="L95" s="366" t="b">
        <f t="shared" si="6"/>
        <v>0</v>
      </c>
      <c r="M95" s="460"/>
      <c r="N95" s="460"/>
    </row>
    <row r="96" spans="1:14">
      <c r="A96" s="184" t="s">
        <v>1706</v>
      </c>
      <c r="B96" s="207" t="str">
        <f t="shared" si="7"/>
        <v>Vault Workgroup</v>
      </c>
      <c r="C96" s="184">
        <v>235</v>
      </c>
      <c r="D96" s="200">
        <v>245</v>
      </c>
      <c r="E96" s="200">
        <v>255</v>
      </c>
      <c r="F96" s="201">
        <v>255</v>
      </c>
      <c r="G96" s="184">
        <v>260</v>
      </c>
      <c r="H96" s="199">
        <v>310</v>
      </c>
      <c r="I96" s="185">
        <v>310</v>
      </c>
      <c r="J96" s="184">
        <v>485</v>
      </c>
      <c r="K96" s="399">
        <v>730</v>
      </c>
      <c r="L96" s="366" t="b">
        <f t="shared" si="6"/>
        <v>0</v>
      </c>
      <c r="M96" s="460"/>
      <c r="N96" s="460"/>
    </row>
    <row r="97" spans="1:15">
      <c r="A97" s="184" t="s">
        <v>1707</v>
      </c>
      <c r="B97" s="207" t="str">
        <f t="shared" si="7"/>
        <v>Vehicle Tracking</v>
      </c>
      <c r="C97" s="184">
        <v>445</v>
      </c>
      <c r="D97" s="200">
        <v>465</v>
      </c>
      <c r="E97" s="200">
        <v>490</v>
      </c>
      <c r="F97" s="201">
        <v>490</v>
      </c>
      <c r="G97" s="184">
        <v>490</v>
      </c>
      <c r="H97" s="199">
        <v>590</v>
      </c>
      <c r="I97" s="185">
        <v>590</v>
      </c>
      <c r="J97" s="184">
        <v>1150</v>
      </c>
      <c r="K97" s="399">
        <v>2015</v>
      </c>
      <c r="L97" s="366" t="b">
        <f t="shared" si="6"/>
        <v>0</v>
      </c>
      <c r="M97" s="460"/>
      <c r="N97" s="460"/>
    </row>
    <row r="98" spans="1:15">
      <c r="A98" s="184" t="s">
        <v>1708</v>
      </c>
      <c r="B98" s="207" t="str">
        <f t="shared" si="7"/>
        <v>VRED</v>
      </c>
      <c r="C98" s="184">
        <v>340</v>
      </c>
      <c r="D98" s="200">
        <v>355</v>
      </c>
      <c r="E98" s="200">
        <v>375</v>
      </c>
      <c r="F98" s="201">
        <v>375</v>
      </c>
      <c r="G98" s="184">
        <v>375</v>
      </c>
      <c r="H98" s="199">
        <v>450</v>
      </c>
      <c r="I98" s="185">
        <v>450</v>
      </c>
      <c r="J98" s="184">
        <v>880</v>
      </c>
      <c r="K98" s="399">
        <v>1540</v>
      </c>
      <c r="L98" s="366" t="b">
        <f t="shared" si="6"/>
        <v>0</v>
      </c>
      <c r="M98" s="460"/>
      <c r="N98" s="460"/>
    </row>
    <row r="99" spans="1:15">
      <c r="A99" s="184" t="s">
        <v>1709</v>
      </c>
      <c r="B99" s="207" t="str">
        <f t="shared" si="7"/>
        <v>VRED Design</v>
      </c>
      <c r="C99" s="184">
        <v>1510</v>
      </c>
      <c r="D99" s="200">
        <v>1585</v>
      </c>
      <c r="E99" s="200">
        <v>1665</v>
      </c>
      <c r="F99" s="201">
        <v>1665</v>
      </c>
      <c r="G99" s="184">
        <v>1660</v>
      </c>
      <c r="H99" s="199">
        <v>1990</v>
      </c>
      <c r="I99" s="185">
        <v>1990</v>
      </c>
      <c r="J99" s="184">
        <v>3935</v>
      </c>
      <c r="K99" s="399">
        <v>6885</v>
      </c>
      <c r="L99" s="366" t="b">
        <f t="shared" si="6"/>
        <v>0</v>
      </c>
      <c r="M99" s="460"/>
      <c r="N99" s="460"/>
    </row>
    <row r="100" spans="1:15">
      <c r="A100" s="184" t="s">
        <v>1710</v>
      </c>
      <c r="B100" s="207" t="str">
        <f t="shared" si="7"/>
        <v>VRED Presenter</v>
      </c>
      <c r="C100" s="184">
        <v>340</v>
      </c>
      <c r="D100" s="200">
        <v>355</v>
      </c>
      <c r="E100" s="200">
        <v>375</v>
      </c>
      <c r="F100" s="201">
        <v>375</v>
      </c>
      <c r="G100" s="184">
        <v>375</v>
      </c>
      <c r="H100" s="199">
        <v>450</v>
      </c>
      <c r="I100" s="185">
        <v>450</v>
      </c>
      <c r="J100" s="184">
        <v>880</v>
      </c>
      <c r="K100" s="399">
        <v>1540</v>
      </c>
      <c r="L100" s="366" t="b">
        <f t="shared" ref="L100:L118" si="8">MAX(C100:K100)=MIN(C100:K100)</f>
        <v>0</v>
      </c>
      <c r="M100" s="460"/>
      <c r="N100" s="460"/>
    </row>
    <row r="101" spans="1:15">
      <c r="A101" s="416" t="s">
        <v>1711</v>
      </c>
      <c r="B101" s="417" t="str">
        <f t="shared" si="7"/>
        <v>VRED Professional</v>
      </c>
      <c r="C101" s="416">
        <v>6200</v>
      </c>
      <c r="D101" s="430">
        <v>6510</v>
      </c>
      <c r="E101" s="430">
        <v>6835</v>
      </c>
      <c r="F101" s="419">
        <v>6835</v>
      </c>
      <c r="G101" s="416">
        <v>6820</v>
      </c>
      <c r="H101" s="429">
        <v>8185</v>
      </c>
      <c r="I101" s="421">
        <v>8185</v>
      </c>
      <c r="J101" s="416">
        <v>16125</v>
      </c>
      <c r="K101" s="422">
        <v>28220</v>
      </c>
      <c r="L101" s="366" t="b">
        <f t="shared" si="8"/>
        <v>0</v>
      </c>
      <c r="M101" s="460"/>
      <c r="N101" s="460"/>
    </row>
    <row r="102" spans="1:15" s="415" customFormat="1">
      <c r="A102" s="388" t="s">
        <v>1712</v>
      </c>
      <c r="B102" s="423" t="str">
        <f t="shared" si="7"/>
        <v>VRED Render Node</v>
      </c>
      <c r="C102" s="388">
        <v>1050</v>
      </c>
      <c r="D102" s="395">
        <v>1105</v>
      </c>
      <c r="E102" s="395">
        <v>1160</v>
      </c>
      <c r="F102" s="395">
        <v>1160</v>
      </c>
      <c r="G102" s="388">
        <v>1155</v>
      </c>
      <c r="H102" s="388">
        <v>1385</v>
      </c>
      <c r="I102" s="388">
        <v>1385</v>
      </c>
      <c r="J102" s="184"/>
      <c r="K102" s="444">
        <v>2740</v>
      </c>
      <c r="L102" s="414" t="b">
        <f t="shared" si="8"/>
        <v>0</v>
      </c>
      <c r="M102" s="460"/>
      <c r="N102" s="460"/>
      <c r="O102"/>
    </row>
    <row r="103" spans="1:15" s="415" customFormat="1">
      <c r="A103" s="388" t="s">
        <v>1713</v>
      </c>
      <c r="B103" s="423" t="str">
        <f t="shared" si="7"/>
        <v>VRED Server</v>
      </c>
      <c r="C103" s="388">
        <v>16505</v>
      </c>
      <c r="D103" s="395">
        <v>17330</v>
      </c>
      <c r="E103" s="395">
        <v>18195</v>
      </c>
      <c r="F103" s="395">
        <v>18195</v>
      </c>
      <c r="G103" s="388">
        <v>18155</v>
      </c>
      <c r="H103" s="388">
        <v>21785</v>
      </c>
      <c r="I103" s="388">
        <v>21785</v>
      </c>
      <c r="J103" s="184"/>
      <c r="K103" s="444">
        <v>51555</v>
      </c>
      <c r="L103" s="414" t="b">
        <f t="shared" si="8"/>
        <v>0</v>
      </c>
      <c r="M103" s="460"/>
      <c r="N103" s="460"/>
      <c r="O103"/>
    </row>
    <row r="104" spans="1:15" s="415" customFormat="1">
      <c r="A104" s="388" t="s">
        <v>1967</v>
      </c>
      <c r="B104" s="423" t="str">
        <f t="shared" si="7"/>
        <v>PowerInspect - Premium</v>
      </c>
      <c r="C104" s="388"/>
      <c r="D104" s="395">
        <v>2215</v>
      </c>
      <c r="E104" s="395">
        <v>2325</v>
      </c>
      <c r="F104" s="395">
        <v>2440</v>
      </c>
      <c r="G104" s="388">
        <v>2215</v>
      </c>
      <c r="H104" s="388">
        <v>2435</v>
      </c>
      <c r="I104" s="388">
        <v>2920</v>
      </c>
      <c r="J104" s="388">
        <v>5765</v>
      </c>
      <c r="K104" s="444">
        <v>8650</v>
      </c>
      <c r="L104" s="414" t="b">
        <f t="shared" si="8"/>
        <v>0</v>
      </c>
      <c r="M104" s="460"/>
      <c r="N104" s="460"/>
      <c r="O104"/>
    </row>
    <row r="105" spans="1:15" s="415" customFormat="1">
      <c r="A105" s="388" t="s">
        <v>1968</v>
      </c>
      <c r="B105" s="423" t="str">
        <f t="shared" si="7"/>
        <v xml:space="preserve">PowerInspect - Standard </v>
      </c>
      <c r="C105" s="388"/>
      <c r="D105" s="395">
        <v>555</v>
      </c>
      <c r="E105" s="395">
        <v>585</v>
      </c>
      <c r="F105" s="395">
        <v>615</v>
      </c>
      <c r="G105" s="388">
        <v>555</v>
      </c>
      <c r="H105" s="388">
        <v>610</v>
      </c>
      <c r="I105" s="388">
        <v>730</v>
      </c>
      <c r="J105" s="388">
        <v>1440</v>
      </c>
      <c r="K105" s="444">
        <v>2160</v>
      </c>
      <c r="L105" s="414" t="b">
        <f t="shared" si="8"/>
        <v>0</v>
      </c>
      <c r="M105" s="460"/>
      <c r="N105" s="460"/>
      <c r="O105"/>
    </row>
    <row r="106" spans="1:15" s="415" customFormat="1">
      <c r="A106" s="388" t="s">
        <v>1969</v>
      </c>
      <c r="B106" s="423" t="str">
        <f t="shared" si="7"/>
        <v>PowerInspect - Ultimate</v>
      </c>
      <c r="C106" s="388"/>
      <c r="D106" s="395">
        <v>3325</v>
      </c>
      <c r="E106" s="395">
        <v>3490</v>
      </c>
      <c r="F106" s="395">
        <v>3665</v>
      </c>
      <c r="G106" s="388">
        <v>3325</v>
      </c>
      <c r="H106" s="388">
        <v>3660</v>
      </c>
      <c r="I106" s="388">
        <v>4390</v>
      </c>
      <c r="J106" s="388">
        <v>8650</v>
      </c>
      <c r="K106" s="444">
        <v>12975</v>
      </c>
      <c r="L106" s="414" t="b">
        <f t="shared" si="8"/>
        <v>0</v>
      </c>
      <c r="M106" s="460"/>
      <c r="N106" s="460"/>
      <c r="O106"/>
    </row>
    <row r="107" spans="1:15" s="415" customFormat="1">
      <c r="A107" s="388" t="s">
        <v>1970</v>
      </c>
      <c r="B107" s="423" t="str">
        <f t="shared" si="7"/>
        <v>PowerMill - Premium</v>
      </c>
      <c r="C107" s="388"/>
      <c r="D107" s="395">
        <v>4990</v>
      </c>
      <c r="E107" s="395">
        <v>5240</v>
      </c>
      <c r="F107" s="395">
        <v>5500</v>
      </c>
      <c r="G107" s="388">
        <v>4990</v>
      </c>
      <c r="H107" s="388">
        <v>5490</v>
      </c>
      <c r="I107" s="388">
        <v>6590</v>
      </c>
      <c r="J107" s="388">
        <v>12965</v>
      </c>
      <c r="K107" s="444">
        <v>19450</v>
      </c>
      <c r="L107" s="414" t="b">
        <f t="shared" si="8"/>
        <v>0</v>
      </c>
      <c r="M107" s="460"/>
      <c r="N107" s="460"/>
      <c r="O107"/>
    </row>
    <row r="108" spans="1:15" s="415" customFormat="1">
      <c r="A108" s="388" t="s">
        <v>1971</v>
      </c>
      <c r="B108" s="423" t="str">
        <f t="shared" si="7"/>
        <v>PowerMill - Standard</v>
      </c>
      <c r="C108" s="388"/>
      <c r="D108" s="395">
        <v>3325</v>
      </c>
      <c r="E108" s="395">
        <v>3490</v>
      </c>
      <c r="F108" s="395">
        <v>3665</v>
      </c>
      <c r="G108" s="388">
        <v>3325</v>
      </c>
      <c r="H108" s="388">
        <v>3660</v>
      </c>
      <c r="I108" s="388">
        <v>4390</v>
      </c>
      <c r="J108" s="388">
        <v>8650</v>
      </c>
      <c r="K108" s="444">
        <v>12975</v>
      </c>
      <c r="L108" s="414" t="b">
        <f t="shared" si="8"/>
        <v>0</v>
      </c>
      <c r="M108" s="460"/>
      <c r="N108" s="460"/>
      <c r="O108"/>
    </row>
    <row r="109" spans="1:15" s="415" customFormat="1">
      <c r="A109" s="388" t="s">
        <v>1972</v>
      </c>
      <c r="B109" s="423" t="str">
        <f t="shared" si="7"/>
        <v>PowerMill - Ultimate</v>
      </c>
      <c r="C109" s="388"/>
      <c r="D109" s="395">
        <v>6090</v>
      </c>
      <c r="E109" s="395">
        <v>6395</v>
      </c>
      <c r="F109" s="395">
        <v>6715</v>
      </c>
      <c r="G109" s="388">
        <v>6090</v>
      </c>
      <c r="H109" s="388">
        <v>6700</v>
      </c>
      <c r="I109" s="388">
        <v>8040</v>
      </c>
      <c r="J109" s="388">
        <v>15845</v>
      </c>
      <c r="K109" s="444">
        <v>23770</v>
      </c>
      <c r="L109" s="414" t="b">
        <f t="shared" si="8"/>
        <v>0</v>
      </c>
      <c r="M109" s="460"/>
      <c r="N109" s="460"/>
      <c r="O109"/>
    </row>
    <row r="110" spans="1:15" s="415" customFormat="1">
      <c r="A110" s="388" t="s">
        <v>1973</v>
      </c>
      <c r="B110" s="423" t="str">
        <f t="shared" si="7"/>
        <v>PowerShape - Premium</v>
      </c>
      <c r="C110" s="388"/>
      <c r="D110" s="395">
        <v>1775</v>
      </c>
      <c r="E110" s="395">
        <v>1865</v>
      </c>
      <c r="F110" s="395">
        <v>1960</v>
      </c>
      <c r="G110" s="388">
        <v>1775</v>
      </c>
      <c r="H110" s="388">
        <v>1955</v>
      </c>
      <c r="I110" s="388">
        <v>2345</v>
      </c>
      <c r="J110" s="388">
        <v>4615</v>
      </c>
      <c r="K110" s="444">
        <v>6925</v>
      </c>
      <c r="L110" s="414" t="b">
        <f t="shared" si="8"/>
        <v>0</v>
      </c>
      <c r="M110" s="460"/>
      <c r="N110" s="460"/>
      <c r="O110"/>
    </row>
    <row r="111" spans="1:15" s="415" customFormat="1">
      <c r="A111" s="388" t="s">
        <v>1974</v>
      </c>
      <c r="B111" s="423" t="str">
        <f t="shared" si="7"/>
        <v>PowerShape - Standard</v>
      </c>
      <c r="C111" s="388"/>
      <c r="D111" s="395">
        <v>1335</v>
      </c>
      <c r="E111" s="395">
        <v>1400</v>
      </c>
      <c r="F111" s="395">
        <v>1470</v>
      </c>
      <c r="G111" s="388">
        <v>1335</v>
      </c>
      <c r="H111" s="388">
        <v>1470</v>
      </c>
      <c r="I111" s="388">
        <v>1765</v>
      </c>
      <c r="J111" s="388">
        <v>3455</v>
      </c>
      <c r="K111" s="444">
        <v>5185</v>
      </c>
      <c r="L111" s="414" t="b">
        <f t="shared" si="8"/>
        <v>0</v>
      </c>
      <c r="M111" s="460"/>
      <c r="N111" s="460"/>
      <c r="O111"/>
    </row>
    <row r="112" spans="1:15" s="415" customFormat="1">
      <c r="A112" s="388" t="s">
        <v>1975</v>
      </c>
      <c r="B112" s="423" t="str">
        <f t="shared" si="7"/>
        <v>PowerShape - Ultimate</v>
      </c>
      <c r="C112" s="388"/>
      <c r="D112" s="395">
        <v>2215</v>
      </c>
      <c r="E112" s="395">
        <v>2325</v>
      </c>
      <c r="F112" s="395">
        <v>2440</v>
      </c>
      <c r="G112" s="388">
        <v>2215</v>
      </c>
      <c r="H112" s="388">
        <v>2435</v>
      </c>
      <c r="I112" s="388">
        <v>2920</v>
      </c>
      <c r="J112" s="388">
        <v>5765</v>
      </c>
      <c r="K112" s="444">
        <v>8650</v>
      </c>
      <c r="L112" s="414" t="b">
        <f t="shared" si="8"/>
        <v>0</v>
      </c>
      <c r="M112" s="460"/>
      <c r="N112" s="460"/>
      <c r="O112"/>
    </row>
    <row r="113" spans="1:15" s="415" customFormat="1">
      <c r="A113" s="388" t="s">
        <v>1976</v>
      </c>
      <c r="B113" s="423" t="str">
        <f t="shared" si="7"/>
        <v>FeatureCAM - Premium</v>
      </c>
      <c r="C113" s="388"/>
      <c r="D113" s="395">
        <v>2765</v>
      </c>
      <c r="E113" s="395">
        <v>2905</v>
      </c>
      <c r="F113" s="395">
        <v>3050</v>
      </c>
      <c r="G113" s="388">
        <v>2765</v>
      </c>
      <c r="H113" s="388">
        <v>3040</v>
      </c>
      <c r="I113" s="388">
        <v>3650</v>
      </c>
      <c r="J113" s="388">
        <v>7205</v>
      </c>
      <c r="K113" s="444">
        <v>10810</v>
      </c>
      <c r="L113" s="414" t="b">
        <f t="shared" si="8"/>
        <v>0</v>
      </c>
      <c r="M113" s="460"/>
      <c r="N113" s="460"/>
      <c r="O113"/>
    </row>
    <row r="114" spans="1:15" s="415" customFormat="1">
      <c r="A114" s="388" t="s">
        <v>1977</v>
      </c>
      <c r="B114" s="423" t="str">
        <f t="shared" si="7"/>
        <v>FeatureCAM - Standard</v>
      </c>
      <c r="C114" s="388"/>
      <c r="D114" s="395">
        <v>1115</v>
      </c>
      <c r="E114" s="395">
        <v>1170</v>
      </c>
      <c r="F114" s="395">
        <v>1230</v>
      </c>
      <c r="G114" s="388">
        <v>1115</v>
      </c>
      <c r="H114" s="388">
        <v>1225</v>
      </c>
      <c r="I114" s="388">
        <v>1470</v>
      </c>
      <c r="J114" s="388">
        <v>2885</v>
      </c>
      <c r="K114" s="444">
        <v>4330</v>
      </c>
      <c r="L114" s="414" t="b">
        <f t="shared" si="8"/>
        <v>0</v>
      </c>
      <c r="M114" s="460"/>
      <c r="N114" s="460"/>
      <c r="O114"/>
    </row>
    <row r="115" spans="1:15" s="415" customFormat="1">
      <c r="A115" s="388" t="s">
        <v>1978</v>
      </c>
      <c r="B115" s="423" t="str">
        <f t="shared" si="7"/>
        <v>FeatureCAM - Ultimate</v>
      </c>
      <c r="C115" s="388"/>
      <c r="D115" s="395">
        <v>3875</v>
      </c>
      <c r="E115" s="395">
        <v>4070</v>
      </c>
      <c r="F115" s="395">
        <v>4275</v>
      </c>
      <c r="G115" s="388">
        <v>3875</v>
      </c>
      <c r="H115" s="388">
        <v>4265</v>
      </c>
      <c r="I115" s="388">
        <v>5120</v>
      </c>
      <c r="J115" s="388">
        <v>10080</v>
      </c>
      <c r="K115" s="444">
        <v>15120</v>
      </c>
      <c r="L115" s="414" t="b">
        <f t="shared" si="8"/>
        <v>0</v>
      </c>
      <c r="M115" s="460"/>
      <c r="N115" s="460"/>
      <c r="O115"/>
    </row>
    <row r="116" spans="1:15" s="415" customFormat="1">
      <c r="A116" s="388" t="s">
        <v>1979</v>
      </c>
      <c r="B116" s="423" t="str">
        <f t="shared" si="7"/>
        <v>Arnold</v>
      </c>
      <c r="C116" s="388"/>
      <c r="D116" s="395">
        <v>335</v>
      </c>
      <c r="E116" s="395">
        <v>350</v>
      </c>
      <c r="F116" s="395">
        <v>370</v>
      </c>
      <c r="G116" s="388">
        <v>335</v>
      </c>
      <c r="H116" s="388">
        <v>370</v>
      </c>
      <c r="I116" s="388">
        <v>445</v>
      </c>
      <c r="J116" s="388"/>
      <c r="K116" s="444">
        <v>865</v>
      </c>
      <c r="L116" s="414" t="b">
        <f t="shared" si="8"/>
        <v>0</v>
      </c>
      <c r="M116" s="460"/>
      <c r="N116" s="460"/>
      <c r="O116"/>
    </row>
    <row r="117" spans="1:15" s="415" customFormat="1">
      <c r="A117" s="388" t="s">
        <v>387</v>
      </c>
      <c r="B117" s="423" t="str">
        <f>M2S_Eligibility_List!E21</f>
        <v>Media and Entertainment Collection</v>
      </c>
      <c r="C117" s="388"/>
      <c r="D117" s="395">
        <v>1345</v>
      </c>
      <c r="E117" s="395">
        <v>1410</v>
      </c>
      <c r="F117" s="395">
        <v>1410</v>
      </c>
      <c r="G117" s="388"/>
      <c r="H117" s="388"/>
      <c r="I117" s="388"/>
      <c r="J117" s="388">
        <v>2945</v>
      </c>
      <c r="K117" s="444">
        <v>4125</v>
      </c>
      <c r="L117" s="414" t="b">
        <f t="shared" si="8"/>
        <v>0</v>
      </c>
      <c r="M117" s="460"/>
      <c r="N117" s="460"/>
      <c r="O117"/>
    </row>
    <row r="118" spans="1:15" s="415" customFormat="1">
      <c r="A118" s="388" t="s">
        <v>301</v>
      </c>
      <c r="B118" s="423" t="str">
        <f>M2S_Eligibility_List!D21</f>
        <v>Product Design &amp; Manufacturing Collection</v>
      </c>
      <c r="C118" s="388"/>
      <c r="D118" s="395">
        <v>1345</v>
      </c>
      <c r="E118" s="395">
        <v>1410</v>
      </c>
      <c r="F118" s="395">
        <v>1410</v>
      </c>
      <c r="G118" s="388"/>
      <c r="H118" s="388"/>
      <c r="I118" s="388"/>
      <c r="J118" s="388">
        <v>3550</v>
      </c>
      <c r="K118" s="444">
        <v>4970</v>
      </c>
      <c r="L118" s="414" t="b">
        <f t="shared" si="8"/>
        <v>0</v>
      </c>
      <c r="M118" s="460"/>
      <c r="N118" s="460"/>
      <c r="O118"/>
    </row>
    <row r="119" spans="1:15">
      <c r="A119" s="191"/>
      <c r="B119" s="191"/>
      <c r="C119" s="191"/>
      <c r="D119" s="191"/>
      <c r="E119" s="191"/>
      <c r="F119" s="191"/>
      <c r="G119" s="191"/>
      <c r="H119" s="191"/>
      <c r="I119" s="191"/>
      <c r="J119" s="191"/>
      <c r="K119" s="191" t="s">
        <v>611</v>
      </c>
      <c r="L119" s="191"/>
    </row>
    <row r="120" spans="1:15" ht="14.25" customHeight="1">
      <c r="E120" s="457"/>
    </row>
    <row r="121" spans="1:15" ht="14.25" customHeight="1">
      <c r="E121" s="457"/>
    </row>
    <row r="122" spans="1:15" ht="14.25" customHeight="1">
      <c r="E122" s="457"/>
    </row>
    <row r="123" spans="1:15" ht="14.25" customHeight="1">
      <c r="E123" s="457"/>
    </row>
    <row r="124" spans="1:15" ht="14.25" customHeight="1">
      <c r="E124" s="457"/>
    </row>
    <row r="125" spans="1:15" ht="14.25" customHeight="1">
      <c r="E125" s="457"/>
    </row>
    <row r="126" spans="1:15" ht="14.25" customHeight="1">
      <c r="E126" s="457"/>
    </row>
    <row r="127" spans="1:15" ht="14.25" customHeight="1">
      <c r="E127" s="457"/>
    </row>
    <row r="128" spans="1:15" ht="14.25" customHeight="1">
      <c r="E128" s="457"/>
    </row>
    <row r="129" spans="5:5" ht="14.25" customHeight="1">
      <c r="E129" s="457"/>
    </row>
    <row r="130" spans="5:5" ht="14.25" customHeight="1">
      <c r="E130" s="457"/>
    </row>
    <row r="131" spans="5:5" ht="14.25" customHeight="1">
      <c r="E131" s="457"/>
    </row>
    <row r="132" spans="5:5" ht="14.25" customHeight="1">
      <c r="E132" s="457"/>
    </row>
  </sheetData>
  <autoFilter ref="A2:L118">
    <sortState ref="A3:L119">
      <sortCondition ref="A2:A118"/>
    </sortState>
  </autoFilter>
  <mergeCells count="3">
    <mergeCell ref="D1:F1"/>
    <mergeCell ref="G1:I1"/>
    <mergeCell ref="J1:K1"/>
  </mergeCells>
  <conditionalFormatting sqref="L83:L100 L3:L13 L15:L16 L18:L81 L102:L118">
    <cfRule type="cellIs" dxfId="8" priority="17" operator="equal">
      <formula>TRUE</formula>
    </cfRule>
  </conditionalFormatting>
  <conditionalFormatting sqref="L101">
    <cfRule type="cellIs" dxfId="7" priority="16" operator="equal">
      <formula>TRUE</formula>
    </cfRule>
  </conditionalFormatting>
  <conditionalFormatting sqref="L82">
    <cfRule type="cellIs" dxfId="6" priority="15" operator="equal">
      <formula>TRUE</formula>
    </cfRule>
  </conditionalFormatting>
  <conditionalFormatting sqref="L17">
    <cfRule type="cellIs" dxfId="5" priority="10" operator="equal">
      <formula>TRUE</formula>
    </cfRule>
  </conditionalFormatting>
  <conditionalFormatting sqref="L14">
    <cfRule type="cellIs" dxfId="4" priority="7" operator="equal">
      <formula>TRUE</formula>
    </cfRule>
  </conditionalFormatting>
  <pageMargins left="0.7" right="0.7" top="0.75" bottom="0.75" header="0.3" footer="0.3"/>
  <pageSetup orientation="portrait" horizontalDpi="360" verticalDpi="360"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7030A0"/>
  </sheetPr>
  <dimension ref="A1:R132"/>
  <sheetViews>
    <sheetView zoomScaleNormal="100" workbookViewId="0">
      <pane ySplit="2" topLeftCell="A81" activePane="bottomLeft" state="frozen"/>
      <selection activeCell="B1" sqref="B1"/>
      <selection pane="bottomLeft" activeCell="A104" sqref="A104:XFD104"/>
    </sheetView>
  </sheetViews>
  <sheetFormatPr defaultColWidth="8.796875" defaultRowHeight="14.25" customHeight="1"/>
  <cols>
    <col min="1" max="1" width="46.19921875" bestFit="1" customWidth="1"/>
    <col min="2" max="2" width="38.5" bestFit="1" customWidth="1"/>
    <col min="3" max="11" width="15.69921875" customWidth="1"/>
    <col min="12" max="12" width="21.796875" bestFit="1" customWidth="1"/>
    <col min="13" max="14" width="37" bestFit="1" customWidth="1"/>
    <col min="16" max="16" width="2" customWidth="1"/>
  </cols>
  <sheetData>
    <row r="1" spans="1:18">
      <c r="A1" s="173"/>
      <c r="B1" s="181"/>
      <c r="C1" s="173"/>
      <c r="D1" s="463" t="s">
        <v>406</v>
      </c>
      <c r="E1" s="463"/>
      <c r="F1" s="464"/>
      <c r="G1" s="465" t="s">
        <v>405</v>
      </c>
      <c r="H1" s="463"/>
      <c r="I1" s="464"/>
      <c r="J1" s="465"/>
      <c r="K1" s="464"/>
      <c r="L1" s="174"/>
    </row>
    <row r="2" spans="1:18">
      <c r="A2" s="182" t="s">
        <v>403</v>
      </c>
      <c r="B2" s="183" t="s">
        <v>408</v>
      </c>
      <c r="C2" s="177" t="s">
        <v>407</v>
      </c>
      <c r="D2" s="175" t="str">
        <f>nmYr1</f>
        <v>Year 2</v>
      </c>
      <c r="E2" s="175" t="str">
        <f>nmYr2</f>
        <v>Year 3</v>
      </c>
      <c r="F2" s="176" t="str">
        <f>nmYr3</f>
        <v>Year 4</v>
      </c>
      <c r="G2" s="180" t="str">
        <f>nmYr1</f>
        <v>Year 2</v>
      </c>
      <c r="H2" s="175" t="str">
        <f>nmYr2</f>
        <v>Year 3</v>
      </c>
      <c r="I2" s="176" t="str">
        <f>nmYr3</f>
        <v>Year 4</v>
      </c>
      <c r="J2" s="178" t="s">
        <v>396</v>
      </c>
      <c r="K2" s="179" t="s">
        <v>395</v>
      </c>
      <c r="L2" s="174" t="s">
        <v>1722</v>
      </c>
    </row>
    <row r="3" spans="1:18">
      <c r="A3" s="184" t="s">
        <v>300</v>
      </c>
      <c r="B3" s="207" t="str">
        <f>M2S_Eligibility_List!C21</f>
        <v>Architecture Engineering Construction Collection</v>
      </c>
      <c r="C3" s="293"/>
      <c r="D3" s="296">
        <v>1125</v>
      </c>
      <c r="E3" s="296">
        <v>1180</v>
      </c>
      <c r="F3" s="297">
        <v>1180</v>
      </c>
      <c r="G3" s="300"/>
      <c r="H3" s="294"/>
      <c r="I3" s="295"/>
      <c r="J3" s="293">
        <v>2655</v>
      </c>
      <c r="K3" s="297">
        <v>3715</v>
      </c>
      <c r="L3" s="366" t="b">
        <f t="shared" ref="L3:L36" si="0">MAX(C3:K3)=MIN(C3:K3)</f>
        <v>0</v>
      </c>
      <c r="M3" s="460"/>
      <c r="N3" s="460"/>
      <c r="Q3" s="460"/>
      <c r="R3" s="460"/>
    </row>
    <row r="4" spans="1:18">
      <c r="A4" s="184" t="s">
        <v>270</v>
      </c>
      <c r="B4" s="207" t="str">
        <f t="shared" ref="B4:B52" si="1">VLOOKUP(IF(LEFT(A4,LEN(nmADwSP))=nmADwSP,RIGHT(A4,LEN(A4)-LEN(nmADwSP)),A4),DataPaths_List_ProdMT_NonCurrency,1,FALSE)</f>
        <v>3ds Max</v>
      </c>
      <c r="C4" s="293">
        <v>610</v>
      </c>
      <c r="D4" s="294">
        <v>670</v>
      </c>
      <c r="E4" s="294">
        <v>705</v>
      </c>
      <c r="F4" s="295">
        <v>705</v>
      </c>
      <c r="G4" s="293">
        <v>705</v>
      </c>
      <c r="H4" s="296">
        <v>845</v>
      </c>
      <c r="I4" s="297">
        <v>845</v>
      </c>
      <c r="J4" s="293">
        <v>1450</v>
      </c>
      <c r="K4" s="410">
        <v>2540</v>
      </c>
      <c r="L4" s="366" t="b">
        <f t="shared" si="0"/>
        <v>0</v>
      </c>
      <c r="M4" s="460"/>
      <c r="N4" s="460"/>
      <c r="Q4" s="460"/>
      <c r="R4" s="460"/>
    </row>
    <row r="5" spans="1:18">
      <c r="A5" s="184" t="s">
        <v>271</v>
      </c>
      <c r="B5" s="207" t="str">
        <f t="shared" si="1"/>
        <v>3ds Max Entertainment Creation Suite Standard</v>
      </c>
      <c r="C5" s="293">
        <v>840</v>
      </c>
      <c r="D5" s="298" t="s">
        <v>389</v>
      </c>
      <c r="E5" s="298" t="s">
        <v>389</v>
      </c>
      <c r="F5" s="299" t="s">
        <v>389</v>
      </c>
      <c r="G5" s="293">
        <v>970</v>
      </c>
      <c r="H5" s="296">
        <v>1165</v>
      </c>
      <c r="I5" s="297">
        <v>1165</v>
      </c>
      <c r="J5" s="293"/>
      <c r="K5" s="293"/>
      <c r="L5" s="366" t="b">
        <f t="shared" si="0"/>
        <v>0</v>
      </c>
      <c r="M5" s="460"/>
      <c r="N5" s="460"/>
      <c r="Q5" s="460"/>
      <c r="R5" s="460"/>
    </row>
    <row r="6" spans="1:18">
      <c r="A6" s="184" t="s">
        <v>1799</v>
      </c>
      <c r="B6" s="207" t="str">
        <f t="shared" si="1"/>
        <v>3ds Max with Softimage</v>
      </c>
      <c r="C6" s="293">
        <v>640</v>
      </c>
      <c r="D6" s="298"/>
      <c r="E6" s="298"/>
      <c r="F6" s="299"/>
      <c r="G6" s="293">
        <v>705</v>
      </c>
      <c r="H6" s="296">
        <v>845</v>
      </c>
      <c r="I6" s="297">
        <v>845</v>
      </c>
      <c r="J6" s="293">
        <v>1370</v>
      </c>
      <c r="K6" s="293"/>
      <c r="L6" s="366" t="b">
        <f t="shared" si="0"/>
        <v>0</v>
      </c>
      <c r="M6" s="460"/>
      <c r="N6" s="460"/>
      <c r="Q6" s="460"/>
      <c r="R6" s="460"/>
    </row>
    <row r="7" spans="1:18">
      <c r="A7" s="184" t="s">
        <v>1669</v>
      </c>
      <c r="B7" s="207" t="str">
        <f t="shared" si="1"/>
        <v>Advance Steel</v>
      </c>
      <c r="C7" s="293">
        <v>1245</v>
      </c>
      <c r="D7" s="298">
        <v>1305</v>
      </c>
      <c r="E7" s="298">
        <v>1370</v>
      </c>
      <c r="F7" s="299">
        <v>1370</v>
      </c>
      <c r="G7" s="293">
        <v>1370</v>
      </c>
      <c r="H7" s="296">
        <v>1645</v>
      </c>
      <c r="I7" s="297">
        <v>1645</v>
      </c>
      <c r="J7" s="293">
        <v>1870</v>
      </c>
      <c r="K7" s="410">
        <v>3275</v>
      </c>
      <c r="L7" s="366" t="b">
        <f t="shared" si="0"/>
        <v>0</v>
      </c>
      <c r="M7" s="460"/>
      <c r="N7" s="460"/>
      <c r="Q7" s="460"/>
      <c r="R7" s="460"/>
    </row>
    <row r="8" spans="1:18">
      <c r="A8" s="184" t="s">
        <v>1670</v>
      </c>
      <c r="B8" s="207" t="str">
        <f t="shared" si="1"/>
        <v>Alias AutoStudio</v>
      </c>
      <c r="C8" s="293">
        <v>6910</v>
      </c>
      <c r="D8" s="298">
        <v>7255</v>
      </c>
      <c r="E8" s="298">
        <v>7620</v>
      </c>
      <c r="F8" s="299">
        <v>7620</v>
      </c>
      <c r="G8" s="293">
        <v>7600</v>
      </c>
      <c r="H8" s="296">
        <v>9120</v>
      </c>
      <c r="I8" s="297">
        <v>9120</v>
      </c>
      <c r="J8" s="293">
        <v>14245</v>
      </c>
      <c r="K8" s="410">
        <v>24930</v>
      </c>
      <c r="L8" s="366" t="b">
        <f t="shared" si="0"/>
        <v>0</v>
      </c>
      <c r="M8" s="460"/>
      <c r="N8" s="460"/>
      <c r="Q8" s="460"/>
      <c r="R8" s="460"/>
    </row>
    <row r="9" spans="1:18">
      <c r="A9" s="184" t="s">
        <v>1671</v>
      </c>
      <c r="B9" s="207" t="str">
        <f t="shared" si="1"/>
        <v>Alias Concept</v>
      </c>
      <c r="C9" s="293">
        <v>1545</v>
      </c>
      <c r="D9" s="298">
        <v>1620</v>
      </c>
      <c r="E9" s="298">
        <v>1700</v>
      </c>
      <c r="F9" s="299">
        <v>1700</v>
      </c>
      <c r="G9" s="293">
        <v>1700</v>
      </c>
      <c r="H9" s="296">
        <v>2040</v>
      </c>
      <c r="I9" s="297">
        <v>2040</v>
      </c>
      <c r="J9" s="293">
        <v>3975</v>
      </c>
      <c r="K9" s="410">
        <v>6955</v>
      </c>
      <c r="L9" s="366" t="b">
        <f t="shared" si="0"/>
        <v>0</v>
      </c>
      <c r="M9" s="460"/>
      <c r="N9" s="460"/>
      <c r="Q9" s="460"/>
      <c r="R9" s="460"/>
    </row>
    <row r="10" spans="1:18">
      <c r="A10" s="184" t="s">
        <v>1672</v>
      </c>
      <c r="B10" s="207" t="str">
        <f t="shared" si="1"/>
        <v>Alias Design</v>
      </c>
      <c r="C10" s="293">
        <v>945</v>
      </c>
      <c r="D10" s="298">
        <v>990</v>
      </c>
      <c r="E10" s="298">
        <v>1040</v>
      </c>
      <c r="F10" s="299">
        <v>1040</v>
      </c>
      <c r="G10" s="293">
        <v>1040</v>
      </c>
      <c r="H10" s="296">
        <v>1250</v>
      </c>
      <c r="I10" s="297">
        <v>1250</v>
      </c>
      <c r="J10" s="293">
        <v>2445</v>
      </c>
      <c r="K10" s="410">
        <v>4280</v>
      </c>
      <c r="L10" s="366" t="b">
        <f t="shared" si="0"/>
        <v>0</v>
      </c>
      <c r="M10" s="460"/>
      <c r="N10" s="460"/>
      <c r="Q10" s="460"/>
      <c r="R10" s="460"/>
    </row>
    <row r="11" spans="1:18">
      <c r="A11" s="184" t="s">
        <v>1673</v>
      </c>
      <c r="B11" s="207" t="str">
        <f t="shared" si="1"/>
        <v>Alias SpeedForm</v>
      </c>
      <c r="C11" s="293">
        <v>915</v>
      </c>
      <c r="D11" s="298">
        <v>960</v>
      </c>
      <c r="E11" s="298">
        <v>1010</v>
      </c>
      <c r="F11" s="299">
        <v>1010</v>
      </c>
      <c r="G11" s="293">
        <v>1005</v>
      </c>
      <c r="H11" s="296">
        <v>1205</v>
      </c>
      <c r="I11" s="297">
        <v>1205</v>
      </c>
      <c r="J11" s="293">
        <v>2320</v>
      </c>
      <c r="K11" s="410">
        <v>4060</v>
      </c>
      <c r="L11" s="366" t="b">
        <f t="shared" si="0"/>
        <v>0</v>
      </c>
      <c r="M11" s="460"/>
      <c r="N11" s="460"/>
      <c r="Q11" s="460"/>
      <c r="R11" s="460"/>
    </row>
    <row r="12" spans="1:18">
      <c r="A12" s="184" t="s">
        <v>1674</v>
      </c>
      <c r="B12" s="207" t="str">
        <f t="shared" si="1"/>
        <v>Alias Surface</v>
      </c>
      <c r="C12" s="293">
        <v>3230</v>
      </c>
      <c r="D12" s="298">
        <v>3390</v>
      </c>
      <c r="E12" s="298">
        <v>3560</v>
      </c>
      <c r="F12" s="299">
        <v>3560</v>
      </c>
      <c r="G12" s="293">
        <v>3555</v>
      </c>
      <c r="H12" s="296">
        <v>4265</v>
      </c>
      <c r="I12" s="297">
        <v>4265</v>
      </c>
      <c r="J12" s="293">
        <v>8285</v>
      </c>
      <c r="K12" s="410">
        <v>14500</v>
      </c>
      <c r="L12" s="366" t="b">
        <f t="shared" si="0"/>
        <v>0</v>
      </c>
      <c r="M12" s="460"/>
      <c r="N12" s="460"/>
      <c r="Q12" s="460"/>
      <c r="R12" s="460"/>
    </row>
    <row r="13" spans="1:18">
      <c r="A13" s="184" t="s">
        <v>272</v>
      </c>
      <c r="B13" s="207" t="str">
        <f t="shared" si="1"/>
        <v>AutoCAD</v>
      </c>
      <c r="C13" s="293">
        <v>655</v>
      </c>
      <c r="D13" s="298" t="s">
        <v>1927</v>
      </c>
      <c r="E13" s="298" t="s">
        <v>1927</v>
      </c>
      <c r="F13" s="299" t="s">
        <v>1927</v>
      </c>
      <c r="G13" s="293">
        <v>760</v>
      </c>
      <c r="H13" s="296">
        <v>910</v>
      </c>
      <c r="I13" s="297">
        <v>910</v>
      </c>
      <c r="J13" s="293" t="s">
        <v>1927</v>
      </c>
      <c r="K13" s="410" t="s">
        <v>1927</v>
      </c>
      <c r="L13" s="366" t="b">
        <f t="shared" si="0"/>
        <v>0</v>
      </c>
      <c r="M13" s="460"/>
      <c r="N13" s="460"/>
      <c r="Q13" s="460"/>
      <c r="R13" s="460"/>
    </row>
    <row r="14" spans="1:18">
      <c r="A14" s="184" t="s">
        <v>272</v>
      </c>
      <c r="B14" s="458" t="str">
        <f>SUBSTITUTE(M2S_Eligibility_List!M$21,nmADwSP,"")</f>
        <v>AutoCAD - including specialized toolsets</v>
      </c>
      <c r="C14" s="184" t="s">
        <v>1928</v>
      </c>
      <c r="D14" s="298">
        <v>750</v>
      </c>
      <c r="E14" s="298">
        <v>790</v>
      </c>
      <c r="F14" s="299">
        <v>790</v>
      </c>
      <c r="G14" s="293" t="s">
        <v>1928</v>
      </c>
      <c r="H14" s="296" t="s">
        <v>1928</v>
      </c>
      <c r="I14" s="297" t="s">
        <v>1928</v>
      </c>
      <c r="J14" s="293">
        <v>1465</v>
      </c>
      <c r="K14" s="410">
        <v>2565</v>
      </c>
      <c r="L14" s="366" t="b">
        <f t="shared" ref="L14" si="2">MAX(C14:K14)=MIN(C14:K14)</f>
        <v>0</v>
      </c>
      <c r="M14" s="460"/>
      <c r="N14" s="460"/>
      <c r="Q14" s="460"/>
      <c r="R14" s="460"/>
    </row>
    <row r="15" spans="1:18">
      <c r="A15" s="184" t="s">
        <v>273</v>
      </c>
      <c r="B15" s="207" t="str">
        <f t="shared" si="1"/>
        <v>AutoCAD Architecture</v>
      </c>
      <c r="C15" s="293">
        <v>740</v>
      </c>
      <c r="D15" s="298">
        <v>815</v>
      </c>
      <c r="E15" s="298">
        <v>855</v>
      </c>
      <c r="F15" s="299">
        <v>855</v>
      </c>
      <c r="G15" s="293">
        <v>855</v>
      </c>
      <c r="H15" s="296">
        <v>1025</v>
      </c>
      <c r="I15" s="297">
        <v>1025</v>
      </c>
      <c r="J15" s="293">
        <v>1465</v>
      </c>
      <c r="K15" s="410">
        <v>2565</v>
      </c>
      <c r="L15" s="366" t="b">
        <f t="shared" si="0"/>
        <v>0</v>
      </c>
      <c r="M15" s="460"/>
      <c r="N15" s="460"/>
      <c r="Q15" s="460"/>
      <c r="R15" s="460"/>
    </row>
    <row r="16" spans="1:18">
      <c r="A16" s="184" t="s">
        <v>1785</v>
      </c>
      <c r="B16" s="207" t="str">
        <f t="shared" si="1"/>
        <v>AutoCAD Civil 3D*</v>
      </c>
      <c r="C16" s="293">
        <v>925</v>
      </c>
      <c r="D16" s="298" t="s">
        <v>1927</v>
      </c>
      <c r="E16" s="298" t="s">
        <v>1927</v>
      </c>
      <c r="F16" s="299" t="s">
        <v>1927</v>
      </c>
      <c r="G16" s="293">
        <v>1020</v>
      </c>
      <c r="H16" s="296">
        <v>1225</v>
      </c>
      <c r="I16" s="297">
        <v>1225</v>
      </c>
      <c r="J16" s="293" t="s">
        <v>1927</v>
      </c>
      <c r="K16" s="410" t="s">
        <v>1927</v>
      </c>
      <c r="L16" s="366" t="b">
        <f t="shared" si="0"/>
        <v>0</v>
      </c>
      <c r="M16" s="460"/>
      <c r="N16" s="460"/>
      <c r="Q16" s="460"/>
      <c r="R16" s="460"/>
    </row>
    <row r="17" spans="1:18">
      <c r="A17" s="184" t="s">
        <v>1785</v>
      </c>
      <c r="B17" s="458" t="str">
        <f>SUBSTITUTE(VLOOKUP(IF(LEFT(A17,LEN(nmADwSP))=nmADwSP,RIGHT(A17,LEN(A17)-LEN(nmADwSP)),A17),DataPaths_List_ProdMT_NonCurrency,1,FALSE),nmAutoCAD,"")</f>
        <v>Civil 3D*</v>
      </c>
      <c r="C17" s="293" t="s">
        <v>1928</v>
      </c>
      <c r="D17" s="298">
        <v>970</v>
      </c>
      <c r="E17" s="298">
        <v>1020</v>
      </c>
      <c r="F17" s="299">
        <v>1020</v>
      </c>
      <c r="G17" s="293" t="s">
        <v>1928</v>
      </c>
      <c r="H17" s="296" t="s">
        <v>1928</v>
      </c>
      <c r="I17" s="297" t="s">
        <v>1928</v>
      </c>
      <c r="J17" s="293">
        <v>2070</v>
      </c>
      <c r="K17" s="410">
        <v>3115</v>
      </c>
      <c r="L17" s="366" t="b">
        <f t="shared" ref="L17" si="3">MAX(C17:K17)=MIN(C17:K17)</f>
        <v>0</v>
      </c>
      <c r="M17" s="460"/>
      <c r="N17" s="460"/>
      <c r="Q17" s="460"/>
      <c r="R17" s="460"/>
    </row>
    <row r="18" spans="1:18">
      <c r="A18" s="184" t="s">
        <v>274</v>
      </c>
      <c r="B18" s="207" t="str">
        <f t="shared" si="1"/>
        <v>AutoCAD Design Suite Premium</v>
      </c>
      <c r="C18" s="293">
        <v>870</v>
      </c>
      <c r="D18" s="298" t="s">
        <v>389</v>
      </c>
      <c r="E18" s="298" t="s">
        <v>389</v>
      </c>
      <c r="F18" s="299" t="s">
        <v>389</v>
      </c>
      <c r="G18" s="293">
        <v>1005</v>
      </c>
      <c r="H18" s="296">
        <v>1205</v>
      </c>
      <c r="I18" s="297">
        <v>1205</v>
      </c>
      <c r="J18" s="293"/>
      <c r="K18" s="293"/>
      <c r="L18" s="366" t="b">
        <f t="shared" si="0"/>
        <v>0</v>
      </c>
      <c r="M18" s="460"/>
      <c r="N18" s="460"/>
      <c r="Q18" s="460"/>
      <c r="R18" s="460"/>
    </row>
    <row r="19" spans="1:18">
      <c r="A19" s="184" t="s">
        <v>275</v>
      </c>
      <c r="B19" s="207" t="str">
        <f t="shared" si="1"/>
        <v>AutoCAD Design Suite Standard</v>
      </c>
      <c r="C19" s="293">
        <v>630</v>
      </c>
      <c r="D19" s="298" t="s">
        <v>389</v>
      </c>
      <c r="E19" s="298" t="s">
        <v>389</v>
      </c>
      <c r="F19" s="299" t="s">
        <v>389</v>
      </c>
      <c r="G19" s="293">
        <v>725</v>
      </c>
      <c r="H19" s="296">
        <v>870</v>
      </c>
      <c r="I19" s="297">
        <v>870</v>
      </c>
      <c r="J19" s="293"/>
      <c r="K19" s="293"/>
      <c r="L19" s="366" t="b">
        <f t="shared" si="0"/>
        <v>0</v>
      </c>
      <c r="M19" s="460"/>
      <c r="N19" s="460"/>
      <c r="Q19" s="460"/>
      <c r="R19" s="460"/>
    </row>
    <row r="20" spans="1:18">
      <c r="A20" s="184" t="s">
        <v>1795</v>
      </c>
      <c r="B20" s="207" t="str">
        <f t="shared" si="1"/>
        <v>AutoCAD Design Suite Ultimate</v>
      </c>
      <c r="C20" s="293">
        <v>1110</v>
      </c>
      <c r="D20" s="298"/>
      <c r="E20" s="298"/>
      <c r="F20" s="299"/>
      <c r="G20" s="293">
        <v>1220</v>
      </c>
      <c r="H20" s="296">
        <v>1465</v>
      </c>
      <c r="I20" s="297">
        <v>1465</v>
      </c>
      <c r="J20" s="293"/>
      <c r="K20" s="293"/>
      <c r="L20" s="366" t="b">
        <f t="shared" si="0"/>
        <v>0</v>
      </c>
      <c r="M20" s="460"/>
      <c r="N20" s="460"/>
      <c r="Q20" s="460"/>
      <c r="R20" s="460"/>
    </row>
    <row r="21" spans="1:18">
      <c r="A21" s="184" t="s">
        <v>1786</v>
      </c>
      <c r="B21" s="207" t="str">
        <f t="shared" si="1"/>
        <v>AutoCAD Electrical*</v>
      </c>
      <c r="C21" s="293">
        <v>810</v>
      </c>
      <c r="D21" s="298">
        <v>815</v>
      </c>
      <c r="E21" s="298">
        <v>855</v>
      </c>
      <c r="F21" s="299">
        <v>855</v>
      </c>
      <c r="G21" s="293">
        <v>935</v>
      </c>
      <c r="H21" s="296">
        <v>1120</v>
      </c>
      <c r="I21" s="297">
        <v>1120</v>
      </c>
      <c r="J21" s="293">
        <v>1465</v>
      </c>
      <c r="K21" s="410">
        <v>2565</v>
      </c>
      <c r="L21" s="366" t="b">
        <f t="shared" si="0"/>
        <v>0</v>
      </c>
      <c r="M21" s="460"/>
      <c r="N21" s="460"/>
      <c r="Q21" s="460"/>
      <c r="R21" s="460"/>
    </row>
    <row r="22" spans="1:18">
      <c r="A22" s="184" t="s">
        <v>391</v>
      </c>
      <c r="B22" s="207" t="str">
        <f t="shared" si="1"/>
        <v>AutoCAD Inventor LT Suite</v>
      </c>
      <c r="C22" s="293">
        <v>235</v>
      </c>
      <c r="D22" s="298">
        <v>255</v>
      </c>
      <c r="E22" s="298">
        <v>270</v>
      </c>
      <c r="F22" s="299">
        <v>270</v>
      </c>
      <c r="G22" s="293">
        <v>270</v>
      </c>
      <c r="H22" s="296">
        <v>325</v>
      </c>
      <c r="I22" s="297">
        <v>325</v>
      </c>
      <c r="J22" s="293">
        <v>500</v>
      </c>
      <c r="K22" s="293"/>
      <c r="L22" s="366" t="b">
        <f t="shared" si="0"/>
        <v>0</v>
      </c>
      <c r="M22" s="460"/>
      <c r="N22" s="460"/>
      <c r="Q22" s="460"/>
      <c r="R22" s="460"/>
    </row>
    <row r="23" spans="1:18">
      <c r="A23" s="184" t="s">
        <v>276</v>
      </c>
      <c r="B23" s="207" t="str">
        <f t="shared" si="1"/>
        <v>AutoCAD LT</v>
      </c>
      <c r="C23" s="293">
        <v>190</v>
      </c>
      <c r="D23" s="298">
        <v>210</v>
      </c>
      <c r="E23" s="298">
        <v>220</v>
      </c>
      <c r="F23" s="299">
        <v>220</v>
      </c>
      <c r="G23" s="293">
        <v>220</v>
      </c>
      <c r="H23" s="296">
        <v>265</v>
      </c>
      <c r="I23" s="297">
        <v>265</v>
      </c>
      <c r="J23" s="293">
        <v>345</v>
      </c>
      <c r="K23" s="410">
        <v>685</v>
      </c>
      <c r="L23" s="366" t="b">
        <f t="shared" si="0"/>
        <v>0</v>
      </c>
      <c r="M23" s="460"/>
      <c r="N23" s="460"/>
      <c r="Q23" s="460"/>
      <c r="R23" s="460"/>
    </row>
    <row r="24" spans="1:18">
      <c r="A24" s="184" t="s">
        <v>1675</v>
      </c>
      <c r="B24" s="207" t="str">
        <f t="shared" si="1"/>
        <v>AutoCAD LT with CALS Tools</v>
      </c>
      <c r="C24" s="293">
        <v>0</v>
      </c>
      <c r="D24" s="298">
        <v>0</v>
      </c>
      <c r="E24" s="298">
        <v>0</v>
      </c>
      <c r="F24" s="299">
        <v>0</v>
      </c>
      <c r="G24" s="293">
        <v>0</v>
      </c>
      <c r="H24" s="296">
        <v>0</v>
      </c>
      <c r="I24" s="297">
        <v>0</v>
      </c>
      <c r="J24" s="293">
        <v>0</v>
      </c>
      <c r="K24" s="297">
        <v>0</v>
      </c>
      <c r="L24" s="366" t="b">
        <f t="shared" si="0"/>
        <v>1</v>
      </c>
      <c r="M24" s="460"/>
      <c r="N24" s="460"/>
      <c r="Q24" s="460"/>
      <c r="R24" s="460"/>
    </row>
    <row r="25" spans="1:18">
      <c r="A25" s="184" t="s">
        <v>277</v>
      </c>
      <c r="B25" s="207" t="str">
        <f t="shared" si="1"/>
        <v>AutoCAD Map 3D</v>
      </c>
      <c r="C25" s="293">
        <v>765</v>
      </c>
      <c r="D25" s="298">
        <v>845</v>
      </c>
      <c r="E25" s="298">
        <v>885</v>
      </c>
      <c r="F25" s="299">
        <v>885</v>
      </c>
      <c r="G25" s="293">
        <v>885</v>
      </c>
      <c r="H25" s="296">
        <v>1060</v>
      </c>
      <c r="I25" s="297">
        <v>1060</v>
      </c>
      <c r="J25" s="293">
        <v>1465</v>
      </c>
      <c r="K25" s="410">
        <v>2565</v>
      </c>
      <c r="L25" s="366" t="b">
        <f t="shared" si="0"/>
        <v>0</v>
      </c>
      <c r="M25" s="460"/>
      <c r="N25" s="460"/>
      <c r="Q25" s="460"/>
      <c r="R25" s="460"/>
    </row>
    <row r="26" spans="1:18">
      <c r="A26" s="184" t="s">
        <v>278</v>
      </c>
      <c r="B26" s="207" t="str">
        <f t="shared" si="1"/>
        <v>AutoCAD Mechanical</v>
      </c>
      <c r="C26" s="293">
        <v>710</v>
      </c>
      <c r="D26" s="409">
        <v>780</v>
      </c>
      <c r="E26" s="409">
        <v>820</v>
      </c>
      <c r="F26" s="299">
        <v>820</v>
      </c>
      <c r="G26" s="293">
        <v>820</v>
      </c>
      <c r="H26" s="393">
        <v>985</v>
      </c>
      <c r="I26" s="297">
        <v>985</v>
      </c>
      <c r="J26" s="293">
        <v>1465</v>
      </c>
      <c r="K26" s="410">
        <v>2565</v>
      </c>
      <c r="L26" s="366" t="b">
        <f t="shared" si="0"/>
        <v>0</v>
      </c>
      <c r="M26" s="460"/>
      <c r="N26" s="460"/>
      <c r="Q26" s="460"/>
      <c r="R26" s="460"/>
    </row>
    <row r="27" spans="1:18">
      <c r="A27" s="184" t="s">
        <v>279</v>
      </c>
      <c r="B27" s="207" t="str">
        <f t="shared" si="1"/>
        <v>AutoCAD MEP</v>
      </c>
      <c r="C27" s="293">
        <v>765</v>
      </c>
      <c r="D27" s="298">
        <v>845</v>
      </c>
      <c r="E27" s="298">
        <v>885</v>
      </c>
      <c r="F27" s="299">
        <v>885</v>
      </c>
      <c r="G27" s="293">
        <v>885</v>
      </c>
      <c r="H27" s="296">
        <v>1060</v>
      </c>
      <c r="I27" s="297">
        <v>1060</v>
      </c>
      <c r="J27" s="293">
        <v>1465</v>
      </c>
      <c r="K27" s="410">
        <v>2565</v>
      </c>
      <c r="L27" s="366" t="b">
        <f t="shared" si="0"/>
        <v>0</v>
      </c>
      <c r="M27" s="460"/>
      <c r="N27" s="460"/>
      <c r="Q27" s="460"/>
      <c r="R27" s="460"/>
    </row>
    <row r="28" spans="1:18">
      <c r="A28" s="184" t="s">
        <v>280</v>
      </c>
      <c r="B28" s="207" t="str">
        <f t="shared" si="1"/>
        <v>AutoCAD P&amp;ID</v>
      </c>
      <c r="C28" s="293">
        <v>810</v>
      </c>
      <c r="D28" s="298">
        <v>1040</v>
      </c>
      <c r="E28" s="298">
        <v>1090</v>
      </c>
      <c r="F28" s="299">
        <v>1090</v>
      </c>
      <c r="G28" s="293">
        <v>935</v>
      </c>
      <c r="H28" s="296">
        <v>1120</v>
      </c>
      <c r="I28" s="297">
        <v>1120</v>
      </c>
      <c r="J28" s="293"/>
      <c r="K28" s="293"/>
      <c r="L28" s="366" t="b">
        <f t="shared" si="0"/>
        <v>0</v>
      </c>
      <c r="M28" s="460"/>
      <c r="N28" s="460"/>
      <c r="Q28" s="460"/>
      <c r="R28" s="460"/>
    </row>
    <row r="29" spans="1:18">
      <c r="A29" s="184" t="s">
        <v>1787</v>
      </c>
      <c r="B29" s="207" t="str">
        <f t="shared" si="1"/>
        <v>AutoCAD Plant 3D*</v>
      </c>
      <c r="C29" s="293">
        <v>1380</v>
      </c>
      <c r="D29" s="408">
        <v>1040</v>
      </c>
      <c r="E29" s="408">
        <v>1090</v>
      </c>
      <c r="F29" s="392">
        <v>1090</v>
      </c>
      <c r="G29" s="293">
        <v>1595</v>
      </c>
      <c r="H29" s="296">
        <v>1915</v>
      </c>
      <c r="I29" s="297">
        <v>1915</v>
      </c>
      <c r="J29" s="293">
        <v>1465</v>
      </c>
      <c r="K29" s="410">
        <v>2565</v>
      </c>
      <c r="L29" s="366" t="b">
        <f t="shared" si="0"/>
        <v>0</v>
      </c>
      <c r="M29" s="460"/>
      <c r="N29" s="460"/>
      <c r="Q29" s="460"/>
      <c r="R29" s="460"/>
    </row>
    <row r="30" spans="1:18">
      <c r="A30" s="184" t="s">
        <v>281</v>
      </c>
      <c r="B30" s="207" t="str">
        <f t="shared" si="1"/>
        <v>AutoCAD Raster Design</v>
      </c>
      <c r="C30" s="293">
        <v>315</v>
      </c>
      <c r="D30" s="298">
        <v>345</v>
      </c>
      <c r="E30" s="298">
        <v>360</v>
      </c>
      <c r="F30" s="299">
        <v>360</v>
      </c>
      <c r="G30" s="293">
        <v>365</v>
      </c>
      <c r="H30" s="296">
        <v>440</v>
      </c>
      <c r="I30" s="297">
        <v>440</v>
      </c>
      <c r="J30" s="293">
        <v>810</v>
      </c>
      <c r="K30" s="410">
        <v>1420</v>
      </c>
      <c r="L30" s="366" t="b">
        <f t="shared" si="0"/>
        <v>0</v>
      </c>
      <c r="M30" s="460"/>
      <c r="N30" s="460"/>
      <c r="Q30" s="460"/>
      <c r="R30" s="460"/>
    </row>
    <row r="31" spans="1:18">
      <c r="A31" s="184" t="s">
        <v>388</v>
      </c>
      <c r="B31" s="207" t="str">
        <f t="shared" si="1"/>
        <v>AutoCAD Revit LT Suite</v>
      </c>
      <c r="C31" s="293">
        <v>240</v>
      </c>
      <c r="D31" s="298">
        <v>265</v>
      </c>
      <c r="E31" s="298">
        <v>280</v>
      </c>
      <c r="F31" s="299">
        <v>280</v>
      </c>
      <c r="G31" s="293">
        <v>275</v>
      </c>
      <c r="H31" s="296">
        <v>330</v>
      </c>
      <c r="I31" s="297">
        <v>330</v>
      </c>
      <c r="J31" s="293">
        <v>545</v>
      </c>
      <c r="K31" s="293"/>
      <c r="L31" s="366" t="b">
        <f t="shared" si="0"/>
        <v>0</v>
      </c>
      <c r="M31" s="460"/>
      <c r="N31" s="460"/>
      <c r="Q31" s="460"/>
      <c r="R31" s="460"/>
    </row>
    <row r="32" spans="1:18">
      <c r="A32" s="184" t="s">
        <v>1714</v>
      </c>
      <c r="B32" s="207" t="str">
        <f t="shared" si="1"/>
        <v>AutoCAD with Advance Steel</v>
      </c>
      <c r="C32" s="293">
        <v>1510</v>
      </c>
      <c r="D32" s="298">
        <v>1305</v>
      </c>
      <c r="E32" s="298">
        <v>1370</v>
      </c>
      <c r="F32" s="299">
        <v>1370</v>
      </c>
      <c r="G32" s="293">
        <v>1660</v>
      </c>
      <c r="H32" s="296">
        <v>1990</v>
      </c>
      <c r="I32" s="297">
        <v>1990</v>
      </c>
      <c r="J32" s="293">
        <v>1770</v>
      </c>
      <c r="K32" s="297">
        <v>2655</v>
      </c>
      <c r="L32" s="366" t="b">
        <f t="shared" si="0"/>
        <v>0</v>
      </c>
      <c r="M32" s="460"/>
      <c r="N32" s="460"/>
      <c r="Q32" s="460"/>
      <c r="R32" s="460"/>
    </row>
    <row r="33" spans="1:18">
      <c r="A33" s="184" t="s">
        <v>282</v>
      </c>
      <c r="B33" s="207" t="str">
        <f t="shared" si="1"/>
        <v>Building Design Suite Premium</v>
      </c>
      <c r="C33" s="293">
        <v>1020</v>
      </c>
      <c r="D33" s="298" t="s">
        <v>389</v>
      </c>
      <c r="E33" s="298" t="s">
        <v>389</v>
      </c>
      <c r="F33" s="299" t="s">
        <v>389</v>
      </c>
      <c r="G33" s="293">
        <v>1175</v>
      </c>
      <c r="H33" s="296">
        <v>1410</v>
      </c>
      <c r="I33" s="297">
        <v>1410</v>
      </c>
      <c r="J33" s="293"/>
      <c r="K33" s="293"/>
      <c r="L33" s="366" t="b">
        <f t="shared" si="0"/>
        <v>0</v>
      </c>
      <c r="M33" s="460"/>
      <c r="N33" s="460"/>
      <c r="Q33" s="460"/>
      <c r="R33" s="460"/>
    </row>
    <row r="34" spans="1:18">
      <c r="A34" s="184" t="s">
        <v>283</v>
      </c>
      <c r="B34" s="207" t="str">
        <f t="shared" si="1"/>
        <v>Building Design Suite Standard</v>
      </c>
      <c r="C34" s="293">
        <v>780</v>
      </c>
      <c r="D34" s="298" t="s">
        <v>389</v>
      </c>
      <c r="E34" s="298" t="s">
        <v>389</v>
      </c>
      <c r="F34" s="299" t="s">
        <v>389</v>
      </c>
      <c r="G34" s="293">
        <v>900</v>
      </c>
      <c r="H34" s="296">
        <v>1080</v>
      </c>
      <c r="I34" s="297">
        <v>1080</v>
      </c>
      <c r="J34" s="293"/>
      <c r="K34" s="293"/>
      <c r="L34" s="366" t="b">
        <f t="shared" si="0"/>
        <v>0</v>
      </c>
      <c r="M34" s="460"/>
      <c r="N34" s="460"/>
      <c r="Q34" s="460"/>
      <c r="R34" s="460"/>
    </row>
    <row r="35" spans="1:18">
      <c r="A35" s="184" t="s">
        <v>284</v>
      </c>
      <c r="B35" s="207" t="str">
        <f t="shared" si="1"/>
        <v>Building Design Suite Ultimate</v>
      </c>
      <c r="C35" s="293">
        <v>1650</v>
      </c>
      <c r="D35" s="298" t="s">
        <v>389</v>
      </c>
      <c r="E35" s="298" t="s">
        <v>389</v>
      </c>
      <c r="F35" s="299" t="s">
        <v>389</v>
      </c>
      <c r="G35" s="293">
        <v>1910</v>
      </c>
      <c r="H35" s="296">
        <v>2290</v>
      </c>
      <c r="I35" s="297">
        <v>2290</v>
      </c>
      <c r="J35" s="293"/>
      <c r="K35" s="293"/>
      <c r="L35" s="366" t="b">
        <f t="shared" si="0"/>
        <v>0</v>
      </c>
      <c r="M35" s="460"/>
      <c r="N35" s="460"/>
      <c r="Q35" s="460"/>
      <c r="R35" s="460"/>
    </row>
    <row r="36" spans="1:18">
      <c r="A36" s="184" t="s">
        <v>1676</v>
      </c>
      <c r="B36" s="207" t="str">
        <f t="shared" si="1"/>
        <v>CFD</v>
      </c>
      <c r="C36" s="293">
        <v>2205</v>
      </c>
      <c r="D36" s="298">
        <v>2315</v>
      </c>
      <c r="E36" s="298">
        <v>2430</v>
      </c>
      <c r="F36" s="299">
        <v>2430</v>
      </c>
      <c r="G36" s="293">
        <v>2425</v>
      </c>
      <c r="H36" s="296">
        <v>2910</v>
      </c>
      <c r="I36" s="297">
        <v>2910</v>
      </c>
      <c r="J36" s="293"/>
      <c r="K36" s="410"/>
      <c r="L36" s="366" t="b">
        <f t="shared" si="0"/>
        <v>0</v>
      </c>
      <c r="M36" s="460"/>
      <c r="N36" s="460"/>
      <c r="Q36" s="460"/>
      <c r="R36" s="460"/>
    </row>
    <row r="37" spans="1:18">
      <c r="A37" s="184" t="s">
        <v>1915</v>
      </c>
      <c r="B37" s="207" t="str">
        <f t="shared" si="1"/>
        <v>CFD Premium (formerly CFD Advanced)</v>
      </c>
      <c r="C37" s="293">
        <v>3175</v>
      </c>
      <c r="D37" s="298">
        <v>3335</v>
      </c>
      <c r="E37" s="298">
        <v>3500</v>
      </c>
      <c r="F37" s="299">
        <v>3500</v>
      </c>
      <c r="G37" s="293">
        <v>3495</v>
      </c>
      <c r="H37" s="296">
        <v>4195</v>
      </c>
      <c r="I37" s="297">
        <v>4195</v>
      </c>
      <c r="J37" s="293"/>
      <c r="K37" s="410">
        <v>9115</v>
      </c>
      <c r="L37" s="366" t="b">
        <f t="shared" ref="L37:L67" si="4">MAX(C37:K37)=MIN(C37:K37)</f>
        <v>0</v>
      </c>
      <c r="M37" s="460"/>
      <c r="N37" s="460"/>
      <c r="Q37" s="460"/>
      <c r="R37" s="460"/>
    </row>
    <row r="38" spans="1:18">
      <c r="A38" s="184" t="s">
        <v>1914</v>
      </c>
      <c r="B38" s="207" t="str">
        <f t="shared" si="1"/>
        <v>CFD Ultimate (formerly CFD Motion)</v>
      </c>
      <c r="C38" s="293">
        <v>4410</v>
      </c>
      <c r="D38" s="298">
        <v>4630</v>
      </c>
      <c r="E38" s="298">
        <v>4860</v>
      </c>
      <c r="F38" s="299">
        <v>4860</v>
      </c>
      <c r="G38" s="293">
        <v>4850</v>
      </c>
      <c r="H38" s="296">
        <v>5820</v>
      </c>
      <c r="I38" s="297">
        <v>5820</v>
      </c>
      <c r="J38" s="293"/>
      <c r="K38" s="410">
        <v>11180</v>
      </c>
      <c r="L38" s="366" t="b">
        <f t="shared" si="4"/>
        <v>0</v>
      </c>
      <c r="M38" s="460"/>
      <c r="N38" s="460"/>
      <c r="Q38" s="460"/>
      <c r="R38" s="460"/>
    </row>
    <row r="39" spans="1:18">
      <c r="A39" s="184" t="s">
        <v>285</v>
      </c>
      <c r="B39" s="207" t="str">
        <f t="shared" si="1"/>
        <v>Entertainment Creation Suite Ultimate</v>
      </c>
      <c r="C39" s="293">
        <v>1090</v>
      </c>
      <c r="D39" s="298" t="s">
        <v>389</v>
      </c>
      <c r="E39" s="298" t="s">
        <v>389</v>
      </c>
      <c r="F39" s="299" t="s">
        <v>389</v>
      </c>
      <c r="G39" s="293">
        <v>1260</v>
      </c>
      <c r="H39" s="296">
        <v>1510</v>
      </c>
      <c r="I39" s="297">
        <v>1510</v>
      </c>
      <c r="J39" s="293"/>
      <c r="K39" s="293"/>
      <c r="L39" s="366" t="b">
        <f t="shared" si="4"/>
        <v>0</v>
      </c>
      <c r="M39" s="460"/>
      <c r="N39" s="460"/>
      <c r="Q39" s="460"/>
      <c r="R39" s="460"/>
    </row>
    <row r="40" spans="1:18">
      <c r="A40" s="184" t="s">
        <v>1677</v>
      </c>
      <c r="B40" s="207" t="str">
        <f t="shared" si="1"/>
        <v>Fabrication CADmep</v>
      </c>
      <c r="C40" s="293">
        <v>420</v>
      </c>
      <c r="D40" s="298">
        <v>440</v>
      </c>
      <c r="E40" s="298">
        <v>460</v>
      </c>
      <c r="F40" s="299">
        <v>460</v>
      </c>
      <c r="G40" s="293">
        <v>460</v>
      </c>
      <c r="H40" s="296">
        <v>550</v>
      </c>
      <c r="I40" s="297">
        <v>550</v>
      </c>
      <c r="J40" s="293">
        <v>885</v>
      </c>
      <c r="K40" s="410">
        <v>1550</v>
      </c>
      <c r="L40" s="366" t="b">
        <f t="shared" si="4"/>
        <v>0</v>
      </c>
      <c r="M40" s="460"/>
      <c r="N40" s="460"/>
      <c r="Q40" s="460"/>
      <c r="R40" s="460"/>
    </row>
    <row r="41" spans="1:18">
      <c r="A41" s="184" t="s">
        <v>1678</v>
      </c>
      <c r="B41" s="207" t="str">
        <f t="shared" si="1"/>
        <v>Fabrication CAMduct</v>
      </c>
      <c r="C41" s="293">
        <v>675</v>
      </c>
      <c r="D41" s="298">
        <v>710</v>
      </c>
      <c r="E41" s="298">
        <v>745</v>
      </c>
      <c r="F41" s="299">
        <v>745</v>
      </c>
      <c r="G41" s="293">
        <v>745</v>
      </c>
      <c r="H41" s="296">
        <v>895</v>
      </c>
      <c r="I41" s="297">
        <v>895</v>
      </c>
      <c r="J41" s="293">
        <v>885</v>
      </c>
      <c r="K41" s="410">
        <v>1550</v>
      </c>
      <c r="L41" s="366" t="b">
        <f t="shared" si="4"/>
        <v>0</v>
      </c>
      <c r="M41" s="460"/>
      <c r="N41" s="460"/>
      <c r="Q41" s="460"/>
      <c r="R41" s="460"/>
    </row>
    <row r="42" spans="1:18">
      <c r="A42" s="184" t="s">
        <v>1679</v>
      </c>
      <c r="B42" s="207" t="str">
        <f t="shared" si="1"/>
        <v>Fabrication ESTmep</v>
      </c>
      <c r="C42" s="293">
        <v>490</v>
      </c>
      <c r="D42" s="298">
        <v>515</v>
      </c>
      <c r="E42" s="298">
        <v>540</v>
      </c>
      <c r="F42" s="299">
        <v>540</v>
      </c>
      <c r="G42" s="293">
        <v>540</v>
      </c>
      <c r="H42" s="296">
        <v>650</v>
      </c>
      <c r="I42" s="297">
        <v>650</v>
      </c>
      <c r="J42" s="293">
        <v>885</v>
      </c>
      <c r="K42" s="410">
        <v>1550</v>
      </c>
      <c r="L42" s="366" t="b">
        <f t="shared" si="4"/>
        <v>0</v>
      </c>
      <c r="M42" s="460"/>
      <c r="N42" s="460"/>
      <c r="Q42" s="460"/>
      <c r="R42" s="460"/>
    </row>
    <row r="43" spans="1:18">
      <c r="A43" s="184" t="s">
        <v>394</v>
      </c>
      <c r="B43" s="207" t="str">
        <f t="shared" si="1"/>
        <v>Factory Design Suite Premium</v>
      </c>
      <c r="C43" s="293">
        <v>1020</v>
      </c>
      <c r="D43" s="298" t="s">
        <v>389</v>
      </c>
      <c r="E43" s="298" t="s">
        <v>389</v>
      </c>
      <c r="F43" s="299" t="s">
        <v>389</v>
      </c>
      <c r="G43" s="293">
        <v>1175</v>
      </c>
      <c r="H43" s="296">
        <v>1410</v>
      </c>
      <c r="I43" s="297">
        <v>1410</v>
      </c>
      <c r="J43" s="293"/>
      <c r="K43" s="293"/>
      <c r="L43" s="366" t="b">
        <f t="shared" si="4"/>
        <v>0</v>
      </c>
      <c r="M43" s="460"/>
      <c r="N43" s="460"/>
      <c r="Q43" s="460"/>
      <c r="R43" s="460"/>
    </row>
    <row r="44" spans="1:18">
      <c r="A44" s="369" t="s">
        <v>603</v>
      </c>
      <c r="B44" s="207" t="str">
        <f t="shared" si="1"/>
        <v>Factory Design Suite Standard</v>
      </c>
      <c r="C44" s="293">
        <v>840</v>
      </c>
      <c r="D44" s="298" t="s">
        <v>389</v>
      </c>
      <c r="E44" s="298" t="s">
        <v>389</v>
      </c>
      <c r="F44" s="299" t="s">
        <v>389</v>
      </c>
      <c r="G44" s="293">
        <v>970</v>
      </c>
      <c r="H44" s="296">
        <v>1165</v>
      </c>
      <c r="I44" s="297">
        <v>1165</v>
      </c>
      <c r="J44" s="293"/>
      <c r="K44" s="293"/>
      <c r="L44" s="366" t="b">
        <f t="shared" si="4"/>
        <v>0</v>
      </c>
      <c r="M44" s="460"/>
      <c r="N44" s="460"/>
      <c r="Q44" s="460"/>
      <c r="R44" s="460"/>
    </row>
    <row r="45" spans="1:18">
      <c r="A45" s="184" t="s">
        <v>286</v>
      </c>
      <c r="B45" s="207" t="str">
        <f t="shared" si="1"/>
        <v>Factory Design Suite Ultimate</v>
      </c>
      <c r="C45" s="293">
        <v>1650</v>
      </c>
      <c r="D45" s="298" t="s">
        <v>389</v>
      </c>
      <c r="E45" s="298" t="s">
        <v>389</v>
      </c>
      <c r="F45" s="299" t="s">
        <v>389</v>
      </c>
      <c r="G45" s="293">
        <v>1910</v>
      </c>
      <c r="H45" s="296">
        <v>2290</v>
      </c>
      <c r="I45" s="297">
        <v>2290</v>
      </c>
      <c r="J45" s="293"/>
      <c r="K45" s="293"/>
      <c r="L45" s="366" t="b">
        <f t="shared" si="4"/>
        <v>0</v>
      </c>
      <c r="M45" s="460"/>
      <c r="N45" s="460"/>
      <c r="Q45" s="460"/>
      <c r="R45" s="460"/>
    </row>
    <row r="46" spans="1:18">
      <c r="A46" s="184" t="s">
        <v>1680</v>
      </c>
      <c r="B46" s="207" t="str">
        <f t="shared" si="1"/>
        <v>Helius Composite</v>
      </c>
      <c r="C46" s="293">
        <v>115</v>
      </c>
      <c r="D46" s="298">
        <v>120</v>
      </c>
      <c r="E46" s="298">
        <v>125</v>
      </c>
      <c r="F46" s="299">
        <v>125</v>
      </c>
      <c r="G46" s="293">
        <v>125</v>
      </c>
      <c r="H46" s="296">
        <v>150</v>
      </c>
      <c r="I46" s="297">
        <v>150</v>
      </c>
      <c r="J46" s="293">
        <v>270</v>
      </c>
      <c r="K46" s="410">
        <v>475</v>
      </c>
      <c r="L46" s="366" t="b">
        <f t="shared" si="4"/>
        <v>0</v>
      </c>
      <c r="M46" s="460"/>
      <c r="N46" s="460"/>
      <c r="Q46" s="460"/>
      <c r="R46" s="460"/>
    </row>
    <row r="47" spans="1:18">
      <c r="A47" s="184" t="s">
        <v>1681</v>
      </c>
      <c r="B47" s="207" t="str">
        <f t="shared" si="1"/>
        <v>HSM - Premium</v>
      </c>
      <c r="C47" s="293">
        <v>1040</v>
      </c>
      <c r="D47" s="298">
        <v>1090</v>
      </c>
      <c r="E47" s="298">
        <v>1145</v>
      </c>
      <c r="F47" s="299">
        <v>1145</v>
      </c>
      <c r="G47" s="293">
        <v>1145</v>
      </c>
      <c r="H47" s="296">
        <v>1375</v>
      </c>
      <c r="I47" s="297">
        <v>1375</v>
      </c>
      <c r="J47" s="293">
        <v>2300</v>
      </c>
      <c r="K47" s="297">
        <v>3450</v>
      </c>
      <c r="L47" s="366" t="b">
        <f t="shared" si="4"/>
        <v>0</v>
      </c>
      <c r="M47" s="460"/>
      <c r="N47" s="460"/>
      <c r="Q47" s="460"/>
      <c r="R47" s="460"/>
    </row>
    <row r="48" spans="1:18">
      <c r="A48" s="184" t="s">
        <v>1682</v>
      </c>
      <c r="B48" s="207" t="str">
        <f t="shared" si="1"/>
        <v>HSM - Ultimate</v>
      </c>
      <c r="C48" s="293">
        <v>1480</v>
      </c>
      <c r="D48" s="298">
        <v>1555</v>
      </c>
      <c r="E48" s="298">
        <v>1635</v>
      </c>
      <c r="F48" s="299">
        <v>1635</v>
      </c>
      <c r="G48" s="293">
        <v>1630</v>
      </c>
      <c r="H48" s="296">
        <v>1955</v>
      </c>
      <c r="I48" s="297">
        <v>1955</v>
      </c>
      <c r="J48" s="293">
        <v>3615</v>
      </c>
      <c r="K48" s="297">
        <v>5425</v>
      </c>
      <c r="L48" s="366" t="b">
        <f t="shared" si="4"/>
        <v>0</v>
      </c>
      <c r="M48" s="460"/>
      <c r="N48" s="460"/>
      <c r="Q48" s="460"/>
      <c r="R48" s="460"/>
    </row>
    <row r="49" spans="1:18">
      <c r="A49" s="184" t="s">
        <v>393</v>
      </c>
      <c r="B49" s="207" t="str">
        <f t="shared" si="1"/>
        <v>Infrastructure Design Suite Premium</v>
      </c>
      <c r="C49" s="293">
        <v>1020</v>
      </c>
      <c r="D49" s="298" t="s">
        <v>389</v>
      </c>
      <c r="E49" s="298" t="s">
        <v>389</v>
      </c>
      <c r="F49" s="299" t="s">
        <v>389</v>
      </c>
      <c r="G49" s="293">
        <v>1175</v>
      </c>
      <c r="H49" s="296">
        <v>1410</v>
      </c>
      <c r="I49" s="297">
        <v>1410</v>
      </c>
      <c r="J49" s="293"/>
      <c r="K49" s="293"/>
      <c r="L49" s="366" t="b">
        <f t="shared" si="4"/>
        <v>0</v>
      </c>
      <c r="M49" s="460"/>
      <c r="N49" s="460"/>
      <c r="Q49" s="460"/>
      <c r="R49" s="460"/>
    </row>
    <row r="50" spans="1:18">
      <c r="A50" s="184" t="s">
        <v>287</v>
      </c>
      <c r="B50" s="207" t="str">
        <f t="shared" si="1"/>
        <v>Infrastructure Design Suite Standard</v>
      </c>
      <c r="C50" s="293">
        <v>840</v>
      </c>
      <c r="D50" s="298" t="s">
        <v>389</v>
      </c>
      <c r="E50" s="298" t="s">
        <v>389</v>
      </c>
      <c r="F50" s="299" t="s">
        <v>389</v>
      </c>
      <c r="G50" s="293">
        <v>970</v>
      </c>
      <c r="H50" s="296">
        <v>1165</v>
      </c>
      <c r="I50" s="297">
        <v>1165</v>
      </c>
      <c r="J50" s="293"/>
      <c r="K50" s="293"/>
      <c r="L50" s="366" t="b">
        <f t="shared" si="4"/>
        <v>0</v>
      </c>
      <c r="M50" s="460"/>
      <c r="N50" s="460"/>
      <c r="Q50" s="460"/>
      <c r="R50" s="460"/>
    </row>
    <row r="51" spans="1:18">
      <c r="A51" s="184" t="s">
        <v>392</v>
      </c>
      <c r="B51" s="207" t="str">
        <f t="shared" si="1"/>
        <v>Infrastructure Design Suite Ultimate</v>
      </c>
      <c r="C51" s="293">
        <v>1650</v>
      </c>
      <c r="D51" s="298" t="s">
        <v>389</v>
      </c>
      <c r="E51" s="298" t="s">
        <v>389</v>
      </c>
      <c r="F51" s="299" t="s">
        <v>389</v>
      </c>
      <c r="G51" s="293">
        <v>1910</v>
      </c>
      <c r="H51" s="296">
        <v>2290</v>
      </c>
      <c r="I51" s="297">
        <v>2290</v>
      </c>
      <c r="J51" s="293"/>
      <c r="K51" s="293"/>
      <c r="L51" s="366" t="b">
        <f t="shared" si="4"/>
        <v>0</v>
      </c>
      <c r="M51" s="460"/>
      <c r="N51" s="460"/>
      <c r="Q51" s="460"/>
      <c r="R51" s="460"/>
    </row>
    <row r="52" spans="1:18">
      <c r="A52" s="184" t="s">
        <v>1683</v>
      </c>
      <c r="B52" s="207" t="str">
        <f t="shared" si="1"/>
        <v>Infrastructure Map Server</v>
      </c>
      <c r="C52" s="293">
        <v>805</v>
      </c>
      <c r="D52" s="298">
        <v>845</v>
      </c>
      <c r="E52" s="298">
        <v>885</v>
      </c>
      <c r="F52" s="299">
        <v>885</v>
      </c>
      <c r="G52" s="293">
        <v>885</v>
      </c>
      <c r="H52" s="296">
        <v>1060</v>
      </c>
      <c r="I52" s="297">
        <v>1060</v>
      </c>
      <c r="J52" s="293"/>
      <c r="K52" s="410">
        <v>2485</v>
      </c>
      <c r="L52" s="366" t="b">
        <f t="shared" si="4"/>
        <v>0</v>
      </c>
      <c r="M52" s="460"/>
      <c r="N52" s="460"/>
      <c r="Q52" s="460"/>
      <c r="R52" s="460"/>
    </row>
    <row r="53" spans="1:18">
      <c r="A53" s="184" t="s">
        <v>1684</v>
      </c>
      <c r="B53" s="207" t="str">
        <f>RIGHT(A53,LEN(A53)-LEN(nmADwSP))</f>
        <v>Infraworks</v>
      </c>
      <c r="C53" s="293"/>
      <c r="D53" s="296">
        <v>545</v>
      </c>
      <c r="E53" s="296">
        <v>570</v>
      </c>
      <c r="F53" s="297">
        <v>570</v>
      </c>
      <c r="G53" s="300"/>
      <c r="H53" s="294"/>
      <c r="I53" s="295"/>
      <c r="J53" s="293">
        <v>1550</v>
      </c>
      <c r="K53" s="410">
        <v>2715</v>
      </c>
      <c r="L53" s="366" t="b">
        <f t="shared" si="4"/>
        <v>0</v>
      </c>
      <c r="M53" s="460"/>
      <c r="N53" s="460"/>
      <c r="Q53" s="460"/>
      <c r="R53" s="460"/>
    </row>
    <row r="54" spans="1:18">
      <c r="A54" s="184" t="s">
        <v>390</v>
      </c>
      <c r="B54" s="207" t="str">
        <f t="shared" ref="B54:B85" si="5">VLOOKUP(IF(LEFT(A54,LEN(nmADwSP))=nmADwSP,RIGHT(A54,LEN(A54)-LEN(nmADwSP)),A54),DataPaths_List_ProdMT_NonCurrency,1,FALSE)</f>
        <v>Inventor</v>
      </c>
      <c r="C54" s="293">
        <v>985</v>
      </c>
      <c r="D54" s="298">
        <v>1085</v>
      </c>
      <c r="E54" s="298">
        <v>1140</v>
      </c>
      <c r="F54" s="299">
        <v>1140</v>
      </c>
      <c r="G54" s="293">
        <v>1140</v>
      </c>
      <c r="H54" s="296">
        <v>1370</v>
      </c>
      <c r="I54" s="297">
        <v>1370</v>
      </c>
      <c r="J54" s="293">
        <v>1510</v>
      </c>
      <c r="K54" s="297">
        <v>2265</v>
      </c>
      <c r="L54" s="366" t="b">
        <f t="shared" si="4"/>
        <v>0</v>
      </c>
      <c r="M54" s="460"/>
      <c r="N54" s="460"/>
      <c r="Q54" s="460"/>
      <c r="R54" s="460"/>
    </row>
    <row r="55" spans="1:18">
      <c r="A55" s="184" t="s">
        <v>288</v>
      </c>
      <c r="B55" s="207" t="str">
        <f t="shared" si="5"/>
        <v>Inventor LT</v>
      </c>
      <c r="C55" s="293">
        <v>170</v>
      </c>
      <c r="D55" s="298">
        <v>190</v>
      </c>
      <c r="E55" s="298">
        <v>200</v>
      </c>
      <c r="F55" s="299">
        <v>200</v>
      </c>
      <c r="G55" s="293">
        <v>200</v>
      </c>
      <c r="H55" s="296">
        <v>240</v>
      </c>
      <c r="I55" s="297">
        <v>240</v>
      </c>
      <c r="J55" s="293">
        <v>375</v>
      </c>
      <c r="K55" s="410">
        <v>740</v>
      </c>
      <c r="L55" s="366" t="b">
        <f t="shared" si="4"/>
        <v>0</v>
      </c>
      <c r="M55" s="460"/>
      <c r="N55" s="460"/>
      <c r="Q55" s="460"/>
      <c r="R55" s="460"/>
    </row>
    <row r="56" spans="1:18">
      <c r="A56" s="184" t="s">
        <v>289</v>
      </c>
      <c r="B56" s="207" t="str">
        <f t="shared" si="5"/>
        <v>Inventor Professional</v>
      </c>
      <c r="C56" s="293">
        <v>1125</v>
      </c>
      <c r="D56" s="298">
        <v>1085</v>
      </c>
      <c r="E56" s="298">
        <v>1140</v>
      </c>
      <c r="F56" s="299">
        <v>1140</v>
      </c>
      <c r="G56" s="293">
        <v>1300</v>
      </c>
      <c r="H56" s="296">
        <v>1560</v>
      </c>
      <c r="I56" s="297">
        <v>1560</v>
      </c>
      <c r="J56" s="293">
        <v>1865</v>
      </c>
      <c r="K56" s="410">
        <v>2800</v>
      </c>
      <c r="L56" s="366" t="b">
        <f t="shared" si="4"/>
        <v>0</v>
      </c>
      <c r="M56" s="460"/>
      <c r="N56" s="460"/>
      <c r="Q56" s="460"/>
      <c r="R56" s="460"/>
    </row>
    <row r="57" spans="1:18">
      <c r="A57" s="184" t="s">
        <v>290</v>
      </c>
      <c r="B57" s="207" t="str">
        <f t="shared" si="5"/>
        <v>Maya</v>
      </c>
      <c r="C57" s="293">
        <v>610</v>
      </c>
      <c r="D57" s="298">
        <v>670</v>
      </c>
      <c r="E57" s="298">
        <v>705</v>
      </c>
      <c r="F57" s="299">
        <v>705</v>
      </c>
      <c r="G57" s="293">
        <v>705</v>
      </c>
      <c r="H57" s="296">
        <v>845</v>
      </c>
      <c r="I57" s="297">
        <v>845</v>
      </c>
      <c r="J57" s="293">
        <v>1450</v>
      </c>
      <c r="K57" s="410">
        <v>2540</v>
      </c>
      <c r="L57" s="366" t="b">
        <f t="shared" si="4"/>
        <v>0</v>
      </c>
      <c r="M57" s="460"/>
      <c r="N57" s="460"/>
      <c r="Q57" s="460"/>
      <c r="R57" s="460"/>
    </row>
    <row r="58" spans="1:18">
      <c r="A58" s="184" t="s">
        <v>291</v>
      </c>
      <c r="B58" s="207" t="str">
        <f t="shared" si="5"/>
        <v>Maya Entertainment Creation Suite Standard</v>
      </c>
      <c r="C58" s="293">
        <v>840</v>
      </c>
      <c r="D58" s="298" t="s">
        <v>389</v>
      </c>
      <c r="E58" s="298" t="s">
        <v>389</v>
      </c>
      <c r="F58" s="299" t="s">
        <v>389</v>
      </c>
      <c r="G58" s="293">
        <v>970</v>
      </c>
      <c r="H58" s="296">
        <v>1165</v>
      </c>
      <c r="I58" s="297">
        <v>1165</v>
      </c>
      <c r="J58" s="293"/>
      <c r="K58" s="293"/>
      <c r="L58" s="366" t="b">
        <f t="shared" si="4"/>
        <v>0</v>
      </c>
      <c r="M58" s="460"/>
      <c r="N58" s="460"/>
      <c r="Q58" s="460"/>
      <c r="R58" s="460"/>
    </row>
    <row r="59" spans="1:18">
      <c r="A59" s="184" t="s">
        <v>1685</v>
      </c>
      <c r="B59" s="207" t="str">
        <f t="shared" si="5"/>
        <v>Maya LT</v>
      </c>
      <c r="C59" s="293">
        <v>110</v>
      </c>
      <c r="D59" s="298">
        <v>115</v>
      </c>
      <c r="E59" s="298">
        <v>120</v>
      </c>
      <c r="F59" s="299">
        <v>120</v>
      </c>
      <c r="G59" s="293">
        <v>120</v>
      </c>
      <c r="H59" s="296">
        <v>145</v>
      </c>
      <c r="I59" s="297">
        <v>145</v>
      </c>
      <c r="J59" s="293">
        <v>225</v>
      </c>
      <c r="K59" s="410">
        <v>395</v>
      </c>
      <c r="L59" s="366" t="b">
        <f t="shared" si="4"/>
        <v>0</v>
      </c>
      <c r="M59" s="460"/>
      <c r="N59" s="460"/>
      <c r="Q59" s="460"/>
      <c r="R59" s="460"/>
    </row>
    <row r="60" spans="1:18">
      <c r="A60" s="184" t="s">
        <v>1800</v>
      </c>
      <c r="B60" s="207" t="str">
        <f t="shared" si="5"/>
        <v>Maya with Softimage</v>
      </c>
      <c r="C60" s="293">
        <v>640</v>
      </c>
      <c r="D60" s="298"/>
      <c r="E60" s="298"/>
      <c r="F60" s="299"/>
      <c r="G60" s="293">
        <v>705</v>
      </c>
      <c r="H60" s="296">
        <v>845</v>
      </c>
      <c r="I60" s="297">
        <v>845</v>
      </c>
      <c r="J60" s="293">
        <v>1370</v>
      </c>
      <c r="K60" s="293"/>
      <c r="L60" s="366" t="b">
        <f t="shared" si="4"/>
        <v>0</v>
      </c>
      <c r="M60" s="460"/>
      <c r="N60" s="460"/>
      <c r="Q60" s="460"/>
      <c r="R60" s="460"/>
    </row>
    <row r="61" spans="1:18">
      <c r="A61" s="184" t="s">
        <v>1686</v>
      </c>
      <c r="B61" s="207" t="str">
        <f t="shared" si="5"/>
        <v>Moldflow Adviser Premium</v>
      </c>
      <c r="C61" s="293">
        <v>940</v>
      </c>
      <c r="D61" s="298">
        <v>985</v>
      </c>
      <c r="E61" s="298">
        <v>1035</v>
      </c>
      <c r="F61" s="299">
        <v>1035</v>
      </c>
      <c r="G61" s="293">
        <v>1035</v>
      </c>
      <c r="H61" s="296">
        <v>1240</v>
      </c>
      <c r="I61" s="297">
        <v>1240</v>
      </c>
      <c r="J61" s="293"/>
      <c r="K61" s="410">
        <v>2070</v>
      </c>
      <c r="L61" s="366" t="b">
        <f t="shared" si="4"/>
        <v>0</v>
      </c>
      <c r="M61" s="460"/>
      <c r="N61" s="460"/>
      <c r="Q61" s="460"/>
      <c r="R61" s="460"/>
    </row>
    <row r="62" spans="1:18">
      <c r="A62" s="184" t="s">
        <v>1687</v>
      </c>
      <c r="B62" s="207" t="str">
        <f t="shared" si="5"/>
        <v>Moldflow Adviser Ultimate</v>
      </c>
      <c r="C62" s="293">
        <v>4095</v>
      </c>
      <c r="D62" s="298">
        <v>4300</v>
      </c>
      <c r="E62" s="298">
        <v>4515</v>
      </c>
      <c r="F62" s="299">
        <v>4515</v>
      </c>
      <c r="G62" s="293">
        <v>4505</v>
      </c>
      <c r="H62" s="296">
        <v>5405</v>
      </c>
      <c r="I62" s="297">
        <v>5405</v>
      </c>
      <c r="J62" s="293"/>
      <c r="K62" s="410">
        <v>10355</v>
      </c>
      <c r="L62" s="366" t="b">
        <f t="shared" si="4"/>
        <v>0</v>
      </c>
      <c r="M62" s="460"/>
      <c r="N62" s="460"/>
      <c r="Q62" s="460"/>
      <c r="R62" s="460"/>
    </row>
    <row r="63" spans="1:18">
      <c r="A63" s="184" t="s">
        <v>1688</v>
      </c>
      <c r="B63" s="207" t="str">
        <f t="shared" si="5"/>
        <v>Moldflow Insight Premium</v>
      </c>
      <c r="C63" s="293">
        <v>9340</v>
      </c>
      <c r="D63" s="298">
        <v>9805</v>
      </c>
      <c r="E63" s="298">
        <v>10295</v>
      </c>
      <c r="F63" s="299">
        <v>10295</v>
      </c>
      <c r="G63" s="293">
        <v>10275</v>
      </c>
      <c r="H63" s="296">
        <v>12330</v>
      </c>
      <c r="I63" s="297">
        <v>12330</v>
      </c>
      <c r="J63" s="293"/>
      <c r="K63" s="410"/>
      <c r="L63" s="366" t="b">
        <f t="shared" si="4"/>
        <v>0</v>
      </c>
      <c r="M63" s="460"/>
      <c r="N63" s="460"/>
      <c r="Q63" s="460"/>
      <c r="R63" s="460"/>
    </row>
    <row r="64" spans="1:18">
      <c r="A64" s="184" t="s">
        <v>1689</v>
      </c>
      <c r="B64" s="207" t="str">
        <f t="shared" si="5"/>
        <v>Moldflow Insight Standard</v>
      </c>
      <c r="C64" s="293">
        <v>4660</v>
      </c>
      <c r="D64" s="298">
        <v>4895</v>
      </c>
      <c r="E64" s="298">
        <v>5140</v>
      </c>
      <c r="F64" s="299">
        <v>5140</v>
      </c>
      <c r="G64" s="293">
        <v>5125</v>
      </c>
      <c r="H64" s="296">
        <v>6150</v>
      </c>
      <c r="I64" s="297">
        <v>6150</v>
      </c>
      <c r="J64" s="293"/>
      <c r="K64" s="410"/>
      <c r="L64" s="366" t="b">
        <f t="shared" si="4"/>
        <v>0</v>
      </c>
      <c r="M64" s="460"/>
      <c r="N64" s="460"/>
      <c r="Q64" s="460"/>
      <c r="R64" s="460"/>
    </row>
    <row r="65" spans="1:18">
      <c r="A65" s="184" t="s">
        <v>1690</v>
      </c>
      <c r="B65" s="207" t="str">
        <f t="shared" si="5"/>
        <v>Moldflow Insight Ultimate</v>
      </c>
      <c r="C65" s="293">
        <v>12585</v>
      </c>
      <c r="D65" s="298">
        <v>13215</v>
      </c>
      <c r="E65" s="298">
        <v>13875</v>
      </c>
      <c r="F65" s="299">
        <v>13875</v>
      </c>
      <c r="G65" s="293">
        <v>13845</v>
      </c>
      <c r="H65" s="296">
        <v>16615</v>
      </c>
      <c r="I65" s="297">
        <v>16615</v>
      </c>
      <c r="J65" s="293"/>
      <c r="K65" s="410"/>
      <c r="L65" s="366" t="b">
        <f t="shared" si="4"/>
        <v>0</v>
      </c>
      <c r="M65" s="460"/>
      <c r="N65" s="460"/>
      <c r="Q65" s="460"/>
      <c r="R65" s="460"/>
    </row>
    <row r="66" spans="1:18">
      <c r="A66" s="184" t="s">
        <v>1691</v>
      </c>
      <c r="B66" s="207" t="str">
        <f t="shared" si="5"/>
        <v>Moldflow Synergy</v>
      </c>
      <c r="C66" s="293">
        <v>1985</v>
      </c>
      <c r="D66" s="298">
        <v>2085</v>
      </c>
      <c r="E66" s="298">
        <v>2190</v>
      </c>
      <c r="F66" s="299">
        <v>2190</v>
      </c>
      <c r="G66" s="293">
        <v>2185</v>
      </c>
      <c r="H66" s="296">
        <v>2620</v>
      </c>
      <c r="I66" s="297">
        <v>2620</v>
      </c>
      <c r="J66" s="293"/>
      <c r="K66" s="410">
        <v>4970</v>
      </c>
      <c r="L66" s="366" t="b">
        <f t="shared" si="4"/>
        <v>0</v>
      </c>
      <c r="M66" s="460"/>
      <c r="N66" s="460"/>
      <c r="Q66" s="460"/>
      <c r="R66" s="460"/>
    </row>
    <row r="67" spans="1:18">
      <c r="A67" s="184" t="s">
        <v>292</v>
      </c>
      <c r="B67" s="207" t="str">
        <f t="shared" si="5"/>
        <v>MotionBuilder</v>
      </c>
      <c r="C67" s="293">
        <v>820</v>
      </c>
      <c r="D67" s="298">
        <v>905</v>
      </c>
      <c r="E67" s="298">
        <v>950</v>
      </c>
      <c r="F67" s="299">
        <v>950</v>
      </c>
      <c r="G67" s="293">
        <v>945</v>
      </c>
      <c r="H67" s="296">
        <v>1135</v>
      </c>
      <c r="I67" s="297">
        <v>1135</v>
      </c>
      <c r="J67" s="293">
        <v>1655</v>
      </c>
      <c r="K67" s="410">
        <v>2895</v>
      </c>
      <c r="L67" s="366" t="b">
        <f t="shared" si="4"/>
        <v>0</v>
      </c>
      <c r="M67" s="460"/>
      <c r="N67" s="460"/>
      <c r="Q67" s="460"/>
      <c r="R67" s="460"/>
    </row>
    <row r="68" spans="1:18">
      <c r="A68" s="184" t="s">
        <v>1692</v>
      </c>
      <c r="B68" s="207" t="str">
        <f t="shared" si="5"/>
        <v>Mudbox</v>
      </c>
      <c r="C68" s="293">
        <v>80</v>
      </c>
      <c r="D68" s="298">
        <v>85</v>
      </c>
      <c r="E68" s="298">
        <v>90</v>
      </c>
      <c r="F68" s="299">
        <v>90</v>
      </c>
      <c r="G68" s="293">
        <v>90</v>
      </c>
      <c r="H68" s="296">
        <v>110</v>
      </c>
      <c r="I68" s="297">
        <v>110</v>
      </c>
      <c r="J68" s="293">
        <v>75</v>
      </c>
      <c r="K68" s="410">
        <v>130</v>
      </c>
      <c r="L68" s="366" t="b">
        <f t="shared" ref="L68:L99" si="6">MAX(C68:K68)=MIN(C68:K68)</f>
        <v>0</v>
      </c>
      <c r="M68" s="460"/>
      <c r="N68" s="460"/>
      <c r="Q68" s="460"/>
      <c r="R68" s="460"/>
    </row>
    <row r="69" spans="1:18">
      <c r="A69" s="184" t="s">
        <v>1693</v>
      </c>
      <c r="B69" s="207" t="str">
        <f t="shared" si="5"/>
        <v>Nastran</v>
      </c>
      <c r="C69" s="293">
        <v>1335</v>
      </c>
      <c r="D69" s="298">
        <v>1400</v>
      </c>
      <c r="E69" s="298">
        <v>1470</v>
      </c>
      <c r="F69" s="299">
        <v>1470</v>
      </c>
      <c r="G69" s="293">
        <v>1470</v>
      </c>
      <c r="H69" s="296">
        <v>1765</v>
      </c>
      <c r="I69" s="297">
        <v>1765</v>
      </c>
      <c r="J69" s="293"/>
      <c r="K69" s="410">
        <v>4245</v>
      </c>
      <c r="L69" s="366" t="b">
        <f t="shared" si="6"/>
        <v>0</v>
      </c>
      <c r="M69" s="460"/>
      <c r="N69" s="460"/>
      <c r="Q69" s="460"/>
      <c r="R69" s="460"/>
    </row>
    <row r="70" spans="1:18">
      <c r="A70" s="184" t="s">
        <v>1694</v>
      </c>
      <c r="B70" s="207" t="str">
        <f t="shared" si="5"/>
        <v>Nastran In-CAD</v>
      </c>
      <c r="C70" s="293">
        <v>1385</v>
      </c>
      <c r="D70" s="298">
        <v>1455</v>
      </c>
      <c r="E70" s="298">
        <v>1530</v>
      </c>
      <c r="F70" s="299">
        <v>1530</v>
      </c>
      <c r="G70" s="293">
        <v>1525</v>
      </c>
      <c r="H70" s="296">
        <v>1830</v>
      </c>
      <c r="I70" s="297">
        <v>1830</v>
      </c>
      <c r="J70" s="293"/>
      <c r="K70" s="297">
        <v>3325</v>
      </c>
      <c r="L70" s="366" t="b">
        <f t="shared" si="6"/>
        <v>0</v>
      </c>
      <c r="M70" s="460"/>
      <c r="N70" s="460"/>
      <c r="Q70" s="460"/>
      <c r="R70" s="460"/>
    </row>
    <row r="71" spans="1:18">
      <c r="A71" s="184" t="s">
        <v>1791</v>
      </c>
      <c r="B71" s="207" t="str">
        <f t="shared" si="5"/>
        <v>Navisworks Manage*</v>
      </c>
      <c r="C71" s="293">
        <v>900</v>
      </c>
      <c r="D71" s="298">
        <v>815</v>
      </c>
      <c r="E71" s="298">
        <v>855</v>
      </c>
      <c r="F71" s="299">
        <v>855</v>
      </c>
      <c r="G71" s="293">
        <v>1040</v>
      </c>
      <c r="H71" s="296">
        <v>1250</v>
      </c>
      <c r="I71" s="297">
        <v>1250</v>
      </c>
      <c r="J71" s="293">
        <v>2040</v>
      </c>
      <c r="K71" s="410">
        <v>3060</v>
      </c>
      <c r="L71" s="366" t="b">
        <f t="shared" si="6"/>
        <v>0</v>
      </c>
      <c r="M71" s="460"/>
      <c r="N71" s="460"/>
      <c r="Q71" s="460"/>
      <c r="R71" s="460"/>
    </row>
    <row r="72" spans="1:18">
      <c r="A72" s="184" t="s">
        <v>1695</v>
      </c>
      <c r="B72" s="207" t="str">
        <f t="shared" si="5"/>
        <v>Navisworks Simulate</v>
      </c>
      <c r="C72" s="293">
        <v>330</v>
      </c>
      <c r="D72" s="298">
        <v>345</v>
      </c>
      <c r="E72" s="298">
        <v>360</v>
      </c>
      <c r="F72" s="299">
        <v>360</v>
      </c>
      <c r="G72" s="293">
        <v>365</v>
      </c>
      <c r="H72" s="296">
        <v>440</v>
      </c>
      <c r="I72" s="297">
        <v>440</v>
      </c>
      <c r="J72" s="293">
        <v>830</v>
      </c>
      <c r="K72" s="410">
        <v>1455</v>
      </c>
      <c r="L72" s="366" t="b">
        <f t="shared" si="6"/>
        <v>0</v>
      </c>
      <c r="M72" s="460"/>
      <c r="N72" s="460"/>
      <c r="Q72" s="460"/>
      <c r="R72" s="460"/>
    </row>
    <row r="73" spans="1:18">
      <c r="A73" s="184" t="s">
        <v>293</v>
      </c>
      <c r="B73" s="207" t="str">
        <f t="shared" si="5"/>
        <v>Plant Design Suite Premium</v>
      </c>
      <c r="C73" s="293">
        <v>1440</v>
      </c>
      <c r="D73" s="298" t="s">
        <v>389</v>
      </c>
      <c r="E73" s="298" t="s">
        <v>389</v>
      </c>
      <c r="F73" s="299" t="s">
        <v>389</v>
      </c>
      <c r="G73" s="293">
        <v>1660</v>
      </c>
      <c r="H73" s="296">
        <v>1990</v>
      </c>
      <c r="I73" s="297">
        <v>1990</v>
      </c>
      <c r="J73" s="293"/>
      <c r="K73" s="293"/>
      <c r="L73" s="366" t="b">
        <f t="shared" si="6"/>
        <v>0</v>
      </c>
      <c r="M73" s="460"/>
      <c r="N73" s="460"/>
      <c r="Q73" s="460"/>
      <c r="R73" s="460"/>
    </row>
    <row r="74" spans="1:18">
      <c r="A74" s="184" t="s">
        <v>294</v>
      </c>
      <c r="B74" s="207" t="str">
        <f t="shared" si="5"/>
        <v>Plant Design Suite Standard</v>
      </c>
      <c r="C74" s="293">
        <v>845</v>
      </c>
      <c r="D74" s="298" t="s">
        <v>389</v>
      </c>
      <c r="E74" s="298" t="s">
        <v>389</v>
      </c>
      <c r="F74" s="299" t="s">
        <v>389</v>
      </c>
      <c r="G74" s="293">
        <v>975</v>
      </c>
      <c r="H74" s="296">
        <v>1170</v>
      </c>
      <c r="I74" s="297">
        <v>1170</v>
      </c>
      <c r="J74" s="293"/>
      <c r="K74" s="293"/>
      <c r="L74" s="366" t="b">
        <f t="shared" si="6"/>
        <v>0</v>
      </c>
      <c r="M74" s="460"/>
      <c r="N74" s="460"/>
      <c r="Q74" s="460"/>
      <c r="R74" s="460"/>
    </row>
    <row r="75" spans="1:18">
      <c r="A75" s="184" t="s">
        <v>295</v>
      </c>
      <c r="B75" s="207" t="str">
        <f t="shared" si="5"/>
        <v>Plant Design Suite Ultimate</v>
      </c>
      <c r="C75" s="293">
        <v>2190</v>
      </c>
      <c r="D75" s="298" t="s">
        <v>389</v>
      </c>
      <c r="E75" s="298" t="s">
        <v>389</v>
      </c>
      <c r="F75" s="299" t="s">
        <v>389</v>
      </c>
      <c r="G75" s="293">
        <v>2530</v>
      </c>
      <c r="H75" s="296">
        <v>3035</v>
      </c>
      <c r="I75" s="297">
        <v>3035</v>
      </c>
      <c r="J75" s="293"/>
      <c r="K75" s="293"/>
      <c r="L75" s="366" t="b">
        <f t="shared" si="6"/>
        <v>0</v>
      </c>
      <c r="M75" s="460"/>
      <c r="N75" s="460"/>
      <c r="Q75" s="460"/>
      <c r="R75" s="460"/>
    </row>
    <row r="76" spans="1:18">
      <c r="A76" s="184" t="s">
        <v>1696</v>
      </c>
      <c r="B76" s="207" t="str">
        <f t="shared" si="5"/>
        <v>Point Layout</v>
      </c>
      <c r="C76" s="293">
        <v>600</v>
      </c>
      <c r="D76" s="298">
        <v>630</v>
      </c>
      <c r="E76" s="298">
        <v>660</v>
      </c>
      <c r="F76" s="299">
        <v>660</v>
      </c>
      <c r="G76" s="293">
        <v>660</v>
      </c>
      <c r="H76" s="296">
        <v>790</v>
      </c>
      <c r="I76" s="297">
        <v>790</v>
      </c>
      <c r="J76" s="293">
        <v>1575</v>
      </c>
      <c r="K76" s="410">
        <v>2755</v>
      </c>
      <c r="L76" s="366" t="b">
        <f t="shared" si="6"/>
        <v>0</v>
      </c>
      <c r="M76" s="460"/>
      <c r="N76" s="460"/>
      <c r="Q76" s="460"/>
      <c r="R76" s="460"/>
    </row>
    <row r="77" spans="1:18">
      <c r="A77" s="184" t="s">
        <v>296</v>
      </c>
      <c r="B77" s="207" t="str">
        <f t="shared" si="5"/>
        <v>Product Design Suite Premium</v>
      </c>
      <c r="C77" s="293">
        <v>1095</v>
      </c>
      <c r="D77" s="298" t="s">
        <v>389</v>
      </c>
      <c r="E77" s="298" t="s">
        <v>389</v>
      </c>
      <c r="F77" s="299" t="s">
        <v>389</v>
      </c>
      <c r="G77" s="293">
        <v>1265</v>
      </c>
      <c r="H77" s="296">
        <v>1520</v>
      </c>
      <c r="I77" s="297">
        <v>1520</v>
      </c>
      <c r="J77" s="293"/>
      <c r="K77" s="293"/>
      <c r="L77" s="366" t="b">
        <f t="shared" si="6"/>
        <v>0</v>
      </c>
      <c r="M77" s="460"/>
      <c r="N77" s="460"/>
      <c r="Q77" s="460"/>
      <c r="R77" s="460"/>
    </row>
    <row r="78" spans="1:18">
      <c r="A78" s="184" t="s">
        <v>297</v>
      </c>
      <c r="B78" s="207" t="str">
        <f t="shared" si="5"/>
        <v>Product Design Suite Ultimate</v>
      </c>
      <c r="C78" s="293">
        <v>1245</v>
      </c>
      <c r="D78" s="298" t="s">
        <v>389</v>
      </c>
      <c r="E78" s="298" t="s">
        <v>389</v>
      </c>
      <c r="F78" s="299" t="s">
        <v>389</v>
      </c>
      <c r="G78" s="293">
        <v>1435</v>
      </c>
      <c r="H78" s="296">
        <v>1720</v>
      </c>
      <c r="I78" s="297">
        <v>1720</v>
      </c>
      <c r="J78" s="293"/>
      <c r="K78" s="293"/>
      <c r="L78" s="366" t="b">
        <f t="shared" si="6"/>
        <v>0</v>
      </c>
      <c r="M78" s="460"/>
      <c r="N78" s="460"/>
      <c r="Q78" s="460"/>
      <c r="R78" s="460"/>
    </row>
    <row r="79" spans="1:18">
      <c r="A79" s="184" t="s">
        <v>1798</v>
      </c>
      <c r="B79" s="207" t="str">
        <f t="shared" si="5"/>
        <v>Quantity Take Off</v>
      </c>
      <c r="C79" s="293">
        <v>240</v>
      </c>
      <c r="D79" s="298"/>
      <c r="E79" s="298"/>
      <c r="F79" s="299"/>
      <c r="G79" s="293">
        <v>265</v>
      </c>
      <c r="H79" s="296">
        <v>320</v>
      </c>
      <c r="I79" s="297">
        <v>320</v>
      </c>
      <c r="J79" s="293"/>
      <c r="K79" s="293"/>
      <c r="L79" s="366" t="b">
        <f t="shared" si="6"/>
        <v>0</v>
      </c>
      <c r="M79" s="460"/>
      <c r="N79" s="460"/>
      <c r="Q79" s="460"/>
      <c r="R79" s="460"/>
    </row>
    <row r="80" spans="1:18">
      <c r="A80" s="184" t="s">
        <v>298</v>
      </c>
      <c r="B80" s="207" t="str">
        <f t="shared" si="5"/>
        <v>Revit</v>
      </c>
      <c r="C80" s="293">
        <v>795</v>
      </c>
      <c r="D80" s="298">
        <v>875</v>
      </c>
      <c r="E80" s="298">
        <v>920</v>
      </c>
      <c r="F80" s="299">
        <v>920</v>
      </c>
      <c r="G80" s="293">
        <v>920</v>
      </c>
      <c r="H80" s="296">
        <v>1105</v>
      </c>
      <c r="I80" s="297">
        <v>1105</v>
      </c>
      <c r="J80" s="411">
        <v>2170</v>
      </c>
      <c r="K80" s="410">
        <v>2965</v>
      </c>
      <c r="L80" s="366" t="b">
        <f t="shared" si="6"/>
        <v>0</v>
      </c>
      <c r="M80" s="460"/>
      <c r="N80" s="460"/>
      <c r="Q80" s="460"/>
      <c r="R80" s="460"/>
    </row>
    <row r="81" spans="1:18">
      <c r="A81" s="184" t="s">
        <v>1715</v>
      </c>
      <c r="B81" s="207" t="str">
        <f t="shared" si="5"/>
        <v>Revit Architecture</v>
      </c>
      <c r="C81" s="293">
        <v>835</v>
      </c>
      <c r="D81" s="298">
        <v>875</v>
      </c>
      <c r="E81" s="298">
        <v>920</v>
      </c>
      <c r="F81" s="299">
        <v>920</v>
      </c>
      <c r="G81" s="293">
        <v>920</v>
      </c>
      <c r="H81" s="296">
        <v>1105</v>
      </c>
      <c r="I81" s="297">
        <v>1105</v>
      </c>
      <c r="J81" s="293">
        <v>1865</v>
      </c>
      <c r="K81" s="297">
        <v>2800</v>
      </c>
      <c r="L81" s="366" t="b">
        <f t="shared" si="6"/>
        <v>0</v>
      </c>
      <c r="M81" s="460"/>
      <c r="N81" s="460"/>
      <c r="Q81" s="460"/>
      <c r="R81" s="460"/>
    </row>
    <row r="82" spans="1:18">
      <c r="A82" s="184" t="s">
        <v>299</v>
      </c>
      <c r="B82" s="207" t="str">
        <f t="shared" si="5"/>
        <v>Revit LT</v>
      </c>
      <c r="C82" s="293">
        <v>170</v>
      </c>
      <c r="D82" s="298">
        <v>190</v>
      </c>
      <c r="E82" s="298">
        <v>200</v>
      </c>
      <c r="F82" s="299">
        <v>200</v>
      </c>
      <c r="G82" s="293">
        <v>200</v>
      </c>
      <c r="H82" s="296">
        <v>240</v>
      </c>
      <c r="I82" s="297">
        <v>240</v>
      </c>
      <c r="J82" s="293">
        <v>440</v>
      </c>
      <c r="K82" s="293"/>
      <c r="L82" s="366" t="b">
        <f t="shared" si="6"/>
        <v>0</v>
      </c>
      <c r="M82" s="460"/>
      <c r="N82" s="460"/>
      <c r="Q82" s="460"/>
      <c r="R82" s="460"/>
    </row>
    <row r="83" spans="1:18">
      <c r="A83" s="184" t="s">
        <v>1716</v>
      </c>
      <c r="B83" s="207" t="str">
        <f t="shared" si="5"/>
        <v>Revit MEP</v>
      </c>
      <c r="C83" s="293">
        <v>835</v>
      </c>
      <c r="D83" s="298">
        <v>875</v>
      </c>
      <c r="E83" s="298">
        <v>920</v>
      </c>
      <c r="F83" s="299">
        <v>920</v>
      </c>
      <c r="G83" s="293">
        <v>920</v>
      </c>
      <c r="H83" s="296">
        <v>1105</v>
      </c>
      <c r="I83" s="297">
        <v>1105</v>
      </c>
      <c r="J83" s="293">
        <v>1865</v>
      </c>
      <c r="K83" s="297">
        <v>2800</v>
      </c>
      <c r="L83" s="366" t="b">
        <f t="shared" si="6"/>
        <v>0</v>
      </c>
      <c r="M83" s="460"/>
      <c r="N83" s="460"/>
      <c r="Q83" s="460"/>
      <c r="R83" s="460"/>
    </row>
    <row r="84" spans="1:18">
      <c r="A84" s="184" t="s">
        <v>1717</v>
      </c>
      <c r="B84" s="207" t="str">
        <f t="shared" si="5"/>
        <v>Revit Structure</v>
      </c>
      <c r="C84" s="293">
        <v>835</v>
      </c>
      <c r="D84" s="298">
        <v>875</v>
      </c>
      <c r="E84" s="298">
        <v>920</v>
      </c>
      <c r="F84" s="299">
        <v>920</v>
      </c>
      <c r="G84" s="293">
        <v>920</v>
      </c>
      <c r="H84" s="296">
        <v>1105</v>
      </c>
      <c r="I84" s="297">
        <v>1105</v>
      </c>
      <c r="J84" s="293">
        <v>1865</v>
      </c>
      <c r="K84" s="297">
        <v>2800</v>
      </c>
      <c r="L84" s="366" t="b">
        <f t="shared" si="6"/>
        <v>0</v>
      </c>
      <c r="M84" s="460"/>
      <c r="N84" s="460"/>
      <c r="Q84" s="460"/>
      <c r="R84" s="460"/>
    </row>
    <row r="85" spans="1:18">
      <c r="A85" s="184" t="s">
        <v>1697</v>
      </c>
      <c r="B85" s="207" t="str">
        <f t="shared" si="5"/>
        <v>Robot Structural Analysis Professional</v>
      </c>
      <c r="C85" s="293">
        <v>945</v>
      </c>
      <c r="D85" s="298">
        <v>990</v>
      </c>
      <c r="E85" s="298">
        <v>1040</v>
      </c>
      <c r="F85" s="299">
        <v>1040</v>
      </c>
      <c r="G85" s="293">
        <v>1040</v>
      </c>
      <c r="H85" s="296">
        <v>1250</v>
      </c>
      <c r="I85" s="297">
        <v>1250</v>
      </c>
      <c r="J85" s="293">
        <v>2485</v>
      </c>
      <c r="K85" s="410">
        <v>4350</v>
      </c>
      <c r="L85" s="366" t="b">
        <f t="shared" si="6"/>
        <v>0</v>
      </c>
      <c r="M85" s="460"/>
      <c r="N85" s="460"/>
      <c r="Q85" s="460"/>
      <c r="R85" s="460"/>
    </row>
    <row r="86" spans="1:18">
      <c r="A86" s="184" t="s">
        <v>1718</v>
      </c>
      <c r="B86" s="207" t="str">
        <f t="shared" ref="B86:B116" si="7">VLOOKUP(IF(LEFT(A86,LEN(nmADwSP))=nmADwSP,RIGHT(A86,LEN(A86)-LEN(nmADwSP)),A86),DataPaths_List_ProdMT_NonCurrency,1,FALSE)</f>
        <v>Simulation Mechanical</v>
      </c>
      <c r="C86" s="293">
        <v>2425</v>
      </c>
      <c r="D86" s="298">
        <v>1455</v>
      </c>
      <c r="E86" s="298">
        <v>1530</v>
      </c>
      <c r="F86" s="299">
        <v>1530</v>
      </c>
      <c r="G86" s="293">
        <v>2670</v>
      </c>
      <c r="H86" s="296">
        <v>3205</v>
      </c>
      <c r="I86" s="297">
        <v>3205</v>
      </c>
      <c r="J86" s="293">
        <v>0</v>
      </c>
      <c r="K86" s="297">
        <v>3325</v>
      </c>
      <c r="L86" s="366" t="b">
        <f t="shared" si="6"/>
        <v>0</v>
      </c>
      <c r="M86" s="460"/>
      <c r="N86" s="460"/>
      <c r="Q86" s="460"/>
      <c r="R86" s="460"/>
    </row>
    <row r="87" spans="1:18">
      <c r="A87" s="184" t="s">
        <v>1721</v>
      </c>
      <c r="B87" s="207" t="str">
        <f t="shared" si="7"/>
        <v>SketchBook - For Enterprise</v>
      </c>
      <c r="C87" s="293">
        <v>30</v>
      </c>
      <c r="D87" s="298">
        <v>30</v>
      </c>
      <c r="E87" s="298">
        <v>30</v>
      </c>
      <c r="F87" s="299">
        <v>30</v>
      </c>
      <c r="G87" s="293">
        <v>35</v>
      </c>
      <c r="H87" s="296">
        <v>40</v>
      </c>
      <c r="I87" s="297">
        <v>40</v>
      </c>
      <c r="J87" s="293">
        <v>80</v>
      </c>
      <c r="K87" s="410">
        <v>140</v>
      </c>
      <c r="L87" s="366" t="b">
        <f t="shared" si="6"/>
        <v>0</v>
      </c>
      <c r="M87" s="460"/>
      <c r="N87" s="460"/>
      <c r="Q87" s="460"/>
      <c r="R87" s="460"/>
    </row>
    <row r="88" spans="1:18">
      <c r="A88" s="184" t="s">
        <v>1901</v>
      </c>
      <c r="B88" s="207" t="str">
        <f t="shared" si="7"/>
        <v>Structural Bridge Design</v>
      </c>
      <c r="C88" s="184">
        <v>520</v>
      </c>
      <c r="D88" s="200" t="s">
        <v>389</v>
      </c>
      <c r="E88" s="200" t="s">
        <v>389</v>
      </c>
      <c r="F88" s="201" t="s">
        <v>389</v>
      </c>
      <c r="G88" s="184">
        <v>570</v>
      </c>
      <c r="H88" s="199">
        <v>685</v>
      </c>
      <c r="I88" s="185">
        <v>685</v>
      </c>
      <c r="J88" s="293"/>
      <c r="K88" s="293"/>
      <c r="L88" s="366" t="b">
        <f t="shared" si="6"/>
        <v>0</v>
      </c>
      <c r="M88" s="460"/>
      <c r="N88" s="460"/>
      <c r="Q88" s="460"/>
      <c r="R88" s="460"/>
    </row>
    <row r="89" spans="1:18">
      <c r="A89" s="184" t="s">
        <v>1699</v>
      </c>
      <c r="B89" s="207" t="str">
        <f t="shared" si="7"/>
        <v>TruComp</v>
      </c>
      <c r="C89" s="293">
        <v>13435</v>
      </c>
      <c r="D89" s="298">
        <v>14105</v>
      </c>
      <c r="E89" s="298">
        <v>14810</v>
      </c>
      <c r="F89" s="299">
        <v>14810</v>
      </c>
      <c r="G89" s="293">
        <v>14780</v>
      </c>
      <c r="H89" s="296">
        <v>17735</v>
      </c>
      <c r="I89" s="297">
        <v>17735</v>
      </c>
      <c r="J89" s="293"/>
      <c r="K89" s="410">
        <v>51745</v>
      </c>
      <c r="L89" s="366" t="b">
        <f t="shared" si="6"/>
        <v>0</v>
      </c>
      <c r="M89" s="460"/>
      <c r="N89" s="460"/>
      <c r="Q89" s="460"/>
      <c r="R89" s="460"/>
    </row>
    <row r="90" spans="1:18">
      <c r="A90" s="184" t="s">
        <v>1700</v>
      </c>
      <c r="B90" s="207" t="str">
        <f t="shared" si="7"/>
        <v>TruLaser</v>
      </c>
      <c r="C90" s="293">
        <v>2285</v>
      </c>
      <c r="D90" s="298">
        <v>2400</v>
      </c>
      <c r="E90" s="298">
        <v>2520</v>
      </c>
      <c r="F90" s="299">
        <v>2520</v>
      </c>
      <c r="G90" s="293">
        <v>2515</v>
      </c>
      <c r="H90" s="296">
        <v>3020</v>
      </c>
      <c r="I90" s="297">
        <v>3020</v>
      </c>
      <c r="J90" s="293">
        <v>5925</v>
      </c>
      <c r="K90" s="410">
        <v>10370</v>
      </c>
      <c r="L90" s="366" t="b">
        <f t="shared" si="6"/>
        <v>0</v>
      </c>
      <c r="M90" s="460"/>
      <c r="N90" s="460"/>
      <c r="Q90" s="460"/>
      <c r="R90" s="460"/>
    </row>
    <row r="91" spans="1:18">
      <c r="A91" s="184" t="s">
        <v>1701</v>
      </c>
      <c r="B91" s="207" t="str">
        <f t="shared" si="7"/>
        <v>TruNest Composites</v>
      </c>
      <c r="C91" s="293">
        <v>3765</v>
      </c>
      <c r="D91" s="298">
        <v>3955</v>
      </c>
      <c r="E91" s="298">
        <v>4155</v>
      </c>
      <c r="F91" s="299">
        <v>4155</v>
      </c>
      <c r="G91" s="293">
        <v>4140</v>
      </c>
      <c r="H91" s="296">
        <v>4970</v>
      </c>
      <c r="I91" s="297">
        <v>4970</v>
      </c>
      <c r="J91" s="293">
        <v>9860</v>
      </c>
      <c r="K91" s="410">
        <v>17255</v>
      </c>
      <c r="L91" s="366" t="b">
        <f t="shared" si="6"/>
        <v>0</v>
      </c>
      <c r="M91" s="460"/>
      <c r="N91" s="460"/>
      <c r="Q91" s="460"/>
      <c r="R91" s="460"/>
    </row>
    <row r="92" spans="1:18">
      <c r="A92" s="184" t="s">
        <v>1702</v>
      </c>
      <c r="B92" s="207" t="str">
        <f t="shared" si="7"/>
        <v>TruNest Contour</v>
      </c>
      <c r="C92" s="293">
        <v>3105</v>
      </c>
      <c r="D92" s="298">
        <v>3260</v>
      </c>
      <c r="E92" s="298">
        <v>3425</v>
      </c>
      <c r="F92" s="299">
        <v>3425</v>
      </c>
      <c r="G92" s="293">
        <v>3415</v>
      </c>
      <c r="H92" s="296">
        <v>4100</v>
      </c>
      <c r="I92" s="297">
        <v>4100</v>
      </c>
      <c r="J92" s="293">
        <v>7870</v>
      </c>
      <c r="K92" s="410">
        <v>13775</v>
      </c>
      <c r="L92" s="366" t="b">
        <f t="shared" si="6"/>
        <v>0</v>
      </c>
      <c r="M92" s="460"/>
      <c r="N92" s="460"/>
      <c r="Q92" s="460"/>
      <c r="R92" s="460"/>
    </row>
    <row r="93" spans="1:18">
      <c r="A93" s="184" t="s">
        <v>1703</v>
      </c>
      <c r="B93" s="207" t="str">
        <f t="shared" si="7"/>
        <v>TruNest Multi-Tool</v>
      </c>
      <c r="C93" s="293">
        <v>3765</v>
      </c>
      <c r="D93" s="298">
        <v>3955</v>
      </c>
      <c r="E93" s="298">
        <v>4155</v>
      </c>
      <c r="F93" s="299">
        <v>4155</v>
      </c>
      <c r="G93" s="293">
        <v>4140</v>
      </c>
      <c r="H93" s="296">
        <v>4970</v>
      </c>
      <c r="I93" s="297">
        <v>4970</v>
      </c>
      <c r="J93" s="293">
        <v>9860</v>
      </c>
      <c r="K93" s="410">
        <v>17255</v>
      </c>
      <c r="L93" s="366" t="b">
        <f t="shared" si="6"/>
        <v>0</v>
      </c>
      <c r="M93" s="460"/>
      <c r="N93" s="460"/>
      <c r="Q93" s="460"/>
      <c r="R93" s="460"/>
    </row>
    <row r="94" spans="1:18">
      <c r="A94" s="184" t="s">
        <v>1704</v>
      </c>
      <c r="B94" s="207" t="str">
        <f t="shared" si="7"/>
        <v>Vault Office</v>
      </c>
      <c r="C94" s="293">
        <v>85</v>
      </c>
      <c r="D94" s="298">
        <v>90</v>
      </c>
      <c r="E94" s="298">
        <v>95</v>
      </c>
      <c r="F94" s="299">
        <v>95</v>
      </c>
      <c r="G94" s="293">
        <v>95</v>
      </c>
      <c r="H94" s="296">
        <v>115</v>
      </c>
      <c r="I94" s="297">
        <v>115</v>
      </c>
      <c r="J94" s="293"/>
      <c r="K94" s="410">
        <v>245</v>
      </c>
      <c r="L94" s="366" t="b">
        <f t="shared" si="6"/>
        <v>0</v>
      </c>
      <c r="M94" s="460"/>
      <c r="N94" s="460"/>
      <c r="Q94" s="460"/>
      <c r="R94" s="460"/>
    </row>
    <row r="95" spans="1:18">
      <c r="A95" s="184" t="s">
        <v>1705</v>
      </c>
      <c r="B95" s="207" t="str">
        <f t="shared" si="7"/>
        <v>Vault Professional</v>
      </c>
      <c r="C95" s="293">
        <v>315</v>
      </c>
      <c r="D95" s="298">
        <v>330</v>
      </c>
      <c r="E95" s="298">
        <v>345</v>
      </c>
      <c r="F95" s="299">
        <v>345</v>
      </c>
      <c r="G95" s="293">
        <v>345</v>
      </c>
      <c r="H95" s="296">
        <v>415</v>
      </c>
      <c r="I95" s="297">
        <v>415</v>
      </c>
      <c r="J95" s="293">
        <v>625</v>
      </c>
      <c r="K95" s="410">
        <v>940</v>
      </c>
      <c r="L95" s="366" t="b">
        <f t="shared" si="6"/>
        <v>0</v>
      </c>
      <c r="M95" s="460"/>
      <c r="N95" s="460"/>
      <c r="Q95" s="460"/>
      <c r="R95" s="460"/>
    </row>
    <row r="96" spans="1:18">
      <c r="A96" s="184" t="s">
        <v>1706</v>
      </c>
      <c r="B96" s="207" t="str">
        <f t="shared" si="7"/>
        <v>Vault Workgroup</v>
      </c>
      <c r="C96" s="293">
        <v>165</v>
      </c>
      <c r="D96" s="298">
        <v>175</v>
      </c>
      <c r="E96" s="298">
        <v>185</v>
      </c>
      <c r="F96" s="299">
        <v>185</v>
      </c>
      <c r="G96" s="293">
        <v>180</v>
      </c>
      <c r="H96" s="296">
        <v>215</v>
      </c>
      <c r="I96" s="297">
        <v>215</v>
      </c>
      <c r="J96" s="293">
        <v>330</v>
      </c>
      <c r="K96" s="410">
        <v>495</v>
      </c>
      <c r="L96" s="366" t="b">
        <f t="shared" si="6"/>
        <v>0</v>
      </c>
      <c r="M96" s="460"/>
      <c r="N96" s="460"/>
      <c r="Q96" s="460"/>
      <c r="R96" s="460"/>
    </row>
    <row r="97" spans="1:18">
      <c r="A97" s="184" t="s">
        <v>1707</v>
      </c>
      <c r="B97" s="207" t="str">
        <f t="shared" si="7"/>
        <v>Vehicle Tracking</v>
      </c>
      <c r="C97" s="293">
        <v>315</v>
      </c>
      <c r="D97" s="298">
        <v>330</v>
      </c>
      <c r="E97" s="298">
        <v>345</v>
      </c>
      <c r="F97" s="299">
        <v>345</v>
      </c>
      <c r="G97" s="293">
        <v>345</v>
      </c>
      <c r="H97" s="296">
        <v>415</v>
      </c>
      <c r="I97" s="297">
        <v>415</v>
      </c>
      <c r="J97" s="293">
        <v>785</v>
      </c>
      <c r="K97" s="410">
        <v>1375</v>
      </c>
      <c r="L97" s="366" t="b">
        <f t="shared" si="6"/>
        <v>0</v>
      </c>
      <c r="M97" s="460"/>
      <c r="N97" s="460"/>
      <c r="Q97" s="460"/>
      <c r="R97" s="460"/>
    </row>
    <row r="98" spans="1:18">
      <c r="A98" s="184" t="s">
        <v>1708</v>
      </c>
      <c r="B98" s="207" t="str">
        <f t="shared" si="7"/>
        <v>VRED</v>
      </c>
      <c r="C98" s="293">
        <v>245</v>
      </c>
      <c r="D98" s="298">
        <v>255</v>
      </c>
      <c r="E98" s="298">
        <v>270</v>
      </c>
      <c r="F98" s="299">
        <v>270</v>
      </c>
      <c r="G98" s="293">
        <v>270</v>
      </c>
      <c r="H98" s="296">
        <v>325</v>
      </c>
      <c r="I98" s="297">
        <v>325</v>
      </c>
      <c r="J98" s="293">
        <v>600</v>
      </c>
      <c r="K98" s="410">
        <v>1050</v>
      </c>
      <c r="L98" s="366" t="b">
        <f t="shared" si="6"/>
        <v>0</v>
      </c>
      <c r="M98" s="460"/>
      <c r="N98" s="460"/>
      <c r="Q98" s="460"/>
      <c r="R98" s="460"/>
    </row>
    <row r="99" spans="1:18">
      <c r="A99" s="184" t="s">
        <v>1709</v>
      </c>
      <c r="B99" s="207" t="str">
        <f t="shared" si="7"/>
        <v>VRED Design</v>
      </c>
      <c r="C99" s="293">
        <v>1070</v>
      </c>
      <c r="D99" s="298">
        <v>1125</v>
      </c>
      <c r="E99" s="298">
        <v>1180</v>
      </c>
      <c r="F99" s="299">
        <v>1180</v>
      </c>
      <c r="G99" s="293">
        <v>1175</v>
      </c>
      <c r="H99" s="296">
        <v>1410</v>
      </c>
      <c r="I99" s="297">
        <v>1410</v>
      </c>
      <c r="J99" s="293">
        <v>2695</v>
      </c>
      <c r="K99" s="410">
        <v>4715</v>
      </c>
      <c r="L99" s="366" t="b">
        <f t="shared" si="6"/>
        <v>0</v>
      </c>
      <c r="M99" s="460"/>
      <c r="N99" s="460"/>
      <c r="Q99" s="460"/>
      <c r="R99" s="460"/>
    </row>
    <row r="100" spans="1:18">
      <c r="A100" s="184" t="s">
        <v>1710</v>
      </c>
      <c r="B100" s="207" t="str">
        <f t="shared" si="7"/>
        <v>VRED Presenter</v>
      </c>
      <c r="C100" s="293">
        <v>245</v>
      </c>
      <c r="D100" s="298">
        <v>255</v>
      </c>
      <c r="E100" s="298">
        <v>270</v>
      </c>
      <c r="F100" s="299">
        <v>270</v>
      </c>
      <c r="G100" s="293">
        <v>270</v>
      </c>
      <c r="H100" s="296">
        <v>325</v>
      </c>
      <c r="I100" s="297">
        <v>325</v>
      </c>
      <c r="J100" s="293">
        <v>615</v>
      </c>
      <c r="K100" s="410">
        <v>1075</v>
      </c>
      <c r="L100" s="366" t="b">
        <f t="shared" ref="L100:L118" si="8">MAX(C100:K100)=MIN(C100:K100)</f>
        <v>0</v>
      </c>
      <c r="M100" s="460"/>
      <c r="N100" s="460"/>
      <c r="Q100" s="460"/>
      <c r="R100" s="460"/>
    </row>
    <row r="101" spans="1:18">
      <c r="A101" s="184" t="s">
        <v>1711</v>
      </c>
      <c r="B101" s="207" t="str">
        <f t="shared" si="7"/>
        <v>VRED Professional</v>
      </c>
      <c r="C101" s="293">
        <v>4315</v>
      </c>
      <c r="D101" s="298">
        <v>4530</v>
      </c>
      <c r="E101" s="298">
        <v>4755</v>
      </c>
      <c r="F101" s="299">
        <v>4755</v>
      </c>
      <c r="G101" s="293">
        <v>4745</v>
      </c>
      <c r="H101" s="296">
        <v>5695</v>
      </c>
      <c r="I101" s="297">
        <v>5695</v>
      </c>
      <c r="J101" s="293">
        <v>11035</v>
      </c>
      <c r="K101" s="410">
        <v>19310</v>
      </c>
      <c r="L101" s="366" t="b">
        <f t="shared" si="8"/>
        <v>0</v>
      </c>
      <c r="M101" s="460"/>
      <c r="N101" s="460"/>
      <c r="Q101" s="460"/>
      <c r="R101" s="460"/>
    </row>
    <row r="102" spans="1:18">
      <c r="A102" s="416" t="s">
        <v>1712</v>
      </c>
      <c r="B102" s="417" t="str">
        <f t="shared" si="7"/>
        <v>VRED Render Node</v>
      </c>
      <c r="C102" s="432">
        <v>720</v>
      </c>
      <c r="D102" s="433">
        <v>755</v>
      </c>
      <c r="E102" s="433">
        <v>795</v>
      </c>
      <c r="F102" s="434">
        <v>795</v>
      </c>
      <c r="G102" s="432">
        <v>790</v>
      </c>
      <c r="H102" s="435">
        <v>950</v>
      </c>
      <c r="I102" s="436">
        <v>950</v>
      </c>
      <c r="J102" s="293"/>
      <c r="K102" s="437">
        <v>1870</v>
      </c>
      <c r="L102" s="366" t="b">
        <f t="shared" si="8"/>
        <v>0</v>
      </c>
      <c r="M102" s="460"/>
      <c r="N102" s="460"/>
      <c r="Q102" s="460"/>
      <c r="R102" s="460"/>
    </row>
    <row r="103" spans="1:18" s="415" customFormat="1">
      <c r="A103" s="388" t="s">
        <v>1713</v>
      </c>
      <c r="B103" s="423" t="str">
        <f t="shared" si="7"/>
        <v>VRED Server</v>
      </c>
      <c r="C103" s="393">
        <v>11450</v>
      </c>
      <c r="D103" s="409">
        <v>12025</v>
      </c>
      <c r="E103" s="409">
        <v>12625</v>
      </c>
      <c r="F103" s="409">
        <v>12625</v>
      </c>
      <c r="G103" s="393">
        <v>12595</v>
      </c>
      <c r="H103" s="393">
        <v>15115</v>
      </c>
      <c r="I103" s="393">
        <v>15115</v>
      </c>
      <c r="J103" s="293"/>
      <c r="K103" s="455">
        <v>35280</v>
      </c>
      <c r="L103" s="414" t="b">
        <f t="shared" si="8"/>
        <v>0</v>
      </c>
      <c r="M103" s="460"/>
      <c r="N103" s="460"/>
      <c r="O103"/>
      <c r="Q103" s="460"/>
      <c r="R103" s="460"/>
    </row>
    <row r="104" spans="1:18">
      <c r="A104" s="388" t="s">
        <v>1967</v>
      </c>
      <c r="B104" s="423" t="str">
        <f t="shared" si="7"/>
        <v>PowerInspect - Premium</v>
      </c>
      <c r="C104" s="393"/>
      <c r="D104" s="409">
        <v>1480</v>
      </c>
      <c r="E104" s="409">
        <v>1555</v>
      </c>
      <c r="F104" s="409">
        <v>1635</v>
      </c>
      <c r="G104" s="393">
        <v>1480</v>
      </c>
      <c r="H104" s="393">
        <v>1630</v>
      </c>
      <c r="I104" s="393">
        <v>1955</v>
      </c>
      <c r="J104" s="393">
        <v>3945</v>
      </c>
      <c r="K104" s="455">
        <v>5920</v>
      </c>
      <c r="L104" s="414" t="b">
        <f t="shared" si="8"/>
        <v>0</v>
      </c>
      <c r="M104" s="460"/>
      <c r="N104" s="460"/>
    </row>
    <row r="105" spans="1:18">
      <c r="A105" s="388" t="s">
        <v>1968</v>
      </c>
      <c r="B105" s="423" t="str">
        <f t="shared" si="7"/>
        <v xml:space="preserve">PowerInspect - Standard </v>
      </c>
      <c r="C105" s="393"/>
      <c r="D105" s="409">
        <v>360</v>
      </c>
      <c r="E105" s="409">
        <v>380</v>
      </c>
      <c r="F105" s="409">
        <v>400</v>
      </c>
      <c r="G105" s="393">
        <v>360</v>
      </c>
      <c r="H105" s="393">
        <v>395</v>
      </c>
      <c r="I105" s="393">
        <v>475</v>
      </c>
      <c r="J105" s="393">
        <v>985</v>
      </c>
      <c r="K105" s="455">
        <v>1480</v>
      </c>
      <c r="L105" s="414" t="b">
        <f t="shared" si="8"/>
        <v>0</v>
      </c>
      <c r="M105" s="460"/>
      <c r="N105" s="460"/>
    </row>
    <row r="106" spans="1:18">
      <c r="A106" s="388" t="s">
        <v>1969</v>
      </c>
      <c r="B106" s="423" t="str">
        <f t="shared" si="7"/>
        <v>PowerInspect - Ultimate</v>
      </c>
      <c r="C106" s="393"/>
      <c r="D106" s="409">
        <v>2160</v>
      </c>
      <c r="E106" s="409">
        <v>2270</v>
      </c>
      <c r="F106" s="409">
        <v>2385</v>
      </c>
      <c r="G106" s="393">
        <v>2160</v>
      </c>
      <c r="H106" s="393">
        <v>2375</v>
      </c>
      <c r="I106" s="393">
        <v>2850</v>
      </c>
      <c r="J106" s="393">
        <v>5920</v>
      </c>
      <c r="K106" s="455">
        <v>8880</v>
      </c>
      <c r="L106" s="414" t="b">
        <f t="shared" si="8"/>
        <v>0</v>
      </c>
      <c r="M106" s="460"/>
      <c r="N106" s="460"/>
    </row>
    <row r="107" spans="1:18">
      <c r="A107" s="388" t="s">
        <v>1970</v>
      </c>
      <c r="B107" s="423" t="str">
        <f t="shared" si="7"/>
        <v>PowerMill - Premium</v>
      </c>
      <c r="C107" s="393"/>
      <c r="D107" s="409">
        <v>3370</v>
      </c>
      <c r="E107" s="409">
        <v>3540</v>
      </c>
      <c r="F107" s="409">
        <v>3715</v>
      </c>
      <c r="G107" s="393">
        <v>3370</v>
      </c>
      <c r="H107" s="393">
        <v>3705</v>
      </c>
      <c r="I107" s="393">
        <v>4445</v>
      </c>
      <c r="J107" s="393">
        <v>7105</v>
      </c>
      <c r="K107" s="455">
        <v>10660</v>
      </c>
      <c r="L107" s="414" t="b">
        <f t="shared" si="8"/>
        <v>0</v>
      </c>
      <c r="M107" s="460"/>
      <c r="N107" s="460"/>
    </row>
    <row r="108" spans="1:18">
      <c r="A108" s="388" t="s">
        <v>1971</v>
      </c>
      <c r="B108" s="423" t="str">
        <f t="shared" si="7"/>
        <v>PowerMill - Standard</v>
      </c>
      <c r="C108" s="393"/>
      <c r="D108" s="409">
        <v>2160</v>
      </c>
      <c r="E108" s="409">
        <v>2270</v>
      </c>
      <c r="F108" s="409">
        <v>2385</v>
      </c>
      <c r="G108" s="393">
        <v>2160</v>
      </c>
      <c r="H108" s="393">
        <v>2375</v>
      </c>
      <c r="I108" s="393">
        <v>2850</v>
      </c>
      <c r="J108" s="393">
        <v>4730</v>
      </c>
      <c r="K108" s="455">
        <v>7095</v>
      </c>
      <c r="L108" s="414" t="b">
        <f t="shared" si="8"/>
        <v>0</v>
      </c>
      <c r="M108" s="460"/>
      <c r="N108" s="460"/>
    </row>
    <row r="109" spans="1:18">
      <c r="A109" s="388" t="s">
        <v>1972</v>
      </c>
      <c r="B109" s="423" t="str">
        <f t="shared" si="7"/>
        <v>PowerMill - Ultimate</v>
      </c>
      <c r="C109" s="393"/>
      <c r="D109" s="409">
        <v>4050</v>
      </c>
      <c r="E109" s="409">
        <v>4255</v>
      </c>
      <c r="F109" s="409">
        <v>4470</v>
      </c>
      <c r="G109" s="393">
        <v>4050</v>
      </c>
      <c r="H109" s="393">
        <v>4455</v>
      </c>
      <c r="I109" s="393">
        <v>5345</v>
      </c>
      <c r="J109" s="393">
        <v>10845</v>
      </c>
      <c r="K109" s="455">
        <v>16270</v>
      </c>
      <c r="L109" s="414" t="b">
        <f t="shared" si="8"/>
        <v>0</v>
      </c>
      <c r="M109" s="460"/>
      <c r="N109" s="460"/>
    </row>
    <row r="110" spans="1:18">
      <c r="A110" s="388" t="s">
        <v>1973</v>
      </c>
      <c r="B110" s="423" t="str">
        <f t="shared" si="7"/>
        <v>PowerShape - Premium</v>
      </c>
      <c r="C110" s="393"/>
      <c r="D110" s="409">
        <v>1180</v>
      </c>
      <c r="E110" s="409">
        <v>1240</v>
      </c>
      <c r="F110" s="409">
        <v>1300</v>
      </c>
      <c r="G110" s="393">
        <v>1180</v>
      </c>
      <c r="H110" s="393">
        <v>1300</v>
      </c>
      <c r="I110" s="393">
        <v>1560</v>
      </c>
      <c r="J110" s="393">
        <v>2530</v>
      </c>
      <c r="K110" s="455">
        <v>3795</v>
      </c>
      <c r="L110" s="414" t="b">
        <f t="shared" si="8"/>
        <v>0</v>
      </c>
      <c r="M110" s="460"/>
      <c r="N110" s="460"/>
    </row>
    <row r="111" spans="1:18">
      <c r="A111" s="388" t="s">
        <v>1974</v>
      </c>
      <c r="B111" s="423" t="str">
        <f t="shared" si="7"/>
        <v>PowerShape - Standard</v>
      </c>
      <c r="C111" s="393"/>
      <c r="D111" s="409">
        <v>880</v>
      </c>
      <c r="E111" s="409">
        <v>925</v>
      </c>
      <c r="F111" s="409">
        <v>970</v>
      </c>
      <c r="G111" s="393">
        <v>880</v>
      </c>
      <c r="H111" s="393">
        <v>970</v>
      </c>
      <c r="I111" s="393">
        <v>1165</v>
      </c>
      <c r="J111" s="393">
        <v>1895</v>
      </c>
      <c r="K111" s="455">
        <v>2845</v>
      </c>
      <c r="L111" s="414" t="b">
        <f t="shared" si="8"/>
        <v>0</v>
      </c>
      <c r="M111" s="460"/>
      <c r="N111" s="460"/>
    </row>
    <row r="112" spans="1:18">
      <c r="A112" s="388" t="s">
        <v>1975</v>
      </c>
      <c r="B112" s="423" t="str">
        <f t="shared" si="7"/>
        <v>PowerShape - Ultimate</v>
      </c>
      <c r="C112" s="393"/>
      <c r="D112" s="409">
        <v>1480</v>
      </c>
      <c r="E112" s="409">
        <v>1555</v>
      </c>
      <c r="F112" s="409">
        <v>1635</v>
      </c>
      <c r="G112" s="393">
        <v>1480</v>
      </c>
      <c r="H112" s="393">
        <v>1630</v>
      </c>
      <c r="I112" s="393">
        <v>1955</v>
      </c>
      <c r="J112" s="393">
        <v>3945</v>
      </c>
      <c r="K112" s="455">
        <v>5920</v>
      </c>
      <c r="L112" s="414" t="b">
        <f t="shared" si="8"/>
        <v>0</v>
      </c>
      <c r="M112" s="460"/>
      <c r="N112" s="460"/>
    </row>
    <row r="113" spans="1:18">
      <c r="A113" s="388" t="s">
        <v>1976</v>
      </c>
      <c r="B113" s="423" t="str">
        <f t="shared" si="7"/>
        <v>FeatureCAM - Premium</v>
      </c>
      <c r="C113" s="393"/>
      <c r="D113" s="409">
        <v>1890</v>
      </c>
      <c r="E113" s="409">
        <v>1985</v>
      </c>
      <c r="F113" s="409">
        <v>2085</v>
      </c>
      <c r="G113" s="393">
        <v>1890</v>
      </c>
      <c r="H113" s="393">
        <v>2080</v>
      </c>
      <c r="I113" s="393">
        <v>2495</v>
      </c>
      <c r="J113" s="393">
        <v>4925</v>
      </c>
      <c r="K113" s="455">
        <v>7390</v>
      </c>
      <c r="L113" s="414" t="b">
        <f t="shared" si="8"/>
        <v>0</v>
      </c>
      <c r="M113" s="460"/>
      <c r="N113" s="460"/>
    </row>
    <row r="114" spans="1:18">
      <c r="A114" s="388" t="s">
        <v>1977</v>
      </c>
      <c r="B114" s="423" t="str">
        <f t="shared" si="7"/>
        <v>FeatureCAM - Standard</v>
      </c>
      <c r="C114" s="393"/>
      <c r="D114" s="409">
        <v>740</v>
      </c>
      <c r="E114" s="409">
        <v>775</v>
      </c>
      <c r="F114" s="409">
        <v>815</v>
      </c>
      <c r="G114" s="393">
        <v>740</v>
      </c>
      <c r="H114" s="393">
        <v>815</v>
      </c>
      <c r="I114" s="393">
        <v>980</v>
      </c>
      <c r="J114" s="393">
        <v>1975</v>
      </c>
      <c r="K114" s="455">
        <v>2965</v>
      </c>
      <c r="L114" s="414" t="b">
        <f t="shared" si="8"/>
        <v>0</v>
      </c>
      <c r="M114" s="460"/>
      <c r="N114" s="460"/>
    </row>
    <row r="115" spans="1:18">
      <c r="A115" s="388" t="s">
        <v>1978</v>
      </c>
      <c r="B115" s="423" t="str">
        <f t="shared" si="7"/>
        <v>FeatureCAM - Ultimate</v>
      </c>
      <c r="C115" s="393"/>
      <c r="D115" s="409">
        <v>2550</v>
      </c>
      <c r="E115" s="409">
        <v>2680</v>
      </c>
      <c r="F115" s="409">
        <v>2815</v>
      </c>
      <c r="G115" s="393">
        <v>2550</v>
      </c>
      <c r="H115" s="393">
        <v>2805</v>
      </c>
      <c r="I115" s="393">
        <v>3365</v>
      </c>
      <c r="J115" s="393">
        <v>6900</v>
      </c>
      <c r="K115" s="455">
        <v>10350</v>
      </c>
      <c r="L115" s="414" t="b">
        <f t="shared" si="8"/>
        <v>0</v>
      </c>
      <c r="M115" s="460"/>
      <c r="N115" s="460"/>
    </row>
    <row r="116" spans="1:18">
      <c r="A116" s="388" t="s">
        <v>1979</v>
      </c>
      <c r="B116" s="423" t="str">
        <f t="shared" si="7"/>
        <v>Arnold</v>
      </c>
      <c r="C116" s="393"/>
      <c r="D116" s="409">
        <v>185</v>
      </c>
      <c r="E116" s="409">
        <v>195</v>
      </c>
      <c r="F116" s="409">
        <v>205</v>
      </c>
      <c r="G116" s="393">
        <v>185</v>
      </c>
      <c r="H116" s="393">
        <v>205</v>
      </c>
      <c r="I116" s="393">
        <v>245</v>
      </c>
      <c r="J116" s="393"/>
      <c r="K116" s="455">
        <v>590</v>
      </c>
      <c r="L116" s="414" t="b">
        <f t="shared" si="8"/>
        <v>0</v>
      </c>
      <c r="M116" s="460"/>
      <c r="N116" s="460"/>
    </row>
    <row r="117" spans="1:18" s="415" customFormat="1">
      <c r="A117" s="388" t="s">
        <v>387</v>
      </c>
      <c r="B117" s="423" t="str">
        <f>M2S_Eligibility_List!E21</f>
        <v>Media and Entertainment Collection</v>
      </c>
      <c r="C117" s="438"/>
      <c r="D117" s="393">
        <v>925</v>
      </c>
      <c r="E117" s="393">
        <v>970</v>
      </c>
      <c r="F117" s="393">
        <v>970</v>
      </c>
      <c r="G117" s="438"/>
      <c r="H117" s="438"/>
      <c r="I117" s="438"/>
      <c r="J117" s="393">
        <v>2015</v>
      </c>
      <c r="K117" s="456">
        <v>2820</v>
      </c>
      <c r="L117" s="414" t="b">
        <f t="shared" si="8"/>
        <v>0</v>
      </c>
      <c r="M117" s="460"/>
      <c r="N117" s="460"/>
      <c r="O117"/>
      <c r="Q117" s="460"/>
      <c r="R117" s="460"/>
    </row>
    <row r="118" spans="1:18" s="415" customFormat="1">
      <c r="A118" s="388" t="s">
        <v>301</v>
      </c>
      <c r="B118" s="423" t="str">
        <f>M2S_Eligibility_List!D21</f>
        <v>Product Design &amp; Manufacturing Collection</v>
      </c>
      <c r="C118" s="438"/>
      <c r="D118" s="393">
        <v>1210</v>
      </c>
      <c r="E118" s="393">
        <v>1270</v>
      </c>
      <c r="F118" s="393">
        <v>1270</v>
      </c>
      <c r="G118" s="438"/>
      <c r="H118" s="438"/>
      <c r="I118" s="438"/>
      <c r="J118" s="393">
        <v>2350</v>
      </c>
      <c r="K118" s="456">
        <v>3290</v>
      </c>
      <c r="L118" s="414" t="b">
        <f t="shared" si="8"/>
        <v>0</v>
      </c>
      <c r="M118" s="460"/>
      <c r="N118" s="460"/>
      <c r="O118"/>
      <c r="Q118" s="460"/>
      <c r="R118" s="460"/>
    </row>
    <row r="119" spans="1:18">
      <c r="A119" s="191"/>
      <c r="B119" s="191"/>
      <c r="C119" s="191"/>
      <c r="D119" s="191"/>
      <c r="E119" s="191"/>
      <c r="F119" s="191"/>
      <c r="G119" s="191"/>
      <c r="H119" s="191"/>
      <c r="I119" s="191"/>
      <c r="J119" s="191"/>
      <c r="K119" s="191" t="s">
        <v>612</v>
      </c>
      <c r="L119" s="191"/>
    </row>
    <row r="120" spans="1:18" ht="14.25" customHeight="1">
      <c r="B120" s="457"/>
      <c r="C120" s="457"/>
      <c r="E120" s="457"/>
    </row>
    <row r="121" spans="1:18" ht="14.25" customHeight="1">
      <c r="B121" s="457"/>
      <c r="C121" s="457"/>
      <c r="E121" s="457"/>
    </row>
    <row r="122" spans="1:18" ht="14.25" customHeight="1">
      <c r="B122" s="457"/>
      <c r="C122" s="457"/>
      <c r="E122" s="457"/>
    </row>
    <row r="123" spans="1:18" ht="14.25" customHeight="1">
      <c r="B123" s="457"/>
      <c r="C123" s="457"/>
      <c r="E123" s="457"/>
    </row>
    <row r="124" spans="1:18" ht="14.25" customHeight="1">
      <c r="B124" s="457"/>
      <c r="C124" s="457"/>
      <c r="E124" s="457"/>
    </row>
    <row r="125" spans="1:18" ht="14.25" customHeight="1">
      <c r="B125" s="457"/>
      <c r="C125" s="457"/>
      <c r="E125" s="457"/>
    </row>
    <row r="126" spans="1:18" ht="14.25" customHeight="1">
      <c r="B126" s="457"/>
      <c r="C126" s="457"/>
      <c r="E126" s="457"/>
    </row>
    <row r="127" spans="1:18" ht="14.25" customHeight="1">
      <c r="B127" s="457"/>
      <c r="C127" s="457"/>
      <c r="E127" s="457"/>
    </row>
    <row r="128" spans="1:18" ht="14.25" customHeight="1">
      <c r="B128" s="457"/>
      <c r="C128" s="457"/>
      <c r="E128" s="457"/>
    </row>
    <row r="129" spans="2:5" ht="14.25" customHeight="1">
      <c r="B129" s="457"/>
      <c r="C129" s="457"/>
      <c r="E129" s="457"/>
    </row>
    <row r="130" spans="2:5" ht="14.25" customHeight="1">
      <c r="B130" s="457"/>
      <c r="C130" s="457"/>
      <c r="E130" s="457"/>
    </row>
    <row r="131" spans="2:5" ht="14.25" customHeight="1">
      <c r="B131" s="457"/>
      <c r="C131" s="457"/>
      <c r="E131" s="457"/>
    </row>
    <row r="132" spans="2:5" ht="14.25" customHeight="1">
      <c r="B132" s="457"/>
      <c r="C132" s="457"/>
      <c r="E132" s="457"/>
    </row>
  </sheetData>
  <autoFilter ref="A2:L118">
    <sortState ref="A3:L119">
      <sortCondition ref="A2:A118"/>
    </sortState>
  </autoFilter>
  <mergeCells count="3">
    <mergeCell ref="J1:K1"/>
    <mergeCell ref="D1:F1"/>
    <mergeCell ref="G1:I1"/>
  </mergeCells>
  <conditionalFormatting sqref="L3:L13 L15:L16 L18:L81 L83:L118">
    <cfRule type="cellIs" dxfId="3" priority="16" operator="equal">
      <formula>TRUE</formula>
    </cfRule>
  </conditionalFormatting>
  <conditionalFormatting sqref="L82">
    <cfRule type="cellIs" dxfId="2" priority="15" operator="equal">
      <formula>TRUE</formula>
    </cfRule>
  </conditionalFormatting>
  <conditionalFormatting sqref="L17">
    <cfRule type="cellIs" dxfId="1" priority="10" operator="equal">
      <formula>TRUE</formula>
    </cfRule>
  </conditionalFormatting>
  <conditionalFormatting sqref="L14">
    <cfRule type="cellIs" dxfId="0" priority="7" operator="equal">
      <formula>TRUE</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1312</vt:i4>
      </vt:variant>
    </vt:vector>
  </HeadingPairs>
  <TitlesOfParts>
    <vt:vector size="1333" baseType="lpstr">
      <vt:lpstr>Dev_Instructions_README</vt:lpstr>
      <vt:lpstr>Controls</vt:lpstr>
      <vt:lpstr>PopUp</vt:lpstr>
      <vt:lpstr>tlM2S</vt:lpstr>
      <vt:lpstr>Dashboard</vt:lpstr>
      <vt:lpstr>btnLevel</vt:lpstr>
      <vt:lpstr>btnPlusMinus</vt:lpstr>
      <vt:lpstr>Dec</vt:lpstr>
      <vt:lpstr>Calc</vt:lpstr>
      <vt:lpstr>Charts</vt:lpstr>
      <vt:lpstr>Test_Output</vt:lpstr>
      <vt:lpstr>Glossary</vt:lpstr>
      <vt:lpstr>DataPaths</vt:lpstr>
      <vt:lpstr>DataUnifiedPricing</vt:lpstr>
      <vt:lpstr>M2S_Eligibility_List</vt:lpstr>
      <vt:lpstr>Data_USD</vt:lpstr>
      <vt:lpstr>Data_CAD</vt:lpstr>
      <vt:lpstr>Data_Euro</vt:lpstr>
      <vt:lpstr>Data_Yen</vt:lpstr>
      <vt:lpstr>Data_AUD</vt:lpstr>
      <vt:lpstr>Data_GBP</vt:lpstr>
      <vt:lpstr>btnLevelCount</vt:lpstr>
      <vt:lpstr>btnLevelDec1</vt:lpstr>
      <vt:lpstr>btnLevelDec2</vt:lpstr>
      <vt:lpstr>btnLevelDec3</vt:lpstr>
      <vt:lpstr>btnLevelDec4</vt:lpstr>
      <vt:lpstr>btnLevelDec5</vt:lpstr>
      <vt:lpstr>btnLevelDec6</vt:lpstr>
      <vt:lpstr>btnLevelDec7</vt:lpstr>
      <vt:lpstr>btnLevelDec8</vt:lpstr>
      <vt:lpstr>btnLevelDeselected</vt:lpstr>
      <vt:lpstr>btnLevelLevels1</vt:lpstr>
      <vt:lpstr>btnLevelLevels2</vt:lpstr>
      <vt:lpstr>btnLevelLevels3</vt:lpstr>
      <vt:lpstr>btnLevelLevels4</vt:lpstr>
      <vt:lpstr>btnLevelLevels5</vt:lpstr>
      <vt:lpstr>btnLevelLevels6</vt:lpstr>
      <vt:lpstr>btnLevelLevels7</vt:lpstr>
      <vt:lpstr>btnLevelLevels8</vt:lpstr>
      <vt:lpstr>btnLevelSelected</vt:lpstr>
      <vt:lpstr>btnLevelSheet1</vt:lpstr>
      <vt:lpstr>btnLevelSheet2</vt:lpstr>
      <vt:lpstr>btnLevelSheet3</vt:lpstr>
      <vt:lpstr>btnLevelSheet4</vt:lpstr>
      <vt:lpstr>btnLevelSheet5</vt:lpstr>
      <vt:lpstr>btnLevelSheet6</vt:lpstr>
      <vt:lpstr>btnLevelSheet7</vt:lpstr>
      <vt:lpstr>btnLevelSheet8</vt:lpstr>
      <vt:lpstr>btnPlusMinusDec1</vt:lpstr>
      <vt:lpstr>btnPlusMinusDec2</vt:lpstr>
      <vt:lpstr>btnPlusMinusDec3</vt:lpstr>
      <vt:lpstr>btnPlusMinusDec4</vt:lpstr>
      <vt:lpstr>btnPlusMinusDec5</vt:lpstr>
      <vt:lpstr>btnPlusMinusDec6</vt:lpstr>
      <vt:lpstr>btnPlusMinusDec7</vt:lpstr>
      <vt:lpstr>btnPlusMinusDec8</vt:lpstr>
      <vt:lpstr>btnPlusMinusIncr1</vt:lpstr>
      <vt:lpstr>btnPlusMinusIncr2</vt:lpstr>
      <vt:lpstr>btnPlusMinusIncr3</vt:lpstr>
      <vt:lpstr>btnPlusMinusIncr4</vt:lpstr>
      <vt:lpstr>btnPlusMinusIncr5</vt:lpstr>
      <vt:lpstr>btnPlusMinusIncr6</vt:lpstr>
      <vt:lpstr>btnPlusMinusIncr7</vt:lpstr>
      <vt:lpstr>btnPlusMinusIncr8</vt:lpstr>
      <vt:lpstr>btnPlusMinusMax1</vt:lpstr>
      <vt:lpstr>btnPlusMinusMax2</vt:lpstr>
      <vt:lpstr>btnPlusMinusMax3</vt:lpstr>
      <vt:lpstr>btnPlusMinusMax4</vt:lpstr>
      <vt:lpstr>btnPlusMinusMax5</vt:lpstr>
      <vt:lpstr>btnPlusMinusMax6</vt:lpstr>
      <vt:lpstr>btnPlusMinusMax7</vt:lpstr>
      <vt:lpstr>btnPlusMinusMax8</vt:lpstr>
      <vt:lpstr>btnPlusMinusMin1</vt:lpstr>
      <vt:lpstr>btnPlusMinusMin2</vt:lpstr>
      <vt:lpstr>btnPlusMinusMin3</vt:lpstr>
      <vt:lpstr>btnPlusMinusMin4</vt:lpstr>
      <vt:lpstr>btnPlusMinusMin5</vt:lpstr>
      <vt:lpstr>btnPlusMinusMin6</vt:lpstr>
      <vt:lpstr>btnPlusMinusMin7</vt:lpstr>
      <vt:lpstr>btnPlusMinusMin8</vt:lpstr>
      <vt:lpstr>calcCurrencyConvTbl</vt:lpstr>
      <vt:lpstr>calcCurrencyIndexNum</vt:lpstr>
      <vt:lpstr>calcPath1ExpMt</vt:lpstr>
      <vt:lpstr>calcPath1ExpMt_Code</vt:lpstr>
      <vt:lpstr>calcPath1MTCost_AllYears</vt:lpstr>
      <vt:lpstr>calcPath1MTCost_Yr1</vt:lpstr>
      <vt:lpstr>calcPath1MTCost_Yr2</vt:lpstr>
      <vt:lpstr>calcPath1MTCost_Yr3</vt:lpstr>
      <vt:lpstr>calcPath1MTPrice</vt:lpstr>
      <vt:lpstr>calcPath1SubSRP</vt:lpstr>
      <vt:lpstr>calcPath1SubSRP3Yr</vt:lpstr>
      <vt:lpstr>calcPath1Yr1_CostTotal</vt:lpstr>
      <vt:lpstr>calcPath1Yr1_CostYr1</vt:lpstr>
      <vt:lpstr>calcPath1Yr1_CostYr2</vt:lpstr>
      <vt:lpstr>calcPath1Yr1_CostYr3</vt:lpstr>
      <vt:lpstr>calcPath1Yr1_MaintDiff</vt:lpstr>
      <vt:lpstr>calcPath1Yr1_SRPDisc</vt:lpstr>
      <vt:lpstr>calcPath1Yr2_CostTotal</vt:lpstr>
      <vt:lpstr>calcPath1Yr2_CostYr1</vt:lpstr>
      <vt:lpstr>calcPath1Yr2_CostYr2</vt:lpstr>
      <vt:lpstr>calcPath1Yr2_CostYr3</vt:lpstr>
      <vt:lpstr>calcPath1Yr2_MaintDiff</vt:lpstr>
      <vt:lpstr>calcPath1Yr2_SRPDisc</vt:lpstr>
      <vt:lpstr>calcPath1Yr3_CostTotal</vt:lpstr>
      <vt:lpstr>calcPath1Yr3_CostYr1</vt:lpstr>
      <vt:lpstr>calcPath1Yr3_CostYr2</vt:lpstr>
      <vt:lpstr>calcPath1Yr3_CostYr3</vt:lpstr>
      <vt:lpstr>calcPath1Yr3_MaintDiff</vt:lpstr>
      <vt:lpstr>calcPath1Yr3_SRPDisc</vt:lpstr>
      <vt:lpstr>calcPath1Yr4Cost</vt:lpstr>
      <vt:lpstr>calcPath2ExpMt</vt:lpstr>
      <vt:lpstr>calcPath2ExpMt_Code</vt:lpstr>
      <vt:lpstr>calcPath2MTCost_AllYears</vt:lpstr>
      <vt:lpstr>calcPath2MTCost_Yr1</vt:lpstr>
      <vt:lpstr>calcPath2MTCost_Yr2</vt:lpstr>
      <vt:lpstr>calcPath2MTCost_Yr3</vt:lpstr>
      <vt:lpstr>calcPath2MTPrice</vt:lpstr>
      <vt:lpstr>calcPath2SubSRP</vt:lpstr>
      <vt:lpstr>calcPath2SubSRP3Yr</vt:lpstr>
      <vt:lpstr>calcPath2Yr1_CostTotal</vt:lpstr>
      <vt:lpstr>calcPath2Yr1_CostYr1</vt:lpstr>
      <vt:lpstr>calcPath2Yr1_CostYr2</vt:lpstr>
      <vt:lpstr>calcPath2Yr1_CostYr3</vt:lpstr>
      <vt:lpstr>calcPath2Yr1_MaintDiff</vt:lpstr>
      <vt:lpstr>calcPath2Yr1_SRPDisc</vt:lpstr>
      <vt:lpstr>calcPath2Yr2_CostTotal</vt:lpstr>
      <vt:lpstr>calcPath2Yr2_CostYr1</vt:lpstr>
      <vt:lpstr>calcPath2Yr2_CostYr2</vt:lpstr>
      <vt:lpstr>calcPath2Yr2_CostYr3</vt:lpstr>
      <vt:lpstr>calcPath2Yr2_MaintDiff</vt:lpstr>
      <vt:lpstr>calcPath2Yr2_SRPDisc</vt:lpstr>
      <vt:lpstr>calcPath2Yr3_CostTotal</vt:lpstr>
      <vt:lpstr>calcPath2Yr3_CostYr1</vt:lpstr>
      <vt:lpstr>calcPath2Yr3_CostYr2</vt:lpstr>
      <vt:lpstr>calcPath2Yr3_CostYr3</vt:lpstr>
      <vt:lpstr>calcPath2Yr3_MaintDiff</vt:lpstr>
      <vt:lpstr>calcPath2Yr3_SRPDisc</vt:lpstr>
      <vt:lpstr>calcPath2Yr4Cost</vt:lpstr>
      <vt:lpstr>calcPath3ExpMt</vt:lpstr>
      <vt:lpstr>calcPath3ExpMt_Code</vt:lpstr>
      <vt:lpstr>calcPath3MTCost_AllYears</vt:lpstr>
      <vt:lpstr>calcPath3MTCost_Yr1</vt:lpstr>
      <vt:lpstr>calcPath3MTCost_Yr2</vt:lpstr>
      <vt:lpstr>calcPath3MTCost_Yr3</vt:lpstr>
      <vt:lpstr>calcPath3MTPrice</vt:lpstr>
      <vt:lpstr>calcPath3SubSRP</vt:lpstr>
      <vt:lpstr>calcPath3SubSRP3Yr</vt:lpstr>
      <vt:lpstr>calcPath3Yr1_CostTotal</vt:lpstr>
      <vt:lpstr>calcPath3Yr1_CostYr1</vt:lpstr>
      <vt:lpstr>calcPath3Yr1_CostYr2</vt:lpstr>
      <vt:lpstr>calcPath3Yr1_CostYr3</vt:lpstr>
      <vt:lpstr>calcPath3Yr1_MaintDiff</vt:lpstr>
      <vt:lpstr>calcPath3Yr1_SRPDisc</vt:lpstr>
      <vt:lpstr>calcPath3Yr2_CostTotal</vt:lpstr>
      <vt:lpstr>calcPath3Yr2_CostYr1</vt:lpstr>
      <vt:lpstr>calcPath3Yr2_CostYr2</vt:lpstr>
      <vt:lpstr>calcPath3Yr2_CostYr3</vt:lpstr>
      <vt:lpstr>calcPath3Yr2_MaintDiff</vt:lpstr>
      <vt:lpstr>calcPath3Yr2_SRPDisc</vt:lpstr>
      <vt:lpstr>calcPath3Yr3_CostTotal</vt:lpstr>
      <vt:lpstr>calcPath3Yr3_CostYr1</vt:lpstr>
      <vt:lpstr>calcPath3Yr3_CostYr2</vt:lpstr>
      <vt:lpstr>calcPath3Yr3_CostYr3</vt:lpstr>
      <vt:lpstr>calcPath3Yr3_MaintDiff</vt:lpstr>
      <vt:lpstr>calcPath3Yr3_SRPDisc</vt:lpstr>
      <vt:lpstr>calcPath3Yr4Cost</vt:lpstr>
      <vt:lpstr>calcPath4ExpMt</vt:lpstr>
      <vt:lpstr>calcPath4ExpMt_Code</vt:lpstr>
      <vt:lpstr>calcPath4MTCost_AllYears</vt:lpstr>
      <vt:lpstr>calcPath4MTCost_Yr1</vt:lpstr>
      <vt:lpstr>calcPath4MTCost_Yr2</vt:lpstr>
      <vt:lpstr>calcPath4MTCost_Yr3</vt:lpstr>
      <vt:lpstr>calcPath4MTPrice</vt:lpstr>
      <vt:lpstr>calcPath4SubSRP</vt:lpstr>
      <vt:lpstr>calcPath4SubSRP3Yr</vt:lpstr>
      <vt:lpstr>calcPath4Yr1_CostTotal</vt:lpstr>
      <vt:lpstr>calcPath4Yr1_CostYr1</vt:lpstr>
      <vt:lpstr>calcPath4Yr1_CostYr2</vt:lpstr>
      <vt:lpstr>calcPath4Yr1_CostYr3</vt:lpstr>
      <vt:lpstr>calcPath4Yr1_MaintDiff</vt:lpstr>
      <vt:lpstr>calcPath4Yr1_SRPDisc</vt:lpstr>
      <vt:lpstr>calcPath4Yr2_CostTotal</vt:lpstr>
      <vt:lpstr>calcPath4Yr2_CostYr1</vt:lpstr>
      <vt:lpstr>calcPath4Yr2_CostYr2</vt:lpstr>
      <vt:lpstr>calcPath4Yr2_CostYr3</vt:lpstr>
      <vt:lpstr>calcPath4Yr2_MaintDiff</vt:lpstr>
      <vt:lpstr>calcPath4Yr2_SRPDisc</vt:lpstr>
      <vt:lpstr>calcPath4Yr3_CostTotal</vt:lpstr>
      <vt:lpstr>calcPath4Yr3_CostYr1</vt:lpstr>
      <vt:lpstr>calcPath4Yr3_CostYr2</vt:lpstr>
      <vt:lpstr>calcPath4Yr3_CostYr3</vt:lpstr>
      <vt:lpstr>calcPath4Yr3_MaintDiff</vt:lpstr>
      <vt:lpstr>calcPath4Yr3_SRPDisc</vt:lpstr>
      <vt:lpstr>calcPath4Yr4Cost</vt:lpstr>
      <vt:lpstr>calcPath5ExpMt</vt:lpstr>
      <vt:lpstr>calcPath5ExpMt_Code</vt:lpstr>
      <vt:lpstr>calcPath5MTCost_AllYears</vt:lpstr>
      <vt:lpstr>calcPath5MTCost_Yr1</vt:lpstr>
      <vt:lpstr>calcPath5MTCost_Yr2</vt:lpstr>
      <vt:lpstr>calcPath5MTCost_Yr3</vt:lpstr>
      <vt:lpstr>calcPath5MTPrice</vt:lpstr>
      <vt:lpstr>calcPath5SubSRP</vt:lpstr>
      <vt:lpstr>calcPath5SubSRP3Yr</vt:lpstr>
      <vt:lpstr>calcPath5Yr1_CostTotal</vt:lpstr>
      <vt:lpstr>calcPath5Yr1_CostYr1</vt:lpstr>
      <vt:lpstr>calcPath5Yr1_CostYr2</vt:lpstr>
      <vt:lpstr>calcPath5Yr1_CostYr3</vt:lpstr>
      <vt:lpstr>calcPath5Yr1_MaintDiff</vt:lpstr>
      <vt:lpstr>calcPath5Yr1_SRPDisc</vt:lpstr>
      <vt:lpstr>calcPath5Yr2_CostTotal</vt:lpstr>
      <vt:lpstr>calcPath5Yr2_CostYr1</vt:lpstr>
      <vt:lpstr>calcPath5Yr2_CostYr2</vt:lpstr>
      <vt:lpstr>calcPath5Yr2_CostYr3</vt:lpstr>
      <vt:lpstr>calcPath5Yr2_MaintDiff</vt:lpstr>
      <vt:lpstr>calcPath5Yr2_SRPDisc</vt:lpstr>
      <vt:lpstr>calcPath5Yr3_CostTotal</vt:lpstr>
      <vt:lpstr>calcPath5Yr3_CostYr1</vt:lpstr>
      <vt:lpstr>calcPath5Yr3_CostYr2</vt:lpstr>
      <vt:lpstr>calcPath5Yr3_CostYr3</vt:lpstr>
      <vt:lpstr>calcPath5Yr3_MaintDiff</vt:lpstr>
      <vt:lpstr>calcPath5Yr3_SRPDisc</vt:lpstr>
      <vt:lpstr>calcPath5Yr4Cost</vt:lpstr>
      <vt:lpstr>calcPath6ExpMt</vt:lpstr>
      <vt:lpstr>calcPath6ExpMt_Code</vt:lpstr>
      <vt:lpstr>calcPath6MTCost_AllYears</vt:lpstr>
      <vt:lpstr>calcPath6MTCost_Yr1</vt:lpstr>
      <vt:lpstr>calcPath6MTCost_Yr2</vt:lpstr>
      <vt:lpstr>calcPath6MTCost_Yr3</vt:lpstr>
      <vt:lpstr>calcPath6MTPrice</vt:lpstr>
      <vt:lpstr>calcPath6SubSRP</vt:lpstr>
      <vt:lpstr>calcPath6SubSRP3Yr</vt:lpstr>
      <vt:lpstr>calcPath6Yr1_CostTotal</vt:lpstr>
      <vt:lpstr>calcPath6Yr1_CostYr1</vt:lpstr>
      <vt:lpstr>calcPath6Yr1_CostYr2</vt:lpstr>
      <vt:lpstr>calcPath6Yr1_CostYr3</vt:lpstr>
      <vt:lpstr>calcPath6Yr1_MaintDiff</vt:lpstr>
      <vt:lpstr>calcPath6Yr1_SRPDisc</vt:lpstr>
      <vt:lpstr>calcPath6Yr2_CostTotal</vt:lpstr>
      <vt:lpstr>calcPath6Yr2_CostYr1</vt:lpstr>
      <vt:lpstr>calcPath6Yr2_CostYr2</vt:lpstr>
      <vt:lpstr>calcPath6Yr2_CostYr3</vt:lpstr>
      <vt:lpstr>calcPath6Yr2_MaintDiff</vt:lpstr>
      <vt:lpstr>calcPath6Yr2_SRPDisc</vt:lpstr>
      <vt:lpstr>calcPath6Yr3_CostTotal</vt:lpstr>
      <vt:lpstr>calcPath6Yr3_CostYr1</vt:lpstr>
      <vt:lpstr>calcPath6Yr3_CostYr2</vt:lpstr>
      <vt:lpstr>calcPath6Yr3_CostYr3</vt:lpstr>
      <vt:lpstr>calcPath6Yr3_MaintDiff</vt:lpstr>
      <vt:lpstr>calcPath6Yr3_SRPDisc</vt:lpstr>
      <vt:lpstr>calcPath6Yr4Cost</vt:lpstr>
      <vt:lpstr>calcPath7ExpMt</vt:lpstr>
      <vt:lpstr>calcPath7ExpMt_Code</vt:lpstr>
      <vt:lpstr>calcPath7MTCost_AllYears</vt:lpstr>
      <vt:lpstr>calcPath7MTCost_Yr1</vt:lpstr>
      <vt:lpstr>calcPath7MTCost_Yr2</vt:lpstr>
      <vt:lpstr>calcPath7MTCost_Yr3</vt:lpstr>
      <vt:lpstr>calcPath7MTPrice</vt:lpstr>
      <vt:lpstr>calcPath7SubSRP</vt:lpstr>
      <vt:lpstr>calcPath7SubSRP3Yr</vt:lpstr>
      <vt:lpstr>calcPath7Yr1_CostTotal</vt:lpstr>
      <vt:lpstr>calcPath7Yr1_CostYr1</vt:lpstr>
      <vt:lpstr>calcPath7Yr1_CostYr2</vt:lpstr>
      <vt:lpstr>calcPath7Yr1_CostYr3</vt:lpstr>
      <vt:lpstr>calcPath7Yr1_MaintDiff</vt:lpstr>
      <vt:lpstr>calcPath7Yr1_SRPDisc</vt:lpstr>
      <vt:lpstr>calcPath7Yr2_CostTotal</vt:lpstr>
      <vt:lpstr>calcPath7Yr2_CostYr1</vt:lpstr>
      <vt:lpstr>calcPath7Yr2_CostYr2</vt:lpstr>
      <vt:lpstr>calcPath7Yr2_CostYr3</vt:lpstr>
      <vt:lpstr>calcPath7Yr2_MaintDiff</vt:lpstr>
      <vt:lpstr>calcPath7Yr2_SRPDisc</vt:lpstr>
      <vt:lpstr>calcPath7Yr3_CostTotal</vt:lpstr>
      <vt:lpstr>calcPath7Yr3_CostYr1</vt:lpstr>
      <vt:lpstr>calcPath7Yr3_CostYr2</vt:lpstr>
      <vt:lpstr>calcPath7Yr3_CostYr3</vt:lpstr>
      <vt:lpstr>calcPath7Yr3_MaintDiff</vt:lpstr>
      <vt:lpstr>calcPath7Yr3_SRPDisc</vt:lpstr>
      <vt:lpstr>calcPath7Yr4Cost</vt:lpstr>
      <vt:lpstr>calcPath8ExpMt</vt:lpstr>
      <vt:lpstr>calcPath8ExpMt_Code</vt:lpstr>
      <vt:lpstr>calcPath8MTCost_AllYears</vt:lpstr>
      <vt:lpstr>calcPath8MTCost_Yr1</vt:lpstr>
      <vt:lpstr>calcPath8MTCost_Yr2</vt:lpstr>
      <vt:lpstr>calcPath8MTCost_Yr3</vt:lpstr>
      <vt:lpstr>calcPath8MTPrice</vt:lpstr>
      <vt:lpstr>calcPath8SubSRP</vt:lpstr>
      <vt:lpstr>calcPath8SubSRP3Yr</vt:lpstr>
      <vt:lpstr>calcPath8Yr1_CostTotal</vt:lpstr>
      <vt:lpstr>calcPath8Yr1_CostYr1</vt:lpstr>
      <vt:lpstr>calcPath8Yr1_CostYr2</vt:lpstr>
      <vt:lpstr>calcPath8Yr1_CostYr3</vt:lpstr>
      <vt:lpstr>calcPath8Yr1_MaintDiff</vt:lpstr>
      <vt:lpstr>calcPath8Yr1_SRPDisc</vt:lpstr>
      <vt:lpstr>calcPath8Yr2_CostTotal</vt:lpstr>
      <vt:lpstr>calcPath8Yr2_CostYr1</vt:lpstr>
      <vt:lpstr>calcPath8Yr2_CostYr2</vt:lpstr>
      <vt:lpstr>calcPath8Yr2_CostYr3</vt:lpstr>
      <vt:lpstr>calcPath8Yr2_MaintDiff</vt:lpstr>
      <vt:lpstr>calcPath8Yr2_SRPDisc</vt:lpstr>
      <vt:lpstr>calcPath8Yr3_CostTotal</vt:lpstr>
      <vt:lpstr>calcPath8Yr3_CostYr1</vt:lpstr>
      <vt:lpstr>calcPath8Yr3_CostYr2</vt:lpstr>
      <vt:lpstr>calcPath8Yr3_CostYr3</vt:lpstr>
      <vt:lpstr>calcPath8Yr3_MaintDiff</vt:lpstr>
      <vt:lpstr>calcPath8Yr3_SRPDisc</vt:lpstr>
      <vt:lpstr>calcPath8Yr4Cost</vt:lpstr>
      <vt:lpstr>calcTotalActivePaths</vt:lpstr>
      <vt:lpstr>calcTotalMTCost_AllYears</vt:lpstr>
      <vt:lpstr>calcTotalMTCost_Yr1</vt:lpstr>
      <vt:lpstr>calcTotalMTCost_Yr2</vt:lpstr>
      <vt:lpstr>calcTotalMTCost_Yr3</vt:lpstr>
      <vt:lpstr>calcTotalSubSRP</vt:lpstr>
      <vt:lpstr>calcTotalSubSRP3Yr</vt:lpstr>
      <vt:lpstr>calcTotalYr1_CostTotal</vt:lpstr>
      <vt:lpstr>calcTotalYr1_CostYr1</vt:lpstr>
      <vt:lpstr>calcTotalYr1_CostYr2</vt:lpstr>
      <vt:lpstr>calcTotalYr1_CostYr3</vt:lpstr>
      <vt:lpstr>calcTotalYr1_MaintDiff</vt:lpstr>
      <vt:lpstr>calcTotalYr1_SRPDisc</vt:lpstr>
      <vt:lpstr>calcTotalYr2_CostTotal</vt:lpstr>
      <vt:lpstr>calcTotalYr2_CostYr1</vt:lpstr>
      <vt:lpstr>calcTotalYr2_CostYr2</vt:lpstr>
      <vt:lpstr>calcTotalYr2_CostYr3</vt:lpstr>
      <vt:lpstr>calcTotalYr2_MaintDiff</vt:lpstr>
      <vt:lpstr>calcTotalYr2_SRPDisc</vt:lpstr>
      <vt:lpstr>calcTotalYr3_CostTotal</vt:lpstr>
      <vt:lpstr>calcTotalYr3_CostYr1</vt:lpstr>
      <vt:lpstr>calcTotalYr3_CostYr2</vt:lpstr>
      <vt:lpstr>calcTotalYr3_CostYr3</vt:lpstr>
      <vt:lpstr>calcTotalYr3_MaintDiff</vt:lpstr>
      <vt:lpstr>calcTotalYr3_SRPDisc</vt:lpstr>
      <vt:lpstr>calcTotalYr4Cost</vt:lpstr>
      <vt:lpstr>cnstComma</vt:lpstr>
      <vt:lpstr>cnstDoubleQuote</vt:lpstr>
      <vt:lpstr>cnstMillion</vt:lpstr>
      <vt:lpstr>cnstSingleQuote</vt:lpstr>
      <vt:lpstr>cnstYears</vt:lpstr>
      <vt:lpstr>core_FilePrefix</vt:lpstr>
      <vt:lpstr>Data_AUD_Tbl</vt:lpstr>
      <vt:lpstr>Data_CAD_Tbl</vt:lpstr>
      <vt:lpstr>Data_EUR_Tbl</vt:lpstr>
      <vt:lpstr>Data_GBP_Tbl</vt:lpstr>
      <vt:lpstr>Data_JPY_Tbl</vt:lpstr>
      <vt:lpstr>Data_Unified_Pricing_Tbl</vt:lpstr>
      <vt:lpstr>Data_USD_Tbl</vt:lpstr>
      <vt:lpstr>dataList</vt:lpstr>
      <vt:lpstr>DataPaths_Code</vt:lpstr>
      <vt:lpstr>DataPaths_List_Path1_Count</vt:lpstr>
      <vt:lpstr>DataPaths_List_Path1_ProdSub</vt:lpstr>
      <vt:lpstr>DataPaths_List_Path2_Count</vt:lpstr>
      <vt:lpstr>DataPaths_List_Path2_ProdSub</vt:lpstr>
      <vt:lpstr>DataPaths_List_Path3_Count</vt:lpstr>
      <vt:lpstr>DataPaths_List_Path3_ProdSub</vt:lpstr>
      <vt:lpstr>DataPaths_List_Path4_Count</vt:lpstr>
      <vt:lpstr>DataPaths_List_Path4_ProdSub</vt:lpstr>
      <vt:lpstr>DataPaths_List_Path5_Count</vt:lpstr>
      <vt:lpstr>DataPaths_List_Path5_ProdSub</vt:lpstr>
      <vt:lpstr>DataPaths_List_Path6_Count</vt:lpstr>
      <vt:lpstr>DataPaths_List_Path6_ProdSub</vt:lpstr>
      <vt:lpstr>DataPaths_List_Path7_Count</vt:lpstr>
      <vt:lpstr>DataPaths_List_Path7_ProdSub</vt:lpstr>
      <vt:lpstr>DataPaths_List_Path8_Count</vt:lpstr>
      <vt:lpstr>DataPaths_List_Path8_ProdSub</vt:lpstr>
      <vt:lpstr>DataPaths_List_ProdMT</vt:lpstr>
      <vt:lpstr>DataPaths_List_ProdMT_NonCurrency</vt:lpstr>
      <vt:lpstr>DataPaths_Path1_ProdSub</vt:lpstr>
      <vt:lpstr>DataPaths_Path2_ProdSub</vt:lpstr>
      <vt:lpstr>DataPaths_Path3_ProdSub</vt:lpstr>
      <vt:lpstr>DataPaths_Path4_ProdSub</vt:lpstr>
      <vt:lpstr>DataPaths_Path5_ProdSub</vt:lpstr>
      <vt:lpstr>DataPaths_Path6_ProdSub</vt:lpstr>
      <vt:lpstr>DataPaths_Path7_ProdSub</vt:lpstr>
      <vt:lpstr>DataPaths_Path8_ProdSub</vt:lpstr>
      <vt:lpstr>DataPaths_Tbl_AllPaths</vt:lpstr>
      <vt:lpstr>DataPaths_Tbl_AllPathsMultiUser</vt:lpstr>
      <vt:lpstr>DB_ArrayDash1Names</vt:lpstr>
      <vt:lpstr>DB_ArrayDash1Values</vt:lpstr>
      <vt:lpstr>DB_ArrayDash2Names</vt:lpstr>
      <vt:lpstr>DB_ArrayDash2Values</vt:lpstr>
      <vt:lpstr>DB_ArrayDash3Names</vt:lpstr>
      <vt:lpstr>DB_ArrayDash3Values</vt:lpstr>
      <vt:lpstr>DB_ArrayDash4Names</vt:lpstr>
      <vt:lpstr>DB_ArrayDash4Values</vt:lpstr>
      <vt:lpstr>DB_ArrayDash5Names</vt:lpstr>
      <vt:lpstr>DB_ArrayDash5Values</vt:lpstr>
      <vt:lpstr>DB_Dashboard1</vt:lpstr>
      <vt:lpstr>DB_Dashboard2</vt:lpstr>
      <vt:lpstr>DB_Dashboard3</vt:lpstr>
      <vt:lpstr>DB_Dashboard4</vt:lpstr>
      <vt:lpstr>DB_Dashboard5</vt:lpstr>
      <vt:lpstr>DB_LargeWhiteSpace</vt:lpstr>
      <vt:lpstr>DB_LargeWhiteSpaceLength</vt:lpstr>
      <vt:lpstr>DB_SubWhiteSpace</vt:lpstr>
      <vt:lpstr>DB_SubWhiteSpaceLength</vt:lpstr>
      <vt:lpstr>DB_WhiteSpace</vt:lpstr>
      <vt:lpstr>DB_WhiteSpaceLength</vt:lpstr>
      <vt:lpstr>dec_End</vt:lpstr>
      <vt:lpstr>dec_FormulaReset</vt:lpstr>
      <vt:lpstr>dec_Names</vt:lpstr>
      <vt:lpstr>dec_Paste</vt:lpstr>
      <vt:lpstr>dec_PasteY1</vt:lpstr>
      <vt:lpstr>dec_PasteY2</vt:lpstr>
      <vt:lpstr>dec_PasteY3</vt:lpstr>
      <vt:lpstr>dec_Round</vt:lpstr>
      <vt:lpstr>dec_TeamName</vt:lpstr>
      <vt:lpstr>dec_TeamNumber</vt:lpstr>
      <vt:lpstr>dec_ToolInputPrefix</vt:lpstr>
      <vt:lpstr>dec_ToolReset</vt:lpstr>
      <vt:lpstr>dec_ToolResetR0</vt:lpstr>
      <vt:lpstr>dec_ToolResetValues</vt:lpstr>
      <vt:lpstr>decCurrency</vt:lpstr>
      <vt:lpstr>decLanguage</vt:lpstr>
      <vt:lpstr>decPath1_Access</vt:lpstr>
      <vt:lpstr>decPath1_ExpMT</vt:lpstr>
      <vt:lpstr>decPath1_PriceMT</vt:lpstr>
      <vt:lpstr>decPath1_PriceMT_Adj</vt:lpstr>
      <vt:lpstr>decPath1_ProdMT</vt:lpstr>
      <vt:lpstr>decPath1_ProdSub</vt:lpstr>
      <vt:lpstr>decPath1_Qty</vt:lpstr>
      <vt:lpstr>decPath2_Access</vt:lpstr>
      <vt:lpstr>decPath2_ExpMT</vt:lpstr>
      <vt:lpstr>decPath2_PriceMT</vt:lpstr>
      <vt:lpstr>decPath2_PriceMT_Adj</vt:lpstr>
      <vt:lpstr>decPath2_ProdMT</vt:lpstr>
      <vt:lpstr>decPath2_ProdSub</vt:lpstr>
      <vt:lpstr>decPath2_Qty</vt:lpstr>
      <vt:lpstr>decPath3_Access</vt:lpstr>
      <vt:lpstr>decPath3_ExpMT</vt:lpstr>
      <vt:lpstr>decPath3_PriceMT</vt:lpstr>
      <vt:lpstr>decPath3_PriceMT_Adj</vt:lpstr>
      <vt:lpstr>decPath3_ProdMT</vt:lpstr>
      <vt:lpstr>decPath3_ProdSub</vt:lpstr>
      <vt:lpstr>decPath3_Qty</vt:lpstr>
      <vt:lpstr>decPath4_Access</vt:lpstr>
      <vt:lpstr>decPath4_ExpMT</vt:lpstr>
      <vt:lpstr>decPath4_PriceMT</vt:lpstr>
      <vt:lpstr>decPath4_PriceMT_Adj</vt:lpstr>
      <vt:lpstr>decPath4_ProdMT</vt:lpstr>
      <vt:lpstr>decPath4_ProdSub</vt:lpstr>
      <vt:lpstr>decPath4_Qty</vt:lpstr>
      <vt:lpstr>decPath5_Access</vt:lpstr>
      <vt:lpstr>decPath5_ExpMT</vt:lpstr>
      <vt:lpstr>decPath5_PriceMT</vt:lpstr>
      <vt:lpstr>decPath5_PriceMT_Adj</vt:lpstr>
      <vt:lpstr>decPath5_ProdMT</vt:lpstr>
      <vt:lpstr>decPath5_ProdSub</vt:lpstr>
      <vt:lpstr>decPath5_Qty</vt:lpstr>
      <vt:lpstr>decPath6_Access</vt:lpstr>
      <vt:lpstr>decPath6_ExpMT</vt:lpstr>
      <vt:lpstr>decPath6_PriceMT</vt:lpstr>
      <vt:lpstr>decPath6_PriceMT_Adj</vt:lpstr>
      <vt:lpstr>decPath6_ProdMT</vt:lpstr>
      <vt:lpstr>decPath6_ProdSub</vt:lpstr>
      <vt:lpstr>decPath6_Qty</vt:lpstr>
      <vt:lpstr>decPath7_Access</vt:lpstr>
      <vt:lpstr>decPath7_ExpMT</vt:lpstr>
      <vt:lpstr>decPath7_PriceMT</vt:lpstr>
      <vt:lpstr>decPath7_PriceMT_Adj</vt:lpstr>
      <vt:lpstr>decPath7_ProdMT</vt:lpstr>
      <vt:lpstr>decPath7_ProdSub</vt:lpstr>
      <vt:lpstr>decPath7_Qty</vt:lpstr>
      <vt:lpstr>decPath8_Access</vt:lpstr>
      <vt:lpstr>decPath8_ExpMT</vt:lpstr>
      <vt:lpstr>decPath8_PriceMT</vt:lpstr>
      <vt:lpstr>decPath8_PriceMT_Adj</vt:lpstr>
      <vt:lpstr>decPath8_ProdMT</vt:lpstr>
      <vt:lpstr>decPath8_ProdSub</vt:lpstr>
      <vt:lpstr>decPath8_Qty</vt:lpstr>
      <vt:lpstr>decSimulationType</vt:lpstr>
      <vt:lpstr>feedback_FeedbackFileName</vt:lpstr>
      <vt:lpstr>feedback_FeedbackSheetName</vt:lpstr>
      <vt:lpstr>feedback_TimeSeriesFeedbackSheetName</vt:lpstr>
      <vt:lpstr>glossaryLanguage</vt:lpstr>
      <vt:lpstr>hood_OnHoodCloseGoTo</vt:lpstr>
      <vt:lpstr>hood_ToolPrefix</vt:lpstr>
      <vt:lpstr>nmADwSP</vt:lpstr>
      <vt:lpstr>nmAUD</vt:lpstr>
      <vt:lpstr>nmAutoCAD</vt:lpstr>
      <vt:lpstr>nmBenchmarks</vt:lpstr>
      <vt:lpstr>nmCAD</vt:lpstr>
      <vt:lpstr>nmCharts</vt:lpstr>
      <vt:lpstr>nmConsolidatedReports</vt:lpstr>
      <vt:lpstr>nmCopyrightText</vt:lpstr>
      <vt:lpstr>nmCostBreakdownAnaly</vt:lpstr>
      <vt:lpstr>nmCreateNewPath</vt:lpstr>
      <vt:lpstr>nmCurrency</vt:lpstr>
      <vt:lpstr>nmDashboardData</vt:lpstr>
      <vt:lpstr>nmEUR</vt:lpstr>
      <vt:lpstr>nmExpMT</vt:lpstr>
      <vt:lpstr>nmFirstTimeMessage</vt:lpstr>
      <vt:lpstr>nmFY1</vt:lpstr>
      <vt:lpstr>nmFY1_Def</vt:lpstr>
      <vt:lpstr>nmFY2</vt:lpstr>
      <vt:lpstr>nmFY2_Def</vt:lpstr>
      <vt:lpstr>nmFY3</vt:lpstr>
      <vt:lpstr>nmFY3_Def</vt:lpstr>
      <vt:lpstr>nmGBP</vt:lpstr>
      <vt:lpstr>nmInputs</vt:lpstr>
      <vt:lpstr>nmInvOpt</vt:lpstr>
      <vt:lpstr>nmJPY</vt:lpstr>
      <vt:lpstr>nmLanguage</vt:lpstr>
      <vt:lpstr>nmLanguages</vt:lpstr>
      <vt:lpstr>nmLegend</vt:lpstr>
      <vt:lpstr>nmListCurrency</vt:lpstr>
      <vt:lpstr>nmListGlossary</vt:lpstr>
      <vt:lpstr>nmLogout</vt:lpstr>
      <vt:lpstr>nmLogoutConfirmMsg</vt:lpstr>
      <vt:lpstr>nmM2SCost</vt:lpstr>
      <vt:lpstr>nmM2SMaintDiff</vt:lpstr>
      <vt:lpstr>nmM2SSavings</vt:lpstr>
      <vt:lpstr>nmMaint</vt:lpstr>
      <vt:lpstr>nmMaintCOst</vt:lpstr>
      <vt:lpstr>nmMaintenancePeriod</vt:lpstr>
      <vt:lpstr>nmMigrate</vt:lpstr>
      <vt:lpstr>nmMigrateFY1</vt:lpstr>
      <vt:lpstr>nmMigrateFY2</vt:lpstr>
      <vt:lpstr>nmMigrateFY3</vt:lpstr>
      <vt:lpstr>nmMigrateYr</vt:lpstr>
      <vt:lpstr>nmMigration</vt:lpstr>
      <vt:lpstr>nmMTAll</vt:lpstr>
      <vt:lpstr>nmMulti</vt:lpstr>
      <vt:lpstr>nmNewSub</vt:lpstr>
      <vt:lpstr>nmNLM</vt:lpstr>
      <vt:lpstr>nmNo</vt:lpstr>
      <vt:lpstr>nmOutputs</vt:lpstr>
      <vt:lpstr>nmPath1</vt:lpstr>
      <vt:lpstr>nmPath2</vt:lpstr>
      <vt:lpstr>nmPath3</vt:lpstr>
      <vt:lpstr>nmPath4</vt:lpstr>
      <vt:lpstr>nmPath5</vt:lpstr>
      <vt:lpstr>nmPath6</vt:lpstr>
      <vt:lpstr>nmPath7</vt:lpstr>
      <vt:lpstr>nmPath8</vt:lpstr>
      <vt:lpstr>nmPriceMT</vt:lpstr>
      <vt:lpstr>nmProdMT</vt:lpstr>
      <vt:lpstr>nmProdSub</vt:lpstr>
      <vt:lpstr>nmProgramSubtitle</vt:lpstr>
      <vt:lpstr>nmProgramTitle</vt:lpstr>
      <vt:lpstr>nmProjections</vt:lpstr>
      <vt:lpstr>nmQty</vt:lpstr>
      <vt:lpstr>nmReportsTitle</vt:lpstr>
      <vt:lpstr>nmReset</vt:lpstr>
      <vt:lpstr>nmResetAll</vt:lpstr>
      <vt:lpstr>nmResetConfirmMsg</vt:lpstr>
      <vt:lpstr>nmSavings</vt:lpstr>
      <vt:lpstr>nmSelect</vt:lpstr>
      <vt:lpstr>nmSelectCurrency</vt:lpstr>
      <vt:lpstr>nmSelectLanguage</vt:lpstr>
      <vt:lpstr>nmSingle</vt:lpstr>
      <vt:lpstr>nmSLM</vt:lpstr>
      <vt:lpstr>nmSpecializedToolsets</vt:lpstr>
      <vt:lpstr>nmSub</vt:lpstr>
      <vt:lpstr>nmTotal</vt:lpstr>
      <vt:lpstr>nmTotal1Yr</vt:lpstr>
      <vt:lpstr>nmTotal3Yr</vt:lpstr>
      <vt:lpstr>nmTotalInv</vt:lpstr>
      <vt:lpstr>nmTutorial</vt:lpstr>
      <vt:lpstr>nmUSD</vt:lpstr>
      <vt:lpstr>nmY4Disclaimer</vt:lpstr>
      <vt:lpstr>nmYes</vt:lpstr>
      <vt:lpstr>nmYr1</vt:lpstr>
      <vt:lpstr>nmYr2</vt:lpstr>
      <vt:lpstr>nmYr3</vt:lpstr>
      <vt:lpstr>nmYr4</vt:lpstr>
      <vt:lpstr>sim_OnResetGoTo</vt:lpstr>
      <vt:lpstr>simulation_Type</vt:lpstr>
      <vt:lpstr>tlInputCurrency</vt:lpstr>
      <vt:lpstr>tlInputLanguage</vt:lpstr>
      <vt:lpstr>tlInputPath1_Access</vt:lpstr>
      <vt:lpstr>tlInputPath1_ExpMT</vt:lpstr>
      <vt:lpstr>tlInputPath1_PriceMT</vt:lpstr>
      <vt:lpstr>tlInputPath1_PriceMT_Adj</vt:lpstr>
      <vt:lpstr>tlInputPath1_ProdMT</vt:lpstr>
      <vt:lpstr>tlInputPath1_ProdSub</vt:lpstr>
      <vt:lpstr>tlInputPath1_Qty</vt:lpstr>
      <vt:lpstr>tlInputPath2_Access</vt:lpstr>
      <vt:lpstr>tlInputPath2_ExpMT</vt:lpstr>
      <vt:lpstr>tlInputPath2_PriceMT</vt:lpstr>
      <vt:lpstr>tlInputPath2_PriceMT_Adj</vt:lpstr>
      <vt:lpstr>tlInputPath2_ProdMT</vt:lpstr>
      <vt:lpstr>tlInputPath2_ProdSub</vt:lpstr>
      <vt:lpstr>tlInputPath2_Qty</vt:lpstr>
      <vt:lpstr>tlInputPath3_Access</vt:lpstr>
      <vt:lpstr>tlInputPath3_ExpMT</vt:lpstr>
      <vt:lpstr>tlInputPath3_PriceMT</vt:lpstr>
      <vt:lpstr>tlInputPath3_PriceMT_Adj</vt:lpstr>
      <vt:lpstr>tlInputPath3_ProdMT</vt:lpstr>
      <vt:lpstr>tlInputPath3_ProdSub</vt:lpstr>
      <vt:lpstr>tlInputPath3_Qty</vt:lpstr>
      <vt:lpstr>tlInputPath4_Access</vt:lpstr>
      <vt:lpstr>tlInputPath4_ExpMT</vt:lpstr>
      <vt:lpstr>tlInputPath4_PriceMT</vt:lpstr>
      <vt:lpstr>tlInputPath4_PriceMT_Adj</vt:lpstr>
      <vt:lpstr>tlInputPath4_ProdMT</vt:lpstr>
      <vt:lpstr>tlInputPath4_ProdSub</vt:lpstr>
      <vt:lpstr>tlInputPath4_Qty</vt:lpstr>
      <vt:lpstr>tlInputPath5_Access</vt:lpstr>
      <vt:lpstr>tlInputPath5_ExpMT</vt:lpstr>
      <vt:lpstr>tlInputPath5_PriceMT</vt:lpstr>
      <vt:lpstr>tlInputPath5_PriceMT_Adj</vt:lpstr>
      <vt:lpstr>tlInputPath5_ProdMT</vt:lpstr>
      <vt:lpstr>tlInputPath5_ProdSub</vt:lpstr>
      <vt:lpstr>tlInputPath5_Qty</vt:lpstr>
      <vt:lpstr>tlInputPath6_Access</vt:lpstr>
      <vt:lpstr>tlInputPath6_ExpMT</vt:lpstr>
      <vt:lpstr>tlInputPath6_PriceMT</vt:lpstr>
      <vt:lpstr>tlInputPath6_PriceMT_Adj</vt:lpstr>
      <vt:lpstr>tlInputPath6_ProdMT</vt:lpstr>
      <vt:lpstr>tlInputPath6_ProdSub</vt:lpstr>
      <vt:lpstr>tlInputPath6_Qty</vt:lpstr>
      <vt:lpstr>tlInputPath7_Access</vt:lpstr>
      <vt:lpstr>tlInputPath7_ExpMT</vt:lpstr>
      <vt:lpstr>tlInputPath7_PriceMT</vt:lpstr>
      <vt:lpstr>tlInputPath7_PriceMT_Adj</vt:lpstr>
      <vt:lpstr>tlInputPath7_ProdMT</vt:lpstr>
      <vt:lpstr>tlInputPath7_ProdSub</vt:lpstr>
      <vt:lpstr>tlInputPath7_Qty</vt:lpstr>
      <vt:lpstr>tlInputPath8_Access</vt:lpstr>
      <vt:lpstr>tlInputPath8_ExpMT</vt:lpstr>
      <vt:lpstr>tlInputPath8_PriceMT</vt:lpstr>
      <vt:lpstr>tlInputPath8_PriceMT_Adj</vt:lpstr>
      <vt:lpstr>tlInputPath8_ProdMT</vt:lpstr>
      <vt:lpstr>tlInputPath8_ProdSub</vt:lpstr>
      <vt:lpstr>tlInputPath8_Qty</vt:lpstr>
      <vt:lpstr>tlInputTotalActivePaths</vt:lpstr>
      <vt:lpstr>tlOutput_Cht_AllPaths_HorizAxisLbl</vt:lpstr>
      <vt:lpstr>tlOutput_Cht_Path1_HorizLbl1</vt:lpstr>
      <vt:lpstr>tlOutput_Cht_Path1_HorizLbl2</vt:lpstr>
      <vt:lpstr>tlOutput_Cht_Path1_HorizLbl3</vt:lpstr>
      <vt:lpstr>tlOutput_Cht_Path1_HorizLbl4</vt:lpstr>
      <vt:lpstr>tlOutput_Cht_Path1_M2SLabel</vt:lpstr>
      <vt:lpstr>tlOutput_Cht_Path1_MTDiscLabel</vt:lpstr>
      <vt:lpstr>tlOutput_Cht_Path1_SRPDiscLabel</vt:lpstr>
      <vt:lpstr>tlOutput_Cht_Path1_Y1_M2SInv</vt:lpstr>
      <vt:lpstr>tlOutput_Cht_Path1_Y1_MTDisc</vt:lpstr>
      <vt:lpstr>tlOutput_Cht_Path1_Y1_SRPDisc</vt:lpstr>
      <vt:lpstr>tlOutput_Cht_Path1_Y1Label</vt:lpstr>
      <vt:lpstr>tlOutput_Cht_Path1_Y2_M2SInv</vt:lpstr>
      <vt:lpstr>tlOutput_Cht_Path1_Y2_MTDisc</vt:lpstr>
      <vt:lpstr>tlOutput_Cht_Path1_Y2_SRPDisc</vt:lpstr>
      <vt:lpstr>tlOutput_Cht_Path1_Y2Label</vt:lpstr>
      <vt:lpstr>tlOutput_Cht_Path1_Y3_M2SInv</vt:lpstr>
      <vt:lpstr>tlOutput_Cht_Path1_Y3_MTDisc</vt:lpstr>
      <vt:lpstr>tlOutput_Cht_Path1_Y3_SRPDisc</vt:lpstr>
      <vt:lpstr>tlOutput_Cht_Path1_Y3Label</vt:lpstr>
      <vt:lpstr>tlOutput_Cht_Path1MTCost_AllYears</vt:lpstr>
      <vt:lpstr>tlOutput_Cht_Path1MTCost_Yr1</vt:lpstr>
      <vt:lpstr>tlOutput_Cht_Path1MTCost_Yr2</vt:lpstr>
      <vt:lpstr>tlOutput_Cht_Path1MTCost_Yr3</vt:lpstr>
      <vt:lpstr>tlOutput_Cht_Path1SubSRP</vt:lpstr>
      <vt:lpstr>tlOutput_Cht_Path1SubSRP1</vt:lpstr>
      <vt:lpstr>tlOutput_Cht_Path1SubSRP2</vt:lpstr>
      <vt:lpstr>tlOutput_Cht_Path1SubSRP3</vt:lpstr>
      <vt:lpstr>tlOutput_Cht_Path1SubSRP3Yr</vt:lpstr>
      <vt:lpstr>tlOutput_Cht_Path1Yr1_CostTotal</vt:lpstr>
      <vt:lpstr>tlOutput_Cht_Path1Yr1_CostYr1</vt:lpstr>
      <vt:lpstr>tlOutput_Cht_Path1Yr1_CostYr2</vt:lpstr>
      <vt:lpstr>tlOutput_Cht_Path1Yr1_CostYr3</vt:lpstr>
      <vt:lpstr>tlOutput_Cht_Path1Yr2_CostTotal</vt:lpstr>
      <vt:lpstr>tlOutput_Cht_Path1Yr2_CostYr1</vt:lpstr>
      <vt:lpstr>tlOutput_Cht_Path1Yr2_CostYr2</vt:lpstr>
      <vt:lpstr>tlOutput_Cht_Path1Yr2_CostYr3</vt:lpstr>
      <vt:lpstr>tlOutput_Cht_Path1Yr3_CostTotal</vt:lpstr>
      <vt:lpstr>tlOutput_Cht_Path1Yr3_CostYr1</vt:lpstr>
      <vt:lpstr>tlOutput_Cht_Path1Yr3_CostYr2</vt:lpstr>
      <vt:lpstr>tlOutput_Cht_Path1Yr3_CostYr3</vt:lpstr>
      <vt:lpstr>tlOutput_Cht_Path2_HorizLbl1</vt:lpstr>
      <vt:lpstr>tlOutput_Cht_Path2_HorizLbl2</vt:lpstr>
      <vt:lpstr>tlOutput_Cht_Path2_HorizLbl3</vt:lpstr>
      <vt:lpstr>tlOutput_Cht_Path2_HorizLbl4</vt:lpstr>
      <vt:lpstr>tlOutput_Cht_Path2_M2SLabel</vt:lpstr>
      <vt:lpstr>tlOutput_Cht_Path2_MTDiscLabel</vt:lpstr>
      <vt:lpstr>tlOutput_Cht_Path2_SRPDiscLabel</vt:lpstr>
      <vt:lpstr>tlOutput_Cht_Path2_Y1_M2SInv</vt:lpstr>
      <vt:lpstr>tlOutput_Cht_Path2_Y1_MTDisc</vt:lpstr>
      <vt:lpstr>tlOutput_Cht_Path2_Y1_SRPDisc</vt:lpstr>
      <vt:lpstr>tlOutput_Cht_Path2_Y1Label</vt:lpstr>
      <vt:lpstr>tlOutput_Cht_Path2_Y2_M2SInv</vt:lpstr>
      <vt:lpstr>tlOutput_Cht_Path2_Y2_MTDisc</vt:lpstr>
      <vt:lpstr>tlOutput_Cht_Path2_Y2_SRPDisc</vt:lpstr>
      <vt:lpstr>tlOutput_Cht_Path2_Y2Label</vt:lpstr>
      <vt:lpstr>tlOutput_Cht_Path2_Y3_M2SInv</vt:lpstr>
      <vt:lpstr>tlOutput_Cht_Path2_Y3_MTDisc</vt:lpstr>
      <vt:lpstr>tlOutput_Cht_Path2_Y3_SRPDisc</vt:lpstr>
      <vt:lpstr>tlOutput_Cht_Path2_Y3Label</vt:lpstr>
      <vt:lpstr>tlOutput_Cht_Path2MTCost_AllYears</vt:lpstr>
      <vt:lpstr>tlOutput_Cht_Path2MTCost_Yr1</vt:lpstr>
      <vt:lpstr>tlOutput_Cht_Path2MTCost_Yr2</vt:lpstr>
      <vt:lpstr>tlOutput_Cht_Path2MTCost_Yr3</vt:lpstr>
      <vt:lpstr>tlOutput_Cht_Path2SubSRP</vt:lpstr>
      <vt:lpstr>tlOutput_Cht_Path2SubSRP1</vt:lpstr>
      <vt:lpstr>tlOutput_Cht_Path2SubSRP2</vt:lpstr>
      <vt:lpstr>tlOutput_Cht_Path2SubSRP3</vt:lpstr>
      <vt:lpstr>tlOutput_Cht_Path2SubSRP3Yr</vt:lpstr>
      <vt:lpstr>tlOutput_Cht_Path2Yr1_CostTotal</vt:lpstr>
      <vt:lpstr>tlOutput_Cht_Path2Yr1_CostYr1</vt:lpstr>
      <vt:lpstr>tlOutput_Cht_Path2Yr1_CostYr2</vt:lpstr>
      <vt:lpstr>tlOutput_Cht_Path2Yr1_CostYr3</vt:lpstr>
      <vt:lpstr>tlOutput_Cht_Path2Yr2_CostTotal</vt:lpstr>
      <vt:lpstr>tlOutput_Cht_Path2Yr2_CostYr1</vt:lpstr>
      <vt:lpstr>tlOutput_Cht_Path2Yr2_CostYr2</vt:lpstr>
      <vt:lpstr>tlOutput_Cht_Path2Yr2_CostYr3</vt:lpstr>
      <vt:lpstr>tlOutput_Cht_Path2Yr3_CostTotal</vt:lpstr>
      <vt:lpstr>tlOutput_Cht_Path2Yr3_CostYr1</vt:lpstr>
      <vt:lpstr>tlOutput_Cht_Path2Yr3_CostYr2</vt:lpstr>
      <vt:lpstr>tlOutput_Cht_Path2Yr3_CostYr3</vt:lpstr>
      <vt:lpstr>tlOutput_Cht_Path3_HorizLbl1</vt:lpstr>
      <vt:lpstr>tlOutput_Cht_Path3_HorizLbl2</vt:lpstr>
      <vt:lpstr>tlOutput_Cht_Path3_HorizLbl3</vt:lpstr>
      <vt:lpstr>tlOutput_Cht_Path3_HorizLbl4</vt:lpstr>
      <vt:lpstr>tlOutput_Cht_Path3_M2SLabel</vt:lpstr>
      <vt:lpstr>tlOutput_Cht_Path3_MTDiscLabel</vt:lpstr>
      <vt:lpstr>tlOutput_Cht_Path3_SRPDiscLabel</vt:lpstr>
      <vt:lpstr>tlOutput_Cht_Path3_Y1_M2SInv</vt:lpstr>
      <vt:lpstr>tlOutput_Cht_Path3_Y1_MTDisc</vt:lpstr>
      <vt:lpstr>tlOutput_Cht_Path3_Y1_SRPDisc</vt:lpstr>
      <vt:lpstr>tlOutput_Cht_Path3_Y1Label</vt:lpstr>
      <vt:lpstr>tlOutput_Cht_Path3_Y2_M2SInv</vt:lpstr>
      <vt:lpstr>tlOutput_Cht_Path3_Y2_MTDisc</vt:lpstr>
      <vt:lpstr>tlOutput_Cht_Path3_Y2_SRPDisc</vt:lpstr>
      <vt:lpstr>tlOutput_Cht_Path3_Y2Label</vt:lpstr>
      <vt:lpstr>tlOutput_Cht_Path3_Y3_M2SInv</vt:lpstr>
      <vt:lpstr>tlOutput_Cht_Path3_Y3_MTDisc</vt:lpstr>
      <vt:lpstr>tlOutput_Cht_Path3_Y3_SRPDisc</vt:lpstr>
      <vt:lpstr>tlOutput_Cht_Path3_Y3Label</vt:lpstr>
      <vt:lpstr>tlOutput_Cht_Path3MTCost_AllYears</vt:lpstr>
      <vt:lpstr>tlOutput_Cht_Path3MTCost_Yr1</vt:lpstr>
      <vt:lpstr>tlOutput_Cht_Path3MTCost_Yr2</vt:lpstr>
      <vt:lpstr>tlOutput_Cht_Path3MTCost_Yr3</vt:lpstr>
      <vt:lpstr>tlOutput_Cht_Path3SubSRP1</vt:lpstr>
      <vt:lpstr>tlOutput_Cht_Path3SubSRP2</vt:lpstr>
      <vt:lpstr>tlOutput_Cht_Path3SubSRP3</vt:lpstr>
      <vt:lpstr>tlOutput_Cht_Path3SubSRP3Yr</vt:lpstr>
      <vt:lpstr>tlOutput_Cht_Path3Yr1_CostTotal</vt:lpstr>
      <vt:lpstr>tlOutput_Cht_Path3Yr1_CostYr1</vt:lpstr>
      <vt:lpstr>tlOutput_Cht_Path3Yr1_CostYr2</vt:lpstr>
      <vt:lpstr>tlOutput_Cht_Path3Yr1_CostYr3</vt:lpstr>
      <vt:lpstr>tlOutput_Cht_Path3Yr2_CostTotal</vt:lpstr>
      <vt:lpstr>tlOutput_Cht_Path3Yr2_CostYr1</vt:lpstr>
      <vt:lpstr>tlOutput_Cht_Path3Yr2_CostYr2</vt:lpstr>
      <vt:lpstr>tlOutput_Cht_Path3Yr2_CostYr3</vt:lpstr>
      <vt:lpstr>tlOutput_Cht_Path3Yr3_CostTotal</vt:lpstr>
      <vt:lpstr>tlOutput_Cht_Path3Yr3_CostYr1</vt:lpstr>
      <vt:lpstr>tlOutput_Cht_Path3Yr3_CostYr2</vt:lpstr>
      <vt:lpstr>tlOutput_Cht_Path3Yr3_CostYr3</vt:lpstr>
      <vt:lpstr>tlOutput_Cht_Path4_HorizLbl1</vt:lpstr>
      <vt:lpstr>tlOutput_Cht_Path4_HorizLbl2</vt:lpstr>
      <vt:lpstr>tlOutput_Cht_Path4_HorizLbl3</vt:lpstr>
      <vt:lpstr>tlOutput_Cht_Path4_HorizLbl4</vt:lpstr>
      <vt:lpstr>tlOutput_Cht_Path4_M2SLabel</vt:lpstr>
      <vt:lpstr>tlOutput_Cht_Path4_MTDiscLabel</vt:lpstr>
      <vt:lpstr>tlOutput_Cht_Path4_SRPDiscLabel</vt:lpstr>
      <vt:lpstr>tlOutput_Cht_Path4_Y1_M2SInv</vt:lpstr>
      <vt:lpstr>tlOutput_Cht_Path4_Y1_MTDisc</vt:lpstr>
      <vt:lpstr>tlOutput_Cht_Path4_Y1_SRPDisc</vt:lpstr>
      <vt:lpstr>tlOutput_Cht_Path4_Y1Label</vt:lpstr>
      <vt:lpstr>tlOutput_Cht_Path4_Y2_M2SInv</vt:lpstr>
      <vt:lpstr>tlOutput_Cht_Path4_Y2_MTDisc</vt:lpstr>
      <vt:lpstr>tlOutput_Cht_Path4_Y2_SRPDisc</vt:lpstr>
      <vt:lpstr>tlOutput_Cht_Path4_Y2Label</vt:lpstr>
      <vt:lpstr>tlOutput_Cht_Path4_Y3_M2SInv</vt:lpstr>
      <vt:lpstr>tlOutput_Cht_Path4_Y3_MTDisc</vt:lpstr>
      <vt:lpstr>tlOutput_Cht_Path4_Y3_SRPDisc</vt:lpstr>
      <vt:lpstr>tlOutput_Cht_Path4_Y3Label</vt:lpstr>
      <vt:lpstr>tlOutput_Cht_Path4MTCost_AllYears</vt:lpstr>
      <vt:lpstr>tlOutput_Cht_Path4MTCost_Yr1</vt:lpstr>
      <vt:lpstr>tlOutput_Cht_Path4MTCost_Yr2</vt:lpstr>
      <vt:lpstr>tlOutput_Cht_Path4MTCost_Yr3</vt:lpstr>
      <vt:lpstr>tlOutput_Cht_Path4SubSRP1</vt:lpstr>
      <vt:lpstr>tlOutput_Cht_Path4SubSRP2</vt:lpstr>
      <vt:lpstr>tlOutput_Cht_Path4SubSRP3</vt:lpstr>
      <vt:lpstr>tlOutput_Cht_Path4SubSRP3Yr</vt:lpstr>
      <vt:lpstr>tlOutput_Cht_Path4Yr1_CostTotal</vt:lpstr>
      <vt:lpstr>tlOutput_Cht_Path4Yr1_CostYr1</vt:lpstr>
      <vt:lpstr>tlOutput_Cht_Path4Yr1_CostYr2</vt:lpstr>
      <vt:lpstr>tlOutput_Cht_Path4Yr1_CostYr3</vt:lpstr>
      <vt:lpstr>tlOutput_Cht_Path4Yr2_CostTotal</vt:lpstr>
      <vt:lpstr>tlOutput_Cht_Path4Yr2_CostYr1</vt:lpstr>
      <vt:lpstr>tlOutput_Cht_Path4Yr2_CostYr2</vt:lpstr>
      <vt:lpstr>tlOutput_Cht_Path4Yr2_CostYr3</vt:lpstr>
      <vt:lpstr>tlOutput_Cht_Path4Yr3_CostTotal</vt:lpstr>
      <vt:lpstr>tlOutput_Cht_Path4Yr3_CostYr1</vt:lpstr>
      <vt:lpstr>tlOutput_Cht_Path4Yr3_CostYr2</vt:lpstr>
      <vt:lpstr>tlOutput_Cht_Path4Yr3_CostYr3</vt:lpstr>
      <vt:lpstr>tlOutput_Cht_Path5_HorizLbl1</vt:lpstr>
      <vt:lpstr>tlOutput_Cht_Path5_HorizLbl2</vt:lpstr>
      <vt:lpstr>tlOutput_Cht_Path5_HorizLbl3</vt:lpstr>
      <vt:lpstr>tlOutput_Cht_Path5_HorizLbl4</vt:lpstr>
      <vt:lpstr>tlOutput_Cht_Path5_M2SLabel</vt:lpstr>
      <vt:lpstr>tlOutput_Cht_Path5_MTDiscLabel</vt:lpstr>
      <vt:lpstr>tlOutput_Cht_Path5_SRPDiscLabel</vt:lpstr>
      <vt:lpstr>tlOutput_Cht_Path5_Y1_M2SInv</vt:lpstr>
      <vt:lpstr>tlOutput_Cht_Path5_Y1_MTDisc</vt:lpstr>
      <vt:lpstr>tlOutput_Cht_Path5_Y1_SRPDisc</vt:lpstr>
      <vt:lpstr>tlOutput_Cht_Path5_Y1Label</vt:lpstr>
      <vt:lpstr>tlOutput_Cht_Path5_Y2_M2SInv</vt:lpstr>
      <vt:lpstr>tlOutput_Cht_Path5_Y2_MTDisc</vt:lpstr>
      <vt:lpstr>tlOutput_Cht_Path5_Y2_SRPDisc</vt:lpstr>
      <vt:lpstr>tlOutput_Cht_Path5_Y2Label</vt:lpstr>
      <vt:lpstr>tlOutput_Cht_Path5_Y3_M2SInv</vt:lpstr>
      <vt:lpstr>tlOutput_Cht_Path5_Y3_MTDisc</vt:lpstr>
      <vt:lpstr>tlOutput_Cht_Path5_Y3_SRPDisc</vt:lpstr>
      <vt:lpstr>tlOutput_Cht_Path5_Y3Label</vt:lpstr>
      <vt:lpstr>tlOutput_Cht_Path5MTCost_AllYears</vt:lpstr>
      <vt:lpstr>tlOutput_Cht_Path5MTCost_Yr1</vt:lpstr>
      <vt:lpstr>tlOutput_Cht_Path5MTCost_Yr2</vt:lpstr>
      <vt:lpstr>tlOutput_Cht_Path5MTCost_Yr3</vt:lpstr>
      <vt:lpstr>tlOutput_Cht_Path5SubSRP1</vt:lpstr>
      <vt:lpstr>tlOutput_Cht_Path5SubSRP2</vt:lpstr>
      <vt:lpstr>tlOutput_Cht_Path5SubSRP3</vt:lpstr>
      <vt:lpstr>tlOutput_Cht_Path5SubSRP3Yr</vt:lpstr>
      <vt:lpstr>tlOutput_Cht_Path5Yr1_CostTotal</vt:lpstr>
      <vt:lpstr>tlOutput_Cht_Path5Yr1_CostYr1</vt:lpstr>
      <vt:lpstr>tlOutput_Cht_Path5Yr1_CostYr2</vt:lpstr>
      <vt:lpstr>tlOutput_Cht_Path5Yr1_CostYr3</vt:lpstr>
      <vt:lpstr>tlOutput_Cht_Path5Yr2_CostTotal</vt:lpstr>
      <vt:lpstr>tlOutput_Cht_Path5Yr2_CostYr1</vt:lpstr>
      <vt:lpstr>tlOutput_Cht_Path5Yr2_CostYr2</vt:lpstr>
      <vt:lpstr>tlOutput_Cht_Path5Yr2_CostYr3</vt:lpstr>
      <vt:lpstr>tlOutput_Cht_Path5Yr3_CostTotal</vt:lpstr>
      <vt:lpstr>tlOutput_Cht_Path5Yr3_CostYr1</vt:lpstr>
      <vt:lpstr>tlOutput_Cht_Path5Yr3_CostYr2</vt:lpstr>
      <vt:lpstr>tlOutput_Cht_Path5Yr3_CostYr3</vt:lpstr>
      <vt:lpstr>tlOutput_Cht_Path6_HorizLbl1</vt:lpstr>
      <vt:lpstr>tlOutput_Cht_Path6_HorizLbl2</vt:lpstr>
      <vt:lpstr>tlOutput_Cht_Path6_HorizLbl3</vt:lpstr>
      <vt:lpstr>tlOutput_Cht_Path6_HorizLbl4</vt:lpstr>
      <vt:lpstr>tlOutput_Cht_Path6_M2SLabel</vt:lpstr>
      <vt:lpstr>tlOutput_Cht_Path6_MTDiscLabel</vt:lpstr>
      <vt:lpstr>tlOutput_Cht_Path6_SRPDiscLabel</vt:lpstr>
      <vt:lpstr>tlOutput_Cht_Path6_Y1_M2SInv</vt:lpstr>
      <vt:lpstr>tlOutput_Cht_Path6_Y1_MTDisc</vt:lpstr>
      <vt:lpstr>tlOutput_Cht_Path6_Y1_SRPDisc</vt:lpstr>
      <vt:lpstr>tlOutput_Cht_Path6_Y1Label</vt:lpstr>
      <vt:lpstr>tlOutput_Cht_Path6_Y2_M2SInv</vt:lpstr>
      <vt:lpstr>tlOutput_Cht_Path6_Y2_MTDisc</vt:lpstr>
      <vt:lpstr>tlOutput_Cht_Path6_Y2_SRPDisc</vt:lpstr>
      <vt:lpstr>tlOutput_Cht_Path6_Y2Label</vt:lpstr>
      <vt:lpstr>tlOutput_Cht_Path6_Y3_M2SInv</vt:lpstr>
      <vt:lpstr>tlOutput_Cht_Path6_Y3_MTDisc</vt:lpstr>
      <vt:lpstr>tlOutput_Cht_Path6_Y3_SRPDisc</vt:lpstr>
      <vt:lpstr>tlOutput_Cht_Path6_Y3Label</vt:lpstr>
      <vt:lpstr>tlOutput_Cht_Path6MTCost_AllYears</vt:lpstr>
      <vt:lpstr>tlOutput_Cht_Path6MTCost_Yr1</vt:lpstr>
      <vt:lpstr>tlOutput_Cht_Path6MTCost_Yr2</vt:lpstr>
      <vt:lpstr>tlOutput_Cht_Path6MTCost_Yr3</vt:lpstr>
      <vt:lpstr>tlOutput_Cht_Path6SubSRP1</vt:lpstr>
      <vt:lpstr>tlOutput_Cht_Path6SubSRP2</vt:lpstr>
      <vt:lpstr>tlOutput_Cht_Path6SubSRP3</vt:lpstr>
      <vt:lpstr>tlOutput_Cht_Path6SubSRP3Yr</vt:lpstr>
      <vt:lpstr>tlOutput_Cht_Path6Yr1_CostTotal</vt:lpstr>
      <vt:lpstr>tlOutput_Cht_Path6Yr1_CostYr1</vt:lpstr>
      <vt:lpstr>tlOutput_Cht_Path6Yr1_CostYr2</vt:lpstr>
      <vt:lpstr>tlOutput_Cht_Path6Yr1_CostYr3</vt:lpstr>
      <vt:lpstr>tlOutput_Cht_Path6Yr2_CostTotal</vt:lpstr>
      <vt:lpstr>tlOutput_Cht_Path6Yr2_CostYr1</vt:lpstr>
      <vt:lpstr>tlOutput_Cht_Path6Yr2_CostYr2</vt:lpstr>
      <vt:lpstr>tlOutput_Cht_Path6Yr2_CostYr3</vt:lpstr>
      <vt:lpstr>tlOutput_Cht_Path6Yr3_CostTotal</vt:lpstr>
      <vt:lpstr>tlOutput_Cht_Path6Yr3_CostYr1</vt:lpstr>
      <vt:lpstr>tlOutput_Cht_Path6Yr3_CostYr2</vt:lpstr>
      <vt:lpstr>tlOutput_Cht_Path6Yr3_CostYr3</vt:lpstr>
      <vt:lpstr>tlOutput_Cht_Path7_HorizLbl1</vt:lpstr>
      <vt:lpstr>tlOutput_Cht_Path7_HorizLbl2</vt:lpstr>
      <vt:lpstr>tlOutput_Cht_Path7_HorizLbl3</vt:lpstr>
      <vt:lpstr>tlOutput_Cht_Path7_HorizLbl4</vt:lpstr>
      <vt:lpstr>tlOutput_Cht_Path7_M2SLabel</vt:lpstr>
      <vt:lpstr>tlOutput_Cht_Path7_MTDiscLabel</vt:lpstr>
      <vt:lpstr>tlOutput_Cht_Path7_SRPDiscLabel</vt:lpstr>
      <vt:lpstr>tlOutput_Cht_Path7_Y1_M2SInv</vt:lpstr>
      <vt:lpstr>tlOutput_Cht_Path7_Y1_MTDisc</vt:lpstr>
      <vt:lpstr>tlOutput_Cht_Path7_Y1_SRPDisc</vt:lpstr>
      <vt:lpstr>tlOutput_Cht_Path7_Y1Label</vt:lpstr>
      <vt:lpstr>tlOutput_Cht_Path7_Y2_M2SInv</vt:lpstr>
      <vt:lpstr>tlOutput_Cht_Path7_Y2_MTDisc</vt:lpstr>
      <vt:lpstr>tlOutput_Cht_Path7_Y2_SRPDisc</vt:lpstr>
      <vt:lpstr>tlOutput_Cht_Path7_Y2Label</vt:lpstr>
      <vt:lpstr>tlOutput_Cht_Path7_Y3_M2SInv</vt:lpstr>
      <vt:lpstr>tlOutput_Cht_Path7_Y3_MTDisc</vt:lpstr>
      <vt:lpstr>tlOutput_Cht_Path7_Y3_SRPDisc</vt:lpstr>
      <vt:lpstr>tlOutput_Cht_Path7_Y3Label</vt:lpstr>
      <vt:lpstr>tlOutput_Cht_Path7MTCost_AllYears</vt:lpstr>
      <vt:lpstr>tlOutput_Cht_Path7MTCost_Yr1</vt:lpstr>
      <vt:lpstr>tlOutput_Cht_Path7MTCost_Yr2</vt:lpstr>
      <vt:lpstr>tlOutput_Cht_Path7MTCost_Yr3</vt:lpstr>
      <vt:lpstr>tlOutput_Cht_Path7SubSRP1</vt:lpstr>
      <vt:lpstr>tlOutput_Cht_Path7SubSRP2</vt:lpstr>
      <vt:lpstr>tlOutput_Cht_Path7SubSRP3</vt:lpstr>
      <vt:lpstr>tlOutput_Cht_Path7SubSRP3Yr</vt:lpstr>
      <vt:lpstr>tlOutput_Cht_Path7Yr1_CostTotal</vt:lpstr>
      <vt:lpstr>tlOutput_Cht_Path7Yr1_CostYr1</vt:lpstr>
      <vt:lpstr>tlOutput_Cht_Path7Yr1_CostYr2</vt:lpstr>
      <vt:lpstr>tlOutput_Cht_Path7Yr1_CostYr3</vt:lpstr>
      <vt:lpstr>tlOutput_Cht_Path7Yr2_CostTotal</vt:lpstr>
      <vt:lpstr>tlOutput_Cht_Path7Yr2_CostYr1</vt:lpstr>
      <vt:lpstr>tlOutput_Cht_Path7Yr2_CostYr2</vt:lpstr>
      <vt:lpstr>tlOutput_Cht_Path7Yr2_CostYr3</vt:lpstr>
      <vt:lpstr>tlOutput_Cht_Path7Yr3_CostTotal</vt:lpstr>
      <vt:lpstr>tlOutput_Cht_Path7Yr3_CostYr1</vt:lpstr>
      <vt:lpstr>tlOutput_Cht_Path7Yr3_CostYr2</vt:lpstr>
      <vt:lpstr>tlOutput_Cht_Path7Yr3_CostYr3</vt:lpstr>
      <vt:lpstr>tlOutput_Cht_Path8_HorizLbl1</vt:lpstr>
      <vt:lpstr>tlOutput_Cht_Path8_HorizLbl2</vt:lpstr>
      <vt:lpstr>tlOutput_Cht_Path8_HorizLbl3</vt:lpstr>
      <vt:lpstr>tlOutput_Cht_Path8_HorizLbl4</vt:lpstr>
      <vt:lpstr>tlOutput_Cht_Path8_M2SLabel</vt:lpstr>
      <vt:lpstr>tlOutput_Cht_Path8_MTDiscLabel</vt:lpstr>
      <vt:lpstr>tlOutput_Cht_Path8_SRPDiscLabel</vt:lpstr>
      <vt:lpstr>tlOutput_Cht_Path8_Y1_M2SInv</vt:lpstr>
      <vt:lpstr>tlOutput_Cht_Path8_Y1_MTDisc</vt:lpstr>
      <vt:lpstr>tlOutput_Cht_Path8_Y1_SRPDisc</vt:lpstr>
      <vt:lpstr>tlOutput_Cht_Path8_Y1Label</vt:lpstr>
      <vt:lpstr>tlOutput_Cht_Path8_Y2_M2SInv</vt:lpstr>
      <vt:lpstr>tlOutput_Cht_Path8_Y2_MTDisc</vt:lpstr>
      <vt:lpstr>tlOutput_Cht_Path8_Y2_SRPDisc</vt:lpstr>
      <vt:lpstr>tlOutput_Cht_Path8_Y2Label</vt:lpstr>
      <vt:lpstr>tlOutput_Cht_Path8_Y3_M2SInv</vt:lpstr>
      <vt:lpstr>tlOutput_Cht_Path8_Y3_MTDisc</vt:lpstr>
      <vt:lpstr>tlOutput_Cht_Path8_Y3_SRPDisc</vt:lpstr>
      <vt:lpstr>tlOutput_Cht_Path8_Y3Label</vt:lpstr>
      <vt:lpstr>tlOutput_Cht_Path8MTCost_AllYears</vt:lpstr>
      <vt:lpstr>tlOutput_Cht_Path8MTCost_Yr1</vt:lpstr>
      <vt:lpstr>tlOutput_Cht_Path8MTCost_Yr2</vt:lpstr>
      <vt:lpstr>tlOutput_Cht_Path8MTCost_Yr3</vt:lpstr>
      <vt:lpstr>tlOutput_Cht_Path8SubSRP1</vt:lpstr>
      <vt:lpstr>tlOutput_Cht_Path8SubSRP2</vt:lpstr>
      <vt:lpstr>tlOutput_Cht_Path8SubSRP3</vt:lpstr>
      <vt:lpstr>tlOutput_Cht_Path8SubSRP3Yr</vt:lpstr>
      <vt:lpstr>tlOutput_Cht_Path8Yr1_CostTotal</vt:lpstr>
      <vt:lpstr>tlOutput_Cht_Path8Yr1_CostYr1</vt:lpstr>
      <vt:lpstr>tlOutput_Cht_Path8Yr1_CostYr2</vt:lpstr>
      <vt:lpstr>tlOutput_Cht_Path8Yr1_CostYr3</vt:lpstr>
      <vt:lpstr>tlOutput_Cht_Path8Yr2_CostTotal</vt:lpstr>
      <vt:lpstr>tlOutput_Cht_Path8Yr2_CostYr1</vt:lpstr>
      <vt:lpstr>tlOutput_Cht_Path8Yr2_CostYr2</vt:lpstr>
      <vt:lpstr>tlOutput_Cht_Path8Yr2_CostYr3</vt:lpstr>
      <vt:lpstr>tlOutput_Cht_Path8Yr3_CostTotal</vt:lpstr>
      <vt:lpstr>tlOutput_Cht_Path8Yr3_CostYr1</vt:lpstr>
      <vt:lpstr>tlOutput_Cht_Path8Yr3_CostYr2</vt:lpstr>
      <vt:lpstr>tlOutput_Cht_Path8Yr3_CostYr3</vt:lpstr>
      <vt:lpstr>tlOutput_Cht_Total_HorizLbl1</vt:lpstr>
      <vt:lpstr>tlOutput_Cht_Total_HorizLbl2</vt:lpstr>
      <vt:lpstr>tlOutput_Cht_Total_HorizLbl3</vt:lpstr>
      <vt:lpstr>tlOutput_Cht_Total_HorizLbl4</vt:lpstr>
      <vt:lpstr>tlOutput_Cht_Total_M2SLabel</vt:lpstr>
      <vt:lpstr>tlOutput_Cht_Total_MTDiscLabel</vt:lpstr>
      <vt:lpstr>tlOutput_Cht_Total_SRPDiscLabel</vt:lpstr>
      <vt:lpstr>tlOutput_Cht_Total_Y1_M2SInv</vt:lpstr>
      <vt:lpstr>tlOutput_Cht_Total_Y1_MTDisc</vt:lpstr>
      <vt:lpstr>tlOutput_Cht_Total_Y1_SRPDisc</vt:lpstr>
      <vt:lpstr>tlOutput_Cht_Total_Y1Label</vt:lpstr>
      <vt:lpstr>tlOutput_Cht_Total_Y2_M2SInv</vt:lpstr>
      <vt:lpstr>tlOutput_Cht_Total_Y2_MTDisc</vt:lpstr>
      <vt:lpstr>tlOutput_Cht_Total_Y2_SRPDisc</vt:lpstr>
      <vt:lpstr>tlOutput_Cht_Total_Y2Label</vt:lpstr>
      <vt:lpstr>tlOutput_Cht_Total_Y3_M2SInv</vt:lpstr>
      <vt:lpstr>tlOutput_Cht_Total_Y3_MTDisc</vt:lpstr>
      <vt:lpstr>tlOutput_Cht_Total_Y3_SRPDisc</vt:lpstr>
      <vt:lpstr>tlOutput_Cht_Total_Y3Label</vt:lpstr>
      <vt:lpstr>tlOutput_Cht_TotalMTCost_AllYears</vt:lpstr>
      <vt:lpstr>tlOutput_Cht_TotalMTCost_Yr1</vt:lpstr>
      <vt:lpstr>tlOutput_Cht_TotalMTCost_Yr2</vt:lpstr>
      <vt:lpstr>tlOutput_Cht_TotalMTCost_Yr3</vt:lpstr>
      <vt:lpstr>tlOutput_Cht_TotalSubSRP1</vt:lpstr>
      <vt:lpstr>tlOutput_Cht_TotalSubSRP2</vt:lpstr>
      <vt:lpstr>tlOutput_Cht_TotalSubSRP3</vt:lpstr>
      <vt:lpstr>tlOutput_Cht_TotalSubSRP3Yr</vt:lpstr>
      <vt:lpstr>tlOutput_Cht_TotalYr1_CostTotal</vt:lpstr>
      <vt:lpstr>tlOutput_Cht_TotalYr1_CostYr1</vt:lpstr>
      <vt:lpstr>tlOutput_Cht_TotalYr1_CostYr2</vt:lpstr>
      <vt:lpstr>tlOutput_Cht_TotalYr1_CostYr3</vt:lpstr>
      <vt:lpstr>tlOutput_Cht_TotalYr2_CostTotal</vt:lpstr>
      <vt:lpstr>tlOutput_Cht_TotalYr2_CostYr1</vt:lpstr>
      <vt:lpstr>tlOutput_Cht_TotalYr2_CostYr2</vt:lpstr>
      <vt:lpstr>tlOutput_Cht_TotalYr2_CostYr3</vt:lpstr>
      <vt:lpstr>tlOutput_Cht_TotalYr3_CostTotal</vt:lpstr>
      <vt:lpstr>tlOutput_Cht_TotalYr3_CostYr1</vt:lpstr>
      <vt:lpstr>tlOutput_Cht_TotalYr3_CostYr2</vt:lpstr>
      <vt:lpstr>tlOutput_Cht_TotalYr3_CostYr3</vt:lpstr>
      <vt:lpstr>tlOutput_ChtStck_Path1_MTLabel</vt:lpstr>
      <vt:lpstr>tlOutput_ChtStck_Path1_SRPLabel</vt:lpstr>
      <vt:lpstr>tlOutput_ChtStck_Path1_Y1Label</vt:lpstr>
      <vt:lpstr>tlOutput_ChtStck_Path1_Y2Label</vt:lpstr>
      <vt:lpstr>tlOutput_ChtStck_Path1_Y3Label</vt:lpstr>
      <vt:lpstr>tlOutput_ChtStck_Path2_MTLabel</vt:lpstr>
      <vt:lpstr>tlOutput_ChtStck_Path2_SRPLabel</vt:lpstr>
      <vt:lpstr>tlOutput_ChtStck_Path2_Y1Label</vt:lpstr>
      <vt:lpstr>tlOutput_ChtStck_Path2_Y2Label</vt:lpstr>
      <vt:lpstr>tlOutput_ChtStck_Path2_Y3Label</vt:lpstr>
      <vt:lpstr>tlOutput_ChtStck_Path3_MTLabel</vt:lpstr>
      <vt:lpstr>tlOutput_ChtStck_Path3_SRPLabel</vt:lpstr>
      <vt:lpstr>tlOutput_ChtStck_Path3_Y1Label</vt:lpstr>
      <vt:lpstr>tlOutput_ChtStck_Path3_Y2Label</vt:lpstr>
      <vt:lpstr>tlOutput_ChtStck_Path3_Y3Label</vt:lpstr>
      <vt:lpstr>tlOutput_ChtStck_Path4_MTLabel</vt:lpstr>
      <vt:lpstr>tlOutput_ChtStck_Path4_SRPLabel</vt:lpstr>
      <vt:lpstr>tlOutput_ChtStck_Path4_Y1Label</vt:lpstr>
      <vt:lpstr>tlOutput_ChtStck_Path4_Y2Label</vt:lpstr>
      <vt:lpstr>tlOutput_ChtStck_Path4_Y3Label</vt:lpstr>
      <vt:lpstr>tlOutput_ChtStck_Path5_MTLabel</vt:lpstr>
      <vt:lpstr>tlOutput_ChtStck_Path5_SRPLabel</vt:lpstr>
      <vt:lpstr>tlOutput_ChtStck_Path5_Y1Label</vt:lpstr>
      <vt:lpstr>tlOutput_ChtStck_Path5_Y2Label</vt:lpstr>
      <vt:lpstr>tlOutput_ChtStck_Path5_Y3Label</vt:lpstr>
      <vt:lpstr>tlOutput_ChtStck_Path6_MTLabel</vt:lpstr>
      <vt:lpstr>tlOutput_ChtStck_Path6_SRPLabel</vt:lpstr>
      <vt:lpstr>tlOutput_ChtStck_Path6_Y1Label</vt:lpstr>
      <vt:lpstr>tlOutput_ChtStck_Path6_Y2Label</vt:lpstr>
      <vt:lpstr>tlOutput_ChtStck_Path6_Y3Label</vt:lpstr>
      <vt:lpstr>tlOutput_ChtStck_Path7_MTLabel</vt:lpstr>
      <vt:lpstr>tlOutput_ChtStck_Path7_SRPLabel</vt:lpstr>
      <vt:lpstr>tlOutput_ChtStck_Path7_Y1Label</vt:lpstr>
      <vt:lpstr>tlOutput_ChtStck_Path7_Y2Label</vt:lpstr>
      <vt:lpstr>tlOutput_ChtStck_Path7_Y3Label</vt:lpstr>
      <vt:lpstr>tlOutput_ChtStck_Path8_MTLabel</vt:lpstr>
      <vt:lpstr>tlOutput_ChtStck_Path8_SRPLabel</vt:lpstr>
      <vt:lpstr>tlOutput_ChtStck_Path8_Y1Label</vt:lpstr>
      <vt:lpstr>tlOutput_ChtStck_Path8_Y2Label</vt:lpstr>
      <vt:lpstr>tlOutput_ChtStck_Path8_Y3Label</vt:lpstr>
      <vt:lpstr>tlOutput_ChtStck_Total_MTLabel</vt:lpstr>
      <vt:lpstr>tlOutput_ChtStck_Total_SRPLabel</vt:lpstr>
      <vt:lpstr>tlOutput_ChtStck_Total_Y1Label</vt:lpstr>
      <vt:lpstr>tlOutput_ChtStck_Total_Y2Label</vt:lpstr>
      <vt:lpstr>tlOutput_ChtStck_Total_Y3Label</vt:lpstr>
      <vt:lpstr>tlOutput_Lbl_Chart</vt:lpstr>
      <vt:lpstr>tlOutput_Lbl_Chart_Instr</vt:lpstr>
      <vt:lpstr>tlOutput_Lbl_Currency</vt:lpstr>
      <vt:lpstr>tlOutput_Lbl_ExpMT</vt:lpstr>
      <vt:lpstr>tlOutput_Lbl_Inputs</vt:lpstr>
      <vt:lpstr>tlOutput_Lbl_Inputs_Path1</vt:lpstr>
      <vt:lpstr>tlOutput_Lbl_Inputs_Path2</vt:lpstr>
      <vt:lpstr>tlOutput_Lbl_Inputs_Path3</vt:lpstr>
      <vt:lpstr>tlOutput_Lbl_Inputs_Path4</vt:lpstr>
      <vt:lpstr>tlOutput_Lbl_Language</vt:lpstr>
      <vt:lpstr>tlOutput_Lbl_MtExp</vt:lpstr>
      <vt:lpstr>tlOutput_Lbl_MtExp_Total</vt:lpstr>
      <vt:lpstr>tlOutput_Lbl_MtExp_Yr1</vt:lpstr>
      <vt:lpstr>tlOutput_Lbl_MtExp_Yr2</vt:lpstr>
      <vt:lpstr>tlOutput_Lbl_MtExp_Yr3</vt:lpstr>
      <vt:lpstr>tlOutput_Lbl_NewSubSRP</vt:lpstr>
      <vt:lpstr>tlOutput_Lbl_NewSubSRPInv</vt:lpstr>
      <vt:lpstr>tlOutput_Lbl_NewSubSRPInv_1Yr</vt:lpstr>
      <vt:lpstr>tlOutput_Lbl_Outputs</vt:lpstr>
      <vt:lpstr>tlOutput_Lbl_Outputs_Path1</vt:lpstr>
      <vt:lpstr>tlOutput_Lbl_Outputs_Path2</vt:lpstr>
      <vt:lpstr>tlOutput_Lbl_Outputs_Path3</vt:lpstr>
      <vt:lpstr>tlOutput_Lbl_Outputs_Path4</vt:lpstr>
      <vt:lpstr>tlOutput_Lbl_PriceMT</vt:lpstr>
      <vt:lpstr>tlOutput_Lbl_ProdMT</vt:lpstr>
      <vt:lpstr>tlOutput_Lbl_ProdSub</vt:lpstr>
      <vt:lpstr>tlOutput_Lbl_Qty</vt:lpstr>
      <vt:lpstr>tlOutput_Lbl_Yr1Header</vt:lpstr>
      <vt:lpstr>tlOutput_Lbl_Yr1Savings</vt:lpstr>
      <vt:lpstr>tlOutput_Lbl_Yr1Savings_Perc</vt:lpstr>
      <vt:lpstr>tlOutput_Lbl_Yr1Total</vt:lpstr>
      <vt:lpstr>tlOutput_Lbl_Yr1Yr1</vt:lpstr>
      <vt:lpstr>tlOutput_Lbl_Yr1Yr2</vt:lpstr>
      <vt:lpstr>tlOutput_Lbl_Yr1Yr3</vt:lpstr>
      <vt:lpstr>tlOutput_Lbl_Yr2Header</vt:lpstr>
      <vt:lpstr>tlOutput_Lbl_Yr2Savings</vt:lpstr>
      <vt:lpstr>tlOutput_Lbl_Yr2Savings_Perc</vt:lpstr>
      <vt:lpstr>tlOutput_Lbl_Yr2Total</vt:lpstr>
      <vt:lpstr>tlOutput_Lbl_Yr2Yr1</vt:lpstr>
      <vt:lpstr>tlOutput_Lbl_Yr2Yr2</vt:lpstr>
      <vt:lpstr>tlOutput_Lbl_Yr2Yr3</vt:lpstr>
      <vt:lpstr>tlOutput_Lbl_Yr3Header</vt:lpstr>
      <vt:lpstr>tlOutput_Lbl_Yr3Savings</vt:lpstr>
      <vt:lpstr>tlOutput_Lbl_Yr3Savings_Perc</vt:lpstr>
      <vt:lpstr>tlOutput_Lbl_Yr3Total</vt:lpstr>
      <vt:lpstr>tlOutput_Lbl_Yr3Yr1</vt:lpstr>
      <vt:lpstr>tlOutput_Lbl_Yr3Yr2</vt:lpstr>
      <vt:lpstr>tlOutput_Lbl_Yr3Yr3</vt:lpstr>
      <vt:lpstr>tlOutput_Lbl_Yr4</vt:lpstr>
      <vt:lpstr>tlOutput_List_Path1_ProdSub</vt:lpstr>
      <vt:lpstr>tlOutput_List_Path2_ProdSub</vt:lpstr>
      <vt:lpstr>tlOutput_List_Path3_ProdSub</vt:lpstr>
      <vt:lpstr>tlOutput_List_Path4_ProdSub</vt:lpstr>
      <vt:lpstr>tlOutput_List_Path5_ProdSub</vt:lpstr>
      <vt:lpstr>tlOutput_List_Path6_ProdSub</vt:lpstr>
      <vt:lpstr>tlOutput_List_Path7_ProdSub</vt:lpstr>
      <vt:lpstr>tlOutput_List_Path8_ProdSub</vt:lpstr>
      <vt:lpstr>tlOutput_List_ProdMT</vt:lpstr>
      <vt:lpstr>tlOutput_Path1_ProdSub</vt:lpstr>
      <vt:lpstr>tlOutput_Path2_ProdSub</vt:lpstr>
      <vt:lpstr>tlOutput_Path3_ProdSub</vt:lpstr>
      <vt:lpstr>tlOutput_Path4_ProdSub</vt:lpstr>
      <vt:lpstr>tlOutput_Path5_ProdSub</vt:lpstr>
      <vt:lpstr>tlOutput_Path6_ProdSub</vt:lpstr>
      <vt:lpstr>tlOutput_Path7_ProdSub</vt:lpstr>
      <vt:lpstr>tlOutput_Path8_ProdSub</vt:lpstr>
      <vt:lpstr>tlOutputLanguages</vt:lpstr>
      <vt:lpstr>tlOutputListCurrency</vt:lpstr>
      <vt:lpstr>tlOutputListGlossary</vt:lpstr>
      <vt:lpstr>tlOutputPath1MTCost_AllYears</vt:lpstr>
      <vt:lpstr>tlOutputPath1MTCost_Yr1</vt:lpstr>
      <vt:lpstr>tlOutputPath1MTCost_Yr2</vt:lpstr>
      <vt:lpstr>tlOutputPath1MTCost_Yr3</vt:lpstr>
      <vt:lpstr>tlOutputPath1SubSRP</vt:lpstr>
      <vt:lpstr>tlOutputPath1SubSRP3Yr</vt:lpstr>
      <vt:lpstr>tlOutputPath1Yr1_CostTotal</vt:lpstr>
      <vt:lpstr>tlOutputPath1Yr1_CostYr1</vt:lpstr>
      <vt:lpstr>tlOutputPath1Yr1_CostYr2</vt:lpstr>
      <vt:lpstr>tlOutputPath1Yr1_CostYr3</vt:lpstr>
      <vt:lpstr>tlOutputPath1Yr1_SRPDisc</vt:lpstr>
      <vt:lpstr>tlOutputPath1Yr1_SRPDisc_Perc</vt:lpstr>
      <vt:lpstr>tlOutputPath1Yr2_CostTotal</vt:lpstr>
      <vt:lpstr>tlOutputPath1Yr2_CostYr1</vt:lpstr>
      <vt:lpstr>tlOutputPath1Yr2_CostYr2</vt:lpstr>
      <vt:lpstr>tlOutputPath1Yr2_CostYr3</vt:lpstr>
      <vt:lpstr>tlOutputPath1Yr2_SRPDisc</vt:lpstr>
      <vt:lpstr>tlOutputPath1Yr2_SRPDisc_Perc</vt:lpstr>
      <vt:lpstr>tlOutputPath1Yr3_CostTotal</vt:lpstr>
      <vt:lpstr>tlOutputPath1Yr3_CostYr1</vt:lpstr>
      <vt:lpstr>tlOutputPath1Yr3_CostYr2</vt:lpstr>
      <vt:lpstr>tlOutputPath1Yr3_CostYr3</vt:lpstr>
      <vt:lpstr>tlOutputPath1Yr3_SRPDisc</vt:lpstr>
      <vt:lpstr>tlOutputPath1Yr3_SRPDisc_Perc</vt:lpstr>
      <vt:lpstr>tlOutputPath1Yr4Cost</vt:lpstr>
      <vt:lpstr>tlOutputPath2MTCost_AllYears</vt:lpstr>
      <vt:lpstr>tlOutputPath2MTCost_Yr1</vt:lpstr>
      <vt:lpstr>tlOutputPath2MTCost_Yr2</vt:lpstr>
      <vt:lpstr>tlOutputPath2MTCost_Yr3</vt:lpstr>
      <vt:lpstr>tlOutputPath2SubSRP</vt:lpstr>
      <vt:lpstr>tlOutputPath2SubSRP3Yr</vt:lpstr>
      <vt:lpstr>tlOutputPath2Yr1_CostTotal</vt:lpstr>
      <vt:lpstr>tlOutputPath2Yr1_CostYr1</vt:lpstr>
      <vt:lpstr>tlOutputPath2Yr1_CostYr2</vt:lpstr>
      <vt:lpstr>tlOutputPath2Yr1_CostYr3</vt:lpstr>
      <vt:lpstr>tlOutputPath2Yr1_SRPDisc</vt:lpstr>
      <vt:lpstr>tlOutputPath2Yr1_SRPDisc_Perc</vt:lpstr>
      <vt:lpstr>tlOutputPath2Yr2_CostTotal</vt:lpstr>
      <vt:lpstr>tlOutputPath2Yr2_CostYr1</vt:lpstr>
      <vt:lpstr>tlOutputPath2Yr2_CostYr2</vt:lpstr>
      <vt:lpstr>tlOutputPath2Yr2_CostYr3</vt:lpstr>
      <vt:lpstr>tlOutputPath2Yr2_SRPDisc</vt:lpstr>
      <vt:lpstr>tlOutputPath2Yr2_SRPDisc_Perc</vt:lpstr>
      <vt:lpstr>tlOutputPath2Yr3_CostTotal</vt:lpstr>
      <vt:lpstr>tlOutputPath2Yr3_CostYr1</vt:lpstr>
      <vt:lpstr>tlOutputPath2Yr3_CostYr2</vt:lpstr>
      <vt:lpstr>tlOutputPath2Yr3_CostYr3</vt:lpstr>
      <vt:lpstr>tlOutputPath2Yr3_SRPDisc</vt:lpstr>
      <vt:lpstr>tlOutputPath2Yr3_SRPDisc_Perc</vt:lpstr>
      <vt:lpstr>tlOutputPath2Yr4Cost</vt:lpstr>
      <vt:lpstr>tlOutputPath3MTCost_AllYears</vt:lpstr>
      <vt:lpstr>tlOutputPath3MTCost_Yr1</vt:lpstr>
      <vt:lpstr>tlOutputPath3MTCost_Yr2</vt:lpstr>
      <vt:lpstr>tlOutputPath3MTCost_Yr3</vt:lpstr>
      <vt:lpstr>tlOutputPath3SubSRP</vt:lpstr>
      <vt:lpstr>tlOutputPath3SubSRP3Yr</vt:lpstr>
      <vt:lpstr>tlOutputPath3Yr1_CostTotal</vt:lpstr>
      <vt:lpstr>tlOutputPath3Yr1_CostYr1</vt:lpstr>
      <vt:lpstr>tlOutputPath3Yr1_CostYr2</vt:lpstr>
      <vt:lpstr>tlOutputPath3Yr1_CostYr3</vt:lpstr>
      <vt:lpstr>tlOutputPath3Yr1_SRPDisc</vt:lpstr>
      <vt:lpstr>tlOutputPath3Yr1_SRPDisc_Perc</vt:lpstr>
      <vt:lpstr>tlOutputPath3Yr2_CostTotal</vt:lpstr>
      <vt:lpstr>tlOutputPath3Yr2_CostYr1</vt:lpstr>
      <vt:lpstr>tlOutputPath3Yr2_CostYr2</vt:lpstr>
      <vt:lpstr>tlOutputPath3Yr2_CostYr3</vt:lpstr>
      <vt:lpstr>tlOutputPath3Yr2_SRPDisc</vt:lpstr>
      <vt:lpstr>tlOutputPath3Yr2_SRPDisc_Perc</vt:lpstr>
      <vt:lpstr>tlOutputPath3Yr3_CostTotal</vt:lpstr>
      <vt:lpstr>tlOutputPath3Yr3_CostYr1</vt:lpstr>
      <vt:lpstr>tlOutputPath3Yr3_CostYr2</vt:lpstr>
      <vt:lpstr>tlOutputPath3Yr3_CostYr3</vt:lpstr>
      <vt:lpstr>tlOutputPath3Yr3_SRPDisc</vt:lpstr>
      <vt:lpstr>tlOutputPath3Yr3_SRPDisc_Perc</vt:lpstr>
      <vt:lpstr>tlOutputPath3Yr4Cost</vt:lpstr>
      <vt:lpstr>tlOutputPath4MTCost_AllYears</vt:lpstr>
      <vt:lpstr>tlOutputPath4MTCost_Yr1</vt:lpstr>
      <vt:lpstr>tlOutputPath4MTCost_Yr2</vt:lpstr>
      <vt:lpstr>tlOutputPath4MTCost_Yr3</vt:lpstr>
      <vt:lpstr>tlOutputPath4SubSRP</vt:lpstr>
      <vt:lpstr>tlOutputPath4SubSRP3Yr</vt:lpstr>
      <vt:lpstr>tlOutputPath4Yr1_CostTotal</vt:lpstr>
      <vt:lpstr>tlOutputPath4Yr1_CostYr1</vt:lpstr>
      <vt:lpstr>tlOutputPath4Yr1_CostYr2</vt:lpstr>
      <vt:lpstr>tlOutputPath4Yr1_CostYr3</vt:lpstr>
      <vt:lpstr>tlOutputPath4Yr1_SRPDisc</vt:lpstr>
      <vt:lpstr>tlOutputPath4Yr1_SRPDisc_Perc</vt:lpstr>
      <vt:lpstr>tlOutputPath4Yr2_CostTotal</vt:lpstr>
      <vt:lpstr>tlOutputPath4Yr2_CostYr1</vt:lpstr>
      <vt:lpstr>tlOutputPath4Yr2_CostYr2</vt:lpstr>
      <vt:lpstr>tlOutputPath4Yr2_CostYr3</vt:lpstr>
      <vt:lpstr>tlOutputPath4Yr2_SRPDisc</vt:lpstr>
      <vt:lpstr>tlOutputPath4Yr2_SRPDisc_Perc</vt:lpstr>
      <vt:lpstr>tlOutputPath4Yr3_CostTotal</vt:lpstr>
      <vt:lpstr>tlOutputPath4Yr3_CostYr1</vt:lpstr>
      <vt:lpstr>tlOutputPath4Yr3_CostYr2</vt:lpstr>
      <vt:lpstr>tlOutputPath4Yr3_CostYr3</vt:lpstr>
      <vt:lpstr>tlOutputPath4Yr3_SRPDisc</vt:lpstr>
      <vt:lpstr>tlOutputPath4Yr3_SRPDisc_Perc</vt:lpstr>
      <vt:lpstr>tlOutputPath4Yr4Cost</vt:lpstr>
      <vt:lpstr>tlOutputPath5MTCost_AllYears</vt:lpstr>
      <vt:lpstr>tlOutputPath5MTCost_Yr1</vt:lpstr>
      <vt:lpstr>tlOutputPath5MTCost_Yr2</vt:lpstr>
      <vt:lpstr>tlOutputPath5MTCost_Yr3</vt:lpstr>
      <vt:lpstr>tlOutputPath5SubSRP</vt:lpstr>
      <vt:lpstr>tlOutputPath5SubSRP3Yr</vt:lpstr>
      <vt:lpstr>tlOutputPath5Yr1_CostTotal</vt:lpstr>
      <vt:lpstr>tlOutputPath5Yr1_CostYr1</vt:lpstr>
      <vt:lpstr>tlOutputPath5Yr1_CostYr2</vt:lpstr>
      <vt:lpstr>tlOutputPath5Yr1_CostYr3</vt:lpstr>
      <vt:lpstr>tlOutputPath5Yr1_SRPDisc</vt:lpstr>
      <vt:lpstr>tlOutputPath5Yr1_SRPDisc_Perc</vt:lpstr>
      <vt:lpstr>tlOutputPath5Yr2_CostTotal</vt:lpstr>
      <vt:lpstr>tlOutputPath5Yr2_CostYr1</vt:lpstr>
      <vt:lpstr>tlOutputPath5Yr2_CostYr2</vt:lpstr>
      <vt:lpstr>tlOutputPath5Yr2_CostYr3</vt:lpstr>
      <vt:lpstr>tlOutputPath5Yr2_SRPDisc</vt:lpstr>
      <vt:lpstr>tlOutputPath5Yr2_SRPDisc_Perc</vt:lpstr>
      <vt:lpstr>tlOutputPath5Yr3_CostTotal</vt:lpstr>
      <vt:lpstr>tlOutputPath5Yr3_CostYr1</vt:lpstr>
      <vt:lpstr>tlOutputPath5Yr3_CostYr2</vt:lpstr>
      <vt:lpstr>tlOutputPath5Yr3_CostYr3</vt:lpstr>
      <vt:lpstr>tlOutputPath5Yr3_SRPDisc</vt:lpstr>
      <vt:lpstr>tlOutputPath5Yr3_SRPDisc_Perc</vt:lpstr>
      <vt:lpstr>tlOutputPath5Yr4Cost</vt:lpstr>
      <vt:lpstr>tlOutputPath6MTCost_AllYears</vt:lpstr>
      <vt:lpstr>tlOutputPath6MTCost_Yr1</vt:lpstr>
      <vt:lpstr>tlOutputPath6MTCost_Yr2</vt:lpstr>
      <vt:lpstr>tlOutputPath6MTCost_Yr3</vt:lpstr>
      <vt:lpstr>tlOutputPath6SubSRP</vt:lpstr>
      <vt:lpstr>tlOutputPath6SubSRP3Yr</vt:lpstr>
      <vt:lpstr>tlOutputPath6Yr1_CostTotal</vt:lpstr>
      <vt:lpstr>tlOutputPath6Yr1_CostYr1</vt:lpstr>
      <vt:lpstr>tlOutputPath6Yr1_CostYr2</vt:lpstr>
      <vt:lpstr>tlOutputPath6Yr1_CostYr3</vt:lpstr>
      <vt:lpstr>tlOutputPath6Yr1_SRPDisc</vt:lpstr>
      <vt:lpstr>tlOutputPath6Yr1_SRPDisc_Perc</vt:lpstr>
      <vt:lpstr>tlOutputPath6Yr2_CostTotal</vt:lpstr>
      <vt:lpstr>tlOutputPath6Yr2_CostYr1</vt:lpstr>
      <vt:lpstr>tlOutputPath6Yr2_CostYr2</vt:lpstr>
      <vt:lpstr>tlOutputPath6Yr2_CostYr3</vt:lpstr>
      <vt:lpstr>tlOutputPath6Yr2_SRPDisc</vt:lpstr>
      <vt:lpstr>tlOutputPath6Yr2_SRPDisc_Perc</vt:lpstr>
      <vt:lpstr>tlOutputPath6Yr3_CostTotal</vt:lpstr>
      <vt:lpstr>tlOutputPath6Yr3_CostYr1</vt:lpstr>
      <vt:lpstr>tlOutputPath6Yr3_CostYr2</vt:lpstr>
      <vt:lpstr>tlOutputPath6Yr3_CostYr3</vt:lpstr>
      <vt:lpstr>tlOutputPath6Yr3_SRPDisc</vt:lpstr>
      <vt:lpstr>tlOutputPath6Yr3_SRPDisc_Perc</vt:lpstr>
      <vt:lpstr>tlOutputPath6Yr4Cost</vt:lpstr>
      <vt:lpstr>tlOutputPath7MTCost_AllYears</vt:lpstr>
      <vt:lpstr>tlOutputPath7MTCost_Yr1</vt:lpstr>
      <vt:lpstr>tlOutputPath7MTCost_Yr2</vt:lpstr>
      <vt:lpstr>tlOutputPath7MTCost_Yr3</vt:lpstr>
      <vt:lpstr>tlOutputPath7SubSRP</vt:lpstr>
      <vt:lpstr>tlOutputPath7SubSRP3Yr</vt:lpstr>
      <vt:lpstr>tlOutputPath7Yr1_CostTotal</vt:lpstr>
      <vt:lpstr>tlOutputPath7Yr1_CostYr1</vt:lpstr>
      <vt:lpstr>tlOutputPath7Yr1_CostYr2</vt:lpstr>
      <vt:lpstr>tlOutputPath7Yr1_CostYr3</vt:lpstr>
      <vt:lpstr>tlOutputPath7Yr1_SRPDisc</vt:lpstr>
      <vt:lpstr>tlOutputPath7Yr1_SRPDisc_Perc</vt:lpstr>
      <vt:lpstr>tlOutputPath7Yr2_CostTotal</vt:lpstr>
      <vt:lpstr>tlOutputPath7Yr2_CostYr1</vt:lpstr>
      <vt:lpstr>tlOutputPath7Yr2_CostYr2</vt:lpstr>
      <vt:lpstr>tlOutputPath7Yr2_CostYr3</vt:lpstr>
      <vt:lpstr>tlOutputPath7Yr2_SRPDisc</vt:lpstr>
      <vt:lpstr>tlOutputPath7Yr2_SRPDisc_Perc</vt:lpstr>
      <vt:lpstr>tlOutputPath7Yr3_CostTotal</vt:lpstr>
      <vt:lpstr>tlOutputPath7Yr3_CostYr1</vt:lpstr>
      <vt:lpstr>tlOutputPath7Yr3_CostYr2</vt:lpstr>
      <vt:lpstr>tlOutputPath7Yr3_CostYr3</vt:lpstr>
      <vt:lpstr>tlOutputPath7Yr3_SRPDisc</vt:lpstr>
      <vt:lpstr>tlOutputPath7Yr3_SRPDisc_Perc</vt:lpstr>
      <vt:lpstr>tlOutputPath7Yr4Cost</vt:lpstr>
      <vt:lpstr>tlOutputPath8MTCost_AllYears</vt:lpstr>
      <vt:lpstr>tlOutputPath8MTCost_Yr1</vt:lpstr>
      <vt:lpstr>tlOutputPath8MTCost_Yr2</vt:lpstr>
      <vt:lpstr>tlOutputPath8MTCost_Yr3</vt:lpstr>
      <vt:lpstr>tlOutputPath8SubSRP</vt:lpstr>
      <vt:lpstr>tlOutputPath8SubSRP3Yr</vt:lpstr>
      <vt:lpstr>tlOutputPath8Yr1_CostTotal</vt:lpstr>
      <vt:lpstr>tlOutputPath8Yr1_CostYr1</vt:lpstr>
      <vt:lpstr>tlOutputPath8Yr1_CostYr2</vt:lpstr>
      <vt:lpstr>tlOutputPath8Yr1_CostYr3</vt:lpstr>
      <vt:lpstr>tlOutputPath8Yr1_SRPDisc</vt:lpstr>
      <vt:lpstr>tlOutputPath8Yr1_SRPDisc_Perc</vt:lpstr>
      <vt:lpstr>tlOutputPath8Yr2_CostTotal</vt:lpstr>
      <vt:lpstr>tlOutputPath8Yr2_CostYr1</vt:lpstr>
      <vt:lpstr>tlOutputPath8Yr2_CostYr2</vt:lpstr>
      <vt:lpstr>tlOutputPath8Yr2_CostYr3</vt:lpstr>
      <vt:lpstr>tlOutputPath8Yr2_SRPDisc</vt:lpstr>
      <vt:lpstr>tlOutputPath8Yr2_SRPDisc_Perc</vt:lpstr>
      <vt:lpstr>tlOutputPath8Yr3_CostTotal</vt:lpstr>
      <vt:lpstr>tlOutputPath8Yr3_CostYr1</vt:lpstr>
      <vt:lpstr>tlOutputPath8Yr3_CostYr2</vt:lpstr>
      <vt:lpstr>tlOutputPath8Yr3_CostYr3</vt:lpstr>
      <vt:lpstr>tlOutputPath8Yr3_SRPDisc</vt:lpstr>
      <vt:lpstr>tlOutputPath8Yr3_SRPDisc_Perc</vt:lpstr>
      <vt:lpstr>tlOutputPath8Yr4Cost</vt:lpstr>
      <vt:lpstr>tlOutputTotalMTCost_AllYears</vt:lpstr>
      <vt:lpstr>tlOutputTotalMTCost_Yr1</vt:lpstr>
      <vt:lpstr>tlOutputTotalMTCost_Yr2</vt:lpstr>
      <vt:lpstr>tlOutputTotalMTCost_Yr3</vt:lpstr>
      <vt:lpstr>tlOutputTotalSubSRP</vt:lpstr>
      <vt:lpstr>tlOutputTotalSubSRP3Yr</vt:lpstr>
      <vt:lpstr>tlOutputTotalYr1_CostTotal</vt:lpstr>
      <vt:lpstr>tlOutputTotalYr1_CostYr1</vt:lpstr>
      <vt:lpstr>tlOutputTotalYr1_CostYr2</vt:lpstr>
      <vt:lpstr>tlOutputTotalYr1_CostYr3</vt:lpstr>
      <vt:lpstr>tlOutputTotalYr1_SRPDisc</vt:lpstr>
      <vt:lpstr>tlOutputTotalYr1_SRPDisc_Perc</vt:lpstr>
      <vt:lpstr>tlOutputTotalYr2_CostTotal</vt:lpstr>
      <vt:lpstr>tlOutputTotalYr2_CostYr1</vt:lpstr>
      <vt:lpstr>tlOutputTotalYr2_CostYr2</vt:lpstr>
      <vt:lpstr>tlOutputTotalYr2_CostYr3</vt:lpstr>
      <vt:lpstr>tlOutputTotalYr2_SRPDisc</vt:lpstr>
      <vt:lpstr>tlOutputTotalYr2_SRPDisc_Perc</vt:lpstr>
      <vt:lpstr>tlOutputTotalYr3_CostTotal</vt:lpstr>
      <vt:lpstr>tlOutputTotalYr3_CostYr1</vt:lpstr>
      <vt:lpstr>tlOutputTotalYr3_CostYr2</vt:lpstr>
      <vt:lpstr>tlOutputTotalYr3_CostYr3</vt:lpstr>
      <vt:lpstr>tlOutputTotalYr3_SRPDisc</vt:lpstr>
      <vt:lpstr>tlOutputTotalYr3_SRPDisc_Perc</vt:lpstr>
      <vt:lpstr>tlOutputTotalYr4Cost</vt:lpstr>
      <vt:lpstr>tlTestOutputData</vt:lpstr>
      <vt:lpstr>vbaPopupMenu1ItemNumber</vt:lpstr>
      <vt:lpstr>vbaPopupMenu1ListFaceID</vt:lpstr>
      <vt:lpstr>vbaPopupMenu1ListLevel</vt:lpstr>
      <vt:lpstr>vbaPopupMenu1ListMacro</vt:lpstr>
      <vt:lpstr>vbaPopupMenu1ListTitle</vt:lpstr>
      <vt:lpstr>vbaPopupMenu1Lvl1ItemNumber</vt:lpstr>
      <vt:lpstr>vbaPopupMenu1Lvl2ItemNumber</vt:lpstr>
      <vt:lpstr>vbaPopupMenuActive</vt:lpstr>
      <vt:lpstr>vbaPopupMenuName</vt:lpstr>
      <vt:lpstr>xxIndexTeam</vt:lpstr>
      <vt:lpstr>xxNumOfTeams</vt:lpstr>
      <vt:lpstr>xxRound</vt:lpstr>
      <vt:lpstr>xxSim0Tool1</vt:lpstr>
      <vt:lpstr>xxToolPrefix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BTS London IT</dc:creator>
  <cp:lastModifiedBy>Adam Aranyos</cp:lastModifiedBy>
  <cp:lastPrinted>2017-03-31T01:02:12Z</cp:lastPrinted>
  <dcterms:created xsi:type="dcterms:W3CDTF">2014-12-08T07:15:00Z</dcterms:created>
  <dcterms:modified xsi:type="dcterms:W3CDTF">2018-05-04T04:30:21Z</dcterms:modified>
</cp:coreProperties>
</file>