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1570" windowHeight="6735" activeTab="2"/>
  </bookViews>
  <sheets>
    <sheet name="Dashboard" sheetId="36" r:id="rId1"/>
    <sheet name="tlIntro" sheetId="30" r:id="rId2"/>
    <sheet name="tlInputFinancials" sheetId="44" r:id="rId3"/>
    <sheet name="Calc" sheetId="37" r:id="rId4"/>
    <sheet name="Fin" sheetId="38" r:id="rId5"/>
    <sheet name="Graphs" sheetId="40" r:id="rId6"/>
    <sheet name="Glossary" sheetId="33" r:id="rId7"/>
  </sheets>
  <functionGroups builtInGroupCount="17"/>
  <definedNames>
    <definedName name="_Order1" hidden="1">255</definedName>
    <definedName name="_Order2" hidden="1">255</definedName>
    <definedName name="BaseCapEmp">Fin!$A$20</definedName>
    <definedName name="BaseDD_A">Fin!$A$22</definedName>
    <definedName name="BaseInv">Fin!$A$40</definedName>
    <definedName name="BaseOpEx">Fin!$A$30</definedName>
    <definedName name="BaseProdRate">Fin!$A$14</definedName>
    <definedName name="BaseRel">Fin!$A$15</definedName>
    <definedName name="BaseRes">Fin!$A$8</definedName>
    <definedName name="BaseRoyalty">Fin!$A$28</definedName>
    <definedName name="BaseTax">Fin!$A$35</definedName>
    <definedName name="CalcBUFin">Calc!$E$4</definedName>
    <definedName name="CalcCapExClosing">Calc!$E$33:$CK$33</definedName>
    <definedName name="CalcOpEx">Calc!$E$36:$CK$36</definedName>
    <definedName name="CalcOpExBBL">Calc!$E$35:$CK$35</definedName>
    <definedName name="CalcProdAdded">Calc!$E$24:$CK$24</definedName>
    <definedName name="CalcProdBase">Calc!$E$22:$CK$22</definedName>
    <definedName name="CalcProdClosing">Calc!$E$26:$CK$26</definedName>
    <definedName name="CalcProdProfile">Calc!$E$8:$CK$8</definedName>
    <definedName name="CalcProdProfileRef">Calc!$E$9:$CK$9</definedName>
    <definedName name="CalcProdRateAdded">Calc!$E$29:$CK$29</definedName>
    <definedName name="CalcProdRateClosing">Calc!$E$31:$CK$31</definedName>
    <definedName name="CalcProdRateOpening">Calc!$E$28:$CK$28</definedName>
    <definedName name="CalcProjFin">Calc!$E$3</definedName>
    <definedName name="CalcRefQuarter">Calc!$E$1:$CK$1</definedName>
    <definedName name="CalcResAddClosing">Calc!$E$20:$CK$20</definedName>
    <definedName name="CalcResAdded">Calc!$E$12:$CK$12</definedName>
    <definedName name="CalcResAddProd">Calc!$E$18:$CK$18</definedName>
    <definedName name="CalcResAddRem">Calc!$E$17:$CK$17</definedName>
    <definedName name="CalcResClosing">Calc!$E$15:$CK$15</definedName>
    <definedName name="CalcResOpening">Calc!$E$11:$CK$11</definedName>
    <definedName name="CalcResProduced">Calc!$E$13:$CK$13</definedName>
    <definedName name="CalcSched">Calc!$E$6</definedName>
    <definedName name="CalcSchedCapEx">Calc!$E$6</definedName>
    <definedName name="CalcWorkingCap">Calc!$E$39:$CK$39</definedName>
    <definedName name="CalcWorkingCapBase">Calc!$E$40:$CK$40</definedName>
    <definedName name="CalcWorkingCapPerc">Calc!$E$38:$CK$38</definedName>
    <definedName name="cnstMillion">Glossary!$D$19</definedName>
    <definedName name="Compare">tlInputFinancials!$X$2</definedName>
    <definedName name="DB_ArrayDash1Names">Dashboard!$C$37:$C$46</definedName>
    <definedName name="DB_ArrayDash1Values">Dashboard!$G$37:$G$46</definedName>
    <definedName name="DB_ArrayDash2Names">Dashboard!$C$51:$C$60</definedName>
    <definedName name="DB_ArrayDash2Values">Dashboard!$G$51:$G$60</definedName>
    <definedName name="DB_ArrayDash3Names">Dashboard!$C$65:$C$74</definedName>
    <definedName name="DB_ArrayDash3Values">Dashboard!$G$65:$G$74</definedName>
    <definedName name="DB_ArrayDash4Names">Dashboard!$C$79:$C$88</definedName>
    <definedName name="DB_ArrayDash4Values">Dashboard!$G$79:$G$88</definedName>
    <definedName name="DB_ArrayDash5Names">Dashboard!$C$93:$C$102</definedName>
    <definedName name="DB_ArrayDash5Values">Dashboard!$G$93:$G$102</definedName>
    <definedName name="DB_Dashboard1">Dashboard!$E$14</definedName>
    <definedName name="DB_Dashboard2">Dashboard!$E$17</definedName>
    <definedName name="DB_Dashboard3">Dashboard!$E$20</definedName>
    <definedName name="DB_Dashboard4">Dashboard!$E$23</definedName>
    <definedName name="DB_Dashboard5">Dashboard!$E$26</definedName>
    <definedName name="DB_LargeWhiteSpace">Dashboard!$E$109</definedName>
    <definedName name="DB_LargeWhiteSpaceLength">Dashboard!$E$32</definedName>
    <definedName name="DB_SubWhiteSpace">Dashboard!$E$110</definedName>
    <definedName name="DB_SubWhiteSpaceLength">Dashboard!$E$33</definedName>
    <definedName name="DB_WhiteSpace">Dashboard!$E$108</definedName>
    <definedName name="DB_WhiteSpaceLength">Dashboard!$E$31</definedName>
    <definedName name="FinBaseCapEmpClosing">Fin!$E$68:$Y$68</definedName>
    <definedName name="FinBaseCapEmpOpening">Fin!$E$64:$Y$64</definedName>
    <definedName name="FinBaseCapExClosing">Fin!$E$65:$Y$65</definedName>
    <definedName name="FinBaseCashFlow">Fin!$E$88:$Y$88</definedName>
    <definedName name="FinBaseCashMargin">Fin!$E$90:$Y$90</definedName>
    <definedName name="FinBaseDDAClosing">Fin!$E$66:$Y$66</definedName>
    <definedName name="FinBaseNetEarn">Fin!$E$81:$Y$81</definedName>
    <definedName name="FinBaseNetEarnBBL">Fin!$E$82:$Y$82</definedName>
    <definedName name="FinBaseOpEarn">Fin!$E$77:$Y$77</definedName>
    <definedName name="FinBaseOpEx">Fin!$E$75:$Y$75</definedName>
    <definedName name="FinBaseOpExBBL">Fin!$E$74:$Y$74</definedName>
    <definedName name="FinBaseProdAdded">Fin!$E$59:$Y$59</definedName>
    <definedName name="FinBaseProdBBL">Fin!$E$62:$Y$62</definedName>
    <definedName name="FinBaseProdClosing">Fin!$E$61:$Y$61</definedName>
    <definedName name="FinBaseProdOpening">Fin!$E$58:$Y$58</definedName>
    <definedName name="FinBaseResAdded">Fin!$E$53:$Y$53</definedName>
    <definedName name="FinBaseResClosing">Fin!$E$56:$Y$56</definedName>
    <definedName name="FinBaseResOpening">Fin!$E$52:$Y$52</definedName>
    <definedName name="FinBaseResProduced">Fin!$E$54:$Y$54</definedName>
    <definedName name="FinBaseRev">Fin!$E$70:$Y$70</definedName>
    <definedName name="FinBaseROCE">Fin!$E$92:$Y$92</definedName>
    <definedName name="FinBaseRoyalty">Fin!$E$72:$Y$72</definedName>
    <definedName name="FinBaseTax">Fin!$E$79:$Y$79</definedName>
    <definedName name="FinBaseWorkingCap">Fin!$E$84:$Y$84</definedName>
    <definedName name="FinBaseWorkingCapDelta">Fin!$E$86:$Y$86</definedName>
    <definedName name="FinCapEmpClosing">Fin!$E$24:$Y$24</definedName>
    <definedName name="FinCapEmpOpening">Fin!$E$20:$Y$20</definedName>
    <definedName name="FinCapExClosing">Fin!$E$21:$Y$21</definedName>
    <definedName name="FinCashFlow">Fin!$E$44:$Y$44</definedName>
    <definedName name="FinCashMargin">Fin!$E$46:$Y$46</definedName>
    <definedName name="FinCompare">tlInputFinancials!$AA$53:$AH$79</definedName>
    <definedName name="FinCopy">Fin!$E$8:$Y$48</definedName>
    <definedName name="FinDDAClosing">Fin!$E$22:$Y$22</definedName>
    <definedName name="finDeltaCapEx">Fin!$E$118:$Y$118</definedName>
    <definedName name="finDeltaCashFlow">Fin!$E$110:$Y$110</definedName>
    <definedName name="finDeltaCumCashFlow">Fin!$E$111:$Y$111</definedName>
    <definedName name="finDeltaDDA">Fin!$E$103:$Y$103</definedName>
    <definedName name="finDeltaNetEarn">Fin!$E$105:$Y$105</definedName>
    <definedName name="finDeltaNetEarnBBL">Fin!$E$106:$Y$106</definedName>
    <definedName name="finDeltaOpEx">Fin!$E$101:$Y$101</definedName>
    <definedName name="finDeltaPaybackYearMark">Fin!$E$112:$Y$112</definedName>
    <definedName name="finDeltaProd">Fin!$E$96:$Y$96</definedName>
    <definedName name="finDeltaProdBBL">Fin!$E$97:$Y$97</definedName>
    <definedName name="finDeltaRev">Fin!$E$98:$Y$98</definedName>
    <definedName name="finDeltaRoyalty">Fin!$E$99:$Y$99</definedName>
    <definedName name="finDeltaTaxRoyalty">Fin!$E$102:$Y$102</definedName>
    <definedName name="finDeltaWorkingCapDelta">Fin!$E$108:$Y$108</definedName>
    <definedName name="finEndRef">Fin!$E$6:$Y$6</definedName>
    <definedName name="finIRR">Fin!$E$126</definedName>
    <definedName name="FinNetEarn">Fin!$E$37:$Y$37</definedName>
    <definedName name="FinNetEarnBBL">Fin!$E$38:$Y$38</definedName>
    <definedName name="finNPV">Fin!$E$116</definedName>
    <definedName name="FinOpEarn">Fin!$E$33:$Y$33</definedName>
    <definedName name="FinOpEx">Fin!$E$31:$Y$31</definedName>
    <definedName name="FinOpExBBL">Fin!$E$30:$Y$30</definedName>
    <definedName name="FinPaste">Fin!$E$52</definedName>
    <definedName name="finPaybackFinal">Fin!$E$114</definedName>
    <definedName name="FinProdAdded">Fin!$E$15:$Y$15</definedName>
    <definedName name="FinProdBBL">Fin!$E$18:$Y$18</definedName>
    <definedName name="FinProdClosing">Fin!$E$17:$Y$17</definedName>
    <definedName name="FinProdOpening">Fin!$E$14:$Y$14</definedName>
    <definedName name="finPV">Fin!$E$120</definedName>
    <definedName name="finRefYear">Fin!$E$1:$Y$1</definedName>
    <definedName name="FinResAdded">Fin!$E$9:$Y$9</definedName>
    <definedName name="FinResClosing">Fin!$E$12:$Y$12</definedName>
    <definedName name="FinResOpening">Fin!$E$8:$Y$8</definedName>
    <definedName name="FinResProduced">Fin!$E$10:$Y$10</definedName>
    <definedName name="FinRev">Fin!$E$26:$Y$26</definedName>
    <definedName name="FinROCE">Fin!$E$48:$Y$48</definedName>
    <definedName name="FinRoyalty">Fin!$E$28:$Y$28</definedName>
    <definedName name="finStart2Ref">Fin!$E$4:$Y$4</definedName>
    <definedName name="finStart3Ref">Fin!$E$5:$Y$5</definedName>
    <definedName name="finStart3Reft">Fin!$E$5:$Y$5</definedName>
    <definedName name="finStartRef">Fin!$E$3:$Y$3</definedName>
    <definedName name="FinTax">Fin!$E$35:$Y$35</definedName>
    <definedName name="FinWorkingCap">Fin!$E$40:$Y$40</definedName>
    <definedName name="FinWorkingCapDelta">Fin!$E$42:$Y$42</definedName>
    <definedName name="glossaryLanguage">Glossary!$E$14</definedName>
    <definedName name="GraphOutput">Graphs!$P$1</definedName>
    <definedName name="LMS_FINISHED">tlInputFinancials!$D$87</definedName>
    <definedName name="LMS_HIT">tlInputFinancials!$D$88</definedName>
    <definedName name="LMS_NAME">tlInputFinancials!$D$89</definedName>
    <definedName name="LMS_NICK_NAME">tlInputFinancials!$D$90</definedName>
    <definedName name="LMS_OTHER_TEXT">tlInputFinancials!$D$91</definedName>
    <definedName name="LMS_SCORE">tlInputFinancials!$D$92</definedName>
    <definedName name="nmCOGS">Glossary!$D$45</definedName>
    <definedName name="nmForecast">Glossary!$D$37</definedName>
    <definedName name="nmGrossMargin">Glossary!$D$47</definedName>
    <definedName name="nmGrossProfit">Glossary!$D$46</definedName>
    <definedName name="nmInitiatives">Glossary!$D$41</definedName>
    <definedName name="nmMarketing">Glossary!$D$39</definedName>
    <definedName name="nmMillion">Glossary!$D$30</definedName>
    <definedName name="nmPrice">Glossary!$D$38</definedName>
    <definedName name="nmProd1">Glossary!$D$32</definedName>
    <definedName name="nmProd1Seg1">Glossary!$D$33</definedName>
    <definedName name="nmProd1Seg2">Glossary!$D$34</definedName>
    <definedName name="nmProd1Seg3">Glossary!$D$35</definedName>
    <definedName name="nmProgramSubtitle">Glossary!$D$25</definedName>
    <definedName name="nmProgramTitle">Glossary!$D$24</definedName>
    <definedName name="nmRevenue">Glossary!$D$44</definedName>
    <definedName name="nmRound">Glossary!$D$28</definedName>
    <definedName name="nmTeamName">Glossary!$D$26</definedName>
    <definedName name="nmTeamNumber">Glossary!$D$27</definedName>
    <definedName name="Screen">tlIntro!$T$2</definedName>
    <definedName name="tlInput_LMS_FINISHED">tlInputFinancials!$I$87</definedName>
    <definedName name="tlInputCapEx">tlInputFinancials!$E$7</definedName>
    <definedName name="tlInputNetback">tlInputFinancials!$E$14</definedName>
    <definedName name="tlInputOpEx">tlInputFinancials!$E$13</definedName>
    <definedName name="tlInputProd">tlInputFinancials!$E$9</definedName>
    <definedName name="tlInputRel">tlInputFinancials!$E$11</definedName>
    <definedName name="tlInputRes">tlInputFinancials!$E$10</definedName>
    <definedName name="tlInputSched">tlInputFinancials!$E$6</definedName>
    <definedName name="tlInputWorkingCap">tlInputFinancials!$E$15</definedName>
    <definedName name="tlOutput_Graphs_E13">Graphs!$E$12</definedName>
    <definedName name="tlOutput_Graphs_E14">Graphs!$E$13</definedName>
    <definedName name="tlOutput_Graphs_E3">Graphs!$E$3</definedName>
    <definedName name="tlOutput_Graphs_E4">Graphs!$E$4</definedName>
    <definedName name="tlOutput_Graphs_E5">Graphs!$E$5</definedName>
    <definedName name="tlOutput_Graphs_E6">Graphs!$E$6</definedName>
    <definedName name="tlOutput_Graphs_E7">Graphs!$E$7</definedName>
    <definedName name="tlOutput_Graphs_E8">Graphs!$E$8</definedName>
    <definedName name="tlOutput_Graphs_E9">Graphs!$E$9</definedName>
    <definedName name="tlOutput_Graphs_F13">Graphs!$F$12</definedName>
    <definedName name="tlOutput_Graphs_F14">Graphs!$F$13</definedName>
    <definedName name="tlOutput_Graphs_F3">Graphs!$F$3</definedName>
    <definedName name="tlOutput_Graphs_F4">Graphs!$F$4</definedName>
    <definedName name="tlOutput_Graphs_F5">Graphs!$F$5</definedName>
    <definedName name="tlOutput_Graphs_F6">Graphs!$F$6</definedName>
    <definedName name="tlOutput_Graphs_F7">Graphs!$F$7</definedName>
    <definedName name="tlOutput_Graphs_F8">Graphs!$F$8</definedName>
    <definedName name="tlOutput_Graphs_F9">Graphs!$F$9</definedName>
    <definedName name="tlOutput_Graphs_G13">Graphs!$G$12</definedName>
    <definedName name="tlOutput_Graphs_G14">Graphs!$G$13</definedName>
    <definedName name="tlOutput_Graphs_G3">Graphs!$G$3</definedName>
    <definedName name="tlOutput_Graphs_G4">Graphs!$G$4</definedName>
    <definedName name="tlOutput_Graphs_G5">Graphs!$G$5</definedName>
    <definedName name="tlOutput_Graphs_G6">Graphs!$G$6</definedName>
    <definedName name="tlOutput_Graphs_G7">Graphs!$G$7</definedName>
    <definedName name="tlOutput_Graphs_G8">Graphs!$G$8</definedName>
    <definedName name="tlOutput_Graphs_G9">Graphs!$G$9</definedName>
    <definedName name="tlOutput_Graphs_H13">Graphs!$H$12</definedName>
    <definedName name="tlOutput_Graphs_H14">Graphs!$H$13</definedName>
    <definedName name="tlOutput_Graphs_H3">Graphs!$H$3</definedName>
    <definedName name="tlOutput_Graphs_H4">Graphs!$H$4</definedName>
    <definedName name="tlOutput_Graphs_H5">Graphs!$H$5</definedName>
    <definedName name="tlOutput_Graphs_H6">Graphs!$H$6</definedName>
    <definedName name="tlOutput_Graphs_H7">Graphs!$H$7</definedName>
    <definedName name="tlOutput_Graphs_H8">Graphs!$H$8</definedName>
    <definedName name="tlOutput_Graphs_H9">Graphs!$H$9</definedName>
    <definedName name="tlOutput_Graphs_I13">Graphs!$I$12</definedName>
    <definedName name="tlOutput_Graphs_I14">Graphs!$I$13</definedName>
    <definedName name="tlOutput_Graphs_I3">Graphs!$I$3</definedName>
    <definedName name="tlOutput_Graphs_I4">Graphs!$I$4</definedName>
    <definedName name="tlOutput_Graphs_I5">Graphs!$I$5</definedName>
    <definedName name="tlOutput_Graphs_I6">Graphs!$I$6</definedName>
    <definedName name="tlOutput_Graphs_I7">Graphs!$I$7</definedName>
    <definedName name="tlOutput_Graphs_I8">Graphs!$I$8</definedName>
    <definedName name="tlOutput_Graphs_I9">Graphs!$I$9</definedName>
    <definedName name="tlOutput_Graphs_J13">Graphs!$J$12</definedName>
    <definedName name="tlOutput_Graphs_J14">Graphs!$J$13</definedName>
    <definedName name="tlOutput_Graphs_J3">Graphs!$J$3</definedName>
    <definedName name="tlOutput_Graphs_J4">Graphs!$J$4</definedName>
    <definedName name="tlOutput_Graphs_J5">Graphs!$J$5</definedName>
    <definedName name="tlOutput_Graphs_J6">Graphs!$J$6</definedName>
    <definedName name="tlOutput_Graphs_J7">Graphs!$J$7</definedName>
    <definedName name="tlOutput_Graphs_J8">Graphs!$J$8</definedName>
    <definedName name="tlOutput_Graphs_J9">Graphs!$J$9</definedName>
    <definedName name="tlOutput_Graphs_K13">Graphs!$K$12</definedName>
    <definedName name="tlOutput_Graphs_K14">Graphs!$K$13</definedName>
    <definedName name="tlOutput_Graphs_K3">Graphs!$K$3</definedName>
    <definedName name="tlOutput_Graphs_K4">Graphs!$K$4</definedName>
    <definedName name="tlOutput_Graphs_K5">Graphs!$K$5</definedName>
    <definedName name="tlOutput_Graphs_K6">Graphs!$K$6</definedName>
    <definedName name="tlOutput_Graphs_K7">Graphs!$K$7</definedName>
    <definedName name="tlOutput_Graphs_K8">Graphs!$K$8</definedName>
    <definedName name="tlOutput_Graphs_K9">Graphs!$K$9</definedName>
    <definedName name="tlOutput_Graphs_L13">Graphs!$L$12</definedName>
    <definedName name="tlOutput_Graphs_L14">Graphs!$L$13</definedName>
    <definedName name="tlOutput_Graphs_L3">Graphs!$L$3</definedName>
    <definedName name="tlOutput_Graphs_L4">Graphs!$L$4</definedName>
    <definedName name="tlOutput_Graphs_L5">Graphs!$L$5</definedName>
    <definedName name="tlOutput_Graphs_L6">Graphs!$L$6</definedName>
    <definedName name="tlOutput_Graphs_L7">Graphs!$L$7</definedName>
    <definedName name="tlOutput_Graphs_L8">Graphs!$L$8</definedName>
    <definedName name="tlOutput_Graphs_L9">Graphs!$L$9</definedName>
    <definedName name="tlOutput_Graphs_M3">Graphs!$M$3</definedName>
    <definedName name="tlOutput_Graphs_M4">Graphs!$M$4</definedName>
    <definedName name="tlOutput_Graphs_M5">Graphs!$M$5</definedName>
    <definedName name="tlOutput_Graphs_M6">Graphs!$M$6</definedName>
    <definedName name="tlOutput_Graphs_M7">Graphs!$M$7</definedName>
    <definedName name="tlOutput_Graphs_M8">Graphs!$M$8</definedName>
    <definedName name="tlOutput_Graphs_M9">Graphs!$M$9</definedName>
    <definedName name="tlOutput_Graphs_N3">Graphs!$N$3</definedName>
    <definedName name="tlOutput_Graphs_N4">Graphs!$N$4</definedName>
    <definedName name="tlOutput_Graphs_N5">Graphs!$N$5</definedName>
    <definedName name="tlOutput_Graphs_N6">Graphs!$N$6</definedName>
    <definedName name="tlOutput_Graphs_N7">Graphs!$N$7</definedName>
    <definedName name="tlOutput_Graphs_N8">Graphs!$N$8</definedName>
    <definedName name="tlOutput_Graphs_N9">Graphs!$N$9</definedName>
    <definedName name="tlOutput_tlInputFinancials_AA52">tlInputFinancials!$AA$53</definedName>
    <definedName name="tlOutput_tlInputFinancials_AA53">tlInputFinancials!$AA$54</definedName>
    <definedName name="tlOutput_tlInputFinancials_AA55">tlInputFinancials!$AA$56</definedName>
    <definedName name="tlOutput_tlInputFinancials_AA56">tlInputFinancials!$AA$57</definedName>
    <definedName name="tlOutput_tlInputFinancials_AA57">tlInputFinancials!$AA$58</definedName>
    <definedName name="tlOutput_tlInputFinancials_AA58">tlInputFinancials!$AA$59</definedName>
    <definedName name="tlOutput_tlInputFinancials_AA60">tlInputFinancials!$AA$61</definedName>
    <definedName name="tlOutput_tlInputFinancials_AA61">tlInputFinancials!$AA$62</definedName>
    <definedName name="tlOutput_tlInputFinancials_AA68">tlInputFinancials!$AA$69</definedName>
    <definedName name="tlOutput_tlInputFinancials_AA69">tlInputFinancials!$AA$71</definedName>
    <definedName name="tlOutput_tlInputFinancials_AA70">tlInputFinancials!$AA$72</definedName>
    <definedName name="tlOutput_tlInputFinancials_AA71">tlInputFinancials!$AA$73</definedName>
    <definedName name="tlOutput_tlInputFinancials_AA72">tlInputFinancials!$AA$74</definedName>
    <definedName name="tlOutput_tlInputFinancials_AA73">tlInputFinancials!$AA$76</definedName>
    <definedName name="tlOutput_tlInputFinancials_AA75">tlInputFinancials!$AA$78</definedName>
    <definedName name="tlOutput_tlInputFinancials_AA76">tlInputFinancials!$AA$79</definedName>
    <definedName name="tlOutput_tlInputFinancials_AA77">tlInputFinancials!$AA$75</definedName>
    <definedName name="tlOutput_tlInputFinancials_AC52">tlInputFinancials!$AC$53</definedName>
    <definedName name="tlOutput_tlInputFinancials_AC53">tlInputFinancials!$AC$54</definedName>
    <definedName name="tlOutput_tlInputFinancials_AC55">tlInputFinancials!$AC$56</definedName>
    <definedName name="tlOutput_tlInputFinancials_AC56">tlInputFinancials!$AC$57</definedName>
    <definedName name="tlOutput_tlInputFinancials_AC57">tlInputFinancials!$AC$58</definedName>
    <definedName name="tlOutput_tlInputFinancials_AC58">tlInputFinancials!$AC$59</definedName>
    <definedName name="tlOutput_tlInputFinancials_AC60">tlInputFinancials!$AC$61</definedName>
    <definedName name="tlOutput_tlInputFinancials_AC61">tlInputFinancials!$AC$62</definedName>
    <definedName name="tlOutput_tlInputFinancials_AC68">tlInputFinancials!$AC$69</definedName>
    <definedName name="tlOutput_tlInputFinancials_AC69">tlInputFinancials!$AC$71</definedName>
    <definedName name="tlOutput_tlInputFinancials_AC70">tlInputFinancials!$AC$72</definedName>
    <definedName name="tlOutput_tlInputFinancials_AC71">tlInputFinancials!$AC$73</definedName>
    <definedName name="tlOutput_tlInputFinancials_AC72">tlInputFinancials!$AC$74</definedName>
    <definedName name="tlOutput_tlInputFinancials_AC73">tlInputFinancials!$AC$76</definedName>
    <definedName name="tlOutput_tlInputFinancials_AC75">tlInputFinancials!$AC$78</definedName>
    <definedName name="tlOutput_tlInputFinancials_AC76">tlInputFinancials!$AC$79</definedName>
    <definedName name="tlOutput_tlInputFinancials_AC77">tlInputFinancials!$AC$75</definedName>
    <definedName name="tlOutput_tlInputFinancials_AD52">tlInputFinancials!$AD$53</definedName>
    <definedName name="tlOutput_tlInputFinancials_AD53">tlInputFinancials!$AD$54</definedName>
    <definedName name="tlOutput_tlInputFinancials_AD55">tlInputFinancials!$AD$56</definedName>
    <definedName name="tlOutput_tlInputFinancials_AD56">tlInputFinancials!$AD$57</definedName>
    <definedName name="tlOutput_tlInputFinancials_AD57">tlInputFinancials!$AD$58</definedName>
    <definedName name="tlOutput_tlInputFinancials_AD58">tlInputFinancials!$AD$59</definedName>
    <definedName name="tlOutput_tlInputFinancials_AD60">tlInputFinancials!$AD$61</definedName>
    <definedName name="tlOutput_tlInputFinancials_AD61">tlInputFinancials!$AD$62</definedName>
    <definedName name="tlOutput_tlInputFinancials_AD68">tlInputFinancials!$AD$69</definedName>
    <definedName name="tlOutput_tlInputFinancials_AD69">tlInputFinancials!$AD$71</definedName>
    <definedName name="tlOutput_tlInputFinancials_AD70">tlInputFinancials!$AD$72</definedName>
    <definedName name="tlOutput_tlInputFinancials_AD71">tlInputFinancials!$AD$73</definedName>
    <definedName name="tlOutput_tlInputFinancials_AD72">tlInputFinancials!$AD$74</definedName>
    <definedName name="tlOutput_tlInputFinancials_AD73">tlInputFinancials!$AD$76</definedName>
    <definedName name="tlOutput_tlInputFinancials_AD75">tlInputFinancials!$AD$78</definedName>
    <definedName name="tlOutput_tlInputFinancials_AD76">tlInputFinancials!$AD$79</definedName>
    <definedName name="tlOutput_tlInputFinancials_AD77">tlInputFinancials!$AD$75</definedName>
    <definedName name="tlOutput_tlInputFinancials_AE52">tlInputFinancials!$AE$53</definedName>
    <definedName name="tlOutput_tlInputFinancials_AE53">tlInputFinancials!$AE$54</definedName>
    <definedName name="tlOutput_tlInputFinancials_AE55">tlInputFinancials!$AE$56</definedName>
    <definedName name="tlOutput_tlInputFinancials_AE56">tlInputFinancials!$AE$57</definedName>
    <definedName name="tlOutput_tlInputFinancials_AE57">tlInputFinancials!$AE$58</definedName>
    <definedName name="tlOutput_tlInputFinancials_AE58">tlInputFinancials!$AE$59</definedName>
    <definedName name="tlOutput_tlInputFinancials_AE60">tlInputFinancials!$AE$61</definedName>
    <definedName name="tlOutput_tlInputFinancials_AE61">tlInputFinancials!$AE$62</definedName>
    <definedName name="tlOutput_tlInputFinancials_AE68">tlInputFinancials!$AE$69</definedName>
    <definedName name="tlOutput_tlInputFinancials_AE69">tlInputFinancials!$AE$71</definedName>
    <definedName name="tlOutput_tlInputFinancials_AE70">tlInputFinancials!$AE$72</definedName>
    <definedName name="tlOutput_tlInputFinancials_AE71">tlInputFinancials!$AE$73</definedName>
    <definedName name="tlOutput_tlInputFinancials_AE72">tlInputFinancials!$AE$74</definedName>
    <definedName name="tlOutput_tlInputFinancials_AE73">tlInputFinancials!$AE$76</definedName>
    <definedName name="tlOutput_tlInputFinancials_AE75">tlInputFinancials!$AE$78</definedName>
    <definedName name="tlOutput_tlInputFinancials_AE76">tlInputFinancials!$AE$79</definedName>
    <definedName name="tlOutput_tlInputFinancials_AE77">tlInputFinancials!$AE$75</definedName>
    <definedName name="tlOutput_tlInputFinancials_AG52">tlInputFinancials!$AG$53</definedName>
    <definedName name="tlOutput_tlInputFinancials_AG53">tlInputFinancials!$AG$54</definedName>
    <definedName name="tlOutput_tlInputFinancials_AG55">tlInputFinancials!$AG$56</definedName>
    <definedName name="tlOutput_tlInputFinancials_AG56">tlInputFinancials!$AG$57</definedName>
    <definedName name="tlOutput_tlInputFinancials_AG57">tlInputFinancials!$AG$58</definedName>
    <definedName name="tlOutput_tlInputFinancials_AG58">tlInputFinancials!$AG$59</definedName>
    <definedName name="tlOutput_tlInputFinancials_AG60">tlInputFinancials!$AG$61</definedName>
    <definedName name="tlOutput_tlInputFinancials_AG61">tlInputFinancials!$AG$62</definedName>
    <definedName name="tlOutput_tlInputFinancials_AG68">tlInputFinancials!$AG$69</definedName>
    <definedName name="tlOutput_tlInputFinancials_AG69">tlInputFinancials!$AG$71</definedName>
    <definedName name="tlOutput_tlInputFinancials_AG70">tlInputFinancials!$AG$72</definedName>
    <definedName name="tlOutput_tlInputFinancials_AG71">tlInputFinancials!$AG$73</definedName>
    <definedName name="tlOutput_tlInputFinancials_AG72">tlInputFinancials!$AG$74</definedName>
    <definedName name="tlOutput_tlInputFinancials_AG73">tlInputFinancials!$AG$76</definedName>
    <definedName name="tlOutput_tlInputFinancials_AG75">tlInputFinancials!$AG$78</definedName>
    <definedName name="tlOutput_tlInputFinancials_AG76">tlInputFinancials!$AG$79</definedName>
    <definedName name="tlOutput_tlInputFinancials_AG77">tlInputFinancials!$AG$75</definedName>
    <definedName name="tlOutput_tlInputFinancials_AH52">tlInputFinancials!$AH$53</definedName>
    <definedName name="tlOutput_tlInputFinancials_AH53">tlInputFinancials!$AH$54</definedName>
    <definedName name="tlOutput_tlInputFinancials_AH55">tlInputFinancials!$AH$56</definedName>
    <definedName name="tlOutput_tlInputFinancials_AH56">tlInputFinancials!$AH$57</definedName>
    <definedName name="tlOutput_tlInputFinancials_AH57">tlInputFinancials!$AH$58</definedName>
    <definedName name="tlOutput_tlInputFinancials_AH58">tlInputFinancials!$AH$59</definedName>
    <definedName name="tlOutput_tlInputFinancials_AH60">tlInputFinancials!$AH$61</definedName>
    <definedName name="tlOutput_tlInputFinancials_AH61">tlInputFinancials!$AH$62</definedName>
    <definedName name="tlOutput_tlInputFinancials_AH68">tlInputFinancials!$AH$69</definedName>
    <definedName name="tlOutput_tlInputFinancials_AH69">tlInputFinancials!$AH$71</definedName>
    <definedName name="tlOutput_tlInputFinancials_AH70">tlInputFinancials!$AH$72</definedName>
    <definedName name="tlOutput_tlInputFinancials_AH71">tlInputFinancials!$AH$73</definedName>
    <definedName name="tlOutput_tlInputFinancials_AH72">tlInputFinancials!$AH$74</definedName>
    <definedName name="tlOutput_tlInputFinancials_AH73">tlInputFinancials!$AH$76</definedName>
    <definedName name="tlOutput_tlInputFinancials_AH75">tlInputFinancials!$AH$78</definedName>
    <definedName name="tlOutput_tlInputFinancials_AH76">tlInputFinancials!$AH$79</definedName>
    <definedName name="tlOutput_tlInputFinancials_AH77">tlInputFinancials!$AH$75</definedName>
    <definedName name="tlOutput_tlInputFinancials_E23">tlInputFinancials!$E$24</definedName>
    <definedName name="tlOutput_tlInputFinancials_E24">tlInputFinancials!$E$25</definedName>
    <definedName name="tlOutput_tlInputFinancials_E26">tlInputFinancials!$E$27</definedName>
    <definedName name="tlOutput_tlInputFinancials_E27">tlInputFinancials!$E$28</definedName>
    <definedName name="tlOutput_tlInputFinancials_E28">tlInputFinancials!$E$29</definedName>
    <definedName name="tlOutput_tlInputFinancials_E29">tlInputFinancials!$E$30</definedName>
    <definedName name="tlOutput_tlInputFinancials_E30">tlInputFinancials!$E$31</definedName>
    <definedName name="tlOutput_tlInputFinancials_E31">tlInputFinancials!$E$33</definedName>
    <definedName name="tlOutput_tlInputFinancials_E32">tlInputFinancials!$E$34</definedName>
    <definedName name="tlOutput_tlInputFinancials_E39">tlInputFinancials!$E$41</definedName>
    <definedName name="tlOutput_tlInputFinancials_E40">tlInputFinancials!$E$42</definedName>
    <definedName name="tlOutput_tlInputFinancials_E41">tlInputFinancials!$E$43</definedName>
    <definedName name="tlOutput_tlInputFinancials_E42">tlInputFinancials!$E$44</definedName>
    <definedName name="tlOutput_tlInputFinancials_E43">tlInputFinancials!$E$45</definedName>
    <definedName name="tlOutput_tlInputFinancials_E51">tlInputFinancials!$E$53</definedName>
    <definedName name="tlOutput_tlInputFinancials_E52">tlInputFinancials!$E$54</definedName>
    <definedName name="tlOutput_tlInputFinancials_E54">tlInputFinancials!$E$56</definedName>
    <definedName name="tlOutput_tlInputFinancials_E55">tlInputFinancials!$E$57</definedName>
    <definedName name="tlOutput_tlInputFinancials_E56">tlInputFinancials!$E$58</definedName>
    <definedName name="tlOutput_tlInputFinancials_E57">tlInputFinancials!$E$59</definedName>
    <definedName name="tlOutput_tlInputFinancials_E59">tlInputFinancials!$E$61</definedName>
    <definedName name="tlOutput_tlInputFinancials_E60">tlInputFinancials!$E$62</definedName>
    <definedName name="tlOutput_tlInputFinancials_E67">tlInputFinancials!$E$69</definedName>
    <definedName name="tlOutput_tlInputFinancials_E68">tlInputFinancials!$E$71</definedName>
    <definedName name="tlOutput_tlInputFinancials_E69">tlInputFinancials!$E$72</definedName>
    <definedName name="tlOutput_tlInputFinancials_E70">tlInputFinancials!$E$73</definedName>
    <definedName name="tlOutput_tlInputFinancials_E71">tlInputFinancials!$E$74</definedName>
    <definedName name="tlOutput_tlInputFinancials_E72">tlInputFinancials!$E$76</definedName>
    <definedName name="tlOutput_tlInputFinancials_E74">tlInputFinancials!$E$78</definedName>
    <definedName name="tlOutput_tlInputFinancials_E75">tlInputFinancials!$E$79</definedName>
    <definedName name="tlOutput_tlInputFinancials_G23">tlInputFinancials!$G$24</definedName>
    <definedName name="tlOutput_tlInputFinancials_G24">tlInputFinancials!$G$25</definedName>
    <definedName name="tlOutput_tlInputFinancials_G26">tlInputFinancials!$G$27</definedName>
    <definedName name="tlOutput_tlInputFinancials_G27">tlInputFinancials!$G$28</definedName>
    <definedName name="tlOutput_tlInputFinancials_G28">tlInputFinancials!$G$29</definedName>
    <definedName name="tlOutput_tlInputFinancials_G29">tlInputFinancials!$G$30</definedName>
    <definedName name="tlOutput_tlInputFinancials_G30">tlInputFinancials!$G$31</definedName>
    <definedName name="tlOutput_tlInputFinancials_G31">tlInputFinancials!$G$33</definedName>
    <definedName name="tlOutput_tlInputFinancials_G32">tlInputFinancials!$G$34</definedName>
    <definedName name="tlOutput_tlInputFinancials_G39">tlInputFinancials!$G$41</definedName>
    <definedName name="tlOutput_tlInputFinancials_G40">tlInputFinancials!$G$42</definedName>
    <definedName name="tlOutput_tlInputFinancials_G41">tlInputFinancials!$G$43</definedName>
    <definedName name="tlOutput_tlInputFinancials_G42">tlInputFinancials!$G$44</definedName>
    <definedName name="tlOutput_tlInputFinancials_G43">tlInputFinancials!$G$45</definedName>
    <definedName name="tlOutput_tlInputFinancials_G51">tlInputFinancials!$G$53</definedName>
    <definedName name="tlOutput_tlInputFinancials_G52">tlInputFinancials!$G$54</definedName>
    <definedName name="tlOutput_tlInputFinancials_G54">tlInputFinancials!$G$56</definedName>
    <definedName name="tlOutput_tlInputFinancials_G55">tlInputFinancials!$G$57</definedName>
    <definedName name="tlOutput_tlInputFinancials_G56">tlInputFinancials!$G$58</definedName>
    <definedName name="tlOutput_tlInputFinancials_G57">tlInputFinancials!$G$59</definedName>
    <definedName name="tlOutput_tlInputFinancials_G59">tlInputFinancials!$G$61</definedName>
    <definedName name="tlOutput_tlInputFinancials_G60">tlInputFinancials!$G$62</definedName>
    <definedName name="tlOutput_tlInputFinancials_G67">tlInputFinancials!$G$69</definedName>
    <definedName name="tlOutput_tlInputFinancials_G68">tlInputFinancials!$G$71</definedName>
    <definedName name="tlOutput_tlInputFinancials_G69">tlInputFinancials!$G$72</definedName>
    <definedName name="tlOutput_tlInputFinancials_G70">tlInputFinancials!$G$73</definedName>
    <definedName name="tlOutput_tlInputFinancials_G71">tlInputFinancials!$G$74</definedName>
    <definedName name="tlOutput_tlInputFinancials_G72">tlInputFinancials!$G$76</definedName>
    <definedName name="tlOutput_tlInputFinancials_G74">tlInputFinancials!$G$78</definedName>
    <definedName name="tlOutput_tlInputFinancials_G75">tlInputFinancials!$G$79</definedName>
    <definedName name="tlOutput_tlInputFinancials_H23">tlInputFinancials!$H$24</definedName>
    <definedName name="tlOutput_tlInputFinancials_H24">tlInputFinancials!$H$25</definedName>
    <definedName name="tlOutput_tlInputFinancials_H26">tlInputFinancials!$H$27</definedName>
    <definedName name="tlOutput_tlInputFinancials_H27">tlInputFinancials!$H$28</definedName>
    <definedName name="tlOutput_tlInputFinancials_H28">tlInputFinancials!$H$29</definedName>
    <definedName name="tlOutput_tlInputFinancials_H29">tlInputFinancials!$H$30</definedName>
    <definedName name="tlOutput_tlInputFinancials_H30">tlInputFinancials!$H$31</definedName>
    <definedName name="tlOutput_tlInputFinancials_H31">tlInputFinancials!$H$33</definedName>
    <definedName name="tlOutput_tlInputFinancials_H32">tlInputFinancials!$H$34</definedName>
    <definedName name="tlOutput_tlInputFinancials_H39">tlInputFinancials!$H$41</definedName>
    <definedName name="tlOutput_tlInputFinancials_H40">tlInputFinancials!$H$42</definedName>
    <definedName name="tlOutput_tlInputFinancials_H41">tlInputFinancials!$H$43</definedName>
    <definedName name="tlOutput_tlInputFinancials_H42">tlInputFinancials!$H$44</definedName>
    <definedName name="tlOutput_tlInputFinancials_H43">tlInputFinancials!$H$45</definedName>
    <definedName name="tlOutput_tlInputFinancials_H51">tlInputFinancials!$H$53</definedName>
    <definedName name="tlOutput_tlInputFinancials_H52">tlInputFinancials!$H$54</definedName>
    <definedName name="tlOutput_tlInputFinancials_H54">tlInputFinancials!$H$56</definedName>
    <definedName name="tlOutput_tlInputFinancials_H55">tlInputFinancials!$H$57</definedName>
    <definedName name="tlOutput_tlInputFinancials_H56">tlInputFinancials!$H$58</definedName>
    <definedName name="tlOutput_tlInputFinancials_H57">tlInputFinancials!$H$59</definedName>
    <definedName name="tlOutput_tlInputFinancials_H59">tlInputFinancials!$H$61</definedName>
    <definedName name="tlOutput_tlInputFinancials_H60">tlInputFinancials!$H$62</definedName>
    <definedName name="tlOutput_tlInputFinancials_H67">tlInputFinancials!$H$69</definedName>
    <definedName name="tlOutput_tlInputFinancials_H68">tlInputFinancials!$H$71</definedName>
    <definedName name="tlOutput_tlInputFinancials_H69">tlInputFinancials!$H$72</definedName>
    <definedName name="tlOutput_tlInputFinancials_H70">tlInputFinancials!$H$73</definedName>
    <definedName name="tlOutput_tlInputFinancials_H71">tlInputFinancials!$H$74</definedName>
    <definedName name="tlOutput_tlInputFinancials_H72">tlInputFinancials!$H$76</definedName>
    <definedName name="tlOutput_tlInputFinancials_H74">tlInputFinancials!$H$78</definedName>
    <definedName name="tlOutput_tlInputFinancials_H75">tlInputFinancials!$H$79</definedName>
    <definedName name="tlOutput_tlInputFinancials_I23">tlInputFinancials!$I$24</definedName>
    <definedName name="tlOutput_tlInputFinancials_I24">tlInputFinancials!$I$25</definedName>
    <definedName name="tlOutput_tlInputFinancials_I26">tlInputFinancials!$I$27</definedName>
    <definedName name="tlOutput_tlInputFinancials_I27">tlInputFinancials!$I$28</definedName>
    <definedName name="tlOutput_tlInputFinancials_I28">tlInputFinancials!$I$29</definedName>
    <definedName name="tlOutput_tlInputFinancials_I29">tlInputFinancials!$I$30</definedName>
    <definedName name="tlOutput_tlInputFinancials_I30">tlInputFinancials!$I$31</definedName>
    <definedName name="tlOutput_tlInputFinancials_I31">tlInputFinancials!$I$33</definedName>
    <definedName name="tlOutput_tlInputFinancials_I32">tlInputFinancials!$I$34</definedName>
    <definedName name="tlOutput_tlInputFinancials_I39">tlInputFinancials!$I$41</definedName>
    <definedName name="tlOutput_tlInputFinancials_I40">tlInputFinancials!$I$42</definedName>
    <definedName name="tlOutput_tlInputFinancials_I41">tlInputFinancials!$I$43</definedName>
    <definedName name="tlOutput_tlInputFinancials_I42">tlInputFinancials!$I$44</definedName>
    <definedName name="tlOutput_tlInputFinancials_I43">tlInputFinancials!$I$45</definedName>
    <definedName name="tlOutput_tlInputFinancials_I51">tlInputFinancials!$I$53</definedName>
    <definedName name="tlOutput_tlInputFinancials_I52">tlInputFinancials!$I$54</definedName>
    <definedName name="tlOutput_tlInputFinancials_I54">tlInputFinancials!$I$56</definedName>
    <definedName name="tlOutput_tlInputFinancials_I55">tlInputFinancials!$I$57</definedName>
    <definedName name="tlOutput_tlInputFinancials_I56">tlInputFinancials!$I$58</definedName>
    <definedName name="tlOutput_tlInputFinancials_I57">tlInputFinancials!$I$59</definedName>
    <definedName name="tlOutput_tlInputFinancials_I59">tlInputFinancials!$I$61</definedName>
    <definedName name="tlOutput_tlInputFinancials_I60">tlInputFinancials!$I$62</definedName>
    <definedName name="tlOutput_tlInputFinancials_I67">tlInputFinancials!$I$69</definedName>
    <definedName name="tlOutput_tlInputFinancials_I68">tlInputFinancials!$I$71</definedName>
    <definedName name="tlOutput_tlInputFinancials_I69">tlInputFinancials!$I$72</definedName>
    <definedName name="tlOutput_tlInputFinancials_I70">tlInputFinancials!$I$73</definedName>
    <definedName name="tlOutput_tlInputFinancials_I71">tlInputFinancials!$I$74</definedName>
    <definedName name="tlOutput_tlInputFinancials_I72">tlInputFinancials!$I$76</definedName>
    <definedName name="tlOutput_tlInputFinancials_I74">tlInputFinancials!$I$78</definedName>
    <definedName name="tlOutput_tlInputFinancials_I75">tlInputFinancials!$I$79</definedName>
    <definedName name="tlOutput_tlInputFinancials_K11">tlInputFinancials!$K$11</definedName>
    <definedName name="tlOutput_tlInputFinancials_K12">tlInputFinancials!$K$12</definedName>
    <definedName name="tlOutput_tlInputFinancials_K13">tlInputFinancials!$K$13</definedName>
    <definedName name="tlOutput_tlInputFinancials_K14">tlInputFinancials!$K$15</definedName>
    <definedName name="tlOutput_tlInputFinancials_K15">tlInputFinancials!$K$16</definedName>
    <definedName name="tlOutput_tlInputFinancials_K23">tlInputFinancials!$K$24</definedName>
    <definedName name="tlOutput_tlInputFinancials_K24">tlInputFinancials!$K$25</definedName>
    <definedName name="tlOutput_tlInputFinancials_K26">tlInputFinancials!$K$27</definedName>
    <definedName name="tlOutput_tlInputFinancials_K27">tlInputFinancials!$K$28</definedName>
    <definedName name="tlOutput_tlInputFinancials_K28">tlInputFinancials!$K$29</definedName>
    <definedName name="tlOutput_tlInputFinancials_K29">tlInputFinancials!$K$30</definedName>
    <definedName name="tlOutput_tlInputFinancials_K30">tlInputFinancials!$K$31</definedName>
    <definedName name="tlOutput_tlInputFinancials_K31">tlInputFinancials!$K$33</definedName>
    <definedName name="tlOutput_tlInputFinancials_K32">tlInputFinancials!$K$34</definedName>
    <definedName name="tlOutput_tlInputFinancials_K39">tlInputFinancials!$K$41</definedName>
    <definedName name="tlOutput_tlInputFinancials_K40">tlInputFinancials!$K$42</definedName>
    <definedName name="tlOutput_tlInputFinancials_K41">tlInputFinancials!$K$43</definedName>
    <definedName name="tlOutput_tlInputFinancials_K42">tlInputFinancials!$K$44</definedName>
    <definedName name="tlOutput_tlInputFinancials_K43">tlInputFinancials!$K$45</definedName>
    <definedName name="tlOutput_tlInputFinancials_K51">tlInputFinancials!$K$53</definedName>
    <definedName name="tlOutput_tlInputFinancials_K52">tlInputFinancials!$K$54</definedName>
    <definedName name="tlOutput_tlInputFinancials_K54">tlInputFinancials!$K$56</definedName>
    <definedName name="tlOutput_tlInputFinancials_K55">tlInputFinancials!$K$57</definedName>
    <definedName name="tlOutput_tlInputFinancials_K56">tlInputFinancials!$K$58</definedName>
    <definedName name="tlOutput_tlInputFinancials_K57">tlInputFinancials!$K$59</definedName>
    <definedName name="tlOutput_tlInputFinancials_K59">tlInputFinancials!$K$61</definedName>
    <definedName name="tlOutput_tlInputFinancials_K6">tlInputFinancials!$K$6</definedName>
    <definedName name="tlOutput_tlInputFinancials_K60">tlInputFinancials!$K$62</definedName>
    <definedName name="tlOutput_tlInputFinancials_K67">tlInputFinancials!$K$69</definedName>
    <definedName name="tlOutput_tlInputFinancials_K68">tlInputFinancials!$K$71</definedName>
    <definedName name="tlOutput_tlInputFinancials_K69">tlInputFinancials!$K$72</definedName>
    <definedName name="tlOutput_tlInputFinancials_K7">tlInputFinancials!$K$7</definedName>
    <definedName name="tlOutput_tlInputFinancials_K70">tlInputFinancials!$K$73</definedName>
    <definedName name="tlOutput_tlInputFinancials_K71">tlInputFinancials!$K$74</definedName>
    <definedName name="tlOutput_tlInputFinancials_K72">tlInputFinancials!$K$76</definedName>
    <definedName name="tlOutput_tlInputFinancials_K74">tlInputFinancials!$K$78</definedName>
    <definedName name="tlOutput_tlInputFinancials_K75">tlInputFinancials!$K$79</definedName>
    <definedName name="tlOutput_tlInputFinancials_K8">tlInputFinancials!$K$8</definedName>
    <definedName name="tlOutput_tlInputFinancials_K9">tlInputFinancials!$K$9</definedName>
    <definedName name="tlOutput_tlInputFinancials_L11">tlInputFinancials!$L$11</definedName>
    <definedName name="tlOutput_tlInputFinancials_L12">tlInputFinancials!$L$12</definedName>
    <definedName name="tlOutput_tlInputFinancials_L13">tlInputFinancials!$L$13</definedName>
    <definedName name="tlOutput_tlInputFinancials_L14">tlInputFinancials!$L$15</definedName>
    <definedName name="tlOutput_tlInputFinancials_L15">tlInputFinancials!$L$16</definedName>
    <definedName name="tlOutput_tlInputFinancials_L23">tlInputFinancials!$L$24</definedName>
    <definedName name="tlOutput_tlInputFinancials_L24">tlInputFinancials!$L$25</definedName>
    <definedName name="tlOutput_tlInputFinancials_L26">tlInputFinancials!$L$27</definedName>
    <definedName name="tlOutput_tlInputFinancials_L27">tlInputFinancials!$L$28</definedName>
    <definedName name="tlOutput_tlInputFinancials_L28">tlInputFinancials!$L$29</definedName>
    <definedName name="tlOutput_tlInputFinancials_L29">tlInputFinancials!$L$30</definedName>
    <definedName name="tlOutput_tlInputFinancials_L30">tlInputFinancials!$L$31</definedName>
    <definedName name="tlOutput_tlInputFinancials_L31">tlInputFinancials!$L$33</definedName>
    <definedName name="tlOutput_tlInputFinancials_L32">tlInputFinancials!$L$34</definedName>
    <definedName name="tlOutput_tlInputFinancials_L39">tlInputFinancials!$L$41</definedName>
    <definedName name="tlOutput_tlInputFinancials_L40">tlInputFinancials!$L$42</definedName>
    <definedName name="tlOutput_tlInputFinancials_L41">tlInputFinancials!$L$43</definedName>
    <definedName name="tlOutput_tlInputFinancials_L42">tlInputFinancials!$L$44</definedName>
    <definedName name="tlOutput_tlInputFinancials_L43">tlInputFinancials!$L$45</definedName>
    <definedName name="tlOutput_tlInputFinancials_L51">tlInputFinancials!$L$53</definedName>
    <definedName name="tlOutput_tlInputFinancials_L52">tlInputFinancials!$L$54</definedName>
    <definedName name="tlOutput_tlInputFinancials_L54">tlInputFinancials!$L$56</definedName>
    <definedName name="tlOutput_tlInputFinancials_L55">tlInputFinancials!$L$57</definedName>
    <definedName name="tlOutput_tlInputFinancials_L56">tlInputFinancials!$L$58</definedName>
    <definedName name="tlOutput_tlInputFinancials_L57">tlInputFinancials!$L$59</definedName>
    <definedName name="tlOutput_tlInputFinancials_L59">tlInputFinancials!$L$61</definedName>
    <definedName name="tlOutput_tlInputFinancials_L6">tlInputFinancials!$L$6</definedName>
    <definedName name="tlOutput_tlInputFinancials_L60">tlInputFinancials!$L$62</definedName>
    <definedName name="tlOutput_tlInputFinancials_L67">tlInputFinancials!$L$69</definedName>
    <definedName name="tlOutput_tlInputFinancials_L68">tlInputFinancials!$L$71</definedName>
    <definedName name="tlOutput_tlInputFinancials_L69">tlInputFinancials!$L$72</definedName>
    <definedName name="tlOutput_tlInputFinancials_L7">tlInputFinancials!$L$7</definedName>
    <definedName name="tlOutput_tlInputFinancials_L70">tlInputFinancials!$L$73</definedName>
    <definedName name="tlOutput_tlInputFinancials_L71">tlInputFinancials!$L$74</definedName>
    <definedName name="tlOutput_tlInputFinancials_L72">tlInputFinancials!$L$76</definedName>
    <definedName name="tlOutput_tlInputFinancials_L74">tlInputFinancials!$L$78</definedName>
    <definedName name="tlOutput_tlInputFinancials_L75">tlInputFinancials!$L$79</definedName>
    <definedName name="tlOutput_tlInputFinancials_L8">tlInputFinancials!$L$8</definedName>
    <definedName name="tlOutput_tlInputFinancials_L9">tlInputFinancials!$L$9</definedName>
    <definedName name="tlOutput_tlInputFinancials_M11">tlInputFinancials!$M$11</definedName>
    <definedName name="tlOutput_tlInputFinancials_M12">tlInputFinancials!$M$12</definedName>
    <definedName name="tlOutput_tlInputFinancials_M13">tlInputFinancials!$M$13</definedName>
    <definedName name="tlOutput_tlInputFinancials_M15">tlInputFinancials!$M$15</definedName>
    <definedName name="tlOutput_tlInputFinancials_M16">tlInputFinancials!$M$16</definedName>
    <definedName name="tlOutput_tlInputFinancials_M6">tlInputFinancials!$M$6</definedName>
    <definedName name="tlOutput_tlInputFinancials_M7">tlInputFinancials!$M$7</definedName>
    <definedName name="tlOutput_tlInputFinancials_M8">tlInputFinancials!$M$8</definedName>
    <definedName name="tlOutput_tlInputFinancials_M9">tlInputFinancials!$M$9</definedName>
    <definedName name="tlOutput_tlInputFinancials_N11">tlInputFinancials!$N$11</definedName>
    <definedName name="tlOutput_tlInputFinancials_N12">tlInputFinancials!$N$12</definedName>
    <definedName name="tlOutput_tlInputFinancials_N13">tlInputFinancials!$N$13</definedName>
    <definedName name="tlOutput_tlInputFinancials_N15">tlInputFinancials!$N$15</definedName>
    <definedName name="tlOutput_tlInputFinancials_N16">tlInputFinancials!$N$16</definedName>
    <definedName name="tlOutput_tlInputFinancials_N6">tlInputFinancials!$N$6</definedName>
    <definedName name="tlOutput_tlInputFinancials_N7">tlInputFinancials!$N$7</definedName>
    <definedName name="tlOutput_tlInputFinancials_N8">tlInputFinancials!$N$8</definedName>
    <definedName name="tlOutput_tlInputFinancials_N9">tlInputFinancials!$N$9</definedName>
    <definedName name="tlOutputCashFlow0">tlInputFinancials!$E$75</definedName>
    <definedName name="tlOutputCashFlow1">tlInputFinancials!$G$75</definedName>
    <definedName name="tlOutputCashFlow10">tlInputFinancials!$L$75</definedName>
    <definedName name="tlOutputCashFlow2">tlInputFinancials!$H$75</definedName>
    <definedName name="tlOutputCashFlow3">tlInputFinancials!$I$75</definedName>
    <definedName name="tlOutputCashFlow5">tlInputFinancials!$K$75</definedName>
    <definedName name="tlOutputDash1">tlInputFinancials!$AA$6</definedName>
    <definedName name="tlOutputDash2">tlInputFinancials!$AA$7</definedName>
    <definedName name="tlOutputDash3">tlInputFinancials!$AA$8</definedName>
    <definedName name="tlOutputDash4">tlInputFinancials!$AA$9</definedName>
    <definedName name="tlOutputDash5">tlInputFinancials!$AA$10</definedName>
    <definedName name="tlOutputResetCapEx">tlInputFinancials!$V$7</definedName>
    <definedName name="tlOutputResetNetback">tlInputFinancials!$V$14</definedName>
    <definedName name="tlOutputResetOpEx">tlInputFinancials!$V$13</definedName>
    <definedName name="tlOutputResetProd">tlInputFinancials!$V$9</definedName>
    <definedName name="tlOutputResetRel">tlInputFinancials!$V$11</definedName>
    <definedName name="tlOutputResetRes">tlInputFinancials!$V$10</definedName>
    <definedName name="tlOutputResetSched">tlInputFinancials!$V$6</definedName>
    <definedName name="tlOutputResetWorkingCap">tlInputFinancials!$V$15</definedName>
    <definedName name="tlTeamName">tlIntro!$C$15</definedName>
    <definedName name="ToolBU">tlInputFinancials!$A$49:$A$80</definedName>
    <definedName name="ToolProj">tlInputFinancials!$A$20:$A$46</definedName>
  </definedNames>
  <calcPr calcId="144525"/>
</workbook>
</file>

<file path=xl/calcChain.xml><?xml version="1.0" encoding="utf-8"?>
<calcChain xmlns="http://schemas.openxmlformats.org/spreadsheetml/2006/main">
  <c r="D87" i="44" l="1"/>
  <c r="D92" i="44" l="1"/>
  <c r="D88" i="44"/>
  <c r="L27" i="44" l="1"/>
  <c r="K27" i="44"/>
  <c r="I27" i="44"/>
  <c r="H27" i="44"/>
  <c r="G27" i="44"/>
  <c r="E27" i="44"/>
  <c r="C31" i="44" l="1"/>
  <c r="C30" i="44"/>
  <c r="C29" i="44"/>
  <c r="C28" i="44"/>
  <c r="C27" i="44"/>
  <c r="L13" i="40"/>
  <c r="K13" i="40"/>
  <c r="J13" i="40"/>
  <c r="I13" i="40"/>
  <c r="L12" i="40"/>
  <c r="K12" i="40"/>
  <c r="J12" i="40"/>
  <c r="I12" i="40"/>
  <c r="E33" i="44" l="1"/>
  <c r="E111" i="38" l="1"/>
  <c r="E9" i="37" l="1"/>
  <c r="CK8" i="37"/>
  <c r="CJ8" i="37"/>
  <c r="CI8" i="37"/>
  <c r="CH8" i="37"/>
  <c r="CG8" i="37"/>
  <c r="CF8" i="37"/>
  <c r="CE8" i="37"/>
  <c r="CD8" i="37"/>
  <c r="CC8" i="37"/>
  <c r="CB8" i="37"/>
  <c r="CA8" i="37"/>
  <c r="BZ8" i="37"/>
  <c r="BY8" i="37"/>
  <c r="BX8" i="37"/>
  <c r="BW8" i="37"/>
  <c r="BV8" i="37"/>
  <c r="BU8" i="37"/>
  <c r="BT8" i="37"/>
  <c r="BS8" i="37"/>
  <c r="BR8" i="37"/>
  <c r="BQ8" i="37"/>
  <c r="BP8" i="37"/>
  <c r="BO8" i="37"/>
  <c r="BN8" i="37"/>
  <c r="BM8" i="37"/>
  <c r="BL8" i="37"/>
  <c r="BK8" i="37"/>
  <c r="BJ8" i="37"/>
  <c r="BI8" i="37"/>
  <c r="BH8" i="37"/>
  <c r="BG8" i="37"/>
  <c r="BF8" i="37"/>
  <c r="BE8" i="37"/>
  <c r="BD8" i="37"/>
  <c r="BC8" i="37"/>
  <c r="BB8" i="37"/>
  <c r="BA8" i="37"/>
  <c r="AZ8" i="37"/>
  <c r="AY8" i="37"/>
  <c r="AX8" i="37"/>
  <c r="AW8" i="37"/>
  <c r="AV8" i="37"/>
  <c r="AU8" i="37"/>
  <c r="AT8" i="37"/>
  <c r="AS8" i="37"/>
  <c r="AR8" i="37"/>
  <c r="AQ8" i="37"/>
  <c r="AP8" i="37"/>
  <c r="AO8" i="37"/>
  <c r="AN8" i="37"/>
  <c r="AM8" i="37"/>
  <c r="AL8" i="37"/>
  <c r="AK8" i="37"/>
  <c r="AJ8" i="37"/>
  <c r="AI8" i="37"/>
  <c r="AH8" i="37"/>
  <c r="AG8" i="37"/>
  <c r="AF8" i="37"/>
  <c r="AE8" i="37"/>
  <c r="AD8" i="37"/>
  <c r="AC8" i="37"/>
  <c r="AB8" i="37"/>
  <c r="AA8" i="37"/>
  <c r="Z8" i="37"/>
  <c r="Y8" i="37"/>
  <c r="X8" i="37"/>
  <c r="W8" i="37"/>
  <c r="V8" i="37"/>
  <c r="U8" i="37"/>
  <c r="T8" i="37"/>
  <c r="S8" i="37"/>
  <c r="R8" i="37"/>
  <c r="Q8" i="37"/>
  <c r="P8" i="37"/>
  <c r="O8" i="37"/>
  <c r="N8" i="37"/>
  <c r="M8" i="37"/>
  <c r="L8" i="37"/>
  <c r="K8" i="37"/>
  <c r="J8" i="37"/>
  <c r="I8" i="37"/>
  <c r="H8" i="37"/>
  <c r="G8" i="37"/>
  <c r="F8" i="37"/>
  <c r="E8" i="37"/>
  <c r="E123" i="36"/>
  <c r="E122" i="36"/>
  <c r="E121" i="36"/>
  <c r="E120" i="36"/>
  <c r="E119" i="36"/>
  <c r="E23" i="37" l="1"/>
  <c r="H12" i="40"/>
  <c r="F12" i="40"/>
  <c r="A40" i="38"/>
  <c r="E6" i="37"/>
  <c r="E26" i="37" l="1"/>
  <c r="E18" i="37"/>
  <c r="E20" i="37" s="1"/>
  <c r="F24" i="37" s="1"/>
  <c r="Y75" i="38"/>
  <c r="X75" i="38"/>
  <c r="W75" i="38"/>
  <c r="V75" i="38"/>
  <c r="U75" i="38"/>
  <c r="T75" i="38"/>
  <c r="S75" i="38"/>
  <c r="R75" i="38"/>
  <c r="Q75" i="38"/>
  <c r="P75" i="38"/>
  <c r="O75" i="38"/>
  <c r="AH72" i="44" s="1"/>
  <c r="N75" i="38"/>
  <c r="M75" i="38"/>
  <c r="L75" i="38"/>
  <c r="K75" i="38"/>
  <c r="J75" i="38"/>
  <c r="I75" i="38"/>
  <c r="H75" i="38"/>
  <c r="G75" i="38"/>
  <c r="AD72" i="44" s="1"/>
  <c r="F75" i="38"/>
  <c r="E75" i="38"/>
  <c r="CK40" i="37"/>
  <c r="CJ40" i="37"/>
  <c r="CI40" i="37"/>
  <c r="CH40" i="37"/>
  <c r="CG40" i="37"/>
  <c r="CF40" i="37"/>
  <c r="CE40" i="37"/>
  <c r="CD40" i="37"/>
  <c r="CC40" i="37"/>
  <c r="CB40" i="37"/>
  <c r="CA40" i="37"/>
  <c r="BZ40" i="37"/>
  <c r="BY40" i="37"/>
  <c r="BX40" i="37"/>
  <c r="BW40" i="37"/>
  <c r="BV40" i="37"/>
  <c r="BU40" i="37"/>
  <c r="BT40" i="37"/>
  <c r="BS40" i="37"/>
  <c r="BR40" i="37"/>
  <c r="BQ40" i="37"/>
  <c r="BP40" i="37"/>
  <c r="BO40" i="37"/>
  <c r="BN40" i="37"/>
  <c r="BM40" i="37"/>
  <c r="BL40" i="37"/>
  <c r="BK40" i="37"/>
  <c r="BJ40" i="37"/>
  <c r="BI40" i="37"/>
  <c r="BH40" i="37"/>
  <c r="BG40" i="37"/>
  <c r="BF40" i="37"/>
  <c r="BE40" i="37"/>
  <c r="BD40" i="37"/>
  <c r="BC40" i="37"/>
  <c r="BB40" i="37"/>
  <c r="BA40" i="37"/>
  <c r="AZ40" i="37"/>
  <c r="AY40" i="37"/>
  <c r="AX40" i="37"/>
  <c r="AW40" i="37"/>
  <c r="AV40" i="37"/>
  <c r="AU40" i="37"/>
  <c r="AT40" i="37"/>
  <c r="AS40" i="37"/>
  <c r="AR40" i="37"/>
  <c r="AQ40" i="37"/>
  <c r="AP40" i="37"/>
  <c r="AO40" i="37"/>
  <c r="AN40" i="37"/>
  <c r="AM40" i="37"/>
  <c r="AL40" i="37"/>
  <c r="AK40" i="37"/>
  <c r="AJ40" i="37"/>
  <c r="AI40" i="37"/>
  <c r="AH40" i="37"/>
  <c r="AG40" i="37"/>
  <c r="AF40" i="37"/>
  <c r="AE40" i="37"/>
  <c r="AD40" i="37"/>
  <c r="AC40" i="37"/>
  <c r="AB40" i="37"/>
  <c r="AA40" i="37"/>
  <c r="Z40" i="37"/>
  <c r="Y40" i="37"/>
  <c r="X40" i="37"/>
  <c r="W40" i="37"/>
  <c r="V40" i="37"/>
  <c r="U40" i="37"/>
  <c r="T40" i="37"/>
  <c r="S40" i="37"/>
  <c r="R40" i="37"/>
  <c r="Q40" i="37"/>
  <c r="P40" i="37"/>
  <c r="O40" i="37"/>
  <c r="N40" i="37"/>
  <c r="M40" i="37"/>
  <c r="L40" i="37"/>
  <c r="K40" i="37"/>
  <c r="J40" i="37"/>
  <c r="I40" i="37"/>
  <c r="H40" i="37"/>
  <c r="G40" i="37"/>
  <c r="F40" i="37"/>
  <c r="E40" i="37"/>
  <c r="Y70" i="38"/>
  <c r="X70" i="38"/>
  <c r="X72" i="38" s="1"/>
  <c r="W70" i="38"/>
  <c r="W72" i="38" s="1"/>
  <c r="V70" i="38"/>
  <c r="U70" i="38"/>
  <c r="T70" i="38"/>
  <c r="T72" i="38" s="1"/>
  <c r="S70" i="38"/>
  <c r="S72" i="38" s="1"/>
  <c r="R70" i="38"/>
  <c r="Q70" i="38"/>
  <c r="P70" i="38"/>
  <c r="P72" i="38" s="1"/>
  <c r="O70" i="38"/>
  <c r="N70" i="38"/>
  <c r="N3" i="40" s="1"/>
  <c r="M70" i="38"/>
  <c r="M3" i="40" s="1"/>
  <c r="L70" i="38"/>
  <c r="K70" i="38"/>
  <c r="J70" i="38"/>
  <c r="J3" i="40" s="1"/>
  <c r="I70" i="38"/>
  <c r="I3" i="40" s="1"/>
  <c r="H70" i="38"/>
  <c r="H3" i="40" s="1"/>
  <c r="G70" i="38"/>
  <c r="G3" i="40" s="1"/>
  <c r="F70" i="38"/>
  <c r="F3" i="40" s="1"/>
  <c r="E70" i="38"/>
  <c r="E3" i="40" s="1"/>
  <c r="AH56" i="44"/>
  <c r="AD56" i="44"/>
  <c r="AA57" i="44"/>
  <c r="AA53" i="44"/>
  <c r="AH53" i="44"/>
  <c r="AG53" i="44"/>
  <c r="AD53" i="44"/>
  <c r="AC53" i="44"/>
  <c r="E12" i="37"/>
  <c r="AE53" i="44"/>
  <c r="E38" i="37"/>
  <c r="E35" i="37"/>
  <c r="Y30" i="38"/>
  <c r="X30" i="38"/>
  <c r="W30" i="38"/>
  <c r="V30" i="38"/>
  <c r="U30" i="38"/>
  <c r="T30" i="38"/>
  <c r="S30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AB74" i="38" s="1"/>
  <c r="F30" i="38"/>
  <c r="AE56" i="44" l="1"/>
  <c r="AE72" i="44"/>
  <c r="K72" i="38"/>
  <c r="K3" i="40"/>
  <c r="AA56" i="44"/>
  <c r="AA72" i="44"/>
  <c r="L72" i="38"/>
  <c r="L3" i="40"/>
  <c r="AC56" i="44"/>
  <c r="AC72" i="44"/>
  <c r="AG56" i="44"/>
  <c r="AG72" i="44"/>
  <c r="AC54" i="44"/>
  <c r="AC69" i="44"/>
  <c r="G72" i="38"/>
  <c r="AD71" i="44" s="1"/>
  <c r="AD69" i="44"/>
  <c r="O72" i="38"/>
  <c r="AH71" i="44" s="1"/>
  <c r="AH69" i="44"/>
  <c r="AG54" i="44"/>
  <c r="AG69" i="44"/>
  <c r="H72" i="38"/>
  <c r="AE71" i="44" s="1"/>
  <c r="AE69" i="44"/>
  <c r="AA54" i="44"/>
  <c r="AA69" i="44"/>
  <c r="E13" i="37"/>
  <c r="AD54" i="44"/>
  <c r="AE54" i="44"/>
  <c r="AH54" i="44"/>
  <c r="E72" i="38"/>
  <c r="I72" i="38"/>
  <c r="I77" i="38" s="1"/>
  <c r="M72" i="38"/>
  <c r="M77" i="38" s="1"/>
  <c r="Q72" i="38"/>
  <c r="Q77" i="38" s="1"/>
  <c r="U72" i="38"/>
  <c r="U77" i="38" s="1"/>
  <c r="Y72" i="38"/>
  <c r="Y77" i="38" s="1"/>
  <c r="G77" i="38"/>
  <c r="K77" i="38"/>
  <c r="O77" i="38"/>
  <c r="S77" i="38"/>
  <c r="W77" i="38"/>
  <c r="F72" i="38"/>
  <c r="J72" i="38"/>
  <c r="N72" i="38"/>
  <c r="N77" i="38" s="1"/>
  <c r="R72" i="38"/>
  <c r="R77" i="38" s="1"/>
  <c r="V72" i="38"/>
  <c r="V77" i="38" s="1"/>
  <c r="H77" i="38"/>
  <c r="L77" i="38"/>
  <c r="P77" i="38"/>
  <c r="T77" i="38"/>
  <c r="X77" i="38"/>
  <c r="F77" i="38" l="1"/>
  <c r="AC71" i="44"/>
  <c r="J77" i="38"/>
  <c r="AG71" i="44"/>
  <c r="E77" i="38"/>
  <c r="AA71" i="44"/>
  <c r="F79" i="38"/>
  <c r="Q79" i="38"/>
  <c r="Q81" i="38" s="1"/>
  <c r="R79" i="38"/>
  <c r="R81" i="38" s="1"/>
  <c r="M79" i="38"/>
  <c r="M81" i="38" s="1"/>
  <c r="N79" i="38"/>
  <c r="N81" i="38" s="1"/>
  <c r="Y79" i="38"/>
  <c r="Y81" i="38" s="1"/>
  <c r="I79" i="38"/>
  <c r="I81" i="38" s="1"/>
  <c r="V79" i="38"/>
  <c r="V81" i="38" s="1"/>
  <c r="J79" i="38"/>
  <c r="U79" i="38"/>
  <c r="U81" i="38" s="1"/>
  <c r="E79" i="38"/>
  <c r="AA73" i="44" s="1"/>
  <c r="T79" i="38"/>
  <c r="T81" i="38" s="1"/>
  <c r="K79" i="38"/>
  <c r="K81" i="38" s="1"/>
  <c r="P79" i="38"/>
  <c r="P81" i="38" s="1"/>
  <c r="W79" i="38"/>
  <c r="W81" i="38" s="1"/>
  <c r="G79" i="38"/>
  <c r="L79" i="38"/>
  <c r="L81" i="38" s="1"/>
  <c r="S79" i="38"/>
  <c r="S81" i="38" s="1"/>
  <c r="X79" i="38"/>
  <c r="X81" i="38" s="1"/>
  <c r="H79" i="38"/>
  <c r="O79" i="38"/>
  <c r="AA78" i="44"/>
  <c r="E3" i="38"/>
  <c r="F1" i="38"/>
  <c r="F3" i="38" s="1"/>
  <c r="AH58" i="44" l="1"/>
  <c r="AH73" i="44"/>
  <c r="AG58" i="44"/>
  <c r="AG73" i="44"/>
  <c r="AC58" i="44"/>
  <c r="AC73" i="44"/>
  <c r="AE58" i="44"/>
  <c r="AE73" i="44"/>
  <c r="AD58" i="44"/>
  <c r="AD73" i="44"/>
  <c r="AA58" i="44"/>
  <c r="AA59" i="44" s="1"/>
  <c r="I82" i="38"/>
  <c r="I92" i="38"/>
  <c r="R82" i="38"/>
  <c r="R92" i="38"/>
  <c r="T82" i="38"/>
  <c r="T92" i="38"/>
  <c r="M82" i="38"/>
  <c r="M92" i="38"/>
  <c r="X82" i="38"/>
  <c r="X92" i="38"/>
  <c r="W82" i="38"/>
  <c r="W92" i="38"/>
  <c r="S82" i="38"/>
  <c r="S92" i="38"/>
  <c r="P82" i="38"/>
  <c r="P92" i="38"/>
  <c r="U82" i="38"/>
  <c r="U92" i="38"/>
  <c r="Y82" i="38"/>
  <c r="Y92" i="38"/>
  <c r="Q82" i="38"/>
  <c r="Q92" i="38"/>
  <c r="V82" i="38"/>
  <c r="V92" i="38"/>
  <c r="L82" i="38"/>
  <c r="L92" i="38"/>
  <c r="K82" i="38"/>
  <c r="K92" i="38"/>
  <c r="N82" i="38"/>
  <c r="N92" i="38"/>
  <c r="H81" i="38"/>
  <c r="G81" i="38"/>
  <c r="O81" i="38"/>
  <c r="E81" i="38"/>
  <c r="J81" i="38"/>
  <c r="F81" i="38"/>
  <c r="CI28" i="37"/>
  <c r="G1" i="38"/>
  <c r="G3" i="38" s="1"/>
  <c r="E92" i="38" l="1"/>
  <c r="O92" i="38"/>
  <c r="F92" i="38"/>
  <c r="AE61" i="44"/>
  <c r="H92" i="38"/>
  <c r="G82" i="38"/>
  <c r="AD62" i="44" s="1"/>
  <c r="G92" i="38"/>
  <c r="J92" i="38"/>
  <c r="AD61" i="44"/>
  <c r="H82" i="38"/>
  <c r="AE62" i="44" s="1"/>
  <c r="AG61" i="44"/>
  <c r="J82" i="38"/>
  <c r="AG62" i="44" s="1"/>
  <c r="E82" i="38"/>
  <c r="AA62" i="44" s="1"/>
  <c r="AA61" i="44"/>
  <c r="O82" i="38"/>
  <c r="AH62" i="44" s="1"/>
  <c r="AH61" i="44"/>
  <c r="AC61" i="44"/>
  <c r="F82" i="38"/>
  <c r="AC62" i="44" s="1"/>
  <c r="AC57" i="44"/>
  <c r="AC59" i="44" s="1"/>
  <c r="G4" i="38"/>
  <c r="F4" i="38"/>
  <c r="H1" i="38"/>
  <c r="H3" i="38" s="1"/>
  <c r="E29" i="37"/>
  <c r="CK28" i="37"/>
  <c r="CJ28" i="37"/>
  <c r="CH28" i="37"/>
  <c r="CG28" i="37"/>
  <c r="CF28" i="37"/>
  <c r="CE28" i="37"/>
  <c r="CD28" i="37"/>
  <c r="CC28" i="37"/>
  <c r="CB28" i="37"/>
  <c r="CA28" i="37"/>
  <c r="BZ28" i="37"/>
  <c r="BY28" i="37"/>
  <c r="BX28" i="37"/>
  <c r="BW28" i="37"/>
  <c r="BV28" i="37"/>
  <c r="BU28" i="37"/>
  <c r="BT28" i="37"/>
  <c r="BS28" i="37"/>
  <c r="BR28" i="37"/>
  <c r="BQ28" i="37"/>
  <c r="BP28" i="37"/>
  <c r="BO28" i="37"/>
  <c r="BN28" i="37"/>
  <c r="BM28" i="37"/>
  <c r="BL28" i="37"/>
  <c r="BK28" i="37"/>
  <c r="BJ28" i="37"/>
  <c r="BI28" i="37"/>
  <c r="BH28" i="37"/>
  <c r="BG28" i="37"/>
  <c r="BF28" i="37"/>
  <c r="BE28" i="37"/>
  <c r="BD28" i="37"/>
  <c r="BC28" i="37"/>
  <c r="BB28" i="37"/>
  <c r="BA28" i="37"/>
  <c r="AZ28" i="37"/>
  <c r="AY28" i="37"/>
  <c r="AX28" i="37"/>
  <c r="AW28" i="37"/>
  <c r="AV28" i="37"/>
  <c r="AU28" i="37"/>
  <c r="AT28" i="37"/>
  <c r="AS28" i="37"/>
  <c r="AR28" i="37"/>
  <c r="AQ28" i="37"/>
  <c r="AP28" i="37"/>
  <c r="AO28" i="37"/>
  <c r="AN28" i="37"/>
  <c r="AM28" i="37"/>
  <c r="AL28" i="37"/>
  <c r="AK28" i="37"/>
  <c r="AJ28" i="37"/>
  <c r="AI28" i="37"/>
  <c r="AH28" i="37"/>
  <c r="AG28" i="37"/>
  <c r="AF28" i="37"/>
  <c r="AE28" i="37"/>
  <c r="AD28" i="37"/>
  <c r="AC28" i="37"/>
  <c r="AB28" i="37"/>
  <c r="AA28" i="37"/>
  <c r="Z28" i="37"/>
  <c r="Y28" i="37"/>
  <c r="X28" i="37"/>
  <c r="W28" i="37"/>
  <c r="V28" i="37"/>
  <c r="U28" i="37"/>
  <c r="T28" i="37"/>
  <c r="S28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AC78" i="44" l="1"/>
  <c r="F5" i="38"/>
  <c r="F6" i="38" s="1"/>
  <c r="G5" i="38"/>
  <c r="G6" i="38" s="1"/>
  <c r="I1" i="38"/>
  <c r="I3" i="38" s="1"/>
  <c r="E20" i="38"/>
  <c r="E22" i="38" s="1"/>
  <c r="E103" i="38" s="1"/>
  <c r="E31" i="37"/>
  <c r="E4" i="38"/>
  <c r="F1" i="37"/>
  <c r="F9" i="37" s="1"/>
  <c r="F23" i="37" s="1"/>
  <c r="F14" i="38" l="1"/>
  <c r="G14" i="38"/>
  <c r="F38" i="37"/>
  <c r="F12" i="37"/>
  <c r="F17" i="37" s="1"/>
  <c r="G84" i="38"/>
  <c r="F84" i="38"/>
  <c r="E57" i="44"/>
  <c r="F35" i="37"/>
  <c r="G1" i="37"/>
  <c r="G9" i="37" s="1"/>
  <c r="G23" i="37" s="1"/>
  <c r="F29" i="37"/>
  <c r="F31" i="37" s="1"/>
  <c r="H4" i="38"/>
  <c r="E5" i="38"/>
  <c r="E6" i="38" s="1"/>
  <c r="J1" i="38"/>
  <c r="J3" i="38" s="1"/>
  <c r="E8" i="38"/>
  <c r="E14" i="38" l="1"/>
  <c r="E36" i="37"/>
  <c r="E84" i="38"/>
  <c r="F86" i="38" s="1"/>
  <c r="G38" i="37"/>
  <c r="G12" i="37"/>
  <c r="G86" i="38"/>
  <c r="E39" i="37"/>
  <c r="AD78" i="44"/>
  <c r="AD57" i="44"/>
  <c r="AD59" i="44" s="1"/>
  <c r="H5" i="38"/>
  <c r="H6" i="38" s="1"/>
  <c r="G35" i="37"/>
  <c r="H1" i="37"/>
  <c r="H9" i="37" s="1"/>
  <c r="H23" i="37" s="1"/>
  <c r="G29" i="37"/>
  <c r="G31" i="37" s="1"/>
  <c r="I4" i="38"/>
  <c r="K1" i="38"/>
  <c r="K3" i="38" s="1"/>
  <c r="H14" i="38" l="1"/>
  <c r="H38" i="37"/>
  <c r="H12" i="37"/>
  <c r="E9" i="38" s="1"/>
  <c r="H84" i="38"/>
  <c r="I5" i="38"/>
  <c r="I6" i="38" s="1"/>
  <c r="H35" i="37"/>
  <c r="H29" i="37"/>
  <c r="H31" i="37" s="1"/>
  <c r="I1" i="37"/>
  <c r="I9" i="37" s="1"/>
  <c r="I23" i="37" s="1"/>
  <c r="J4" i="38"/>
  <c r="L1" i="38"/>
  <c r="L3" i="38" s="1"/>
  <c r="E108" i="36"/>
  <c r="E109" i="36"/>
  <c r="E110" i="36"/>
  <c r="F119" i="36"/>
  <c r="F120" i="36"/>
  <c r="F121" i="36"/>
  <c r="F122" i="36"/>
  <c r="F123" i="36"/>
  <c r="E128" i="36"/>
  <c r="F128" i="36" s="1"/>
  <c r="E129" i="36"/>
  <c r="F129" i="36" s="1"/>
  <c r="E130" i="36"/>
  <c r="F130" i="36" s="1"/>
  <c r="E131" i="36"/>
  <c r="F131" i="36" s="1"/>
  <c r="E132" i="36"/>
  <c r="F132" i="36" s="1"/>
  <c r="E133" i="36"/>
  <c r="F133" i="36" s="1"/>
  <c r="E134" i="36"/>
  <c r="F134" i="36" s="1"/>
  <c r="E135" i="36"/>
  <c r="F135" i="36" s="1"/>
  <c r="E136" i="36"/>
  <c r="F136" i="36" s="1"/>
  <c r="E137" i="36"/>
  <c r="F137" i="36" s="1"/>
  <c r="E142" i="36"/>
  <c r="F142" i="36" s="1"/>
  <c r="E143" i="36"/>
  <c r="F143" i="36" s="1"/>
  <c r="E144" i="36"/>
  <c r="F144" i="36" s="1"/>
  <c r="E145" i="36"/>
  <c r="F145" i="36" s="1"/>
  <c r="E146" i="36"/>
  <c r="F146" i="36" s="1"/>
  <c r="E147" i="36"/>
  <c r="F147" i="36" s="1"/>
  <c r="E148" i="36"/>
  <c r="F148" i="36" s="1"/>
  <c r="E149" i="36"/>
  <c r="F149" i="36" s="1"/>
  <c r="E150" i="36"/>
  <c r="F150" i="36" s="1"/>
  <c r="E151" i="36"/>
  <c r="F151" i="36" s="1"/>
  <c r="E156" i="36"/>
  <c r="F156" i="36" s="1"/>
  <c r="E157" i="36"/>
  <c r="F157" i="36" s="1"/>
  <c r="E158" i="36"/>
  <c r="F158" i="36" s="1"/>
  <c r="E159" i="36"/>
  <c r="F159" i="36" s="1"/>
  <c r="E160" i="36"/>
  <c r="F160" i="36" s="1"/>
  <c r="E161" i="36"/>
  <c r="F161" i="36" s="1"/>
  <c r="E162" i="36"/>
  <c r="F162" i="36" s="1"/>
  <c r="E163" i="36"/>
  <c r="F163" i="36" s="1"/>
  <c r="E164" i="36"/>
  <c r="F164" i="36" s="1"/>
  <c r="E165" i="36"/>
  <c r="F165" i="36" s="1"/>
  <c r="E170" i="36"/>
  <c r="F170" i="36" s="1"/>
  <c r="E171" i="36"/>
  <c r="F171" i="36" s="1"/>
  <c r="E172" i="36"/>
  <c r="F172" i="36" s="1"/>
  <c r="E173" i="36"/>
  <c r="F173" i="36" s="1"/>
  <c r="E174" i="36"/>
  <c r="F174" i="36" s="1"/>
  <c r="E175" i="36"/>
  <c r="F175" i="36" s="1"/>
  <c r="E176" i="36"/>
  <c r="F176" i="36" s="1"/>
  <c r="E177" i="36"/>
  <c r="F177" i="36" s="1"/>
  <c r="E178" i="36"/>
  <c r="F178" i="36" s="1"/>
  <c r="E179" i="36"/>
  <c r="F179" i="36" s="1"/>
  <c r="I14" i="38" l="1"/>
  <c r="I12" i="37"/>
  <c r="I38" i="37"/>
  <c r="I33" i="37"/>
  <c r="H86" i="38"/>
  <c r="I84" i="38"/>
  <c r="AE57" i="44"/>
  <c r="AE59" i="44" s="1"/>
  <c r="J5" i="38"/>
  <c r="J6" i="38" s="1"/>
  <c r="I35" i="37"/>
  <c r="J1" i="37"/>
  <c r="J9" i="37" s="1"/>
  <c r="J23" i="37" s="1"/>
  <c r="I29" i="37"/>
  <c r="I31" i="37" s="1"/>
  <c r="K4" i="38"/>
  <c r="M1" i="38"/>
  <c r="M3" i="38" s="1"/>
  <c r="E23" i="36"/>
  <c r="E20" i="36"/>
  <c r="E26" i="36"/>
  <c r="E17" i="36"/>
  <c r="J14" i="38" l="1"/>
  <c r="J38" i="37"/>
  <c r="J12" i="37"/>
  <c r="J33" i="37"/>
  <c r="I86" i="38"/>
  <c r="J84" i="38"/>
  <c r="AE78" i="44"/>
  <c r="K5" i="38"/>
  <c r="K6" i="38" s="1"/>
  <c r="J35" i="37"/>
  <c r="K1" i="37"/>
  <c r="K9" i="37" s="1"/>
  <c r="K23" i="37" s="1"/>
  <c r="J29" i="37"/>
  <c r="J31" i="37" s="1"/>
  <c r="L4" i="38"/>
  <c r="N1" i="38"/>
  <c r="N3" i="38" s="1"/>
  <c r="K14" i="38" l="1"/>
  <c r="K38" i="37"/>
  <c r="K12" i="37"/>
  <c r="K33" i="37"/>
  <c r="K84" i="38"/>
  <c r="K86" i="38" s="1"/>
  <c r="J86" i="38"/>
  <c r="L5" i="38"/>
  <c r="L6" i="38" s="1"/>
  <c r="K35" i="37"/>
  <c r="L1" i="37"/>
  <c r="L9" i="37" s="1"/>
  <c r="L23" i="37" s="1"/>
  <c r="K29" i="37"/>
  <c r="K31" i="37" s="1"/>
  <c r="M4" i="38"/>
  <c r="O1" i="38"/>
  <c r="O3" i="38" s="1"/>
  <c r="D24" i="33"/>
  <c r="C1" i="44" s="1"/>
  <c r="D25" i="33"/>
  <c r="C8" i="30" s="1"/>
  <c r="D26" i="33"/>
  <c r="D27" i="33"/>
  <c r="D28" i="33"/>
  <c r="D30" i="33"/>
  <c r="D32" i="33"/>
  <c r="D33" i="33"/>
  <c r="D34" i="33"/>
  <c r="D35" i="33"/>
  <c r="D37" i="33"/>
  <c r="D38" i="33"/>
  <c r="D39" i="33"/>
  <c r="D41" i="33"/>
  <c r="D44" i="33"/>
  <c r="D45" i="33"/>
  <c r="D46" i="33"/>
  <c r="D47" i="33"/>
  <c r="L14" i="38" l="1"/>
  <c r="L38" i="37"/>
  <c r="L12" i="37"/>
  <c r="F9" i="38" s="1"/>
  <c r="L33" i="37"/>
  <c r="L84" i="38"/>
  <c r="M5" i="38"/>
  <c r="M6" i="38" s="1"/>
  <c r="L35" i="37"/>
  <c r="F21" i="38"/>
  <c r="M1" i="37"/>
  <c r="M9" i="37" s="1"/>
  <c r="M23" i="37" s="1"/>
  <c r="L29" i="37"/>
  <c r="L31" i="37" s="1"/>
  <c r="N4" i="38"/>
  <c r="P1" i="38"/>
  <c r="P3" i="38" s="1"/>
  <c r="C7" i="30"/>
  <c r="F119" i="38" l="1"/>
  <c r="G74" i="44"/>
  <c r="F7" i="40"/>
  <c r="M14" i="38"/>
  <c r="M12" i="37"/>
  <c r="M38" i="37"/>
  <c r="M33" i="37"/>
  <c r="L86" i="38"/>
  <c r="M84" i="38"/>
  <c r="AG57" i="44"/>
  <c r="AG59" i="44" s="1"/>
  <c r="N5" i="38"/>
  <c r="N6" i="38" s="1"/>
  <c r="F118" i="38"/>
  <c r="M35" i="37"/>
  <c r="N1" i="37"/>
  <c r="N9" i="37" s="1"/>
  <c r="N23" i="37" s="1"/>
  <c r="M29" i="37"/>
  <c r="M31" i="37" s="1"/>
  <c r="O4" i="38"/>
  <c r="Q1" i="38"/>
  <c r="Q3" i="38" s="1"/>
  <c r="G30" i="44" l="1"/>
  <c r="N14" i="38"/>
  <c r="N38" i="37"/>
  <c r="N12" i="37"/>
  <c r="N33" i="37"/>
  <c r="N84" i="38"/>
  <c r="M86" i="38"/>
  <c r="AG78" i="44"/>
  <c r="O5" i="38"/>
  <c r="O6" i="38" s="1"/>
  <c r="N35" i="37"/>
  <c r="N29" i="37"/>
  <c r="N31" i="37" s="1"/>
  <c r="O1" i="37"/>
  <c r="O9" i="37" s="1"/>
  <c r="O23" i="37" s="1"/>
  <c r="P4" i="38"/>
  <c r="R1" i="38"/>
  <c r="R3" i="38" s="1"/>
  <c r="O14" i="38" l="1"/>
  <c r="O38" i="37"/>
  <c r="O12" i="37"/>
  <c r="O33" i="37"/>
  <c r="O84" i="38"/>
  <c r="O86" i="38" s="1"/>
  <c r="N86" i="38"/>
  <c r="P5" i="38"/>
  <c r="P6" i="38" s="1"/>
  <c r="O35" i="37"/>
  <c r="P1" i="37"/>
  <c r="P9" i="37" s="1"/>
  <c r="P23" i="37" s="1"/>
  <c r="O29" i="37"/>
  <c r="O31" i="37" s="1"/>
  <c r="Q4" i="38"/>
  <c r="S1" i="38"/>
  <c r="S3" i="38" s="1"/>
  <c r="P14" i="38" l="1"/>
  <c r="P38" i="37"/>
  <c r="P12" i="37"/>
  <c r="G9" i="38" s="1"/>
  <c r="P33" i="37"/>
  <c r="G21" i="38" s="1"/>
  <c r="P84" i="38"/>
  <c r="Q5" i="38"/>
  <c r="Q6" i="38" s="1"/>
  <c r="P35" i="37"/>
  <c r="P29" i="37"/>
  <c r="P31" i="37" s="1"/>
  <c r="Q1" i="37"/>
  <c r="Q9" i="37" s="1"/>
  <c r="Q23" i="37" s="1"/>
  <c r="R4" i="38"/>
  <c r="T1" i="38"/>
  <c r="T3" i="38" s="1"/>
  <c r="G119" i="38" l="1"/>
  <c r="H74" i="44"/>
  <c r="G7" i="40"/>
  <c r="Q14" i="38"/>
  <c r="Q12" i="37"/>
  <c r="Q33" i="37"/>
  <c r="Q38" i="37"/>
  <c r="P86" i="38"/>
  <c r="Q84" i="38"/>
  <c r="R5" i="38"/>
  <c r="R6" i="38" s="1"/>
  <c r="G118" i="38"/>
  <c r="Q35" i="37"/>
  <c r="R1" i="37"/>
  <c r="R9" i="37" s="1"/>
  <c r="R23" i="37" s="1"/>
  <c r="Q29" i="37"/>
  <c r="Q31" i="37" s="1"/>
  <c r="S4" i="38"/>
  <c r="U1" i="38"/>
  <c r="U3" i="38" s="1"/>
  <c r="E15" i="37"/>
  <c r="F11" i="37" s="1"/>
  <c r="H30" i="44" l="1"/>
  <c r="R14" i="38"/>
  <c r="R38" i="37"/>
  <c r="R12" i="37"/>
  <c r="R33" i="37"/>
  <c r="R84" i="38"/>
  <c r="R86" i="38" s="1"/>
  <c r="Q86" i="38"/>
  <c r="S5" i="38"/>
  <c r="S6" i="38" s="1"/>
  <c r="R35" i="37"/>
  <c r="R29" i="37"/>
  <c r="R31" i="37" s="1"/>
  <c r="S1" i="37"/>
  <c r="S9" i="37" s="1"/>
  <c r="S23" i="37" s="1"/>
  <c r="T4" i="38"/>
  <c r="V1" i="38"/>
  <c r="V3" i="38" s="1"/>
  <c r="S14" i="38" l="1"/>
  <c r="S38" i="37"/>
  <c r="S12" i="37"/>
  <c r="S33" i="37"/>
  <c r="S84" i="38"/>
  <c r="T5" i="38"/>
  <c r="T6" i="38" s="1"/>
  <c r="S35" i="37"/>
  <c r="S29" i="37"/>
  <c r="S31" i="37" s="1"/>
  <c r="T1" i="37"/>
  <c r="T9" i="37" s="1"/>
  <c r="T23" i="37" s="1"/>
  <c r="U4" i="38"/>
  <c r="W1" i="38"/>
  <c r="W3" i="38" s="1"/>
  <c r="T14" i="38" l="1"/>
  <c r="T38" i="37"/>
  <c r="T12" i="37"/>
  <c r="H9" i="38" s="1"/>
  <c r="T33" i="37"/>
  <c r="H21" i="38" s="1"/>
  <c r="S86" i="38"/>
  <c r="T84" i="38"/>
  <c r="AH78" i="44"/>
  <c r="AH57" i="44"/>
  <c r="AH59" i="44" s="1"/>
  <c r="U5" i="38"/>
  <c r="U6" i="38" s="1"/>
  <c r="T35" i="37"/>
  <c r="T29" i="37"/>
  <c r="T31" i="37" s="1"/>
  <c r="U1" i="37"/>
  <c r="U9" i="37" s="1"/>
  <c r="U23" i="37" s="1"/>
  <c r="V4" i="38"/>
  <c r="X1" i="38"/>
  <c r="X3" i="38" s="1"/>
  <c r="H119" i="38" l="1"/>
  <c r="I74" i="44"/>
  <c r="H7" i="40"/>
  <c r="U14" i="38"/>
  <c r="U12" i="37"/>
  <c r="U38" i="37"/>
  <c r="U33" i="37"/>
  <c r="T86" i="38"/>
  <c r="U84" i="38"/>
  <c r="U86" i="38" s="1"/>
  <c r="V5" i="38"/>
  <c r="V6" i="38" s="1"/>
  <c r="H118" i="38"/>
  <c r="U35" i="37"/>
  <c r="V1" i="37"/>
  <c r="V9" i="37" s="1"/>
  <c r="V23" i="37" s="1"/>
  <c r="U29" i="37"/>
  <c r="U31" i="37" s="1"/>
  <c r="W4" i="38"/>
  <c r="Y1" i="38"/>
  <c r="Y3" i="38" s="1"/>
  <c r="I30" i="44" l="1"/>
  <c r="V14" i="38"/>
  <c r="V12" i="37"/>
  <c r="V38" i="37"/>
  <c r="V33" i="37"/>
  <c r="V84" i="38"/>
  <c r="W5" i="38"/>
  <c r="W6" i="38" s="1"/>
  <c r="V35" i="37"/>
  <c r="W1" i="37"/>
  <c r="W9" i="37" s="1"/>
  <c r="W23" i="37" s="1"/>
  <c r="V29" i="37"/>
  <c r="V31" i="37" s="1"/>
  <c r="X4" i="38"/>
  <c r="Y4" i="38"/>
  <c r="W14" i="38" l="1"/>
  <c r="W38" i="37"/>
  <c r="W12" i="37"/>
  <c r="W33" i="37"/>
  <c r="W84" i="38"/>
  <c r="W86" i="38" s="1"/>
  <c r="V86" i="38"/>
  <c r="X5" i="38"/>
  <c r="X6" i="38" s="1"/>
  <c r="Y5" i="38"/>
  <c r="Y6" i="38" s="1"/>
  <c r="W35" i="37"/>
  <c r="W29" i="37"/>
  <c r="W31" i="37" s="1"/>
  <c r="X1" i="37"/>
  <c r="X9" i="37" s="1"/>
  <c r="X23" i="37" s="1"/>
  <c r="X14" i="38" l="1"/>
  <c r="Y14" i="38"/>
  <c r="X38" i="37"/>
  <c r="X12" i="37"/>
  <c r="I9" i="38" s="1"/>
  <c r="X33" i="37"/>
  <c r="I21" i="38" s="1"/>
  <c r="X84" i="38"/>
  <c r="X86" i="38" s="1"/>
  <c r="Y84" i="38"/>
  <c r="X35" i="37"/>
  <c r="Y1" i="37"/>
  <c r="Y9" i="37" s="1"/>
  <c r="Y23" i="37" s="1"/>
  <c r="X29" i="37"/>
  <c r="X31" i="37" s="1"/>
  <c r="I7" i="40" l="1"/>
  <c r="I119" i="38"/>
  <c r="Y12" i="37"/>
  <c r="Y38" i="37"/>
  <c r="Y33" i="37"/>
  <c r="Y86" i="38"/>
  <c r="I118" i="38"/>
  <c r="Y35" i="37"/>
  <c r="Y29" i="37"/>
  <c r="Y31" i="37" s="1"/>
  <c r="Z1" i="37"/>
  <c r="Z9" i="37" s="1"/>
  <c r="Z23" i="37" s="1"/>
  <c r="Z12" i="37" l="1"/>
  <c r="Z38" i="37"/>
  <c r="Z33" i="37"/>
  <c r="Z35" i="37"/>
  <c r="AA1" i="37"/>
  <c r="AA9" i="37" s="1"/>
  <c r="AA23" i="37" s="1"/>
  <c r="Z29" i="37"/>
  <c r="Z31" i="37" s="1"/>
  <c r="AA38" i="37" l="1"/>
  <c r="AA12" i="37"/>
  <c r="AA33" i="37"/>
  <c r="AA35" i="37"/>
  <c r="AA29" i="37"/>
  <c r="AA31" i="37" s="1"/>
  <c r="AB1" i="37"/>
  <c r="AB9" i="37" s="1"/>
  <c r="AB23" i="37" s="1"/>
  <c r="AB38" i="37" l="1"/>
  <c r="AB12" i="37"/>
  <c r="J9" i="38" s="1"/>
  <c r="AB33" i="37"/>
  <c r="J21" i="38" s="1"/>
  <c r="AB35" i="37"/>
  <c r="AB29" i="37"/>
  <c r="AB31" i="37" s="1"/>
  <c r="AC1" i="37"/>
  <c r="AC9" i="37" s="1"/>
  <c r="AC23" i="37" s="1"/>
  <c r="J119" i="38" l="1"/>
  <c r="K74" i="44"/>
  <c r="J7" i="40"/>
  <c r="AC12" i="37"/>
  <c r="AC38" i="37"/>
  <c r="AC33" i="37"/>
  <c r="J118" i="38"/>
  <c r="K30" i="44" s="1"/>
  <c r="AC35" i="37"/>
  <c r="AD1" i="37"/>
  <c r="AD9" i="37" s="1"/>
  <c r="AD23" i="37" s="1"/>
  <c r="AC29" i="37"/>
  <c r="AC31" i="37" s="1"/>
  <c r="AD12" i="37" l="1"/>
  <c r="AD38" i="37"/>
  <c r="AD33" i="37"/>
  <c r="AD35" i="37"/>
  <c r="AE1" i="37"/>
  <c r="AE9" i="37" s="1"/>
  <c r="AE23" i="37" s="1"/>
  <c r="AD29" i="37"/>
  <c r="AD31" i="37" s="1"/>
  <c r="AE38" i="37" l="1"/>
  <c r="AE12" i="37"/>
  <c r="AE33" i="37"/>
  <c r="AE35" i="37"/>
  <c r="AF1" i="37"/>
  <c r="AF9" i="37" s="1"/>
  <c r="AF23" i="37" s="1"/>
  <c r="AE29" i="37"/>
  <c r="AE31" i="37" s="1"/>
  <c r="AF38" i="37" l="1"/>
  <c r="AF12" i="37"/>
  <c r="K9" i="38" s="1"/>
  <c r="AF33" i="37"/>
  <c r="K21" i="38" s="1"/>
  <c r="AF35" i="37"/>
  <c r="AF29" i="37"/>
  <c r="AF31" i="37" s="1"/>
  <c r="AG1" i="37"/>
  <c r="AG9" i="37" s="1"/>
  <c r="AG23" i="37" s="1"/>
  <c r="K7" i="40" l="1"/>
  <c r="K119" i="38"/>
  <c r="AG12" i="37"/>
  <c r="AG38" i="37"/>
  <c r="AG33" i="37"/>
  <c r="K118" i="38"/>
  <c r="AG35" i="37"/>
  <c r="AG29" i="37"/>
  <c r="AG31" i="37" s="1"/>
  <c r="AH1" i="37"/>
  <c r="AH9" i="37" s="1"/>
  <c r="AH23" i="37" s="1"/>
  <c r="AH12" i="37" l="1"/>
  <c r="AH33" i="37"/>
  <c r="AH38" i="37"/>
  <c r="AH35" i="37"/>
  <c r="AH29" i="37"/>
  <c r="AH31" i="37" s="1"/>
  <c r="AI1" i="37"/>
  <c r="AI9" i="37" s="1"/>
  <c r="AI23" i="37" s="1"/>
  <c r="AI38" i="37" l="1"/>
  <c r="AI12" i="37"/>
  <c r="AI33" i="37"/>
  <c r="AI35" i="37"/>
  <c r="AI29" i="37"/>
  <c r="AI31" i="37" s="1"/>
  <c r="AJ1" i="37"/>
  <c r="AJ9" i="37" s="1"/>
  <c r="AJ23" i="37" s="1"/>
  <c r="AJ38" i="37" l="1"/>
  <c r="AJ12" i="37"/>
  <c r="AJ33" i="37"/>
  <c r="L21" i="38" s="1"/>
  <c r="AJ35" i="37"/>
  <c r="AK1" i="37"/>
  <c r="AK9" i="37" s="1"/>
  <c r="AK23" i="37" s="1"/>
  <c r="AJ29" i="37"/>
  <c r="AJ31" i="37" s="1"/>
  <c r="L7" i="40" l="1"/>
  <c r="L119" i="38"/>
  <c r="AK12" i="37"/>
  <c r="AK38" i="37"/>
  <c r="AK33" i="37"/>
  <c r="L118" i="38"/>
  <c r="AK35" i="37"/>
  <c r="AK29" i="37"/>
  <c r="AK31" i="37" s="1"/>
  <c r="AL1" i="37"/>
  <c r="AL9" i="37" s="1"/>
  <c r="AL23" i="37" s="1"/>
  <c r="AL12" i="37" l="1"/>
  <c r="AL33" i="37"/>
  <c r="AL38" i="37"/>
  <c r="AL35" i="37"/>
  <c r="AM1" i="37"/>
  <c r="AM9" i="37" s="1"/>
  <c r="AM23" i="37" s="1"/>
  <c r="AL29" i="37"/>
  <c r="AL31" i="37" s="1"/>
  <c r="AM38" i="37" l="1"/>
  <c r="AM12" i="37"/>
  <c r="AM33" i="37"/>
  <c r="AM35" i="37"/>
  <c r="AN1" i="37"/>
  <c r="AN9" i="37" s="1"/>
  <c r="AN23" i="37" s="1"/>
  <c r="AM29" i="37"/>
  <c r="AM31" i="37" s="1"/>
  <c r="AN38" i="37" l="1"/>
  <c r="AN12" i="37"/>
  <c r="M9" i="38" s="1"/>
  <c r="AN33" i="37"/>
  <c r="M21" i="38" s="1"/>
  <c r="AN35" i="37"/>
  <c r="AN29" i="37"/>
  <c r="AN31" i="37" s="1"/>
  <c r="AO1" i="37"/>
  <c r="AO9" i="37" s="1"/>
  <c r="AO23" i="37" s="1"/>
  <c r="M7" i="40" l="1"/>
  <c r="M119" i="38"/>
  <c r="AO12" i="37"/>
  <c r="AO38" i="37"/>
  <c r="AO33" i="37"/>
  <c r="M118" i="38"/>
  <c r="AO35" i="37"/>
  <c r="AP1" i="37"/>
  <c r="AP9" i="37" s="1"/>
  <c r="AP23" i="37" s="1"/>
  <c r="AO29" i="37"/>
  <c r="AO31" i="37" s="1"/>
  <c r="AP12" i="37" l="1"/>
  <c r="AP38" i="37"/>
  <c r="AP33" i="37"/>
  <c r="AP35" i="37"/>
  <c r="AP29" i="37"/>
  <c r="AP31" i="37" s="1"/>
  <c r="AQ1" i="37"/>
  <c r="AQ9" i="37" s="1"/>
  <c r="AQ23" i="37" s="1"/>
  <c r="AQ38" i="37" l="1"/>
  <c r="AQ12" i="37"/>
  <c r="AQ33" i="37"/>
  <c r="AQ35" i="37"/>
  <c r="AQ29" i="37"/>
  <c r="AQ31" i="37" s="1"/>
  <c r="AR1" i="37"/>
  <c r="AR9" i="37" s="1"/>
  <c r="AR23" i="37" s="1"/>
  <c r="AR38" i="37" l="1"/>
  <c r="AR12" i="37"/>
  <c r="N9" i="38" s="1"/>
  <c r="AR33" i="37"/>
  <c r="N21" i="38" s="1"/>
  <c r="AR35" i="37"/>
  <c r="AR29" i="37"/>
  <c r="AR31" i="37" s="1"/>
  <c r="AS1" i="37"/>
  <c r="AS9" i="37" s="1"/>
  <c r="AS23" i="37" s="1"/>
  <c r="N7" i="40" l="1"/>
  <c r="N119" i="38"/>
  <c r="AS12" i="37"/>
  <c r="AS38" i="37"/>
  <c r="AS33" i="37"/>
  <c r="N118" i="38"/>
  <c r="AS35" i="37"/>
  <c r="AT1" i="37"/>
  <c r="AT9" i="37" s="1"/>
  <c r="AT23" i="37" s="1"/>
  <c r="AS29" i="37"/>
  <c r="AS31" i="37" s="1"/>
  <c r="AT12" i="37" l="1"/>
  <c r="AT38" i="37"/>
  <c r="AT33" i="37"/>
  <c r="AT35" i="37"/>
  <c r="AT29" i="37"/>
  <c r="AT31" i="37" s="1"/>
  <c r="AU1" i="37"/>
  <c r="AU9" i="37" s="1"/>
  <c r="AU23" i="37" s="1"/>
  <c r="AU38" i="37" l="1"/>
  <c r="AU12" i="37"/>
  <c r="AU33" i="37"/>
  <c r="AU35" i="37"/>
  <c r="AV1" i="37"/>
  <c r="AV9" i="37" s="1"/>
  <c r="AV23" i="37" s="1"/>
  <c r="AU29" i="37"/>
  <c r="AU31" i="37" s="1"/>
  <c r="AV38" i="37" l="1"/>
  <c r="AV12" i="37"/>
  <c r="O9" i="38" s="1"/>
  <c r="AV33" i="37"/>
  <c r="O21" i="38" s="1"/>
  <c r="AV35" i="37"/>
  <c r="AV29" i="37"/>
  <c r="AV31" i="37" s="1"/>
  <c r="AW1" i="37"/>
  <c r="AW9" i="37" s="1"/>
  <c r="AW23" i="37" s="1"/>
  <c r="L74" i="44" l="1"/>
  <c r="O119" i="38"/>
  <c r="AW12" i="37"/>
  <c r="AW33" i="37"/>
  <c r="AW38" i="37"/>
  <c r="O118" i="38"/>
  <c r="L30" i="44" s="1"/>
  <c r="AW35" i="37"/>
  <c r="AW29" i="37"/>
  <c r="AW31" i="37" s="1"/>
  <c r="AX1" i="37"/>
  <c r="AX9" i="37" s="1"/>
  <c r="AX23" i="37" s="1"/>
  <c r="AX12" i="37" l="1"/>
  <c r="AX33" i="37"/>
  <c r="AX38" i="37"/>
  <c r="AX35" i="37"/>
  <c r="AY1" i="37"/>
  <c r="AY9" i="37" s="1"/>
  <c r="AY23" i="37" s="1"/>
  <c r="AX29" i="37"/>
  <c r="AX31" i="37" s="1"/>
  <c r="AY33" i="37" l="1"/>
  <c r="AY38" i="37"/>
  <c r="AY12" i="37"/>
  <c r="AY35" i="37"/>
  <c r="AZ1" i="37"/>
  <c r="AZ9" i="37" s="1"/>
  <c r="AZ23" i="37" s="1"/>
  <c r="AY29" i="37"/>
  <c r="AY31" i="37" s="1"/>
  <c r="AZ38" i="37" l="1"/>
  <c r="AZ12" i="37"/>
  <c r="P9" i="38" s="1"/>
  <c r="AZ33" i="37"/>
  <c r="P21" i="38" s="1"/>
  <c r="P119" i="38" s="1"/>
  <c r="AZ35" i="37"/>
  <c r="AZ29" i="37"/>
  <c r="AZ31" i="37" s="1"/>
  <c r="BA1" i="37"/>
  <c r="BA9" i="37" s="1"/>
  <c r="BA23" i="37" s="1"/>
  <c r="BA12" i="37" l="1"/>
  <c r="BA33" i="37"/>
  <c r="BA38" i="37"/>
  <c r="P118" i="38"/>
  <c r="BA35" i="37"/>
  <c r="BB1" i="37"/>
  <c r="BB9" i="37" s="1"/>
  <c r="BB23" i="37" s="1"/>
  <c r="BA29" i="37"/>
  <c r="BA31" i="37" s="1"/>
  <c r="BB12" i="37" l="1"/>
  <c r="BB33" i="37"/>
  <c r="BB38" i="37"/>
  <c r="BB35" i="37"/>
  <c r="BB29" i="37"/>
  <c r="BB31" i="37" s="1"/>
  <c r="BC1" i="37"/>
  <c r="BC9" i="37" s="1"/>
  <c r="BC23" i="37" s="1"/>
  <c r="BC33" i="37" l="1"/>
  <c r="BC12" i="37"/>
  <c r="BC38" i="37"/>
  <c r="BC35" i="37"/>
  <c r="BC29" i="37"/>
  <c r="BC31" i="37" s="1"/>
  <c r="BD1" i="37"/>
  <c r="BD9" i="37" s="1"/>
  <c r="BD23" i="37" s="1"/>
  <c r="BD38" i="37" l="1"/>
  <c r="BD12" i="37"/>
  <c r="Q9" i="38" s="1"/>
  <c r="BD33" i="37"/>
  <c r="Q21" i="38" s="1"/>
  <c r="Q119" i="38" s="1"/>
  <c r="BD35" i="37"/>
  <c r="BD29" i="37"/>
  <c r="BD31" i="37" s="1"/>
  <c r="BE1" i="37"/>
  <c r="BE9" i="37" s="1"/>
  <c r="BE23" i="37" s="1"/>
  <c r="BE12" i="37" l="1"/>
  <c r="BE33" i="37"/>
  <c r="BE38" i="37"/>
  <c r="Q118" i="38"/>
  <c r="BE35" i="37"/>
  <c r="BF1" i="37"/>
  <c r="BF9" i="37" s="1"/>
  <c r="BF23" i="37" s="1"/>
  <c r="BE29" i="37"/>
  <c r="BE31" i="37" s="1"/>
  <c r="BF12" i="37" l="1"/>
  <c r="BF33" i="37"/>
  <c r="BF38" i="37"/>
  <c r="BF35" i="37"/>
  <c r="BF29" i="37"/>
  <c r="BF31" i="37" s="1"/>
  <c r="BG1" i="37"/>
  <c r="BG9" i="37" s="1"/>
  <c r="BG23" i="37" s="1"/>
  <c r="BG33" i="37" l="1"/>
  <c r="BG38" i="37"/>
  <c r="BG12" i="37"/>
  <c r="BG35" i="37"/>
  <c r="BH1" i="37"/>
  <c r="BH9" i="37" s="1"/>
  <c r="BH23" i="37" s="1"/>
  <c r="BG29" i="37"/>
  <c r="BG31" i="37" s="1"/>
  <c r="BH38" i="37" l="1"/>
  <c r="BH12" i="37"/>
  <c r="R9" i="38" s="1"/>
  <c r="BH33" i="37"/>
  <c r="R21" i="38" s="1"/>
  <c r="R119" i="38" s="1"/>
  <c r="BH35" i="37"/>
  <c r="BH29" i="37"/>
  <c r="BH31" i="37" s="1"/>
  <c r="BI1" i="37"/>
  <c r="BI9" i="37" s="1"/>
  <c r="BI23" i="37" s="1"/>
  <c r="BI12" i="37" l="1"/>
  <c r="BI33" i="37"/>
  <c r="BI38" i="37"/>
  <c r="R118" i="38"/>
  <c r="BI35" i="37"/>
  <c r="BI29" i="37"/>
  <c r="BI31" i="37" s="1"/>
  <c r="BJ1" i="37"/>
  <c r="BJ9" i="37" s="1"/>
  <c r="BJ23" i="37" s="1"/>
  <c r="BJ12" i="37" l="1"/>
  <c r="BJ33" i="37"/>
  <c r="BJ38" i="37"/>
  <c r="BJ35" i="37"/>
  <c r="BK1" i="37"/>
  <c r="BK9" i="37" s="1"/>
  <c r="BK23" i="37" s="1"/>
  <c r="BJ29" i="37"/>
  <c r="BJ31" i="37" s="1"/>
  <c r="BK33" i="37" l="1"/>
  <c r="BK38" i="37"/>
  <c r="BK12" i="37"/>
  <c r="BK35" i="37"/>
  <c r="BL1" i="37"/>
  <c r="BL9" i="37" s="1"/>
  <c r="BL23" i="37" s="1"/>
  <c r="BK29" i="37"/>
  <c r="BK31" i="37" s="1"/>
  <c r="BL38" i="37" l="1"/>
  <c r="BL12" i="37"/>
  <c r="S9" i="38" s="1"/>
  <c r="BL33" i="37"/>
  <c r="S21" i="38" s="1"/>
  <c r="S119" i="38" s="1"/>
  <c r="BL35" i="37"/>
  <c r="BL29" i="37"/>
  <c r="BL31" i="37" s="1"/>
  <c r="BM1" i="37"/>
  <c r="BM9" i="37" s="1"/>
  <c r="BM23" i="37" s="1"/>
  <c r="BM12" i="37" l="1"/>
  <c r="BM33" i="37"/>
  <c r="BM38" i="37"/>
  <c r="S118" i="38"/>
  <c r="BM35" i="37"/>
  <c r="BM29" i="37"/>
  <c r="BM31" i="37" s="1"/>
  <c r="BN1" i="37"/>
  <c r="BN9" i="37" s="1"/>
  <c r="BN23" i="37" s="1"/>
  <c r="BN12" i="37" l="1"/>
  <c r="BN33" i="37"/>
  <c r="BN38" i="37"/>
  <c r="BN35" i="37"/>
  <c r="BN29" i="37"/>
  <c r="BN31" i="37" s="1"/>
  <c r="BO1" i="37"/>
  <c r="BO9" i="37" s="1"/>
  <c r="BO23" i="37" s="1"/>
  <c r="BO33" i="37" l="1"/>
  <c r="BO38" i="37"/>
  <c r="BO12" i="37"/>
  <c r="BO35" i="37"/>
  <c r="BP1" i="37"/>
  <c r="BP9" i="37" s="1"/>
  <c r="BP23" i="37" s="1"/>
  <c r="BO29" i="37"/>
  <c r="BO31" i="37" s="1"/>
  <c r="BP38" i="37" l="1"/>
  <c r="BP12" i="37"/>
  <c r="T9" i="38" s="1"/>
  <c r="BP33" i="37"/>
  <c r="T21" i="38" s="1"/>
  <c r="T119" i="38" s="1"/>
  <c r="BP35" i="37"/>
  <c r="BP29" i="37"/>
  <c r="BP31" i="37" s="1"/>
  <c r="BQ1" i="37"/>
  <c r="BQ9" i="37" s="1"/>
  <c r="BQ23" i="37" s="1"/>
  <c r="BQ12" i="37" l="1"/>
  <c r="BQ33" i="37"/>
  <c r="BQ38" i="37"/>
  <c r="T118" i="38"/>
  <c r="BQ35" i="37"/>
  <c r="BR1" i="37"/>
  <c r="BR9" i="37" s="1"/>
  <c r="BR23" i="37" s="1"/>
  <c r="BQ29" i="37"/>
  <c r="BQ31" i="37" s="1"/>
  <c r="BR12" i="37" l="1"/>
  <c r="BR33" i="37"/>
  <c r="BR38" i="37"/>
  <c r="BR35" i="37"/>
  <c r="BR29" i="37"/>
  <c r="BR31" i="37" s="1"/>
  <c r="BS1" i="37"/>
  <c r="BS9" i="37" s="1"/>
  <c r="BS23" i="37" s="1"/>
  <c r="BS33" i="37" l="1"/>
  <c r="BS12" i="37"/>
  <c r="BS38" i="37"/>
  <c r="BS35" i="37"/>
  <c r="BT1" i="37"/>
  <c r="BT9" i="37" s="1"/>
  <c r="BT23" i="37" s="1"/>
  <c r="BS29" i="37"/>
  <c r="BS31" i="37" s="1"/>
  <c r="BT38" i="37" l="1"/>
  <c r="BT12" i="37"/>
  <c r="U9" i="38" s="1"/>
  <c r="BT33" i="37"/>
  <c r="U21" i="38" s="1"/>
  <c r="U119" i="38" s="1"/>
  <c r="BT35" i="37"/>
  <c r="BU1" i="37"/>
  <c r="BU9" i="37" s="1"/>
  <c r="BU23" i="37" s="1"/>
  <c r="BT29" i="37"/>
  <c r="BT31" i="37" s="1"/>
  <c r="BU12" i="37" l="1"/>
  <c r="BU33" i="37"/>
  <c r="BU38" i="37"/>
  <c r="U118" i="38"/>
  <c r="BU35" i="37"/>
  <c r="BU29" i="37"/>
  <c r="BU31" i="37" s="1"/>
  <c r="BV1" i="37"/>
  <c r="BV9" i="37" s="1"/>
  <c r="BV23" i="37" s="1"/>
  <c r="BV12" i="37" l="1"/>
  <c r="BV33" i="37"/>
  <c r="BV38" i="37"/>
  <c r="BV35" i="37"/>
  <c r="BV29" i="37"/>
  <c r="BV31" i="37" s="1"/>
  <c r="BW1" i="37"/>
  <c r="BW9" i="37" s="1"/>
  <c r="BW23" i="37" s="1"/>
  <c r="BW33" i="37" l="1"/>
  <c r="BW38" i="37"/>
  <c r="BW12" i="37"/>
  <c r="BW35" i="37"/>
  <c r="BX1" i="37"/>
  <c r="BX9" i="37" s="1"/>
  <c r="BX23" i="37" s="1"/>
  <c r="BW29" i="37"/>
  <c r="BW31" i="37" s="1"/>
  <c r="BX38" i="37" l="1"/>
  <c r="BX12" i="37"/>
  <c r="V9" i="38" s="1"/>
  <c r="BX33" i="37"/>
  <c r="V21" i="38" s="1"/>
  <c r="V119" i="38" s="1"/>
  <c r="BX35" i="37"/>
  <c r="BX29" i="37"/>
  <c r="BX31" i="37" s="1"/>
  <c r="BY1" i="37"/>
  <c r="BY9" i="37" s="1"/>
  <c r="BY23" i="37" s="1"/>
  <c r="BY12" i="37" l="1"/>
  <c r="BY33" i="37"/>
  <c r="BY38" i="37"/>
  <c r="V118" i="38"/>
  <c r="BY35" i="37"/>
  <c r="BZ1" i="37"/>
  <c r="BZ9" i="37" s="1"/>
  <c r="BZ23" i="37" s="1"/>
  <c r="BY29" i="37"/>
  <c r="BY31" i="37" s="1"/>
  <c r="BZ12" i="37" l="1"/>
  <c r="BZ33" i="37"/>
  <c r="BZ38" i="37"/>
  <c r="BZ35" i="37"/>
  <c r="BZ29" i="37"/>
  <c r="BZ31" i="37" s="1"/>
  <c r="CA1" i="37"/>
  <c r="CA9" i="37" s="1"/>
  <c r="CA23" i="37" s="1"/>
  <c r="CA33" i="37" l="1"/>
  <c r="CA12" i="37"/>
  <c r="CA38" i="37"/>
  <c r="CA35" i="37"/>
  <c r="CB1" i="37"/>
  <c r="CB9" i="37" s="1"/>
  <c r="CB23" i="37" s="1"/>
  <c r="CA29" i="37"/>
  <c r="CA31" i="37" s="1"/>
  <c r="CB38" i="37" l="1"/>
  <c r="CB12" i="37"/>
  <c r="W9" i="38" s="1"/>
  <c r="CB33" i="37"/>
  <c r="CB35" i="37"/>
  <c r="CC1" i="37"/>
  <c r="CC9" i="37" s="1"/>
  <c r="CC23" i="37" s="1"/>
  <c r="CB29" i="37"/>
  <c r="CB31" i="37" s="1"/>
  <c r="CC12" i="37" l="1"/>
  <c r="CC33" i="37"/>
  <c r="CC38" i="37"/>
  <c r="CC35" i="37"/>
  <c r="CC29" i="37"/>
  <c r="CC31" i="37" s="1"/>
  <c r="CD1" i="37"/>
  <c r="CD9" i="37" s="1"/>
  <c r="CD23" i="37" s="1"/>
  <c r="CD12" i="37" l="1"/>
  <c r="CD33" i="37"/>
  <c r="CD38" i="37"/>
  <c r="CD35" i="37"/>
  <c r="CD29" i="37"/>
  <c r="CD31" i="37" s="1"/>
  <c r="CE1" i="37"/>
  <c r="CE9" i="37" s="1"/>
  <c r="CE23" i="37" s="1"/>
  <c r="CE33" i="37" l="1"/>
  <c r="CE38" i="37"/>
  <c r="CE12" i="37"/>
  <c r="CE35" i="37"/>
  <c r="CF1" i="37"/>
  <c r="CF9" i="37" s="1"/>
  <c r="CF23" i="37" s="1"/>
  <c r="CE29" i="37"/>
  <c r="CE31" i="37" s="1"/>
  <c r="CF38" i="37" l="1"/>
  <c r="CF12" i="37"/>
  <c r="X9" i="38" s="1"/>
  <c r="CF33" i="37"/>
  <c r="X21" i="38" s="1"/>
  <c r="CF35" i="37"/>
  <c r="CG1" i="37"/>
  <c r="CG9" i="37" s="1"/>
  <c r="CG23" i="37" s="1"/>
  <c r="CF29" i="37"/>
  <c r="CF31" i="37" s="1"/>
  <c r="CG12" i="37" l="1"/>
  <c r="CG33" i="37"/>
  <c r="CG38" i="37"/>
  <c r="X118" i="38"/>
  <c r="CG35" i="37"/>
  <c r="CH1" i="37"/>
  <c r="CH9" i="37" s="1"/>
  <c r="CH23" i="37" s="1"/>
  <c r="CG29" i="37"/>
  <c r="CG31" i="37" s="1"/>
  <c r="CH12" i="37" l="1"/>
  <c r="CH33" i="37"/>
  <c r="CH38" i="37"/>
  <c r="CH35" i="37"/>
  <c r="CI1" i="37"/>
  <c r="CI9" i="37" s="1"/>
  <c r="CI23" i="37" s="1"/>
  <c r="CH29" i="37"/>
  <c r="CH31" i="37" s="1"/>
  <c r="CI33" i="37" l="1"/>
  <c r="CI38" i="37"/>
  <c r="CI12" i="37"/>
  <c r="CI35" i="37"/>
  <c r="CJ1" i="37"/>
  <c r="CJ9" i="37" s="1"/>
  <c r="CJ23" i="37" s="1"/>
  <c r="CI29" i="37"/>
  <c r="CI31" i="37" s="1"/>
  <c r="CJ38" i="37" l="1"/>
  <c r="CJ12" i="37"/>
  <c r="Y9" i="38" s="1"/>
  <c r="CJ33" i="37"/>
  <c r="Y21" i="38" s="1"/>
  <c r="CJ35" i="37"/>
  <c r="CK1" i="37"/>
  <c r="CK9" i="37" s="1"/>
  <c r="CK23" i="37" s="1"/>
  <c r="CJ29" i="37"/>
  <c r="CJ31" i="37" s="1"/>
  <c r="CK12" i="37" l="1"/>
  <c r="CK33" i="37"/>
  <c r="CK38" i="37"/>
  <c r="Y118" i="38"/>
  <c r="CK35" i="37"/>
  <c r="CK29" i="37"/>
  <c r="CK31" i="37" s="1"/>
  <c r="L9" i="38"/>
  <c r="E21" i="38" l="1"/>
  <c r="E118" i="38" s="1"/>
  <c r="E30" i="44" s="1"/>
  <c r="W21" i="38"/>
  <c r="W119" i="38" l="1"/>
  <c r="E74" i="44"/>
  <c r="E7" i="40"/>
  <c r="W118" i="38"/>
  <c r="E120" i="38" s="1"/>
  <c r="E24" i="38"/>
  <c r="E78" i="44" s="1"/>
  <c r="Y119" i="38" l="1"/>
  <c r="X119" i="38"/>
  <c r="AA7" i="44"/>
  <c r="F20" i="38"/>
  <c r="F38" i="36" l="1"/>
  <c r="F22" i="38"/>
  <c r="F103" i="38" s="1"/>
  <c r="G38" i="36" l="1"/>
  <c r="E115" i="36" s="1"/>
  <c r="F115" i="36" s="1"/>
  <c r="F24" i="38"/>
  <c r="G78" i="44" s="1"/>
  <c r="G57" i="44"/>
  <c r="G20" i="38" l="1"/>
  <c r="G22" i="38" s="1"/>
  <c r="G103" i="38" s="1"/>
  <c r="G24" i="38" l="1"/>
  <c r="H78" i="44" s="1"/>
  <c r="H57" i="44"/>
  <c r="H20" i="38" l="1"/>
  <c r="H22" i="38" s="1"/>
  <c r="H103" i="38" s="1"/>
  <c r="H24" i="38" l="1"/>
  <c r="I78" i="44" s="1"/>
  <c r="I57" i="44"/>
  <c r="I20" i="38" l="1"/>
  <c r="I22" i="38" s="1"/>
  <c r="I103" i="38" s="1"/>
  <c r="I24" i="38" l="1"/>
  <c r="J20" i="38" s="1"/>
  <c r="J22" i="38" l="1"/>
  <c r="J103" i="38" s="1"/>
  <c r="J24" i="38" l="1"/>
  <c r="K78" i="44" s="1"/>
  <c r="K57" i="44"/>
  <c r="K20" i="38" l="1"/>
  <c r="K22" i="38" s="1"/>
  <c r="K103" i="38" s="1"/>
  <c r="K24" i="38" l="1"/>
  <c r="L20" i="38" s="1"/>
  <c r="L22" i="38" s="1"/>
  <c r="L103" i="38" s="1"/>
  <c r="L24" i="38" l="1"/>
  <c r="M20" i="38" s="1"/>
  <c r="M22" i="38" s="1"/>
  <c r="M103" i="38" s="1"/>
  <c r="M24" i="38" l="1"/>
  <c r="N20" i="38" s="1"/>
  <c r="N22" i="38" s="1"/>
  <c r="N103" i="38" s="1"/>
  <c r="N24" i="38" l="1"/>
  <c r="O20" i="38" s="1"/>
  <c r="O22" i="38" s="1"/>
  <c r="O103" i="38" s="1"/>
  <c r="O24" i="38" l="1"/>
  <c r="L78" i="44" s="1"/>
  <c r="L57" i="44"/>
  <c r="P20" i="38" l="1"/>
  <c r="P22" i="38" s="1"/>
  <c r="P24" i="38" l="1"/>
  <c r="Q20" i="38" s="1"/>
  <c r="Q22" i="38" s="1"/>
  <c r="Q103" i="38" s="1"/>
  <c r="P103" i="38"/>
  <c r="Q24" i="38" l="1"/>
  <c r="R20" i="38" s="1"/>
  <c r="R22" i="38" s="1"/>
  <c r="R103" i="38" s="1"/>
  <c r="R24" i="38" l="1"/>
  <c r="S20" i="38" s="1"/>
  <c r="S22" i="38" s="1"/>
  <c r="S103" i="38" s="1"/>
  <c r="S24" i="38" l="1"/>
  <c r="T20" i="38" s="1"/>
  <c r="T22" i="38" s="1"/>
  <c r="T103" i="38" s="1"/>
  <c r="T24" i="38" l="1"/>
  <c r="U20" i="38" s="1"/>
  <c r="U22" i="38" s="1"/>
  <c r="U103" i="38" s="1"/>
  <c r="U24" i="38" l="1"/>
  <c r="W20" i="38" s="1"/>
  <c r="W22" i="38" s="1"/>
  <c r="W103" i="38" s="1"/>
  <c r="V20" i="38" l="1"/>
  <c r="V22" i="38" s="1"/>
  <c r="V103" i="38" s="1"/>
  <c r="W24" i="38"/>
  <c r="V24" i="38" l="1"/>
  <c r="X20" i="38" s="1"/>
  <c r="X22" i="38" s="1"/>
  <c r="X103" i="38" s="1"/>
  <c r="X24" i="38" l="1"/>
  <c r="Y20" i="38" s="1"/>
  <c r="Y22" i="38" s="1"/>
  <c r="Y103" i="38" s="1"/>
  <c r="Y24" i="38" l="1"/>
  <c r="I88" i="38"/>
  <c r="M88" i="38"/>
  <c r="Q88" i="38"/>
  <c r="Q90" i="38" s="1"/>
  <c r="U88" i="38"/>
  <c r="U90" i="38" s="1"/>
  <c r="W88" i="38"/>
  <c r="W90" i="38" s="1"/>
  <c r="Y88" i="38"/>
  <c r="Y90" i="38" s="1"/>
  <c r="I90" i="38" l="1"/>
  <c r="M90" i="38"/>
  <c r="O88" i="38"/>
  <c r="AH75" i="44" s="1"/>
  <c r="G88" i="38"/>
  <c r="AD75" i="44" s="1"/>
  <c r="X88" i="38"/>
  <c r="X90" i="38" s="1"/>
  <c r="T88" i="38"/>
  <c r="T90" i="38" s="1"/>
  <c r="P88" i="38"/>
  <c r="P90" i="38" s="1"/>
  <c r="L88" i="38"/>
  <c r="R88" i="38"/>
  <c r="R90" i="38" s="1"/>
  <c r="S88" i="38"/>
  <c r="S90" i="38" s="1"/>
  <c r="K88" i="38"/>
  <c r="V88" i="38"/>
  <c r="V90" i="38" s="1"/>
  <c r="N88" i="38"/>
  <c r="F88" i="38"/>
  <c r="AC75" i="44" s="1"/>
  <c r="O90" i="38" l="1"/>
  <c r="L90" i="38"/>
  <c r="G90" i="38"/>
  <c r="K90" i="38"/>
  <c r="F90" i="38"/>
  <c r="N90" i="38"/>
  <c r="J88" i="38"/>
  <c r="AG75" i="44" s="1"/>
  <c r="H88" i="38"/>
  <c r="AE75" i="44" s="1"/>
  <c r="D84" i="38"/>
  <c r="E86" i="38" s="1"/>
  <c r="H90" i="38" l="1"/>
  <c r="J90" i="38"/>
  <c r="E88" i="38"/>
  <c r="AA75" i="44" s="1"/>
  <c r="AD76" i="44" l="1"/>
  <c r="E90" i="38"/>
  <c r="AA79" i="44"/>
  <c r="AC79" i="44"/>
  <c r="AE79" i="44"/>
  <c r="AG79" i="44"/>
  <c r="AD79" i="44"/>
  <c r="AH79" i="44"/>
  <c r="AH76" i="44" l="1"/>
  <c r="AA76" i="44"/>
  <c r="AG76" i="44"/>
  <c r="AC76" i="44"/>
  <c r="AE76" i="44"/>
  <c r="F26" i="37"/>
  <c r="F36" i="37" s="1"/>
  <c r="F18" i="37"/>
  <c r="F20" i="37" s="1"/>
  <c r="G24" i="37" l="1"/>
  <c r="G17" i="37"/>
  <c r="F39" i="37"/>
  <c r="F13" i="37"/>
  <c r="F15" i="37" l="1"/>
  <c r="G11" i="37" s="1"/>
  <c r="G18" i="37"/>
  <c r="G20" i="37" s="1"/>
  <c r="G26" i="37"/>
  <c r="H24" i="37" l="1"/>
  <c r="H17" i="37"/>
  <c r="G39" i="37"/>
  <c r="G36" i="37"/>
  <c r="G13" i="37"/>
  <c r="G15" i="37" s="1"/>
  <c r="H11" i="37" s="1"/>
  <c r="H18" i="37" l="1"/>
  <c r="H20" i="37" s="1"/>
  <c r="H26" i="37"/>
  <c r="E15" i="38"/>
  <c r="E17" i="38" s="1"/>
  <c r="I24" i="37" l="1"/>
  <c r="I17" i="37"/>
  <c r="E18" i="38"/>
  <c r="E53" i="44" s="1"/>
  <c r="E96" i="38"/>
  <c r="E97" i="38" s="1"/>
  <c r="E26" i="38"/>
  <c r="H36" i="37"/>
  <c r="E31" i="38" s="1"/>
  <c r="E5" i="40" s="1"/>
  <c r="H39" i="37"/>
  <c r="E40" i="38" s="1"/>
  <c r="H13" i="37"/>
  <c r="E101" i="38" l="1"/>
  <c r="E28" i="44" s="1"/>
  <c r="E72" i="44"/>
  <c r="E98" i="38"/>
  <c r="E25" i="44" s="1"/>
  <c r="E69" i="44"/>
  <c r="E28" i="38"/>
  <c r="E54" i="44"/>
  <c r="I18" i="37"/>
  <c r="I20" i="37" s="1"/>
  <c r="I26" i="37"/>
  <c r="E10" i="38"/>
  <c r="E12" i="38" s="1"/>
  <c r="H15" i="37"/>
  <c r="I11" i="37" s="1"/>
  <c r="E24" i="44"/>
  <c r="E106" i="38"/>
  <c r="E30" i="38"/>
  <c r="E56" i="44"/>
  <c r="E71" i="44" l="1"/>
  <c r="E4" i="40"/>
  <c r="E33" i="38"/>
  <c r="E35" i="38" s="1"/>
  <c r="E6" i="40" s="1"/>
  <c r="E99" i="38"/>
  <c r="I13" i="37"/>
  <c r="I15" i="37" s="1"/>
  <c r="J11" i="37" s="1"/>
  <c r="I36" i="37"/>
  <c r="I39" i="37"/>
  <c r="F8" i="38"/>
  <c r="J24" i="37"/>
  <c r="J17" i="37"/>
  <c r="E102" i="38" l="1"/>
  <c r="E29" i="44" s="1"/>
  <c r="E73" i="44"/>
  <c r="E37" i="38"/>
  <c r="E105" i="38" s="1"/>
  <c r="E58" i="44"/>
  <c r="E59" i="44" s="1"/>
  <c r="J18" i="37"/>
  <c r="J20" i="37" s="1"/>
  <c r="J26" i="37"/>
  <c r="E48" i="38" l="1"/>
  <c r="E79" i="44" s="1"/>
  <c r="E61" i="44"/>
  <c r="E38" i="38"/>
  <c r="E62" i="44" s="1"/>
  <c r="K24" i="37"/>
  <c r="K17" i="37"/>
  <c r="J13" i="37"/>
  <c r="J39" i="37"/>
  <c r="J36" i="37"/>
  <c r="J15" i="37" l="1"/>
  <c r="K11" i="37" s="1"/>
  <c r="K18" i="37"/>
  <c r="K20" i="37" s="1"/>
  <c r="K26" i="37"/>
  <c r="L24" i="37" l="1"/>
  <c r="L17" i="37"/>
  <c r="K39" i="37"/>
  <c r="K13" i="37"/>
  <c r="K15" i="37" s="1"/>
  <c r="L11" i="37" s="1"/>
  <c r="K36" i="37"/>
  <c r="L26" i="37" l="1"/>
  <c r="L18" i="37"/>
  <c r="L20" i="37" s="1"/>
  <c r="F15" i="38"/>
  <c r="F17" i="38" s="1"/>
  <c r="F18" i="38" l="1"/>
  <c r="G53" i="44" s="1"/>
  <c r="F96" i="38"/>
  <c r="F97" i="38" s="1"/>
  <c r="F26" i="38"/>
  <c r="M24" i="37"/>
  <c r="M17" i="37"/>
  <c r="L39" i="37"/>
  <c r="L13" i="37"/>
  <c r="L36" i="37"/>
  <c r="F98" i="38" l="1"/>
  <c r="G25" i="44" s="1"/>
  <c r="G69" i="44"/>
  <c r="M18" i="37"/>
  <c r="M20" i="37" s="1"/>
  <c r="M26" i="37"/>
  <c r="L15" i="37"/>
  <c r="M11" i="37" s="1"/>
  <c r="F10" i="38"/>
  <c r="F12" i="38" s="1"/>
  <c r="F28" i="38"/>
  <c r="F4" i="40" s="1"/>
  <c r="G54" i="44"/>
  <c r="G24" i="44"/>
  <c r="F99" i="38" l="1"/>
  <c r="G71" i="44"/>
  <c r="M13" i="37"/>
  <c r="M15" i="37" s="1"/>
  <c r="N11" i="37" s="1"/>
  <c r="M36" i="37"/>
  <c r="M39" i="37"/>
  <c r="G8" i="38"/>
  <c r="N24" i="37"/>
  <c r="N17" i="37"/>
  <c r="N26" i="37" l="1"/>
  <c r="N18" i="37"/>
  <c r="N20" i="37" s="1"/>
  <c r="O24" i="37" l="1"/>
  <c r="O17" i="37"/>
  <c r="N13" i="37"/>
  <c r="N39" i="37"/>
  <c r="N36" i="37"/>
  <c r="N15" i="37" l="1"/>
  <c r="O11" i="37" s="1"/>
  <c r="O26" i="37"/>
  <c r="O18" i="37"/>
  <c r="O20" i="37" s="1"/>
  <c r="P24" i="37" l="1"/>
  <c r="P17" i="37"/>
  <c r="O39" i="37"/>
  <c r="O13" i="37"/>
  <c r="O15" i="37" s="1"/>
  <c r="P11" i="37" s="1"/>
  <c r="O36" i="37"/>
  <c r="P18" i="37" l="1"/>
  <c r="P20" i="37" s="1"/>
  <c r="P26" i="37"/>
  <c r="G15" i="38"/>
  <c r="G17" i="38" s="1"/>
  <c r="Q24" i="37" l="1"/>
  <c r="Q17" i="37"/>
  <c r="G18" i="38"/>
  <c r="H53" i="44" s="1"/>
  <c r="G26" i="38"/>
  <c r="G96" i="38"/>
  <c r="G97" i="38" s="1"/>
  <c r="P13" i="37"/>
  <c r="P36" i="37"/>
  <c r="P39" i="37"/>
  <c r="G98" i="38" l="1"/>
  <c r="H25" i="44" s="1"/>
  <c r="H69" i="44"/>
  <c r="H54" i="44"/>
  <c r="G28" i="38"/>
  <c r="AB70" i="38"/>
  <c r="P15" i="37"/>
  <c r="Q11" i="37" s="1"/>
  <c r="G10" i="38"/>
  <c r="G12" i="38" s="1"/>
  <c r="H24" i="44"/>
  <c r="Q18" i="37"/>
  <c r="Q20" i="37" s="1"/>
  <c r="Q26" i="37"/>
  <c r="H71" i="44" l="1"/>
  <c r="G4" i="40"/>
  <c r="AB72" i="38"/>
  <c r="G99" i="38"/>
  <c r="R24" i="37"/>
  <c r="R17" i="37"/>
  <c r="H8" i="38"/>
  <c r="Q13" i="37"/>
  <c r="Q15" i="37" s="1"/>
  <c r="R11" i="37" s="1"/>
  <c r="Q36" i="37"/>
  <c r="Q39" i="37"/>
  <c r="R18" i="37" l="1"/>
  <c r="R20" i="37" s="1"/>
  <c r="R26" i="37"/>
  <c r="S24" i="37" l="1"/>
  <c r="S17" i="37"/>
  <c r="R13" i="37"/>
  <c r="R39" i="37"/>
  <c r="R36" i="37"/>
  <c r="R15" i="37" l="1"/>
  <c r="S11" i="37" s="1"/>
  <c r="S18" i="37"/>
  <c r="S20" i="37" s="1"/>
  <c r="S26" i="37"/>
  <c r="T24" i="37" l="1"/>
  <c r="T17" i="37"/>
  <c r="S36" i="37"/>
  <c r="S39" i="37"/>
  <c r="S13" i="37"/>
  <c r="S15" i="37" s="1"/>
  <c r="T11" i="37" s="1"/>
  <c r="T26" i="37" l="1"/>
  <c r="T18" i="37"/>
  <c r="T20" i="37" s="1"/>
  <c r="H15" i="38"/>
  <c r="H17" i="38" s="1"/>
  <c r="U24" i="37" l="1"/>
  <c r="U17" i="37"/>
  <c r="H18" i="38"/>
  <c r="I53" i="44" s="1"/>
  <c r="H26" i="38"/>
  <c r="H96" i="38"/>
  <c r="H97" i="38" s="1"/>
  <c r="T13" i="37"/>
  <c r="T36" i="37"/>
  <c r="T39" i="37"/>
  <c r="H98" i="38" l="1"/>
  <c r="I25" i="44" s="1"/>
  <c r="I69" i="44"/>
  <c r="H28" i="38"/>
  <c r="H4" i="40" s="1"/>
  <c r="I54" i="44"/>
  <c r="T15" i="37"/>
  <c r="U11" i="37" s="1"/>
  <c r="H10" i="38"/>
  <c r="H12" i="38" s="1"/>
  <c r="I24" i="44"/>
  <c r="U18" i="37"/>
  <c r="U20" i="37" s="1"/>
  <c r="U26" i="37"/>
  <c r="H99" i="38" l="1"/>
  <c r="I71" i="44"/>
  <c r="V24" i="37"/>
  <c r="V17" i="37"/>
  <c r="U13" i="37"/>
  <c r="U15" i="37" s="1"/>
  <c r="V11" i="37" s="1"/>
  <c r="U36" i="37"/>
  <c r="U39" i="37"/>
  <c r="I8" i="38"/>
  <c r="V26" i="37" l="1"/>
  <c r="V18" i="37"/>
  <c r="V20" i="37" s="1"/>
  <c r="W24" i="37" l="1"/>
  <c r="W17" i="37"/>
  <c r="V13" i="37"/>
  <c r="V39" i="37"/>
  <c r="V36" i="37"/>
  <c r="V15" i="37" l="1"/>
  <c r="W11" i="37" s="1"/>
  <c r="W18" i="37"/>
  <c r="W20" i="37" s="1"/>
  <c r="W26" i="37"/>
  <c r="X24" i="37" l="1"/>
  <c r="X17" i="37"/>
  <c r="W36" i="37"/>
  <c r="W13" i="37"/>
  <c r="W15" i="37" s="1"/>
  <c r="X11" i="37" s="1"/>
  <c r="W39" i="37"/>
  <c r="X26" i="37" l="1"/>
  <c r="X18" i="37"/>
  <c r="X20" i="37" s="1"/>
  <c r="I15" i="38"/>
  <c r="I17" i="38" s="1"/>
  <c r="I18" i="38" l="1"/>
  <c r="I96" i="38"/>
  <c r="I97" i="38" s="1"/>
  <c r="I26" i="38"/>
  <c r="I98" i="38" s="1"/>
  <c r="Y24" i="37"/>
  <c r="Y17" i="37"/>
  <c r="X39" i="37"/>
  <c r="X13" i="37"/>
  <c r="X36" i="37"/>
  <c r="Y18" i="37" l="1"/>
  <c r="Y20" i="37" s="1"/>
  <c r="Y26" i="37"/>
  <c r="I28" i="38"/>
  <c r="X15" i="37"/>
  <c r="Y11" i="37" s="1"/>
  <c r="I10" i="38"/>
  <c r="I12" i="38" s="1"/>
  <c r="I99" i="38" l="1"/>
  <c r="I4" i="40"/>
  <c r="J8" i="38"/>
  <c r="Y39" i="37"/>
  <c r="Y13" i="37"/>
  <c r="Y15" i="37" s="1"/>
  <c r="Z11" i="37" s="1"/>
  <c r="Y36" i="37"/>
  <c r="Z24" i="37"/>
  <c r="Z17" i="37"/>
  <c r="Z26" i="37" l="1"/>
  <c r="Z18" i="37"/>
  <c r="Z20" i="37" s="1"/>
  <c r="AA24" i="37" l="1"/>
  <c r="AA17" i="37"/>
  <c r="Z39" i="37"/>
  <c r="Z13" i="37"/>
  <c r="Z36" i="37"/>
  <c r="Z15" i="37" l="1"/>
  <c r="AA11" i="37" s="1"/>
  <c r="AA18" i="37"/>
  <c r="AA20" i="37" s="1"/>
  <c r="AA26" i="37"/>
  <c r="AB24" i="37" l="1"/>
  <c r="AB17" i="37"/>
  <c r="AA39" i="37"/>
  <c r="AA13" i="37"/>
  <c r="AA15" i="37" s="1"/>
  <c r="AB11" i="37" s="1"/>
  <c r="AA36" i="37"/>
  <c r="AB26" i="37" l="1"/>
  <c r="AB18" i="37"/>
  <c r="AB20" i="37" s="1"/>
  <c r="J15" i="38"/>
  <c r="J17" i="38" s="1"/>
  <c r="AC24" i="37" l="1"/>
  <c r="AC17" i="37"/>
  <c r="J18" i="38"/>
  <c r="K53" i="44" s="1"/>
  <c r="J96" i="38"/>
  <c r="J97" i="38" s="1"/>
  <c r="J26" i="38"/>
  <c r="AB36" i="37"/>
  <c r="AB39" i="37"/>
  <c r="AB13" i="37"/>
  <c r="J98" i="38" l="1"/>
  <c r="K25" i="44" s="1"/>
  <c r="K69" i="44"/>
  <c r="J10" i="38"/>
  <c r="J12" i="38" s="1"/>
  <c r="AB15" i="37"/>
  <c r="AC11" i="37" s="1"/>
  <c r="K24" i="44"/>
  <c r="J28" i="38"/>
  <c r="J4" i="40" s="1"/>
  <c r="K54" i="44"/>
  <c r="AC18" i="37"/>
  <c r="AC20" i="37" s="1"/>
  <c r="AC26" i="37"/>
  <c r="J99" i="38" l="1"/>
  <c r="K71" i="44"/>
  <c r="AC13" i="37"/>
  <c r="AC15" i="37" s="1"/>
  <c r="AD11" i="37" s="1"/>
  <c r="AC36" i="37"/>
  <c r="AC39" i="37"/>
  <c r="K8" i="38"/>
  <c r="AD24" i="37"/>
  <c r="AD17" i="37"/>
  <c r="AD26" i="37" l="1"/>
  <c r="AD18" i="37"/>
  <c r="AD20" i="37" s="1"/>
  <c r="AE24" i="37" l="1"/>
  <c r="AE17" i="37"/>
  <c r="AD36" i="37"/>
  <c r="AD39" i="37"/>
  <c r="AD13" i="37"/>
  <c r="AE18" i="37" l="1"/>
  <c r="AE20" i="37" s="1"/>
  <c r="AE26" i="37"/>
  <c r="AD15" i="37"/>
  <c r="AE11" i="37" s="1"/>
  <c r="AF24" i="37" l="1"/>
  <c r="AF17" i="37"/>
  <c r="AE39" i="37"/>
  <c r="AE36" i="37"/>
  <c r="AE13" i="37"/>
  <c r="AE15" i="37" s="1"/>
  <c r="AF11" i="37" s="1"/>
  <c r="AF18" i="37" l="1"/>
  <c r="AF20" i="37" s="1"/>
  <c r="AF26" i="37"/>
  <c r="K15" i="38"/>
  <c r="K17" i="38" s="1"/>
  <c r="AG24" i="37" l="1"/>
  <c r="AG17" i="37"/>
  <c r="K18" i="38"/>
  <c r="K96" i="38"/>
  <c r="K97" i="38" s="1"/>
  <c r="K26" i="38"/>
  <c r="K98" i="38" s="1"/>
  <c r="AF39" i="37"/>
  <c r="AF36" i="37"/>
  <c r="AF13" i="37"/>
  <c r="AF15" i="37" l="1"/>
  <c r="AG11" i="37" s="1"/>
  <c r="K10" i="38"/>
  <c r="K12" i="38" s="1"/>
  <c r="K28" i="38"/>
  <c r="AG18" i="37"/>
  <c r="AG20" i="37" s="1"/>
  <c r="AG26" i="37"/>
  <c r="K99" i="38" l="1"/>
  <c r="K4" i="40"/>
  <c r="AH24" i="37"/>
  <c r="AH17" i="37"/>
  <c r="AG13" i="37"/>
  <c r="AG15" i="37" s="1"/>
  <c r="AH11" i="37" s="1"/>
  <c r="AG39" i="37"/>
  <c r="AG36" i="37"/>
  <c r="L8" i="38"/>
  <c r="AH18" i="37" l="1"/>
  <c r="AH20" i="37" s="1"/>
  <c r="AH26" i="37"/>
  <c r="AI24" i="37" l="1"/>
  <c r="AI17" i="37"/>
  <c r="AH39" i="37"/>
  <c r="AH36" i="37"/>
  <c r="AH13" i="37"/>
  <c r="AI26" i="37" l="1"/>
  <c r="AI18" i="37"/>
  <c r="AI20" i="37" s="1"/>
  <c r="AH15" i="37"/>
  <c r="AI11" i="37" s="1"/>
  <c r="AI13" i="37" l="1"/>
  <c r="AI36" i="37"/>
  <c r="AI39" i="37"/>
  <c r="AJ24" i="37"/>
  <c r="AJ17" i="37"/>
  <c r="AJ26" i="37" l="1"/>
  <c r="AJ18" i="37"/>
  <c r="AJ20" i="37" s="1"/>
  <c r="L15" i="38"/>
  <c r="L17" i="38" s="1"/>
  <c r="AI15" i="37"/>
  <c r="AJ11" i="37" s="1"/>
  <c r="AK24" i="37" l="1"/>
  <c r="AK17" i="37"/>
  <c r="L96" i="38"/>
  <c r="L97" i="38" s="1"/>
  <c r="L18" i="38"/>
  <c r="L26" i="38"/>
  <c r="L98" i="38" s="1"/>
  <c r="AJ13" i="37"/>
  <c r="L10" i="38" s="1"/>
  <c r="L12" i="38" s="1"/>
  <c r="AJ36" i="37"/>
  <c r="AJ39" i="37"/>
  <c r="AJ15" i="37" l="1"/>
  <c r="AK11" i="37" s="1"/>
  <c r="M8" i="38" s="1"/>
  <c r="L28" i="38"/>
  <c r="AK18" i="37"/>
  <c r="AK20" i="37" s="1"/>
  <c r="AK26" i="37"/>
  <c r="L99" i="38" l="1"/>
  <c r="L4" i="40"/>
  <c r="AL24" i="37"/>
  <c r="AL17" i="37"/>
  <c r="AK13" i="37"/>
  <c r="AK36" i="37"/>
  <c r="AK39" i="37"/>
  <c r="AK15" i="37" l="1"/>
  <c r="AL11" i="37" s="1"/>
  <c r="AL18" i="37"/>
  <c r="AL20" i="37" s="1"/>
  <c r="AL26" i="37"/>
  <c r="AM24" i="37" l="1"/>
  <c r="AM17" i="37"/>
  <c r="AL13" i="37"/>
  <c r="AL39" i="37"/>
  <c r="AL36" i="37"/>
  <c r="AL15" i="37" l="1"/>
  <c r="AM11" i="37" s="1"/>
  <c r="AM26" i="37"/>
  <c r="AM18" i="37"/>
  <c r="AM20" i="37" s="1"/>
  <c r="AN24" i="37" l="1"/>
  <c r="AN17" i="37"/>
  <c r="AM13" i="37"/>
  <c r="AM36" i="37"/>
  <c r="AM39" i="37"/>
  <c r="AM15" i="37" l="1"/>
  <c r="AN11" i="37" s="1"/>
  <c r="AN26" i="37"/>
  <c r="AN18" i="37"/>
  <c r="AN20" i="37" s="1"/>
  <c r="M15" i="38"/>
  <c r="M17" i="38" s="1"/>
  <c r="AO24" i="37" l="1"/>
  <c r="AO17" i="37"/>
  <c r="M18" i="38"/>
  <c r="M96" i="38"/>
  <c r="M97" i="38" s="1"/>
  <c r="M26" i="38"/>
  <c r="M98" i="38" s="1"/>
  <c r="AN13" i="37"/>
  <c r="M10" i="38" s="1"/>
  <c r="M12" i="38" s="1"/>
  <c r="AN36" i="37"/>
  <c r="AN39" i="37"/>
  <c r="AN15" i="37" l="1"/>
  <c r="AO11" i="37" s="1"/>
  <c r="N8" i="38" s="1"/>
  <c r="M28" i="38"/>
  <c r="AO18" i="37"/>
  <c r="AO20" i="37" s="1"/>
  <c r="AO26" i="37"/>
  <c r="M99" i="38" l="1"/>
  <c r="M4" i="40"/>
  <c r="AP24" i="37"/>
  <c r="AP17" i="37"/>
  <c r="AO13" i="37"/>
  <c r="AO39" i="37"/>
  <c r="AO36" i="37"/>
  <c r="AO15" i="37" l="1"/>
  <c r="AP11" i="37" s="1"/>
  <c r="AP26" i="37"/>
  <c r="AP18" i="37"/>
  <c r="AP20" i="37" s="1"/>
  <c r="AQ24" i="37" l="1"/>
  <c r="AQ17" i="37"/>
  <c r="AP36" i="37"/>
  <c r="AP13" i="37"/>
  <c r="AP15" i="37" s="1"/>
  <c r="AQ11" i="37" s="1"/>
  <c r="AP39" i="37"/>
  <c r="AQ26" i="37" l="1"/>
  <c r="AQ18" i="37"/>
  <c r="AQ20" i="37" s="1"/>
  <c r="AR24" i="37" l="1"/>
  <c r="AR17" i="37"/>
  <c r="AQ39" i="37"/>
  <c r="AQ36" i="37"/>
  <c r="AQ13" i="37"/>
  <c r="AQ15" i="37" l="1"/>
  <c r="AR11" i="37" s="1"/>
  <c r="AR26" i="37"/>
  <c r="AR18" i="37"/>
  <c r="AR20" i="37" s="1"/>
  <c r="N15" i="38"/>
  <c r="N17" i="38" s="1"/>
  <c r="AS24" i="37" l="1"/>
  <c r="AS17" i="37"/>
  <c r="N18" i="38"/>
  <c r="N96" i="38"/>
  <c r="N97" i="38" s="1"/>
  <c r="N26" i="38"/>
  <c r="N98" i="38" s="1"/>
  <c r="AR39" i="37"/>
  <c r="AR13" i="37"/>
  <c r="N10" i="38" s="1"/>
  <c r="N12" i="38" s="1"/>
  <c r="AR36" i="37"/>
  <c r="AR15" i="37" l="1"/>
  <c r="AS11" i="37" s="1"/>
  <c r="O8" i="38" s="1"/>
  <c r="N28" i="38"/>
  <c r="AS18" i="37"/>
  <c r="AS20" i="37" s="1"/>
  <c r="AS26" i="37"/>
  <c r="N99" i="38" l="1"/>
  <c r="N4" i="40"/>
  <c r="AT24" i="37"/>
  <c r="AT17" i="37"/>
  <c r="AS13" i="37"/>
  <c r="AS39" i="37"/>
  <c r="AS36" i="37"/>
  <c r="AS15" i="37" l="1"/>
  <c r="AT11" i="37" s="1"/>
  <c r="AT18" i="37"/>
  <c r="AT20" i="37" s="1"/>
  <c r="AT26" i="37"/>
  <c r="AU24" i="37" l="1"/>
  <c r="AU17" i="37"/>
  <c r="AT36" i="37"/>
  <c r="AT39" i="37"/>
  <c r="AT13" i="37"/>
  <c r="AU26" i="37" l="1"/>
  <c r="AU18" i="37"/>
  <c r="AU20" i="37" s="1"/>
  <c r="AT15" i="37"/>
  <c r="AU11" i="37" s="1"/>
  <c r="AV24" i="37" l="1"/>
  <c r="AV17" i="37"/>
  <c r="AU13" i="37"/>
  <c r="AU15" i="37" s="1"/>
  <c r="AV11" i="37" s="1"/>
  <c r="AU36" i="37"/>
  <c r="AU39" i="37"/>
  <c r="AV18" i="37" l="1"/>
  <c r="AV20" i="37" s="1"/>
  <c r="AV26" i="37"/>
  <c r="O15" i="38"/>
  <c r="O17" i="38" s="1"/>
  <c r="O18" i="38" l="1"/>
  <c r="L53" i="44" s="1"/>
  <c r="O96" i="38"/>
  <c r="O97" i="38" s="1"/>
  <c r="O26" i="38"/>
  <c r="AV13" i="37"/>
  <c r="AV36" i="37"/>
  <c r="AV39" i="37"/>
  <c r="AW24" i="37"/>
  <c r="AW17" i="37"/>
  <c r="O98" i="38" l="1"/>
  <c r="L25" i="44" s="1"/>
  <c r="L69" i="44"/>
  <c r="AV15" i="37"/>
  <c r="AW11" i="37" s="1"/>
  <c r="O10" i="38"/>
  <c r="O12" i="38" s="1"/>
  <c r="AW18" i="37"/>
  <c r="AW20" i="37" s="1"/>
  <c r="AW26" i="37"/>
  <c r="O28" i="38"/>
  <c r="L54" i="44"/>
  <c r="L24" i="44"/>
  <c r="O99" i="38" l="1"/>
  <c r="L71" i="44"/>
  <c r="AX24" i="37"/>
  <c r="AX17" i="37"/>
  <c r="AW13" i="37"/>
  <c r="AW15" i="37" s="1"/>
  <c r="AX11" i="37" s="1"/>
  <c r="AW36" i="37"/>
  <c r="AW39" i="37"/>
  <c r="P8" i="38"/>
  <c r="AX18" i="37" l="1"/>
  <c r="AX20" i="37" s="1"/>
  <c r="AX26" i="37"/>
  <c r="AY24" i="37" l="1"/>
  <c r="AY17" i="37"/>
  <c r="AX13" i="37"/>
  <c r="AX39" i="37"/>
  <c r="AX36" i="37"/>
  <c r="AX15" i="37" l="1"/>
  <c r="AY11" i="37" s="1"/>
  <c r="AY18" i="37"/>
  <c r="AY20" i="37" s="1"/>
  <c r="AY26" i="37"/>
  <c r="AZ24" i="37" l="1"/>
  <c r="AZ17" i="37"/>
  <c r="AY36" i="37"/>
  <c r="AY39" i="37"/>
  <c r="AY13" i="37"/>
  <c r="AY15" i="37" s="1"/>
  <c r="AZ11" i="37" s="1"/>
  <c r="AZ18" i="37" l="1"/>
  <c r="AZ20" i="37" s="1"/>
  <c r="AZ26" i="37"/>
  <c r="P15" i="38"/>
  <c r="P17" i="38" s="1"/>
  <c r="BA24" i="37" l="1"/>
  <c r="BA17" i="37"/>
  <c r="P18" i="38"/>
  <c r="P96" i="38"/>
  <c r="P97" i="38" s="1"/>
  <c r="P26" i="38"/>
  <c r="P98" i="38" s="1"/>
  <c r="AZ36" i="37"/>
  <c r="AZ39" i="37"/>
  <c r="AZ13" i="37"/>
  <c r="AZ15" i="37" l="1"/>
  <c r="BA11" i="37" s="1"/>
  <c r="P10" i="38"/>
  <c r="P12" i="38" s="1"/>
  <c r="P28" i="38"/>
  <c r="P99" i="38" s="1"/>
  <c r="BA18" i="37"/>
  <c r="BA20" i="37" s="1"/>
  <c r="BA26" i="37"/>
  <c r="BB24" i="37" l="1"/>
  <c r="BB17" i="37"/>
  <c r="BA13" i="37"/>
  <c r="BA15" i="37" s="1"/>
  <c r="BB11" i="37" s="1"/>
  <c r="BA36" i="37"/>
  <c r="BA39" i="37"/>
  <c r="Q8" i="38"/>
  <c r="BB18" i="37" l="1"/>
  <c r="BB20" i="37" s="1"/>
  <c r="BB26" i="37"/>
  <c r="BC24" i="37" l="1"/>
  <c r="BC17" i="37"/>
  <c r="BB36" i="37"/>
  <c r="BB39" i="37"/>
  <c r="BB13" i="37"/>
  <c r="BB15" i="37" l="1"/>
  <c r="BC11" i="37" s="1"/>
  <c r="BC18" i="37"/>
  <c r="BC20" i="37" s="1"/>
  <c r="BC26" i="37"/>
  <c r="BD24" i="37" l="1"/>
  <c r="BD17" i="37"/>
  <c r="BC39" i="37"/>
  <c r="BC13" i="37"/>
  <c r="BC15" i="37" s="1"/>
  <c r="BD11" i="37" s="1"/>
  <c r="BC36" i="37"/>
  <c r="BD18" i="37" l="1"/>
  <c r="BD20" i="37" s="1"/>
  <c r="BD26" i="37"/>
  <c r="Q15" i="38"/>
  <c r="Q17" i="38" s="1"/>
  <c r="BE24" i="37" l="1"/>
  <c r="BE17" i="37"/>
  <c r="Q18" i="38"/>
  <c r="Q96" i="38"/>
  <c r="Q97" i="38" s="1"/>
  <c r="Q26" i="38"/>
  <c r="Q98" i="38" s="1"/>
  <c r="BD39" i="37"/>
  <c r="BD13" i="37"/>
  <c r="BD36" i="37"/>
  <c r="Q10" i="38" l="1"/>
  <c r="Q12" i="38" s="1"/>
  <c r="BD15" i="37"/>
  <c r="BE11" i="37" s="1"/>
  <c r="Q28" i="38"/>
  <c r="Q99" i="38" s="1"/>
  <c r="BE18" i="37"/>
  <c r="BE20" i="37" s="1"/>
  <c r="BE26" i="37"/>
  <c r="BF24" i="37" l="1"/>
  <c r="BF17" i="37"/>
  <c r="R8" i="38"/>
  <c r="BE36" i="37"/>
  <c r="BE13" i="37"/>
  <c r="BE39" i="37"/>
  <c r="BE15" i="37" l="1"/>
  <c r="BF11" i="37" s="1"/>
  <c r="BF26" i="37"/>
  <c r="BF18" i="37"/>
  <c r="BF20" i="37" s="1"/>
  <c r="BF36" i="37" l="1"/>
  <c r="BF13" i="37"/>
  <c r="BF15" i="37" s="1"/>
  <c r="BG11" i="37" s="1"/>
  <c r="BF39" i="37"/>
  <c r="BG24" i="37"/>
  <c r="BG17" i="37"/>
  <c r="BG18" i="37" l="1"/>
  <c r="BG20" i="37" s="1"/>
  <c r="BG26" i="37"/>
  <c r="BH24" i="37" l="1"/>
  <c r="BH17" i="37"/>
  <c r="BG13" i="37"/>
  <c r="BG36" i="37"/>
  <c r="BG39" i="37"/>
  <c r="BG15" i="37" l="1"/>
  <c r="BH11" i="37" s="1"/>
  <c r="BH18" i="37"/>
  <c r="BH20" i="37" s="1"/>
  <c r="BH26" i="37"/>
  <c r="R15" i="38"/>
  <c r="R17" i="38" s="1"/>
  <c r="BI24" i="37" l="1"/>
  <c r="BI17" i="37"/>
  <c r="R18" i="38"/>
  <c r="R96" i="38"/>
  <c r="R97" i="38" s="1"/>
  <c r="R26" i="38"/>
  <c r="R98" i="38" s="1"/>
  <c r="BH39" i="37"/>
  <c r="BH36" i="37"/>
  <c r="BH13" i="37"/>
  <c r="R10" i="38" s="1"/>
  <c r="R12" i="38" s="1"/>
  <c r="BH15" i="37" l="1"/>
  <c r="BI11" i="37" s="1"/>
  <c r="S8" i="38" s="1"/>
  <c r="R28" i="38"/>
  <c r="R99" i="38" s="1"/>
  <c r="BI18" i="37"/>
  <c r="BI20" i="37" s="1"/>
  <c r="BI26" i="37"/>
  <c r="BJ24" i="37" l="1"/>
  <c r="BJ17" i="37"/>
  <c r="BI13" i="37"/>
  <c r="BI39" i="37"/>
  <c r="BI36" i="37"/>
  <c r="BI15" i="37" l="1"/>
  <c r="BJ11" i="37" s="1"/>
  <c r="BJ18" i="37"/>
  <c r="BJ20" i="37" s="1"/>
  <c r="BJ26" i="37"/>
  <c r="BK24" i="37" l="1"/>
  <c r="BK17" i="37"/>
  <c r="BJ39" i="37"/>
  <c r="BJ13" i="37"/>
  <c r="BJ15" i="37" s="1"/>
  <c r="BK11" i="37" s="1"/>
  <c r="BJ36" i="37"/>
  <c r="BK18" i="37" l="1"/>
  <c r="BK20" i="37" s="1"/>
  <c r="BK26" i="37"/>
  <c r="BL24" i="37" l="1"/>
  <c r="BL17" i="37"/>
  <c r="BK13" i="37"/>
  <c r="BK36" i="37"/>
  <c r="BK39" i="37"/>
  <c r="BK15" i="37" l="1"/>
  <c r="BL11" i="37" s="1"/>
  <c r="BL26" i="37"/>
  <c r="BL18" i="37"/>
  <c r="BL20" i="37" s="1"/>
  <c r="S15" i="38"/>
  <c r="S17" i="38" s="1"/>
  <c r="BM24" i="37" l="1"/>
  <c r="BM17" i="37"/>
  <c r="BL39" i="37"/>
  <c r="BL36" i="37"/>
  <c r="BL13" i="37"/>
  <c r="S10" i="38" s="1"/>
  <c r="S12" i="38" s="1"/>
  <c r="S18" i="38"/>
  <c r="S96" i="38"/>
  <c r="S97" i="38" s="1"/>
  <c r="S26" i="38"/>
  <c r="S98" i="38" s="1"/>
  <c r="BL15" i="37" l="1"/>
  <c r="BM11" i="37" s="1"/>
  <c r="T8" i="38" s="1"/>
  <c r="S28" i="38"/>
  <c r="S99" i="38" s="1"/>
  <c r="BM18" i="37"/>
  <c r="BM20" i="37" s="1"/>
  <c r="BM26" i="37"/>
  <c r="BN24" i="37" l="1"/>
  <c r="BN17" i="37"/>
  <c r="BM13" i="37"/>
  <c r="BM36" i="37"/>
  <c r="BM39" i="37"/>
  <c r="BM15" i="37" l="1"/>
  <c r="BN11" i="37" s="1"/>
  <c r="BN18" i="37"/>
  <c r="BN20" i="37" s="1"/>
  <c r="BN26" i="37"/>
  <c r="BO24" i="37" l="1"/>
  <c r="BO17" i="37"/>
  <c r="BN13" i="37"/>
  <c r="BN15" i="37" s="1"/>
  <c r="BO11" i="37" s="1"/>
  <c r="BN39" i="37"/>
  <c r="BN36" i="37"/>
  <c r="BO18" i="37" l="1"/>
  <c r="BO20" i="37" s="1"/>
  <c r="BO26" i="37"/>
  <c r="BP24" i="37" l="1"/>
  <c r="BP17" i="37"/>
  <c r="BO39" i="37"/>
  <c r="BO13" i="37"/>
  <c r="BO36" i="37"/>
  <c r="BO15" i="37" l="1"/>
  <c r="BP11" i="37" s="1"/>
  <c r="BP18" i="37"/>
  <c r="BP20" i="37" s="1"/>
  <c r="BP26" i="37"/>
  <c r="T15" i="38"/>
  <c r="T17" i="38" s="1"/>
  <c r="BQ24" i="37" l="1"/>
  <c r="BQ17" i="37"/>
  <c r="T18" i="38"/>
  <c r="T96" i="38"/>
  <c r="T97" i="38" s="1"/>
  <c r="T26" i="38"/>
  <c r="T98" i="38" s="1"/>
  <c r="BP39" i="37"/>
  <c r="BP36" i="37"/>
  <c r="BP13" i="37"/>
  <c r="T10" i="38" s="1"/>
  <c r="T12" i="38" s="1"/>
  <c r="BP15" i="37" l="1"/>
  <c r="BQ11" i="37" s="1"/>
  <c r="U8" i="38" s="1"/>
  <c r="T28" i="38"/>
  <c r="T99" i="38" s="1"/>
  <c r="BQ18" i="37"/>
  <c r="BQ20" i="37" s="1"/>
  <c r="BQ26" i="37"/>
  <c r="BR24" i="37" l="1"/>
  <c r="BR17" i="37"/>
  <c r="BQ13" i="37"/>
  <c r="BQ39" i="37"/>
  <c r="BQ36" i="37"/>
  <c r="BQ15" i="37" l="1"/>
  <c r="BR11" i="37" s="1"/>
  <c r="BR18" i="37"/>
  <c r="BR20" i="37" s="1"/>
  <c r="BR26" i="37"/>
  <c r="BS24" i="37" l="1"/>
  <c r="BS17" i="37"/>
  <c r="BR39" i="37"/>
  <c r="BR36" i="37"/>
  <c r="BR13" i="37"/>
  <c r="BR15" i="37" s="1"/>
  <c r="BS11" i="37" s="1"/>
  <c r="BS18" i="37" l="1"/>
  <c r="BS20" i="37" s="1"/>
  <c r="BS26" i="37"/>
  <c r="BT24" i="37" l="1"/>
  <c r="BT17" i="37"/>
  <c r="BS36" i="37"/>
  <c r="BS13" i="37"/>
  <c r="BS39" i="37"/>
  <c r="BS15" i="37" l="1"/>
  <c r="BT11" i="37" s="1"/>
  <c r="BT18" i="37"/>
  <c r="BT20" i="37" s="1"/>
  <c r="BT26" i="37"/>
  <c r="U15" i="38"/>
  <c r="U17" i="38" s="1"/>
  <c r="BU24" i="37" l="1"/>
  <c r="BU17" i="37"/>
  <c r="U18" i="38"/>
  <c r="U96" i="38"/>
  <c r="U97" i="38" s="1"/>
  <c r="U26" i="38"/>
  <c r="U98" i="38" s="1"/>
  <c r="BT36" i="37"/>
  <c r="BT39" i="37"/>
  <c r="BT13" i="37"/>
  <c r="U10" i="38" s="1"/>
  <c r="U12" i="38" s="1"/>
  <c r="BT15" i="37" l="1"/>
  <c r="BU11" i="37" s="1"/>
  <c r="U28" i="38"/>
  <c r="U99" i="38" s="1"/>
  <c r="BU18" i="37"/>
  <c r="BU20" i="37" s="1"/>
  <c r="BU26" i="37"/>
  <c r="BV24" i="37" l="1"/>
  <c r="BV17" i="37"/>
  <c r="V8" i="38"/>
  <c r="BU13" i="37"/>
  <c r="BU15" i="37" s="1"/>
  <c r="BV11" i="37" s="1"/>
  <c r="BU36" i="37"/>
  <c r="BU39" i="37"/>
  <c r="BV26" i="37" l="1"/>
  <c r="BV18" i="37"/>
  <c r="BV20" i="37" s="1"/>
  <c r="BW24" i="37" l="1"/>
  <c r="BW17" i="37"/>
  <c r="BV13" i="37"/>
  <c r="BV39" i="37"/>
  <c r="BV36" i="37"/>
  <c r="BV15" i="37" l="1"/>
  <c r="BW11" i="37" s="1"/>
  <c r="BW18" i="37"/>
  <c r="BW20" i="37" s="1"/>
  <c r="BW26" i="37"/>
  <c r="BX24" i="37" l="1"/>
  <c r="BX17" i="37"/>
  <c r="BW13" i="37"/>
  <c r="BW15" i="37" s="1"/>
  <c r="BX11" i="37" s="1"/>
  <c r="BW39" i="37"/>
  <c r="BW36" i="37"/>
  <c r="BX18" i="37" l="1"/>
  <c r="BX20" i="37" s="1"/>
  <c r="BX26" i="37"/>
  <c r="V15" i="38"/>
  <c r="V17" i="38" s="1"/>
  <c r="BY24" i="37" l="1"/>
  <c r="BY17" i="37"/>
  <c r="V18" i="38"/>
  <c r="V96" i="38"/>
  <c r="V97" i="38" s="1"/>
  <c r="V26" i="38"/>
  <c r="V98" i="38" s="1"/>
  <c r="BX13" i="37"/>
  <c r="BX39" i="37"/>
  <c r="BX36" i="37"/>
  <c r="V10" i="38" l="1"/>
  <c r="V12" i="38" s="1"/>
  <c r="BX15" i="37"/>
  <c r="BY11" i="37" s="1"/>
  <c r="V28" i="38"/>
  <c r="V99" i="38" s="1"/>
  <c r="BY18" i="37"/>
  <c r="BY20" i="37" s="1"/>
  <c r="BY26" i="37"/>
  <c r="BZ24" i="37" l="1"/>
  <c r="BZ17" i="37"/>
  <c r="W8" i="38"/>
  <c r="BY36" i="37"/>
  <c r="BY13" i="37"/>
  <c r="BY39" i="37"/>
  <c r="BY15" i="37" l="1"/>
  <c r="BZ11" i="37" s="1"/>
  <c r="BZ26" i="37"/>
  <c r="BZ18" i="37"/>
  <c r="BZ20" i="37" s="1"/>
  <c r="BZ36" i="37" l="1"/>
  <c r="BZ39" i="37"/>
  <c r="BZ13" i="37"/>
  <c r="BZ15" i="37" s="1"/>
  <c r="CA11" i="37" s="1"/>
  <c r="CA24" i="37"/>
  <c r="CA17" i="37"/>
  <c r="CA18" i="37" l="1"/>
  <c r="CA20" i="37" s="1"/>
  <c r="CA26" i="37"/>
  <c r="CB24" i="37" l="1"/>
  <c r="CB17" i="37"/>
  <c r="CA13" i="37"/>
  <c r="CA39" i="37"/>
  <c r="CA36" i="37"/>
  <c r="CA15" i="37" l="1"/>
  <c r="CB11" i="37" s="1"/>
  <c r="CB18" i="37"/>
  <c r="CB20" i="37" s="1"/>
  <c r="CB26" i="37"/>
  <c r="W15" i="38"/>
  <c r="W17" i="38" s="1"/>
  <c r="CC24" i="37" l="1"/>
  <c r="CC17" i="37"/>
  <c r="W96" i="38"/>
  <c r="W97" i="38" s="1"/>
  <c r="W18" i="38"/>
  <c r="W26" i="38"/>
  <c r="W98" i="38" s="1"/>
  <c r="CB39" i="37"/>
  <c r="CB13" i="37"/>
  <c r="W10" i="38" s="1"/>
  <c r="W12" i="38" s="1"/>
  <c r="CB36" i="37"/>
  <c r="CB15" i="37" l="1"/>
  <c r="CC11" i="37" s="1"/>
  <c r="W28" i="38"/>
  <c r="W99" i="38" s="1"/>
  <c r="CC18" i="37"/>
  <c r="CC20" i="37" s="1"/>
  <c r="CC26" i="37"/>
  <c r="CD24" i="37" l="1"/>
  <c r="CD17" i="37"/>
  <c r="X8" i="38"/>
  <c r="CC13" i="37"/>
  <c r="CC15" i="37" s="1"/>
  <c r="CD11" i="37" s="1"/>
  <c r="CC36" i="37"/>
  <c r="CC39" i="37"/>
  <c r="CD18" i="37" l="1"/>
  <c r="CD20" i="37" s="1"/>
  <c r="CD26" i="37"/>
  <c r="CE24" i="37" l="1"/>
  <c r="CE17" i="37"/>
  <c r="CD13" i="37"/>
  <c r="CD36" i="37"/>
  <c r="CD39" i="37"/>
  <c r="CD15" i="37" l="1"/>
  <c r="CE11" i="37" s="1"/>
  <c r="CE18" i="37"/>
  <c r="CE20" i="37" s="1"/>
  <c r="CE26" i="37"/>
  <c r="CF24" i="37" l="1"/>
  <c r="CF17" i="37"/>
  <c r="CE13" i="37"/>
  <c r="CE15" i="37" s="1"/>
  <c r="CF11" i="37" s="1"/>
  <c r="CE36" i="37"/>
  <c r="CE39" i="37"/>
  <c r="CF18" i="37" l="1"/>
  <c r="CF20" i="37" s="1"/>
  <c r="CF26" i="37"/>
  <c r="X15" i="38"/>
  <c r="X17" i="38" s="1"/>
  <c r="CG17" i="37" l="1"/>
  <c r="CG24" i="37"/>
  <c r="X96" i="38"/>
  <c r="X97" i="38" s="1"/>
  <c r="X18" i="38"/>
  <c r="X26" i="38"/>
  <c r="X98" i="38" s="1"/>
  <c r="CF36" i="37"/>
  <c r="CF13" i="37"/>
  <c r="CF39" i="37"/>
  <c r="X10" i="38" l="1"/>
  <c r="X12" i="38" s="1"/>
  <c r="CF15" i="37"/>
  <c r="CG11" i="37" s="1"/>
  <c r="CG18" i="37"/>
  <c r="CG20" i="37" s="1"/>
  <c r="CG26" i="37"/>
  <c r="X28" i="38"/>
  <c r="X99" i="38" s="1"/>
  <c r="CH17" i="37" l="1"/>
  <c r="CH24" i="37"/>
  <c r="CG13" i="37"/>
  <c r="CG15" i="37" s="1"/>
  <c r="CG39" i="37"/>
  <c r="CG36" i="37"/>
  <c r="Y8" i="38"/>
  <c r="CI11" i="37" l="1"/>
  <c r="CH11" i="37"/>
  <c r="CH18" i="37"/>
  <c r="CH20" i="37" s="1"/>
  <c r="CH26" i="37"/>
  <c r="CI17" i="37" l="1"/>
  <c r="CI24" i="37"/>
  <c r="CH36" i="37"/>
  <c r="CH39" i="37"/>
  <c r="CH13" i="37"/>
  <c r="CI18" i="37" l="1"/>
  <c r="CI20" i="37" s="1"/>
  <c r="CI26" i="37"/>
  <c r="CH15" i="37"/>
  <c r="CJ11" i="37" s="1"/>
  <c r="CI39" i="37" l="1"/>
  <c r="CI13" i="37"/>
  <c r="CI36" i="37"/>
  <c r="CJ17" i="37"/>
  <c r="CJ24" i="37"/>
  <c r="CJ18" i="37" l="1"/>
  <c r="CJ20" i="37" s="1"/>
  <c r="CJ26" i="37"/>
  <c r="Y15" i="38"/>
  <c r="Y17" i="38" s="1"/>
  <c r="CI15" i="37"/>
  <c r="CJ39" i="37" l="1"/>
  <c r="CJ36" i="37"/>
  <c r="CJ13" i="37"/>
  <c r="Y96" i="38"/>
  <c r="Y97" i="38" s="1"/>
  <c r="Y18" i="38"/>
  <c r="Y26" i="38"/>
  <c r="Y98" i="38" s="1"/>
  <c r="CK17" i="37"/>
  <c r="CK24" i="37"/>
  <c r="CK18" i="37" l="1"/>
  <c r="CK20" i="37" s="1"/>
  <c r="CK26" i="37"/>
  <c r="Y28" i="38"/>
  <c r="Y99" i="38" s="1"/>
  <c r="CJ15" i="37"/>
  <c r="CK11" i="37" s="1"/>
  <c r="Y10" i="38"/>
  <c r="Y12" i="38" s="1"/>
  <c r="CK13" i="37" l="1"/>
  <c r="CK15" i="37" s="1"/>
  <c r="CK36" i="37"/>
  <c r="CK39" i="37"/>
  <c r="F40" i="38" l="1"/>
  <c r="G40" i="38"/>
  <c r="H40" i="38"/>
  <c r="I40" i="38"/>
  <c r="J40" i="38"/>
  <c r="K40" i="38"/>
  <c r="L40" i="38"/>
  <c r="M40" i="38"/>
  <c r="N40" i="38"/>
  <c r="O40" i="38"/>
  <c r="P40" i="38"/>
  <c r="Q40" i="38"/>
  <c r="R40" i="38"/>
  <c r="S40" i="38"/>
  <c r="T40" i="38"/>
  <c r="U40" i="38"/>
  <c r="V40" i="38"/>
  <c r="W40" i="38"/>
  <c r="X40" i="38"/>
  <c r="Y40" i="38"/>
  <c r="F31" i="38"/>
  <c r="F5" i="40" s="1"/>
  <c r="G31" i="38"/>
  <c r="G5" i="40" s="1"/>
  <c r="H31" i="38"/>
  <c r="H5" i="40" s="1"/>
  <c r="I31" i="38"/>
  <c r="J31" i="38"/>
  <c r="J5" i="40" s="1"/>
  <c r="K31" i="38"/>
  <c r="L31" i="38"/>
  <c r="M31" i="38"/>
  <c r="N31" i="38"/>
  <c r="O31" i="38"/>
  <c r="P31" i="38"/>
  <c r="P101" i="38" s="1"/>
  <c r="Q31" i="38"/>
  <c r="Q101" i="38" s="1"/>
  <c r="R31" i="38"/>
  <c r="R101" i="38" s="1"/>
  <c r="S31" i="38"/>
  <c r="S101" i="38" s="1"/>
  <c r="T31" i="38"/>
  <c r="T101" i="38" s="1"/>
  <c r="U31" i="38"/>
  <c r="U101" i="38" s="1"/>
  <c r="V31" i="38"/>
  <c r="V101" i="38" s="1"/>
  <c r="W31" i="38"/>
  <c r="W101" i="38" s="1"/>
  <c r="X31" i="38"/>
  <c r="X101" i="38" s="1"/>
  <c r="Y31" i="38"/>
  <c r="Y101" i="38" s="1"/>
  <c r="M101" i="38" l="1"/>
  <c r="M5" i="40"/>
  <c r="I101" i="38"/>
  <c r="I5" i="40"/>
  <c r="L101" i="38"/>
  <c r="L5" i="40"/>
  <c r="K101" i="38"/>
  <c r="K5" i="40"/>
  <c r="N101" i="38"/>
  <c r="N5" i="40"/>
  <c r="H101" i="38"/>
  <c r="I28" i="44" s="1"/>
  <c r="I72" i="44"/>
  <c r="O101" i="38"/>
  <c r="L28" i="44" s="1"/>
  <c r="L72" i="44"/>
  <c r="G101" i="38"/>
  <c r="H28" i="44" s="1"/>
  <c r="H72" i="44"/>
  <c r="J101" i="38"/>
  <c r="K28" i="44" s="1"/>
  <c r="K72" i="44"/>
  <c r="F101" i="38"/>
  <c r="G28" i="44" s="1"/>
  <c r="G72" i="44"/>
  <c r="Y42" i="38"/>
  <c r="Y108" i="38" s="1"/>
  <c r="U42" i="38"/>
  <c r="U108" i="38" s="1"/>
  <c r="Q42" i="38"/>
  <c r="Q108" i="38" s="1"/>
  <c r="M42" i="38"/>
  <c r="I42" i="38"/>
  <c r="X33" i="38"/>
  <c r="Y33" i="38"/>
  <c r="U33" i="38"/>
  <c r="Q33" i="38"/>
  <c r="M33" i="38"/>
  <c r="I33" i="38"/>
  <c r="V42" i="38"/>
  <c r="V108" i="38" s="1"/>
  <c r="R42" i="38"/>
  <c r="R108" i="38" s="1"/>
  <c r="N42" i="38"/>
  <c r="J42" i="38"/>
  <c r="J8" i="40" s="1"/>
  <c r="P33" i="38"/>
  <c r="L33" i="38"/>
  <c r="I56" i="44"/>
  <c r="H33" i="38"/>
  <c r="W33" i="38"/>
  <c r="S33" i="38"/>
  <c r="L56" i="44"/>
  <c r="O33" i="38"/>
  <c r="K33" i="38"/>
  <c r="AB75" i="38"/>
  <c r="H56" i="44"/>
  <c r="G33" i="38"/>
  <c r="X42" i="38"/>
  <c r="X108" i="38" s="1"/>
  <c r="T42" i="38"/>
  <c r="T108" i="38" s="1"/>
  <c r="P42" i="38"/>
  <c r="P108" i="38" s="1"/>
  <c r="L42" i="38"/>
  <c r="H42" i="38"/>
  <c r="H8" i="40" s="1"/>
  <c r="T33" i="38"/>
  <c r="V33" i="38"/>
  <c r="R33" i="38"/>
  <c r="N33" i="38"/>
  <c r="K56" i="44"/>
  <c r="J33" i="38"/>
  <c r="G56" i="44"/>
  <c r="F33" i="38"/>
  <c r="W42" i="38"/>
  <c r="W108" i="38" s="1"/>
  <c r="S42" i="38"/>
  <c r="S108" i="38" s="1"/>
  <c r="O42" i="38"/>
  <c r="K42" i="38"/>
  <c r="G42" i="38"/>
  <c r="G8" i="40" s="1"/>
  <c r="F42" i="38"/>
  <c r="F8" i="40" s="1"/>
  <c r="M108" i="38" l="1"/>
  <c r="M8" i="40"/>
  <c r="K108" i="38"/>
  <c r="K8" i="40"/>
  <c r="N108" i="38"/>
  <c r="N8" i="40"/>
  <c r="L108" i="38"/>
  <c r="L8" i="40"/>
  <c r="I108" i="38"/>
  <c r="I8" i="40"/>
  <c r="G108" i="38"/>
  <c r="H31" i="44" s="1"/>
  <c r="J35" i="38"/>
  <c r="J6" i="40" s="1"/>
  <c r="G35" i="38"/>
  <c r="G6" i="40" s="1"/>
  <c r="AB77" i="38"/>
  <c r="K35" i="38"/>
  <c r="L35" i="38"/>
  <c r="J108" i="38"/>
  <c r="K31" i="44" s="1"/>
  <c r="I35" i="38"/>
  <c r="Q35" i="38"/>
  <c r="Q102" i="38" s="1"/>
  <c r="Y35" i="38"/>
  <c r="Y102" i="38" s="1"/>
  <c r="O108" i="38"/>
  <c r="L31" i="44" s="1"/>
  <c r="F35" i="38"/>
  <c r="F6" i="40" s="1"/>
  <c r="R35" i="38"/>
  <c r="R102" i="38" s="1"/>
  <c r="T35" i="38"/>
  <c r="T102" i="38" s="1"/>
  <c r="S35" i="38"/>
  <c r="S102" i="38" s="1"/>
  <c r="H35" i="38"/>
  <c r="H6" i="40" s="1"/>
  <c r="O35" i="38"/>
  <c r="P35" i="38"/>
  <c r="P102" i="38" s="1"/>
  <c r="M35" i="38"/>
  <c r="U35" i="38"/>
  <c r="U102" i="38" s="1"/>
  <c r="X35" i="38"/>
  <c r="X102" i="38" s="1"/>
  <c r="F108" i="38"/>
  <c r="G31" i="44" s="1"/>
  <c r="D40" i="38"/>
  <c r="E42" i="38" s="1"/>
  <c r="E8" i="40" s="1"/>
  <c r="N35" i="38"/>
  <c r="V35" i="38"/>
  <c r="V102" i="38" s="1"/>
  <c r="H108" i="38"/>
  <c r="I31" i="44" s="1"/>
  <c r="W35" i="38"/>
  <c r="W102" i="38" s="1"/>
  <c r="N102" i="38" l="1"/>
  <c r="N6" i="40"/>
  <c r="I102" i="38"/>
  <c r="I6" i="40"/>
  <c r="M102" i="38"/>
  <c r="M6" i="40"/>
  <c r="L102" i="38"/>
  <c r="L6" i="40"/>
  <c r="K102" i="38"/>
  <c r="K6" i="40"/>
  <c r="J102" i="38"/>
  <c r="K29" i="44" s="1"/>
  <c r="K73" i="44"/>
  <c r="H102" i="38"/>
  <c r="I73" i="44"/>
  <c r="F102" i="38"/>
  <c r="G29" i="44" s="1"/>
  <c r="G73" i="44"/>
  <c r="G102" i="38"/>
  <c r="H29" i="44" s="1"/>
  <c r="H73" i="44"/>
  <c r="O102" i="38"/>
  <c r="L29" i="44" s="1"/>
  <c r="L73" i="44"/>
  <c r="G37" i="38"/>
  <c r="G105" i="38" s="1"/>
  <c r="G106" i="38" s="1"/>
  <c r="H37" i="38"/>
  <c r="H105" i="38" s="1"/>
  <c r="H106" i="38" s="1"/>
  <c r="I29" i="44"/>
  <c r="F37" i="38"/>
  <c r="F105" i="38" s="1"/>
  <c r="J37" i="38"/>
  <c r="J105" i="38" s="1"/>
  <c r="O37" i="38"/>
  <c r="O105" i="38" s="1"/>
  <c r="Q37" i="38"/>
  <c r="Q44" i="38" s="1"/>
  <c r="Y37" i="38"/>
  <c r="U37" i="38"/>
  <c r="L37" i="38"/>
  <c r="I37" i="38"/>
  <c r="P37" i="38"/>
  <c r="R37" i="38"/>
  <c r="N37" i="38"/>
  <c r="M37" i="38"/>
  <c r="F106" i="38"/>
  <c r="W37" i="38"/>
  <c r="W105" i="38" s="1"/>
  <c r="V37" i="38"/>
  <c r="V105" i="38" s="1"/>
  <c r="E108" i="38"/>
  <c r="E31" i="44" s="1"/>
  <c r="E44" i="38"/>
  <c r="X37" i="38"/>
  <c r="X105" i="38" s="1"/>
  <c r="O44" i="38"/>
  <c r="L75" i="44" s="1"/>
  <c r="S37" i="38"/>
  <c r="S105" i="38" s="1"/>
  <c r="G58" i="44"/>
  <c r="G59" i="44" s="1"/>
  <c r="G44" i="38"/>
  <c r="K58" i="44"/>
  <c r="K59" i="44" s="1"/>
  <c r="L58" i="44"/>
  <c r="L59" i="44" s="1"/>
  <c r="I58" i="44"/>
  <c r="I59" i="44" s="1"/>
  <c r="T37" i="38"/>
  <c r="T105" i="38" s="1"/>
  <c r="K37" i="38"/>
  <c r="K105" i="38" s="1"/>
  <c r="H58" i="44"/>
  <c r="H59" i="44" s="1"/>
  <c r="H48" i="38" l="1"/>
  <c r="I79" i="44" s="1"/>
  <c r="G38" i="38"/>
  <c r="H62" i="44" s="1"/>
  <c r="H75" i="44"/>
  <c r="G9" i="40"/>
  <c r="E75" i="44"/>
  <c r="E9" i="40"/>
  <c r="F38" i="38"/>
  <c r="G62" i="44" s="1"/>
  <c r="G48" i="38"/>
  <c r="H79" i="44" s="1"/>
  <c r="H61" i="44"/>
  <c r="O38" i="38"/>
  <c r="L62" i="44" s="1"/>
  <c r="L61" i="44"/>
  <c r="O48" i="38"/>
  <c r="L79" i="44" s="1"/>
  <c r="F44" i="38"/>
  <c r="F9" i="40" s="1"/>
  <c r="G61" i="44"/>
  <c r="F48" i="38"/>
  <c r="G79" i="44" s="1"/>
  <c r="J48" i="38"/>
  <c r="K79" i="44" s="1"/>
  <c r="H38" i="38"/>
  <c r="I62" i="44" s="1"/>
  <c r="H44" i="38"/>
  <c r="H9" i="40" s="1"/>
  <c r="I61" i="44"/>
  <c r="J44" i="38"/>
  <c r="J9" i="40" s="1"/>
  <c r="J38" i="38"/>
  <c r="K62" i="44" s="1"/>
  <c r="K61" i="44"/>
  <c r="N44" i="38"/>
  <c r="N105" i="38"/>
  <c r="N106" i="38" s="1"/>
  <c r="L38" i="38"/>
  <c r="L105" i="38"/>
  <c r="L106" i="38" s="1"/>
  <c r="R38" i="38"/>
  <c r="R105" i="38"/>
  <c r="R106" i="38" s="1"/>
  <c r="U48" i="38"/>
  <c r="U105" i="38"/>
  <c r="U106" i="38" s="1"/>
  <c r="P44" i="38"/>
  <c r="P110" i="38" s="1"/>
  <c r="P105" i="38"/>
  <c r="P106" i="38" s="1"/>
  <c r="Y44" i="38"/>
  <c r="Y110" i="38" s="1"/>
  <c r="Y105" i="38"/>
  <c r="Y106" i="38" s="1"/>
  <c r="M105" i="38"/>
  <c r="M106" i="38" s="1"/>
  <c r="I38" i="38"/>
  <c r="I105" i="38"/>
  <c r="I106" i="38" s="1"/>
  <c r="Q48" i="38"/>
  <c r="Q105" i="38"/>
  <c r="Q106" i="38" s="1"/>
  <c r="P38" i="38"/>
  <c r="I48" i="38"/>
  <c r="M48" i="38"/>
  <c r="I44" i="38"/>
  <c r="M38" i="38"/>
  <c r="Q38" i="38"/>
  <c r="M44" i="38"/>
  <c r="Y48" i="38"/>
  <c r="R44" i="38"/>
  <c r="R46" i="38" s="1"/>
  <c r="U44" i="38"/>
  <c r="U46" i="38" s="1"/>
  <c r="R48" i="38"/>
  <c r="U38" i="38"/>
  <c r="P48" i="38"/>
  <c r="Y38" i="38"/>
  <c r="N38" i="38"/>
  <c r="N48" i="38"/>
  <c r="L48" i="38"/>
  <c r="L44" i="38"/>
  <c r="O110" i="38"/>
  <c r="L33" i="44" s="1"/>
  <c r="O46" i="38"/>
  <c r="W38" i="38"/>
  <c r="W48" i="38"/>
  <c r="W44" i="38"/>
  <c r="W106" i="38"/>
  <c r="X38" i="38"/>
  <c r="X44" i="38"/>
  <c r="X106" i="38"/>
  <c r="X48" i="38"/>
  <c r="K106" i="38"/>
  <c r="K44" i="38"/>
  <c r="K9" i="40" s="1"/>
  <c r="K48" i="38"/>
  <c r="K38" i="38"/>
  <c r="T48" i="38"/>
  <c r="T106" i="38"/>
  <c r="T38" i="38"/>
  <c r="T44" i="38"/>
  <c r="S48" i="38"/>
  <c r="S38" i="38"/>
  <c r="S106" i="38"/>
  <c r="S44" i="38"/>
  <c r="O106" i="38"/>
  <c r="E46" i="38"/>
  <c r="Q110" i="38"/>
  <c r="Q46" i="38"/>
  <c r="G110" i="38"/>
  <c r="H33" i="44" s="1"/>
  <c r="G46" i="38"/>
  <c r="J106" i="38"/>
  <c r="V106" i="38"/>
  <c r="V38" i="38"/>
  <c r="V44" i="38"/>
  <c r="V48" i="38"/>
  <c r="H46" i="38" l="1"/>
  <c r="M46" i="38"/>
  <c r="M9" i="40"/>
  <c r="L46" i="38"/>
  <c r="L9" i="40"/>
  <c r="I110" i="38"/>
  <c r="I9" i="40"/>
  <c r="N110" i="38"/>
  <c r="N9" i="40"/>
  <c r="F110" i="38"/>
  <c r="G75" i="44"/>
  <c r="H110" i="38"/>
  <c r="I33" i="44" s="1"/>
  <c r="I75" i="44"/>
  <c r="J46" i="38"/>
  <c r="K75" i="44"/>
  <c r="Y46" i="38"/>
  <c r="I76" i="44"/>
  <c r="K76" i="44"/>
  <c r="H76" i="44"/>
  <c r="E76" i="44"/>
  <c r="L76" i="44"/>
  <c r="F111" i="38"/>
  <c r="F46" i="38"/>
  <c r="P46" i="38"/>
  <c r="J110" i="38"/>
  <c r="K33" i="44" s="1"/>
  <c r="N46" i="38"/>
  <c r="M110" i="38"/>
  <c r="R110" i="38"/>
  <c r="I46" i="38"/>
  <c r="U110" i="38"/>
  <c r="L110" i="38"/>
  <c r="K46" i="38"/>
  <c r="K110" i="38"/>
  <c r="W46" i="38"/>
  <c r="W110" i="38"/>
  <c r="S110" i="38"/>
  <c r="S46" i="38"/>
  <c r="T46" i="38"/>
  <c r="T110" i="38"/>
  <c r="V110" i="38"/>
  <c r="V46" i="38"/>
  <c r="X110" i="38"/>
  <c r="X46" i="38"/>
  <c r="E122" i="38" l="1"/>
  <c r="F112" i="38"/>
  <c r="G33" i="44"/>
  <c r="I111" i="38"/>
  <c r="I112" i="38" s="1"/>
  <c r="H111" i="38"/>
  <c r="H112" i="38" s="1"/>
  <c r="G111" i="38"/>
  <c r="G112" i="38" s="1"/>
  <c r="G76" i="44"/>
  <c r="J111" i="38"/>
  <c r="J112" i="38" s="1"/>
  <c r="L111" i="38"/>
  <c r="L112" i="38" s="1"/>
  <c r="K111" i="38"/>
  <c r="K112" i="38" s="1"/>
  <c r="X111" i="38"/>
  <c r="X112" i="38" s="1"/>
  <c r="N111" i="38"/>
  <c r="N112" i="38" s="1"/>
  <c r="P111" i="38"/>
  <c r="P112" i="38" s="1"/>
  <c r="Y111" i="38"/>
  <c r="Y112" i="38" s="1"/>
  <c r="O111" i="38"/>
  <c r="O112" i="38" s="1"/>
  <c r="T111" i="38"/>
  <c r="T112" i="38" s="1"/>
  <c r="U111" i="38"/>
  <c r="U112" i="38" s="1"/>
  <c r="Q111" i="38"/>
  <c r="Q112" i="38" s="1"/>
  <c r="R111" i="38"/>
  <c r="R112" i="38" s="1"/>
  <c r="W111" i="38"/>
  <c r="W112" i="38" s="1"/>
  <c r="V111" i="38"/>
  <c r="V112" i="38" s="1"/>
  <c r="S111" i="38"/>
  <c r="S112" i="38" s="1"/>
  <c r="M111" i="38"/>
  <c r="M112" i="38" s="1"/>
  <c r="E123" i="38"/>
  <c r="E116" i="38" l="1"/>
  <c r="E124" i="38"/>
  <c r="E125" i="38" s="1"/>
  <c r="E113" i="38"/>
  <c r="E114" i="38" s="1"/>
  <c r="F41" i="36" l="1"/>
  <c r="AA10" i="44"/>
  <c r="E126" i="38" l="1"/>
  <c r="AA9" i="44" s="1"/>
  <c r="G41" i="36"/>
  <c r="E118" i="36" s="1"/>
  <c r="F118" i="36" s="1"/>
  <c r="F40" i="36" l="1"/>
  <c r="G40" i="36" s="1"/>
  <c r="E117" i="36" s="1"/>
  <c r="F117" i="36" s="1"/>
  <c r="AA6" i="44" l="1"/>
  <c r="AA8" i="44" s="1"/>
  <c r="F37" i="36" l="1"/>
  <c r="G37" i="36" s="1"/>
  <c r="E114" i="36" s="1"/>
  <c r="F114" i="36" s="1"/>
  <c r="F39" i="36" l="1"/>
  <c r="G39" i="36" s="1"/>
  <c r="E116" i="36" s="1"/>
  <c r="F116" i="36" s="1"/>
  <c r="E14" i="36" s="1"/>
  <c r="C3" i="44" s="1"/>
</calcChain>
</file>

<file path=xl/sharedStrings.xml><?xml version="1.0" encoding="utf-8"?>
<sst xmlns="http://schemas.openxmlformats.org/spreadsheetml/2006/main" count="494" uniqueCount="341">
  <si>
    <t xml:space="preserve">  Formula cell.  Developer may modify.</t>
  </si>
  <si>
    <t xml:space="preserve">  Hard-coded cell.  Developer may modify.</t>
  </si>
  <si>
    <t xml:space="preserve">  Calculated cell. User must not modify.</t>
  </si>
  <si>
    <t xml:space="preserve">  Cell must be linked to another worksheet.</t>
  </si>
  <si>
    <t>ModuleFactory@bts.com</t>
  </si>
  <si>
    <t>Calculations</t>
  </si>
  <si>
    <t>Set Up</t>
  </si>
  <si>
    <t>Inputs</t>
  </si>
  <si>
    <t>Calculation Cell Types</t>
  </si>
  <si>
    <t>Input Cell Types</t>
  </si>
  <si>
    <t>Legend</t>
  </si>
  <si>
    <t>For support contact:</t>
  </si>
  <si>
    <t>Strategic Initiatives</t>
  </si>
  <si>
    <t>Round</t>
  </si>
  <si>
    <t>Team Number</t>
  </si>
  <si>
    <t>Team Name</t>
  </si>
  <si>
    <t>HideRows</t>
  </si>
  <si>
    <t>Screen</t>
  </si>
  <si>
    <t>A1:Q19</t>
  </si>
  <si>
    <t>Price</t>
  </si>
  <si>
    <t>Product 1</t>
  </si>
  <si>
    <t>Gross Margin</t>
  </si>
  <si>
    <t>nmGrossMargin</t>
  </si>
  <si>
    <t>Gross Profit</t>
  </si>
  <si>
    <t>nmGrossProfit</t>
  </si>
  <si>
    <t>COGS</t>
  </si>
  <si>
    <t>nmCOGS</t>
  </si>
  <si>
    <t>Revenue</t>
  </si>
  <si>
    <t>nmRevenue</t>
  </si>
  <si>
    <t>nmInitiatives</t>
  </si>
  <si>
    <t>Marketing</t>
  </si>
  <si>
    <t>nmMarketing</t>
  </si>
  <si>
    <t>nmPrice</t>
  </si>
  <si>
    <t>Forecast</t>
  </si>
  <si>
    <t>nmForecast</t>
  </si>
  <si>
    <t>Seg C</t>
  </si>
  <si>
    <t>nmProd1Seg3</t>
  </si>
  <si>
    <t>Seg B</t>
  </si>
  <si>
    <t>nmProd1Seg2</t>
  </si>
  <si>
    <t>Seg A</t>
  </si>
  <si>
    <t>nmProd1Seg1</t>
  </si>
  <si>
    <t>nmProd1</t>
  </si>
  <si>
    <t>Mn</t>
  </si>
  <si>
    <t>nmMillion</t>
  </si>
  <si>
    <t>nmRound</t>
  </si>
  <si>
    <t>nmTeamNumber</t>
  </si>
  <si>
    <t>nmTeamName</t>
  </si>
  <si>
    <t>nmProgramSubtitle</t>
  </si>
  <si>
    <t>nmProgramTitle</t>
  </si>
  <si>
    <t>Language 3</t>
  </si>
  <si>
    <t>Language 2</t>
  </si>
  <si>
    <t>English</t>
  </si>
  <si>
    <t>Names</t>
  </si>
  <si>
    <t>cnstMillion</t>
  </si>
  <si>
    <t>Constants</t>
  </si>
  <si>
    <t>Inputs and Outputs</t>
  </si>
  <si>
    <t>glossaryLanguage</t>
  </si>
  <si>
    <t>Glossary Language</t>
  </si>
  <si>
    <t>Glossary</t>
  </si>
  <si>
    <t>Active String</t>
  </si>
  <si>
    <t>String</t>
  </si>
  <si>
    <t>Dashboard 5</t>
  </si>
  <si>
    <t>Dashboard 4</t>
  </si>
  <si>
    <t>Dashboard 3</t>
  </si>
  <si>
    <t>Dashboard 2</t>
  </si>
  <si>
    <t>Dashboard 1</t>
  </si>
  <si>
    <t>DB_SubWhiteSpace</t>
  </si>
  <si>
    <t>Sub Value Space</t>
  </si>
  <si>
    <t>DB_LargeWhiteSpace</t>
  </si>
  <si>
    <t>Large White Space</t>
  </si>
  <si>
    <t>DB_WhiteSpace</t>
  </si>
  <si>
    <t xml:space="preserve">White Space </t>
  </si>
  <si>
    <t>DB_ArrayDash5Values</t>
  </si>
  <si>
    <t>DB_ArrayDash5Names</t>
  </si>
  <si>
    <t>Formatted Sub Raw Value</t>
  </si>
  <si>
    <t>Sub Raw Value</t>
  </si>
  <si>
    <t>Formatted Value</t>
  </si>
  <si>
    <t>Raw Value</t>
  </si>
  <si>
    <t>Active</t>
  </si>
  <si>
    <t>KPI Name</t>
  </si>
  <si>
    <t>DB_ArrayDash4Values</t>
  </si>
  <si>
    <t>DB_ArrayDash4Names</t>
  </si>
  <si>
    <t>DB_ArrayDash3Values</t>
  </si>
  <si>
    <t>DB_ArrayDash3Names</t>
  </si>
  <si>
    <t>DB_ArrayDash2Values</t>
  </si>
  <si>
    <t>DB_ArrayDash2Names</t>
  </si>
  <si>
    <t>DB_ArrayDash1Values</t>
  </si>
  <si>
    <t>DB_ArrayDash1Names</t>
  </si>
  <si>
    <t>DB_SubWhiteSpaceLength</t>
  </si>
  <si>
    <t>Sub Value Space Length</t>
  </si>
  <si>
    <t>DB_LargeWhiteSpaceLength</t>
  </si>
  <si>
    <t>Large White Space Length</t>
  </si>
  <si>
    <t>DB_WhiteSpaceLength</t>
  </si>
  <si>
    <t>White Space Length</t>
  </si>
  <si>
    <t>DB_Dashboard5</t>
  </si>
  <si>
    <t>DB_Dashboard4</t>
  </si>
  <si>
    <t>DB_Dashboard3</t>
  </si>
  <si>
    <t>DB_Dashboard2</t>
  </si>
  <si>
    <t>DB_Dashboard1</t>
  </si>
  <si>
    <t>Outputs</t>
  </si>
  <si>
    <t>DashBoard</t>
  </si>
  <si>
    <t>Chevron</t>
  </si>
  <si>
    <t>Production</t>
  </si>
  <si>
    <t>OpEx</t>
  </si>
  <si>
    <t>Reserves</t>
  </si>
  <si>
    <t>Reserves Added</t>
  </si>
  <si>
    <t>Total Reserves</t>
  </si>
  <si>
    <t>Reserves Produced</t>
  </si>
  <si>
    <t>Production Added</t>
  </si>
  <si>
    <t>Total Production</t>
  </si>
  <si>
    <t>Capital Expenditures</t>
  </si>
  <si>
    <t>DD&amp;A</t>
  </si>
  <si>
    <t>Operating Earnings</t>
  </si>
  <si>
    <t>Tax</t>
  </si>
  <si>
    <t>Net Earnings</t>
  </si>
  <si>
    <t>Cash Margin</t>
  </si>
  <si>
    <t>Cash Flow</t>
  </si>
  <si>
    <t>NPV</t>
  </si>
  <si>
    <t>PV Investment</t>
  </si>
  <si>
    <t>OpEx ($/BBL)</t>
  </si>
  <si>
    <t>Start</t>
  </si>
  <si>
    <t>End</t>
  </si>
  <si>
    <t>CalcResOpening</t>
  </si>
  <si>
    <t>CalcResAdded</t>
  </si>
  <si>
    <t>CalcResProduced</t>
  </si>
  <si>
    <t>CalcResClosing</t>
  </si>
  <si>
    <t>CalcProdAdded</t>
  </si>
  <si>
    <t>CalcProdClosing</t>
  </si>
  <si>
    <t>finStartRef</t>
  </si>
  <si>
    <t>finEndRef</t>
  </si>
  <si>
    <t>Capital Employed</t>
  </si>
  <si>
    <t>Production Rate</t>
  </si>
  <si>
    <t>Production Rate Added</t>
  </si>
  <si>
    <t>Total Production Rate</t>
  </si>
  <si>
    <t>Change in Working Capital</t>
  </si>
  <si>
    <t>FinResOpening</t>
  </si>
  <si>
    <t>FinResAdded</t>
  </si>
  <si>
    <t>FinResProduced</t>
  </si>
  <si>
    <t>FinResClosing</t>
  </si>
  <si>
    <t>FinProdOpening</t>
  </si>
  <si>
    <t>FinProdAdded</t>
  </si>
  <si>
    <t>FinProdClosing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</si>
  <si>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</si>
  <si>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</si>
  <si>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</si>
  <si>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</si>
  <si>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</si>
  <si>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</si>
  <si>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</si>
  <si>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</si>
  <si>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</si>
  <si>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</si>
  <si>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ROCE</t>
  </si>
  <si>
    <t>finRefYear</t>
  </si>
  <si>
    <t>CalcRefQuarter</t>
  </si>
  <si>
    <t>FinCapExClosing</t>
  </si>
  <si>
    <t>BaseRes</t>
  </si>
  <si>
    <t>BaseProdRate</t>
  </si>
  <si>
    <t>BaseCapEmp</t>
  </si>
  <si>
    <t>BaseOpEx</t>
  </si>
  <si>
    <t>BaseDD&amp;A</t>
  </si>
  <si>
    <t>Fin</t>
  </si>
  <si>
    <t>FinCapEmpClosing</t>
  </si>
  <si>
    <t>FinCapEmpOpening</t>
  </si>
  <si>
    <t>FinDDAClosing</t>
  </si>
  <si>
    <t>Year 0</t>
  </si>
  <si>
    <t>Reliability / Uptime</t>
  </si>
  <si>
    <t>Total Costs</t>
  </si>
  <si>
    <t>Project Cash Flow</t>
  </si>
  <si>
    <t>Project Capital Expenditures</t>
  </si>
  <si>
    <t>Operating Expenses</t>
  </si>
  <si>
    <t>Chevron Financial Fluency Tool</t>
  </si>
  <si>
    <t>Part One</t>
  </si>
  <si>
    <t>finStart2Ref</t>
  </si>
  <si>
    <t>finStart3Ref</t>
  </si>
  <si>
    <t>CalcProdRateOpening</t>
  </si>
  <si>
    <t>CalcProdRateAdded</t>
  </si>
  <si>
    <t>CalcProdRateClosing</t>
  </si>
  <si>
    <t>DPI Chart</t>
  </si>
  <si>
    <t>Baseline</t>
  </si>
  <si>
    <t>FinOpExBBL</t>
  </si>
  <si>
    <t>FinOpEx</t>
  </si>
  <si>
    <t>BaseRel</t>
  </si>
  <si>
    <t>FinRev</t>
  </si>
  <si>
    <t>FinOpEarn</t>
  </si>
  <si>
    <t>FinTax</t>
  </si>
  <si>
    <t>FinNetEarn</t>
  </si>
  <si>
    <t>Royalties</t>
  </si>
  <si>
    <t>BaseTax</t>
  </si>
  <si>
    <t>BaseRoyalty</t>
  </si>
  <si>
    <t>FinRoyalty</t>
  </si>
  <si>
    <t>FinNetEarnBBL</t>
  </si>
  <si>
    <t>Inventory</t>
  </si>
  <si>
    <t>BaseInv</t>
  </si>
  <si>
    <t>FinWorkingCap</t>
  </si>
  <si>
    <t>FinWorkingCapDelta</t>
  </si>
  <si>
    <t>FinCashFlow</t>
  </si>
  <si>
    <t>FinCashMargin</t>
  </si>
  <si>
    <t>CalcCapExClosing</t>
  </si>
  <si>
    <t>FinProdBBL</t>
  </si>
  <si>
    <t>FinROCE</t>
  </si>
  <si>
    <t>Min Schedule</t>
  </si>
  <si>
    <t>FinBaseResOpening</t>
  </si>
  <si>
    <t>FinBaseResAdded</t>
  </si>
  <si>
    <t>FinBaseResProduced</t>
  </si>
  <si>
    <t>FinBaseResClosing</t>
  </si>
  <si>
    <t>FinBaseProdOpening</t>
  </si>
  <si>
    <t>FinBaseProdAdded</t>
  </si>
  <si>
    <t>FinBaseProdClosing</t>
  </si>
  <si>
    <t>FinBaseProdBBL</t>
  </si>
  <si>
    <t>FinBaseCapEmpOpening</t>
  </si>
  <si>
    <t>FinBaseCapExClosing</t>
  </si>
  <si>
    <t>FinBaseDDAClosing</t>
  </si>
  <si>
    <t>FinBaseCapEmpClosing</t>
  </si>
  <si>
    <t>FinBaseRev</t>
  </si>
  <si>
    <t>FinBaseRoyalty</t>
  </si>
  <si>
    <t>FinBaseOpExBBL</t>
  </si>
  <si>
    <t>FinBaseOpEx</t>
  </si>
  <si>
    <t>FinBaseOpEarn</t>
  </si>
  <si>
    <t>FinBaseTax</t>
  </si>
  <si>
    <t>FinBaseNetEarn</t>
  </si>
  <si>
    <t>FinBaseNetEarnBBL</t>
  </si>
  <si>
    <t>FinBaseWorkingCap</t>
  </si>
  <si>
    <t>FinBaseWorkingCapDelta</t>
  </si>
  <si>
    <t>FinBaseCashFlow</t>
  </si>
  <si>
    <t>FinBaseCashMargin</t>
  </si>
  <si>
    <t>FinBaseROCE</t>
  </si>
  <si>
    <t>Delta</t>
  </si>
  <si>
    <t>finDeltaCashFlow</t>
  </si>
  <si>
    <t>Discounted Project Cost</t>
  </si>
  <si>
    <t>Working Capital</t>
  </si>
  <si>
    <t>Royalties &amp; Taxes</t>
  </si>
  <si>
    <t>Business Unit P&amp;L</t>
  </si>
  <si>
    <t>Working Capital Days</t>
  </si>
  <si>
    <t>CalcOpExBBL</t>
  </si>
  <si>
    <t>CalcOpEx</t>
  </si>
  <si>
    <t>Project Cost</t>
  </si>
  <si>
    <t>finDeltaCapEx</t>
  </si>
  <si>
    <t>finNPV</t>
  </si>
  <si>
    <t>finPV</t>
  </si>
  <si>
    <t>Working Capital Perc</t>
  </si>
  <si>
    <t>CalcWorkingCap</t>
  </si>
  <si>
    <t>CalcWorkingCapPerc</t>
  </si>
  <si>
    <t>CalcSchedCapEx</t>
  </si>
  <si>
    <t>Working Capital Base</t>
  </si>
  <si>
    <t>Base Production</t>
  </si>
  <si>
    <t>CalcProdBase</t>
  </si>
  <si>
    <t>CalcWorkingCapBase</t>
  </si>
  <si>
    <t>1.3 Hurdle</t>
  </si>
  <si>
    <t>1.5 Hurdle</t>
  </si>
  <si>
    <t>Project Financials</t>
  </si>
  <si>
    <t>finDeltaProd</t>
  </si>
  <si>
    <t>finDeltaRev</t>
  </si>
  <si>
    <t>finDeltaProdBBL</t>
  </si>
  <si>
    <t>finDeltaOpEx</t>
  </si>
  <si>
    <t>finDeltaTaxRoyalty</t>
  </si>
  <si>
    <t>finDeltaDDA</t>
  </si>
  <si>
    <t>finDeltaNetEarn</t>
  </si>
  <si>
    <t>Net Earnings (BBL)</t>
  </si>
  <si>
    <t>finDeltaNetEarnBBL</t>
  </si>
  <si>
    <t>A1:S80</t>
  </si>
  <si>
    <t>BU Financials</t>
  </si>
  <si>
    <t>CalcProjFin</t>
  </si>
  <si>
    <t>CalcBUFin</t>
  </si>
  <si>
    <t>Change in Working Cap</t>
  </si>
  <si>
    <t>finDeltaWorkingCapDelta</t>
  </si>
  <si>
    <t>Project NPV:</t>
  </si>
  <si>
    <t>Project Investment PV:</t>
  </si>
  <si>
    <t>Project DPI:</t>
  </si>
  <si>
    <t>Production Profile</t>
  </si>
  <si>
    <t>CalcProdProfile</t>
  </si>
  <si>
    <t>Production Profile Reference</t>
  </si>
  <si>
    <t>CalcProdProfileRef</t>
  </si>
  <si>
    <t>Added Reserves Remaining</t>
  </si>
  <si>
    <t>Added Reserves Produced</t>
  </si>
  <si>
    <t>CalcResAddRem</t>
  </si>
  <si>
    <t>CalcResAddProd</t>
  </si>
  <si>
    <t>CalcResAddClosing</t>
  </si>
  <si>
    <t>Added Reserves Closing</t>
  </si>
  <si>
    <t>Production Added Final</t>
  </si>
  <si>
    <t>IRR</t>
  </si>
  <si>
    <t>finIRR</t>
  </si>
  <si>
    <t xml:space="preserve">Project IRR: </t>
  </si>
  <si>
    <t>Scenario 1</t>
  </si>
  <si>
    <t>Scenario 2</t>
  </si>
  <si>
    <t>Project IRR</t>
  </si>
  <si>
    <t>tlOutputDash1</t>
  </si>
  <si>
    <t>tlOutputDash2</t>
  </si>
  <si>
    <t>tlOutputDash3</t>
  </si>
  <si>
    <t>tlOutputDash4</t>
  </si>
  <si>
    <t>GraphOutput</t>
  </si>
  <si>
    <t>E1:N16</t>
  </si>
  <si>
    <t>Compare</t>
  </si>
  <si>
    <t>AA51:AH75</t>
  </si>
  <si>
    <t>Final Validator</t>
  </si>
  <si>
    <t>Payback (Years)</t>
  </si>
  <si>
    <t>Cumulative Cash Flow</t>
  </si>
  <si>
    <t>finDeltaCumCashFlow</t>
  </si>
  <si>
    <t>Payback</t>
  </si>
  <si>
    <t>finDeltaPaybackYearMark</t>
  </si>
  <si>
    <t>Payback Year</t>
  </si>
  <si>
    <t>finPayback</t>
  </si>
  <si>
    <t>Payback Year Final</t>
  </si>
  <si>
    <t>finPaybackFinal</t>
  </si>
  <si>
    <t>tlOutputDash5</t>
  </si>
  <si>
    <t>Proect Payback:</t>
  </si>
  <si>
    <t>tlOutputResetSched</t>
  </si>
  <si>
    <t>tlOutputResetCapEx</t>
  </si>
  <si>
    <t>tlOutputResetProd</t>
  </si>
  <si>
    <t>tlOutputResetRes</t>
  </si>
  <si>
    <t>tlOutputResetRel</t>
  </si>
  <si>
    <t>tlOutputResetOpEx</t>
  </si>
  <si>
    <t>tlOutputResetNetback</t>
  </si>
  <si>
    <t>tlOutputResetWorkingCap</t>
  </si>
  <si>
    <t>Break Even Price</t>
  </si>
  <si>
    <t>Scenario 3</t>
  </si>
  <si>
    <t>Scenario 4</t>
  </si>
  <si>
    <t>Resource Price</t>
  </si>
  <si>
    <t>Recoverable Resource</t>
  </si>
  <si>
    <t>Error IRR</t>
  </si>
  <si>
    <t>IRR Too Big</t>
  </si>
  <si>
    <t>Project NPV10</t>
  </si>
  <si>
    <t>Project Investment PV10</t>
  </si>
  <si>
    <t>Project Incremental DPI</t>
  </si>
  <si>
    <t>Project Schedule (Duration)</t>
  </si>
  <si>
    <t>Peak Production Rate</t>
  </si>
  <si>
    <t>Royalty</t>
  </si>
  <si>
    <t>Income Tax</t>
  </si>
  <si>
    <t>CapEx</t>
  </si>
  <si>
    <t>Net Cash Flow</t>
  </si>
  <si>
    <t>Section Removed</t>
  </si>
  <si>
    <t>Business Unit Net Cash Flow</t>
  </si>
  <si>
    <t>finDeltaRoyalty</t>
  </si>
  <si>
    <t>LMS related range names</t>
  </si>
  <si>
    <t>LMS_FINISHED</t>
  </si>
  <si>
    <t>LMS_HIT</t>
  </si>
  <si>
    <t>LMS_NAME</t>
  </si>
  <si>
    <t>LMS_NICK_NAME</t>
  </si>
  <si>
    <t>LMS_OTHER_TEXT</t>
  </si>
  <si>
    <t>LMS_SCORE</t>
  </si>
  <si>
    <t>tlInput_LMS_FINISHED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</si>
</sst>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_-* #,##0_-;\-* #,##0_-;_-* &quot;-&quot;_-;_-@_-"/>
    <numFmt numFmtId="165" formatCode="_-* #,##0.00_-;\-* #,##0.00_-;_-* &quot;-&quot;??_-;_-@_-"/>
    <numFmt numFmtId="166" formatCode="#,##0.00\ &quot;mk&quot;;[Red]\-#,##0.00\ &quot;mk&quot;"/>
    <numFmt numFmtId="167" formatCode="\ #,##0_);\ \(#,##0\);_(* &quot;-&quot;??_);_(@_)"/>
    <numFmt numFmtId="168" formatCode="#,##0.0_);\(#,##0.0\)"/>
    <numFmt numFmtId="169" formatCode="#,##0,_);\ \(#,##0,\);_(* &quot;-&quot;_);_(@_)"/>
    <numFmt numFmtId="170" formatCode="#,###.##,,_);\ \(#,##0,,\);_(* &quot;-&quot;_);_(@_)"/>
    <numFmt numFmtId="171" formatCode="#,##0,,_);\ \(#,##0,,\);_(* &quot;-&quot;_);_(@_)"/>
    <numFmt numFmtId="172" formatCode="_(* #,##0.0_);_(* \(#,##0.0\);_(* &quot;-&quot;?_);_(@_)"/>
    <numFmt numFmtId="173" formatCode="0%\ \ "/>
    <numFmt numFmtId="174" formatCode="_(&quot;$&quot;\ #,##0,_);_(&quot;$&quot;\ \ \(#,##0,\);_(&quot;$&quot;\ &quot;-&quot;_);_(@_)"/>
    <numFmt numFmtId="175" formatCode="mmm\ dd\ &quot;Year&quot;\ yy"/>
    <numFmt numFmtId="176" formatCode="_([$€-2]* #,##0.00_);_([$€-2]* \(#,##0.00\);_([$€-2]* &quot;-&quot;??_)"/>
    <numFmt numFmtId="177" formatCode="#,###,;\(#,###,\);_(* &quot;-&quot;_);_(@_)"/>
    <numFmt numFmtId="178" formatCode="0.00_)"/>
    <numFmt numFmtId="179" formatCode="0.0%"/>
    <numFmt numFmtId="180" formatCode="#,##0.0,&quot; MBD&quot;"/>
    <numFmt numFmtId="181" formatCode="0.00&quot; Years&quot;"/>
    <numFmt numFmtId="182" formatCode="&quot;$&quot;#,##0&quot; MM&quot;"/>
    <numFmt numFmtId="183" formatCode="&quot;$&quot;#,##0.0,,&quot; MM&quot;"/>
    <numFmt numFmtId="184" formatCode="&quot;$&quot;#,##0,,&quot; MM&quot;"/>
    <numFmt numFmtId="185" formatCode="&quot;$&quot;#,##0.00"/>
    <numFmt numFmtId="186" formatCode="0,&quot; MBD&quot;"/>
    <numFmt numFmtId="187" formatCode="0.0&quot; MBD&quot;"/>
    <numFmt numFmtId="188" formatCode="&quot;$&quot;#,##0.00&quot; / BBL&quot;"/>
    <numFmt numFmtId="189" formatCode="&quot;$&quot;#,##0\ &quot;MM&quot;"/>
    <numFmt numFmtId="190" formatCode="0&quot; MMBBL&quot;"/>
    <numFmt numFmtId="191" formatCode="0&quot; Days&quot;"/>
    <numFmt numFmtId="192" formatCode="&quot;$&quot;#,##0.00&quot;/BBL&quot;"/>
    <numFmt numFmtId="193" formatCode="0.0,&quot; MBD&quot;"/>
    <numFmt numFmtId="194" formatCode="#,##0\ &quot;Years&quot;"/>
    <numFmt numFmtId="195" formatCode="#,##0&quot; Years&quot;"/>
  </numFmts>
  <fonts count="61">
    <font>
      <sz val="11"/>
      <color theme="1"/>
      <name val="Verdana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1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11"/>
      <color theme="0"/>
      <name val="Verdana"/>
      <family val="2"/>
    </font>
    <font>
      <b/>
      <sz val="11"/>
      <color theme="1"/>
      <name val="Verdana"/>
      <family val="2"/>
    </font>
    <font>
      <sz val="11"/>
      <color theme="1"/>
      <name val="Verdana"/>
      <family val="2"/>
      <scheme val="minor"/>
    </font>
    <font>
      <sz val="10"/>
      <name val="MS Sans Serif"/>
      <family val="2"/>
    </font>
    <font>
      <sz val="8"/>
      <name val="Arial"/>
      <family val="2"/>
    </font>
    <font>
      <sz val="10"/>
      <name val="Arial Black"/>
      <family val="2"/>
    </font>
    <font>
      <b/>
      <sz val="9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9"/>
      <name val="Arial"/>
      <family val="2"/>
    </font>
    <font>
      <sz val="10"/>
      <name val="Helv"/>
    </font>
    <font>
      <sz val="9"/>
      <name val="Arial Rounded MT Bold"/>
      <family val="2"/>
    </font>
    <font>
      <b/>
      <sz val="10"/>
      <name val="Helv"/>
    </font>
    <font>
      <b/>
      <sz val="18"/>
      <name val="Garamond"/>
      <family val="1"/>
    </font>
    <font>
      <sz val="7"/>
      <name val="Small Fonts"/>
      <family val="2"/>
    </font>
    <font>
      <b/>
      <i/>
      <sz val="16"/>
      <name val="Helv"/>
    </font>
    <font>
      <sz val="12"/>
      <color theme="1"/>
      <name val="Open Sans"/>
      <family val="2"/>
    </font>
    <font>
      <b/>
      <sz val="12"/>
      <name val="Garamond"/>
      <family val="1"/>
    </font>
    <font>
      <sz val="11"/>
      <color theme="1"/>
      <name val="Verdana"/>
      <family val="2"/>
    </font>
    <font>
      <sz val="11"/>
      <name val="Verdana"/>
      <family val="2"/>
    </font>
    <font>
      <u/>
      <sz val="11"/>
      <color theme="10"/>
      <name val="Verdana"/>
      <family val="2"/>
      <scheme val="minor"/>
    </font>
    <font>
      <u/>
      <sz val="11"/>
      <color theme="10"/>
      <name val="Verdana"/>
      <family val="2"/>
    </font>
    <font>
      <b/>
      <sz val="11"/>
      <color theme="0"/>
      <name val="Verdana"/>
      <family val="2"/>
    </font>
    <font>
      <b/>
      <sz val="11"/>
      <name val="Verdana"/>
      <family val="2"/>
    </font>
    <font>
      <sz val="12"/>
      <color theme="0"/>
      <name val="Verdana"/>
      <family val="2"/>
    </font>
    <font>
      <i/>
      <sz val="11"/>
      <color theme="1"/>
      <name val="Verdana"/>
      <family val="2"/>
    </font>
    <font>
      <sz val="12"/>
      <color theme="1"/>
      <name val="Verdana"/>
      <family val="2"/>
    </font>
    <font>
      <b/>
      <sz val="16"/>
      <color theme="5"/>
      <name val="Verdana"/>
      <family val="2"/>
    </font>
    <font>
      <b/>
      <i/>
      <sz val="14"/>
      <color theme="0"/>
      <name val="Verdana"/>
      <family val="2"/>
    </font>
    <font>
      <sz val="22"/>
      <color theme="5"/>
      <name val="Verdana"/>
      <family val="2"/>
    </font>
    <font>
      <sz val="36"/>
      <color theme="2"/>
      <name val="Verdana"/>
      <family val="2"/>
    </font>
    <font>
      <b/>
      <sz val="12"/>
      <color theme="0"/>
      <name val="Verdana"/>
      <family val="2"/>
    </font>
    <font>
      <sz val="12"/>
      <name val="Verdana"/>
      <family val="2"/>
    </font>
    <font>
      <b/>
      <sz val="12"/>
      <color theme="1"/>
      <name val="Verdana"/>
      <family val="2"/>
    </font>
    <font>
      <sz val="12"/>
      <color theme="0" tint="-0.34998626667073579"/>
      <name val="Verdana"/>
      <family val="2"/>
    </font>
    <font>
      <sz val="10"/>
      <color theme="0"/>
      <name val="Verdana"/>
      <family val="2"/>
    </font>
    <font>
      <b/>
      <sz val="10"/>
      <color theme="1"/>
      <name val="Verdana"/>
      <family val="2"/>
    </font>
    <font>
      <i/>
      <sz val="10"/>
      <color theme="1"/>
      <name val="Verdana"/>
      <family val="2"/>
    </font>
    <font>
      <sz val="8"/>
      <name val="Arial"/>
    </font>
    <font>
      <b/>
      <sz val="10"/>
      <name val="Verdana"/>
      <family val="2"/>
    </font>
    <font>
      <sz val="20"/>
      <color theme="5"/>
      <name val="Verdana"/>
      <family val="2"/>
    </font>
    <font>
      <sz val="10"/>
      <color theme="1" tint="0.499984740745262"/>
      <name val="Verdana"/>
      <family val="2"/>
    </font>
    <font>
      <b/>
      <sz val="10"/>
      <color theme="1" tint="0.499984740745262"/>
      <name val="Verdana"/>
      <family val="2"/>
    </font>
    <font>
      <i/>
      <sz val="10"/>
      <color theme="1" tint="0.499984740745262"/>
      <name val="Verdana"/>
      <family val="2"/>
    </font>
    <font>
      <b/>
      <sz val="11"/>
      <color theme="1"/>
      <name val="Verdana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lightGray">
        <fgColor indexed="13"/>
        <bgColor indexed="43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3"/>
      </left>
      <right style="medium">
        <color indexed="9"/>
      </right>
      <top style="medium">
        <color indexed="63"/>
      </top>
      <bottom style="medium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55"/>
      </right>
      <top style="medium">
        <color indexed="64"/>
      </top>
      <bottom style="medium">
        <color indexed="55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0"/>
      </right>
      <top/>
      <bottom/>
      <diagonal/>
    </border>
    <border>
      <left/>
      <right style="hair">
        <color theme="5"/>
      </right>
      <top/>
      <bottom style="hair">
        <color theme="5"/>
      </bottom>
      <diagonal/>
    </border>
    <border>
      <left/>
      <right/>
      <top/>
      <bottom style="hair">
        <color theme="5"/>
      </bottom>
      <diagonal/>
    </border>
    <border>
      <left style="hair">
        <color theme="5"/>
      </left>
      <right/>
      <top/>
      <bottom style="hair">
        <color theme="5"/>
      </bottom>
      <diagonal/>
    </border>
    <border>
      <left/>
      <right style="hair">
        <color theme="5"/>
      </right>
      <top/>
      <bottom/>
      <diagonal/>
    </border>
    <border>
      <left style="hair">
        <color theme="5"/>
      </left>
      <right/>
      <top/>
      <bottom/>
      <diagonal/>
    </border>
    <border>
      <left/>
      <right/>
      <top/>
      <bottom style="medium">
        <color theme="3" tint="0.79998168889431442"/>
      </bottom>
      <diagonal/>
    </border>
    <border>
      <left/>
      <right style="hair">
        <color theme="5"/>
      </right>
      <top style="hair">
        <color theme="5"/>
      </top>
      <bottom/>
      <diagonal/>
    </border>
    <border>
      <left/>
      <right/>
      <top style="hair">
        <color theme="5"/>
      </top>
      <bottom/>
      <diagonal/>
    </border>
    <border>
      <left style="hair">
        <color theme="5"/>
      </left>
      <right/>
      <top style="hair">
        <color theme="5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ck">
        <color theme="0"/>
      </right>
      <top style="hair">
        <color theme="8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theme="0"/>
      </left>
      <right style="thick">
        <color theme="0"/>
      </right>
      <top/>
      <bottom style="thin">
        <color theme="0"/>
      </bottom>
      <diagonal/>
    </border>
    <border>
      <left style="thick">
        <color theme="0"/>
      </left>
      <right style="thick">
        <color theme="0"/>
      </right>
      <top/>
      <bottom style="thin">
        <color theme="9"/>
      </bottom>
      <diagonal/>
    </border>
    <border>
      <left/>
      <right style="thick">
        <color theme="0"/>
      </right>
      <top/>
      <bottom style="thin">
        <color theme="9"/>
      </bottom>
      <diagonal/>
    </border>
    <border>
      <left/>
      <right/>
      <top/>
      <bottom style="hair">
        <color theme="8"/>
      </bottom>
      <diagonal/>
    </border>
    <border>
      <left style="thin">
        <color theme="0"/>
      </left>
      <right style="thick">
        <color theme="0"/>
      </right>
      <top style="hair">
        <color theme="8"/>
      </top>
      <bottom/>
      <diagonal/>
    </border>
    <border>
      <left style="thin">
        <color theme="0"/>
      </left>
      <right style="thick">
        <color theme="0"/>
      </right>
      <top/>
      <bottom style="hair">
        <color theme="8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hair">
        <color theme="8"/>
      </bottom>
      <diagonal/>
    </border>
    <border>
      <left style="thin">
        <color theme="0"/>
      </left>
      <right style="thick">
        <color theme="0"/>
      </right>
      <top/>
      <bottom/>
      <diagonal/>
    </border>
    <border>
      <left style="thin">
        <color theme="0"/>
      </left>
      <right/>
      <top/>
      <bottom style="hair">
        <color theme="8"/>
      </bottom>
      <diagonal/>
    </border>
    <border>
      <left style="thin">
        <color theme="0"/>
      </left>
      <right/>
      <top/>
      <bottom/>
      <diagonal/>
    </border>
  </borders>
  <cellStyleXfs count="175">
    <xf numFmtId="0" fontId="0" fillId="0" borderId="0"/>
    <xf numFmtId="0" fontId="16" fillId="0" borderId="0"/>
    <xf numFmtId="1" fontId="17" fillId="0" borderId="0"/>
    <xf numFmtId="0" fontId="18" fillId="6" borderId="0" applyFont="0" applyFill="0" applyBorder="0" applyAlignment="0" applyProtection="0"/>
    <xf numFmtId="0" fontId="18" fillId="6" borderId="0" applyFont="0" applyFill="0" applyBorder="0" applyAlignment="0" applyProtection="0"/>
    <xf numFmtId="0" fontId="19" fillId="7" borderId="10" applyNumberFormat="0" applyFont="0" applyProtection="0"/>
    <xf numFmtId="0" fontId="19" fillId="7" borderId="10" applyNumberFormat="0" applyFont="0" applyProtection="0"/>
    <xf numFmtId="0" fontId="19" fillId="7" borderId="11" applyNumberFormat="0" applyFont="0" applyProtection="0"/>
    <xf numFmtId="0" fontId="19" fillId="7" borderId="11" applyNumberFormat="0" applyFont="0" applyProtection="0"/>
    <xf numFmtId="0" fontId="19" fillId="7" borderId="11" applyFont="0"/>
    <xf numFmtId="0" fontId="19" fillId="7" borderId="11" applyFont="0"/>
    <xf numFmtId="0" fontId="20" fillId="6" borderId="10" applyNumberFormat="0" applyFont="0"/>
    <xf numFmtId="0" fontId="20" fillId="6" borderId="10" applyNumberFormat="0" applyFont="0"/>
    <xf numFmtId="0" fontId="20" fillId="6" borderId="11" applyNumberFormat="0" applyFont="0"/>
    <xf numFmtId="0" fontId="20" fillId="6" borderId="11" applyNumberFormat="0" applyFont="0"/>
    <xf numFmtId="0" fontId="18" fillId="8" borderId="0" applyNumberFormat="0" applyFont="0" applyBorder="0" applyAlignment="0"/>
    <xf numFmtId="0" fontId="18" fillId="8" borderId="0" applyNumberFormat="0" applyFont="0" applyBorder="0" applyAlignment="0"/>
    <xf numFmtId="0" fontId="18" fillId="9" borderId="0" applyNumberFormat="0" applyFont="0" applyBorder="0" applyAlignment="0">
      <protection locked="0"/>
    </xf>
    <xf numFmtId="0" fontId="18" fillId="9" borderId="0" applyNumberFormat="0" applyFont="0" applyBorder="0" applyAlignment="0">
      <protection locked="0"/>
    </xf>
    <xf numFmtId="0" fontId="21" fillId="0" borderId="12">
      <alignment horizontal="center"/>
    </xf>
    <xf numFmtId="166" fontId="22" fillId="0" borderId="0"/>
    <xf numFmtId="166" fontId="22" fillId="0" borderId="0"/>
    <xf numFmtId="166" fontId="22" fillId="0" borderId="0"/>
    <xf numFmtId="166" fontId="22" fillId="0" borderId="0"/>
    <xf numFmtId="166" fontId="22" fillId="0" borderId="0"/>
    <xf numFmtId="166" fontId="22" fillId="0" borderId="0"/>
    <xf numFmtId="166" fontId="22" fillId="0" borderId="0"/>
    <xf numFmtId="166" fontId="22" fillId="0" borderId="0"/>
    <xf numFmtId="164" fontId="22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7" fontId="21" fillId="10" borderId="1" applyFont="0" applyFill="0" applyBorder="0" applyAlignment="0" applyProtection="0">
      <alignment horizontal="center"/>
      <protection locked="0"/>
    </xf>
    <xf numFmtId="167" fontId="21" fillId="10" borderId="1" applyFont="0" applyFill="0" applyBorder="0" applyAlignment="0" applyProtection="0">
      <alignment horizontal="center"/>
      <protection locked="0"/>
    </xf>
    <xf numFmtId="168" fontId="22" fillId="0" borderId="0" applyFont="0" applyFill="0" applyBorder="0" applyAlignment="0" applyProtection="0">
      <alignment horizontal="center"/>
    </xf>
    <xf numFmtId="169" fontId="23" fillId="0" borderId="0" applyFont="0" applyFill="0" applyBorder="0" applyAlignment="0" applyProtection="0"/>
    <xf numFmtId="170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171" fontId="18" fillId="0" borderId="0" applyFont="0" applyFill="0" applyBorder="0" applyAlignment="0" applyProtection="0"/>
    <xf numFmtId="171" fontId="18" fillId="0" borderId="0" applyFont="0" applyFill="0" applyBorder="0" applyAlignment="0" applyProtection="0"/>
    <xf numFmtId="0" fontId="23" fillId="0" borderId="0" applyFont="0" applyFill="0" applyBorder="0" applyAlignment="0" applyProtection="0"/>
    <xf numFmtId="172" fontId="24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165" fontId="16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37" fontId="25" fillId="11" borderId="13" applyFont="0" applyFill="0" applyBorder="0" applyAlignment="0" applyProtection="0">
      <alignment horizontal="centerContinuous" vertical="center"/>
    </xf>
    <xf numFmtId="0" fontId="22" fillId="7" borderId="11" applyFont="0" applyFill="0" applyBorder="0" applyAlignment="0" applyProtection="0">
      <alignment horizontal="center"/>
      <protection locked="0"/>
    </xf>
    <xf numFmtId="0" fontId="22" fillId="7" borderId="11" applyFont="0" applyFill="0" applyBorder="0" applyAlignment="0" applyProtection="0">
      <alignment horizontal="center"/>
      <protection locked="0"/>
    </xf>
    <xf numFmtId="0" fontId="22" fillId="10" borderId="0" applyFont="0" applyFill="0" applyBorder="0" applyAlignment="0" applyProtection="0"/>
    <xf numFmtId="0" fontId="22" fillId="7" borderId="11" applyFont="0" applyFill="0" applyBorder="0" applyAlignment="0" applyProtection="0">
      <protection locked="0"/>
    </xf>
    <xf numFmtId="0" fontId="22" fillId="7" borderId="11" applyFont="0" applyFill="0" applyBorder="0" applyAlignment="0" applyProtection="0">
      <protection locked="0"/>
    </xf>
    <xf numFmtId="0" fontId="22" fillId="6" borderId="0" applyFont="0" applyFill="0" applyBorder="0" applyAlignment="0" applyProtection="0"/>
    <xf numFmtId="0" fontId="22" fillId="7" borderId="11" applyFont="0" applyFill="0" applyBorder="0" applyAlignment="0" applyProtection="0">
      <protection locked="0"/>
    </xf>
    <xf numFmtId="0" fontId="22" fillId="7" borderId="11" applyFont="0" applyFill="0" applyBorder="0" applyAlignment="0" applyProtection="0">
      <protection locked="0"/>
    </xf>
    <xf numFmtId="173" fontId="22" fillId="6" borderId="0" applyFont="0" applyFill="0" applyBorder="0" applyAlignment="0" applyProtection="0"/>
    <xf numFmtId="3" fontId="22" fillId="0" borderId="0" applyFont="0" applyFill="0" applyBorder="0" applyAlignment="0" applyProtection="0"/>
    <xf numFmtId="0" fontId="26" fillId="0" borderId="0"/>
    <xf numFmtId="3" fontId="22" fillId="6" borderId="0" applyFont="0" applyFill="0" applyBorder="0" applyAlignment="0" applyProtection="0">
      <alignment horizontal="center"/>
    </xf>
    <xf numFmtId="0" fontId="26" fillId="0" borderId="0"/>
    <xf numFmtId="0" fontId="22" fillId="0" borderId="0"/>
    <xf numFmtId="0" fontId="26" fillId="0" borderId="0"/>
    <xf numFmtId="0" fontId="26" fillId="0" borderId="0"/>
    <xf numFmtId="174" fontId="24" fillId="12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23" fillId="7" borderId="11" applyFont="0" applyFill="0" applyBorder="0" applyAlignment="0" applyProtection="0">
      <protection locked="0"/>
    </xf>
    <xf numFmtId="0" fontId="23" fillId="7" borderId="11" applyFont="0" applyFill="0" applyBorder="0" applyAlignment="0" applyProtection="0">
      <protection locked="0"/>
    </xf>
    <xf numFmtId="0" fontId="22" fillId="7" borderId="11" applyFont="0" applyFill="0" applyBorder="0" applyAlignment="0" applyProtection="0">
      <protection locked="0"/>
    </xf>
    <xf numFmtId="0" fontId="22" fillId="7" borderId="11" applyFont="0" applyFill="0" applyBorder="0" applyAlignment="0" applyProtection="0">
      <protection locked="0"/>
    </xf>
    <xf numFmtId="0" fontId="22" fillId="7" borderId="11" applyFont="0" applyFill="0" applyBorder="0" applyAlignment="0" applyProtection="0">
      <protection locked="0"/>
    </xf>
    <xf numFmtId="0" fontId="22" fillId="7" borderId="11" applyFont="0" applyFill="0" applyBorder="0" applyAlignment="0" applyProtection="0">
      <protection locked="0"/>
    </xf>
    <xf numFmtId="5" fontId="22" fillId="0" borderId="0" applyFont="0" applyFill="0" applyBorder="0" applyAlignment="0" applyProtection="0"/>
    <xf numFmtId="0" fontId="22" fillId="0" borderId="0" applyFill="0" applyBorder="0" applyAlignment="0" applyProtection="0"/>
    <xf numFmtId="175" fontId="18" fillId="0" borderId="0" applyFont="0" applyFill="0" applyBorder="0" applyAlignment="0" applyProtection="0"/>
    <xf numFmtId="175" fontId="18" fillId="0" borderId="0" applyFont="0" applyFill="0" applyBorder="0" applyAlignment="0" applyProtection="0"/>
    <xf numFmtId="3" fontId="27" fillId="13" borderId="14">
      <alignment horizontal="center" vertical="center"/>
      <protection locked="0"/>
    </xf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0" fontId="18" fillId="14" borderId="0" applyFont="0" applyBorder="0" applyAlignment="0" applyProtection="0"/>
    <xf numFmtId="0" fontId="18" fillId="14" borderId="0" applyFont="0" applyBorder="0" applyAlignment="0" applyProtection="0"/>
    <xf numFmtId="0" fontId="18" fillId="15" borderId="0" applyFont="0" applyBorder="0" applyAlignment="0" applyProtection="0"/>
    <xf numFmtId="0" fontId="18" fillId="15" borderId="0" applyFont="0" applyBorder="0" applyAlignment="0" applyProtection="0"/>
    <xf numFmtId="177" fontId="18" fillId="14" borderId="0" applyFont="0" applyBorder="0" applyAlignment="0" applyProtection="0"/>
    <xf numFmtId="2" fontId="22" fillId="0" borderId="0" applyFont="0" applyFill="0" applyBorder="0" applyAlignment="0" applyProtection="0"/>
    <xf numFmtId="0" fontId="26" fillId="0" borderId="0"/>
    <xf numFmtId="12" fontId="28" fillId="0" borderId="15" applyFont="0" applyFill="0" applyBorder="0" applyAlignment="0" applyProtection="0"/>
    <xf numFmtId="38" fontId="18" fillId="6" borderId="0" applyNumberFormat="0" applyBorder="0" applyAlignment="0" applyProtection="0"/>
    <xf numFmtId="38" fontId="18" fillId="6" borderId="0" applyNumberFormat="0" applyBorder="0" applyAlignment="0" applyProtection="0"/>
    <xf numFmtId="10" fontId="18" fillId="13" borderId="16" applyNumberFormat="0" applyBorder="0" applyAlignment="0" applyProtection="0"/>
    <xf numFmtId="10" fontId="18" fillId="13" borderId="16" applyNumberFormat="0" applyBorder="0" applyAlignment="0" applyProtection="0"/>
    <xf numFmtId="0" fontId="29" fillId="10" borderId="11" applyNumberFormat="0" applyFont="0">
      <alignment horizontal="center"/>
      <protection locked="0"/>
    </xf>
    <xf numFmtId="0" fontId="29" fillId="10" borderId="11" applyNumberFormat="0" applyFont="0">
      <alignment horizontal="center"/>
      <protection locked="0"/>
    </xf>
    <xf numFmtId="37" fontId="30" fillId="0" borderId="0"/>
    <xf numFmtId="178" fontId="31" fillId="0" borderId="0"/>
    <xf numFmtId="0" fontId="18" fillId="0" borderId="0"/>
    <xf numFmtId="0" fontId="22" fillId="0" borderId="0"/>
    <xf numFmtId="0" fontId="18" fillId="0" borderId="0"/>
    <xf numFmtId="0" fontId="16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32" fillId="0" borderId="0"/>
    <xf numFmtId="37" fontId="22" fillId="10" borderId="0" applyFont="0" applyFill="0" applyBorder="0" applyAlignment="0" applyProtection="0">
      <alignment horizontal="center"/>
    </xf>
    <xf numFmtId="0" fontId="26" fillId="0" borderId="0"/>
    <xf numFmtId="0" fontId="26" fillId="0" borderId="0"/>
    <xf numFmtId="179" fontId="33" fillId="13" borderId="0" applyFont="0" applyFill="0" applyBorder="0" applyAlignment="0" applyProtection="0"/>
    <xf numFmtId="10" fontId="26" fillId="0" borderId="0" applyFont="0" applyFill="0" applyBorder="0" applyAlignment="0" applyProtection="0">
      <protection locked="0"/>
    </xf>
    <xf numFmtId="10" fontId="22" fillId="0" borderId="0" applyFont="0" applyFill="0" applyBorder="0" applyAlignment="0" applyProtection="0"/>
    <xf numFmtId="179" fontId="18" fillId="0" borderId="0" applyFont="0" applyFill="0" applyBorder="0" applyAlignment="0" applyProtection="0"/>
    <xf numFmtId="179" fontId="18" fillId="0" borderId="0" applyFont="0" applyFill="0" applyBorder="0" applyAlignment="0" applyProtection="0"/>
    <xf numFmtId="10" fontId="18" fillId="0" borderId="2" applyFont="0" applyFill="0" applyBorder="0" applyAlignment="0" applyProtection="0"/>
    <xf numFmtId="10" fontId="18" fillId="0" borderId="2" applyFont="0" applyFill="0" applyBorder="0" applyAlignment="0" applyProtection="0"/>
    <xf numFmtId="10" fontId="18" fillId="0" borderId="2" applyFont="0" applyFill="0" applyBorder="0" applyAlignment="0" applyProtection="0"/>
    <xf numFmtId="10" fontId="18" fillId="0" borderId="2" applyFont="0" applyFill="0" applyBorder="0" applyAlignment="0" applyProtection="0"/>
    <xf numFmtId="9" fontId="22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22" fillId="7" borderId="11" applyFont="0" applyFill="0" applyBorder="0" applyAlignment="0" applyProtection="0">
      <protection locked="0"/>
    </xf>
    <xf numFmtId="0" fontId="22" fillId="7" borderId="11" applyFont="0" applyFill="0" applyBorder="0" applyAlignment="0" applyProtection="0">
      <protection locked="0"/>
    </xf>
    <xf numFmtId="0" fontId="22" fillId="7" borderId="11" applyFont="0" applyFill="0" applyBorder="0" applyAlignment="0" applyProtection="0">
      <protection locked="0"/>
    </xf>
    <xf numFmtId="0" fontId="22" fillId="7" borderId="11" applyFont="0" applyFill="0" applyBorder="0" applyAlignment="0" applyProtection="0">
      <protection locked="0"/>
    </xf>
    <xf numFmtId="0" fontId="13" fillId="0" borderId="0"/>
    <xf numFmtId="0" fontId="34" fillId="0" borderId="0"/>
    <xf numFmtId="164" fontId="22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165" fontId="13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13" fillId="0" borderId="0"/>
    <xf numFmtId="9" fontId="34" fillId="0" borderId="0" applyFont="0" applyFill="0" applyBorder="0" applyAlignment="0" applyProtection="0"/>
    <xf numFmtId="0" fontId="12" fillId="0" borderId="0"/>
    <xf numFmtId="0" fontId="12" fillId="0" borderId="0"/>
    <xf numFmtId="0" fontId="36" fillId="0" borderId="0" applyNumberFormat="0" applyFill="0" applyBorder="0" applyAlignment="0" applyProtection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54" fillId="0" borderId="0"/>
    <xf numFmtId="0" fontId="18" fillId="0" borderId="0"/>
    <xf numFmtId="0" fontId="8" fillId="0" borderId="0"/>
    <xf numFmtId="0" fontId="7" fillId="0" borderId="0"/>
  </cellStyleXfs>
  <cellXfs count="251">
    <xf numFmtId="0" fontId="0" fillId="0" borderId="0" xfId="0"/>
    <xf numFmtId="0" fontId="14" fillId="2" borderId="0" xfId="0" applyFont="1" applyFill="1"/>
    <xf numFmtId="0" fontId="14" fillId="3" borderId="0" xfId="0" applyFont="1" applyFill="1"/>
    <xf numFmtId="0" fontId="14" fillId="3" borderId="0" xfId="0" applyFont="1" applyFill="1" applyAlignment="1">
      <alignment horizontal="center"/>
    </xf>
    <xf numFmtId="0" fontId="15" fillId="0" borderId="0" xfId="0" applyFont="1"/>
    <xf numFmtId="0" fontId="34" fillId="0" borderId="0" xfId="0" applyFont="1"/>
    <xf numFmtId="0" fontId="14" fillId="3" borderId="0" xfId="0" applyFont="1" applyFill="1" applyAlignment="1">
      <alignment horizontal="left"/>
    </xf>
    <xf numFmtId="0" fontId="34" fillId="16" borderId="0" xfId="0" applyFont="1" applyFill="1"/>
    <xf numFmtId="0" fontId="35" fillId="0" borderId="0" xfId="0" quotePrefix="1" applyFont="1"/>
    <xf numFmtId="0" fontId="34" fillId="4" borderId="0" xfId="0" applyFont="1" applyFill="1"/>
    <xf numFmtId="0" fontId="14" fillId="17" borderId="0" xfId="0" applyFont="1" applyFill="1"/>
    <xf numFmtId="0" fontId="14" fillId="18" borderId="0" xfId="0" applyFont="1" applyFill="1"/>
    <xf numFmtId="0" fontId="37" fillId="0" borderId="0" xfId="162" applyFont="1" applyAlignment="1">
      <alignment horizontal="center" vertical="center"/>
    </xf>
    <xf numFmtId="0" fontId="37" fillId="0" borderId="0" xfId="162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41" fillId="0" borderId="0" xfId="0" applyFont="1" applyAlignment="1">
      <alignment horizontal="left" vertical="center"/>
    </xf>
    <xf numFmtId="0" fontId="39" fillId="0" borderId="0" xfId="0" applyFont="1"/>
    <xf numFmtId="0" fontId="34" fillId="0" borderId="0" xfId="165" applyFont="1"/>
    <xf numFmtId="0" fontId="34" fillId="0" borderId="0" xfId="165" applyFont="1" applyFill="1" applyBorder="1"/>
    <xf numFmtId="0" fontId="0" fillId="0" borderId="0" xfId="0" applyFill="1"/>
    <xf numFmtId="0" fontId="0" fillId="19" borderId="17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42" fillId="5" borderId="0" xfId="0" applyFont="1" applyFill="1" applyBorder="1" applyAlignment="1">
      <alignment horizontal="center" vertical="center"/>
    </xf>
    <xf numFmtId="0" fontId="42" fillId="19" borderId="17" xfId="0" applyFont="1" applyFill="1" applyBorder="1" applyAlignment="1">
      <alignment horizontal="center" vertical="center"/>
    </xf>
    <xf numFmtId="0" fontId="42" fillId="5" borderId="18" xfId="0" applyFont="1" applyFill="1" applyBorder="1" applyAlignment="1">
      <alignment horizontal="center" vertical="center"/>
    </xf>
    <xf numFmtId="0" fontId="42" fillId="5" borderId="19" xfId="0" applyFont="1" applyFill="1" applyBorder="1" applyAlignment="1">
      <alignment horizontal="center" vertical="center"/>
    </xf>
    <xf numFmtId="0" fontId="42" fillId="5" borderId="20" xfId="0" applyFont="1" applyFill="1" applyBorder="1" applyAlignment="1">
      <alignment horizontal="center" vertical="center"/>
    </xf>
    <xf numFmtId="0" fontId="43" fillId="5" borderId="0" xfId="0" applyFont="1" applyFill="1" applyBorder="1" applyAlignment="1">
      <alignment vertical="center"/>
    </xf>
    <xf numFmtId="0" fontId="42" fillId="5" borderId="21" xfId="0" applyFont="1" applyFill="1" applyBorder="1" applyAlignment="1">
      <alignment horizontal="center" vertical="center"/>
    </xf>
    <xf numFmtId="0" fontId="42" fillId="5" borderId="22" xfId="0" applyFont="1" applyFill="1" applyBorder="1" applyAlignment="1">
      <alignment horizontal="center" vertical="center"/>
    </xf>
    <xf numFmtId="0" fontId="42" fillId="5" borderId="0" xfId="0" applyFont="1" applyFill="1" applyBorder="1" applyAlignment="1">
      <alignment vertical="center"/>
    </xf>
    <xf numFmtId="0" fontId="45" fillId="5" borderId="0" xfId="0" applyFont="1" applyFill="1" applyAlignment="1">
      <alignment vertical="center"/>
    </xf>
    <xf numFmtId="0" fontId="42" fillId="5" borderId="23" xfId="0" applyFont="1" applyFill="1" applyBorder="1" applyAlignment="1">
      <alignment horizontal="center" vertical="center"/>
    </xf>
    <xf numFmtId="0" fontId="46" fillId="5" borderId="23" xfId="0" applyFont="1" applyFill="1" applyBorder="1" applyAlignment="1">
      <alignment vertical="center"/>
    </xf>
    <xf numFmtId="0" fontId="0" fillId="5" borderId="0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0" xfId="0" applyFill="1" applyAlignment="1">
      <alignment vertical="center"/>
    </xf>
    <xf numFmtId="0" fontId="0" fillId="5" borderId="24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5" borderId="0" xfId="0" applyFill="1" applyBorder="1" applyAlignment="1">
      <alignment horizontal="right" vertical="center"/>
    </xf>
    <xf numFmtId="0" fontId="0" fillId="16" borderId="0" xfId="0" applyFill="1"/>
    <xf numFmtId="0" fontId="0" fillId="4" borderId="0" xfId="0" applyFill="1"/>
    <xf numFmtId="3" fontId="0" fillId="16" borderId="0" xfId="0" applyNumberFormat="1" applyFill="1" applyAlignment="1">
      <alignment horizontal="center"/>
    </xf>
    <xf numFmtId="0" fontId="42" fillId="5" borderId="0" xfId="0" applyFont="1" applyFill="1" applyAlignment="1">
      <alignment horizontal="center" vertical="center"/>
    </xf>
    <xf numFmtId="0" fontId="42" fillId="0" borderId="0" xfId="112" applyFont="1"/>
    <xf numFmtId="0" fontId="42" fillId="0" borderId="0" xfId="112" applyFont="1" applyFill="1"/>
    <xf numFmtId="0" fontId="42" fillId="5" borderId="0" xfId="112" applyFont="1" applyFill="1"/>
    <xf numFmtId="0" fontId="42" fillId="5" borderId="27" xfId="112" applyFont="1" applyFill="1" applyBorder="1"/>
    <xf numFmtId="0" fontId="42" fillId="5" borderId="27" xfId="112" applyFont="1" applyFill="1" applyBorder="1" applyAlignment="1">
      <alignment horizontal="left"/>
    </xf>
    <xf numFmtId="0" fontId="42" fillId="5" borderId="28" xfId="112" applyFont="1" applyFill="1" applyBorder="1"/>
    <xf numFmtId="0" fontId="42" fillId="5" borderId="28" xfId="112" applyFont="1" applyFill="1" applyBorder="1" applyAlignment="1">
      <alignment horizontal="left"/>
    </xf>
    <xf numFmtId="0" fontId="42" fillId="5" borderId="12" xfId="112" applyFont="1" applyFill="1" applyBorder="1"/>
    <xf numFmtId="0" fontId="42" fillId="5" borderId="12" xfId="112" applyFont="1" applyFill="1" applyBorder="1" applyAlignment="1">
      <alignment horizontal="left"/>
    </xf>
    <xf numFmtId="0" fontId="42" fillId="0" borderId="0" xfId="112" applyFont="1" applyFill="1" applyAlignment="1">
      <alignment horizontal="left"/>
    </xf>
    <xf numFmtId="0" fontId="42" fillId="4" borderId="16" xfId="112" applyFont="1" applyFill="1" applyBorder="1"/>
    <xf numFmtId="0" fontId="40" fillId="2" borderId="0" xfId="112" applyFont="1" applyFill="1"/>
    <xf numFmtId="0" fontId="47" fillId="2" borderId="0" xfId="112" applyFont="1" applyFill="1"/>
    <xf numFmtId="0" fontId="48" fillId="0" borderId="0" xfId="112" applyFont="1" applyFill="1"/>
    <xf numFmtId="0" fontId="50" fillId="0" borderId="0" xfId="112" applyFont="1" applyFill="1"/>
    <xf numFmtId="0" fontId="42" fillId="4" borderId="27" xfId="112" applyFont="1" applyFill="1" applyBorder="1" applyAlignment="1">
      <alignment horizontal="center"/>
    </xf>
    <xf numFmtId="0" fontId="40" fillId="18" borderId="27" xfId="112" applyFont="1" applyFill="1" applyBorder="1" applyAlignment="1">
      <alignment horizontal="center"/>
    </xf>
    <xf numFmtId="0" fontId="42" fillId="16" borderId="27" xfId="112" applyFont="1" applyFill="1" applyBorder="1"/>
    <xf numFmtId="0" fontId="42" fillId="4" borderId="28" xfId="112" applyFont="1" applyFill="1" applyBorder="1" applyAlignment="1">
      <alignment horizontal="center"/>
    </xf>
    <xf numFmtId="0" fontId="40" fillId="18" borderId="28" xfId="112" applyFont="1" applyFill="1" applyBorder="1" applyAlignment="1">
      <alignment horizontal="center"/>
    </xf>
    <xf numFmtId="0" fontId="42" fillId="16" borderId="28" xfId="112" applyFont="1" applyFill="1" applyBorder="1"/>
    <xf numFmtId="0" fontId="42" fillId="4" borderId="12" xfId="112" applyFont="1" applyFill="1" applyBorder="1" applyAlignment="1">
      <alignment horizontal="center"/>
    </xf>
    <xf numFmtId="0" fontId="40" fillId="18" borderId="12" xfId="112" applyFont="1" applyFill="1" applyBorder="1" applyAlignment="1">
      <alignment horizontal="center"/>
    </xf>
    <xf numFmtId="0" fontId="42" fillId="16" borderId="12" xfId="112" applyFont="1" applyFill="1" applyBorder="1"/>
    <xf numFmtId="0" fontId="49" fillId="0" borderId="0" xfId="112" applyFont="1" applyFill="1"/>
    <xf numFmtId="0" fontId="42" fillId="16" borderId="16" xfId="112" applyFont="1" applyFill="1" applyBorder="1" applyAlignment="1">
      <alignment horizontal="center"/>
    </xf>
    <xf numFmtId="0" fontId="42" fillId="4" borderId="0" xfId="112" applyFont="1" applyFill="1" applyAlignment="1"/>
    <xf numFmtId="0" fontId="42" fillId="0" borderId="0" xfId="112" applyFont="1" applyFill="1" applyAlignment="1"/>
    <xf numFmtId="0" fontId="34" fillId="0" borderId="0" xfId="112" applyFont="1"/>
    <xf numFmtId="0" fontId="35" fillId="0" borderId="0" xfId="112" quotePrefix="1" applyFont="1"/>
    <xf numFmtId="0" fontId="14" fillId="18" borderId="0" xfId="112" applyFont="1" applyFill="1"/>
    <xf numFmtId="0" fontId="14" fillId="17" borderId="0" xfId="112" applyFont="1" applyFill="1"/>
    <xf numFmtId="0" fontId="34" fillId="4" borderId="0" xfId="112" applyFont="1" applyFill="1"/>
    <xf numFmtId="0" fontId="34" fillId="16" borderId="0" xfId="112" applyFont="1" applyFill="1"/>
    <xf numFmtId="0" fontId="39" fillId="0" borderId="0" xfId="112" applyFont="1"/>
    <xf numFmtId="0" fontId="15" fillId="0" borderId="0" xfId="112" applyFont="1"/>
    <xf numFmtId="0" fontId="14" fillId="3" borderId="0" xfId="112" applyFont="1" applyFill="1"/>
    <xf numFmtId="0" fontId="14" fillId="3" borderId="0" xfId="112" applyFont="1" applyFill="1" applyAlignment="1">
      <alignment horizontal="center"/>
    </xf>
    <xf numFmtId="0" fontId="14" fillId="3" borderId="0" xfId="112" applyFont="1" applyFill="1" applyAlignment="1">
      <alignment horizontal="left"/>
    </xf>
    <xf numFmtId="0" fontId="34" fillId="0" borderId="0" xfId="168" applyFont="1"/>
    <xf numFmtId="0" fontId="34" fillId="0" borderId="0" xfId="168" applyFont="1" applyFill="1" applyBorder="1"/>
    <xf numFmtId="0" fontId="14" fillId="2" borderId="0" xfId="112" applyFont="1" applyFill="1"/>
    <xf numFmtId="0" fontId="38" fillId="2" borderId="0" xfId="112" applyFont="1" applyFill="1"/>
    <xf numFmtId="0" fontId="14" fillId="22" borderId="0" xfId="0" applyFont="1" applyFill="1"/>
    <xf numFmtId="0" fontId="0" fillId="23" borderId="0" xfId="0" applyFill="1"/>
    <xf numFmtId="4" fontId="14" fillId="22" borderId="0" xfId="0" applyNumberFormat="1" applyFont="1" applyFill="1"/>
    <xf numFmtId="3" fontId="0" fillId="0" borderId="0" xfId="0" applyNumberFormat="1"/>
    <xf numFmtId="10" fontId="0" fillId="0" borderId="0" xfId="0" applyNumberFormat="1"/>
    <xf numFmtId="0" fontId="52" fillId="5" borderId="0" xfId="0" applyFont="1" applyFill="1" applyAlignment="1">
      <alignment vertical="center"/>
    </xf>
    <xf numFmtId="0" fontId="53" fillId="5" borderId="0" xfId="0" applyFont="1" applyFill="1" applyAlignment="1">
      <alignment vertical="center"/>
    </xf>
    <xf numFmtId="0" fontId="51" fillId="5" borderId="31" xfId="0" applyFont="1" applyFill="1" applyBorder="1" applyAlignment="1">
      <alignment horizontal="center" vertical="center"/>
    </xf>
    <xf numFmtId="0" fontId="51" fillId="22" borderId="0" xfId="0" applyFont="1" applyFill="1"/>
    <xf numFmtId="0" fontId="6" fillId="0" borderId="0" xfId="0" applyFont="1"/>
    <xf numFmtId="3" fontId="6" fillId="9" borderId="0" xfId="0" applyNumberFormat="1" applyFont="1" applyFill="1"/>
    <xf numFmtId="3" fontId="6" fillId="0" borderId="0" xfId="0" applyNumberFormat="1" applyFont="1"/>
    <xf numFmtId="0" fontId="6" fillId="23" borderId="0" xfId="0" applyFont="1" applyFill="1"/>
    <xf numFmtId="10" fontId="6" fillId="9" borderId="0" xfId="0" applyNumberFormat="1" applyFont="1" applyFill="1"/>
    <xf numFmtId="180" fontId="6" fillId="0" borderId="0" xfId="0" applyNumberFormat="1" applyFont="1"/>
    <xf numFmtId="6" fontId="6" fillId="9" borderId="0" xfId="0" applyNumberFormat="1" applyFont="1" applyFill="1"/>
    <xf numFmtId="6" fontId="6" fillId="0" borderId="0" xfId="0" applyNumberFormat="1" applyFont="1"/>
    <xf numFmtId="9" fontId="6" fillId="9" borderId="0" xfId="0" applyNumberFormat="1" applyFont="1" applyFill="1"/>
    <xf numFmtId="8" fontId="6" fillId="0" borderId="0" xfId="0" applyNumberFormat="1" applyFont="1"/>
    <xf numFmtId="8" fontId="6" fillId="9" borderId="0" xfId="0" applyNumberFormat="1" applyFont="1" applyFill="1"/>
    <xf numFmtId="179" fontId="6" fillId="9" borderId="0" xfId="0" applyNumberFormat="1" applyFont="1" applyFill="1"/>
    <xf numFmtId="8" fontId="0" fillId="0" borderId="0" xfId="0" applyNumberFormat="1"/>
    <xf numFmtId="6" fontId="0" fillId="0" borderId="0" xfId="0" applyNumberFormat="1"/>
    <xf numFmtId="9" fontId="6" fillId="0" borderId="0" xfId="0" applyNumberFormat="1" applyFont="1"/>
    <xf numFmtId="3" fontId="6" fillId="0" borderId="3" xfId="0" applyNumberFormat="1" applyFont="1" applyBorder="1"/>
    <xf numFmtId="0" fontId="6" fillId="0" borderId="5" xfId="0" applyFont="1" applyBorder="1"/>
    <xf numFmtId="0" fontId="6" fillId="0" borderId="0" xfId="0" applyFont="1" applyBorder="1"/>
    <xf numFmtId="3" fontId="6" fillId="0" borderId="0" xfId="0" applyNumberFormat="1" applyFont="1" applyBorder="1"/>
    <xf numFmtId="0" fontId="6" fillId="0" borderId="6" xfId="0" applyFont="1" applyBorder="1"/>
    <xf numFmtId="0" fontId="6" fillId="23" borderId="5" xfId="0" applyFont="1" applyFill="1" applyBorder="1"/>
    <xf numFmtId="0" fontId="6" fillId="23" borderId="0" xfId="0" applyFont="1" applyFill="1" applyBorder="1"/>
    <xf numFmtId="180" fontId="6" fillId="0" borderId="0" xfId="0" applyNumberFormat="1" applyFont="1" applyBorder="1"/>
    <xf numFmtId="6" fontId="6" fillId="0" borderId="0" xfId="0" applyNumberFormat="1" applyFont="1" applyBorder="1"/>
    <xf numFmtId="8" fontId="6" fillId="0" borderId="0" xfId="0" applyNumberFormat="1" applyFont="1" applyBorder="1"/>
    <xf numFmtId="9" fontId="6" fillId="0" borderId="8" xfId="0" applyNumberFormat="1" applyFont="1" applyBorder="1"/>
    <xf numFmtId="9" fontId="6" fillId="0" borderId="9" xfId="0" applyNumberFormat="1" applyFont="1" applyBorder="1"/>
    <xf numFmtId="3" fontId="6" fillId="0" borderId="2" xfId="0" applyNumberFormat="1" applyFont="1" applyBorder="1"/>
    <xf numFmtId="3" fontId="6" fillId="0" borderId="4" xfId="0" applyNumberFormat="1" applyFont="1" applyBorder="1"/>
    <xf numFmtId="3" fontId="6" fillId="0" borderId="5" xfId="0" applyNumberFormat="1" applyFont="1" applyBorder="1"/>
    <xf numFmtId="3" fontId="6" fillId="0" borderId="6" xfId="0" applyNumberFormat="1" applyFont="1" applyBorder="1"/>
    <xf numFmtId="0" fontId="6" fillId="23" borderId="6" xfId="0" applyFont="1" applyFill="1" applyBorder="1"/>
    <xf numFmtId="180" fontId="6" fillId="0" borderId="5" xfId="0" applyNumberFormat="1" applyFont="1" applyBorder="1"/>
    <xf numFmtId="180" fontId="6" fillId="0" borderId="6" xfId="0" applyNumberFormat="1" applyFont="1" applyBorder="1"/>
    <xf numFmtId="6" fontId="6" fillId="0" borderId="5" xfId="0" applyNumberFormat="1" applyFont="1" applyBorder="1"/>
    <xf numFmtId="6" fontId="6" fillId="0" borderId="6" xfId="0" applyNumberFormat="1" applyFont="1" applyBorder="1"/>
    <xf numFmtId="8" fontId="6" fillId="0" borderId="5" xfId="0" applyNumberFormat="1" applyFont="1" applyBorder="1"/>
    <xf numFmtId="8" fontId="6" fillId="0" borderId="6" xfId="0" applyNumberFormat="1" applyFont="1" applyBorder="1"/>
    <xf numFmtId="9" fontId="6" fillId="0" borderId="7" xfId="0" applyNumberFormat="1" applyFont="1" applyBorder="1"/>
    <xf numFmtId="0" fontId="5" fillId="0" borderId="0" xfId="0" applyFont="1" applyAlignment="1">
      <alignment vertical="center"/>
    </xf>
    <xf numFmtId="0" fontId="5" fillId="21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5" borderId="34" xfId="0" applyFont="1" applyFill="1" applyBorder="1" applyAlignment="1">
      <alignment horizontal="right" vertical="center"/>
    </xf>
    <xf numFmtId="0" fontId="5" fillId="5" borderId="17" xfId="0" applyFont="1" applyFill="1" applyBorder="1" applyAlignment="1">
      <alignment horizontal="right" vertical="center"/>
    </xf>
    <xf numFmtId="0" fontId="5" fillId="25" borderId="0" xfId="0" applyFont="1" applyFill="1" applyAlignment="1">
      <alignment vertical="center"/>
    </xf>
    <xf numFmtId="0" fontId="38" fillId="25" borderId="0" xfId="0" applyFont="1" applyFill="1" applyAlignment="1">
      <alignment horizontal="left" vertical="center" indent="1"/>
    </xf>
    <xf numFmtId="0" fontId="55" fillId="5" borderId="36" xfId="0" applyFont="1" applyFill="1" applyBorder="1" applyAlignment="1">
      <alignment horizontal="center" vertical="center"/>
    </xf>
    <xf numFmtId="0" fontId="55" fillId="5" borderId="37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vertical="center"/>
    </xf>
    <xf numFmtId="0" fontId="5" fillId="16" borderId="0" xfId="0" applyFont="1" applyFill="1" applyAlignment="1">
      <alignment vertical="center"/>
    </xf>
    <xf numFmtId="0" fontId="5" fillId="5" borderId="0" xfId="0" applyFont="1" applyFill="1" applyBorder="1" applyAlignment="1">
      <alignment vertical="center"/>
    </xf>
    <xf numFmtId="6" fontId="0" fillId="21" borderId="0" xfId="0" applyNumberFormat="1" applyFill="1"/>
    <xf numFmtId="185" fontId="5" fillId="5" borderId="0" xfId="0" applyNumberFormat="1" applyFont="1" applyFill="1" applyAlignment="1">
      <alignment vertical="center"/>
    </xf>
    <xf numFmtId="9" fontId="0" fillId="0" borderId="0" xfId="0" applyNumberFormat="1"/>
    <xf numFmtId="184" fontId="5" fillId="5" borderId="0" xfId="0" applyNumberFormat="1" applyFont="1" applyFill="1" applyAlignment="1">
      <alignment vertical="center"/>
    </xf>
    <xf numFmtId="183" fontId="5" fillId="5" borderId="0" xfId="0" applyNumberFormat="1" applyFont="1" applyFill="1" applyAlignment="1">
      <alignment vertical="center"/>
    </xf>
    <xf numFmtId="179" fontId="5" fillId="5" borderId="0" xfId="0" applyNumberFormat="1" applyFont="1" applyFill="1" applyAlignment="1">
      <alignment vertical="center"/>
    </xf>
    <xf numFmtId="184" fontId="57" fillId="5" borderId="0" xfId="0" applyNumberFormat="1" applyFont="1" applyFill="1" applyBorder="1" applyAlignment="1">
      <alignment horizontal="center" vertical="center"/>
    </xf>
    <xf numFmtId="0" fontId="57" fillId="5" borderId="0" xfId="0" applyFont="1" applyFill="1" applyAlignment="1">
      <alignment vertical="center"/>
    </xf>
    <xf numFmtId="184" fontId="58" fillId="5" borderId="0" xfId="0" applyNumberFormat="1" applyFont="1" applyFill="1" applyBorder="1" applyAlignment="1">
      <alignment horizontal="center" vertical="center"/>
    </xf>
    <xf numFmtId="0" fontId="57" fillId="5" borderId="34" xfId="0" applyFont="1" applyFill="1" applyBorder="1" applyAlignment="1">
      <alignment horizontal="right" vertical="center"/>
    </xf>
    <xf numFmtId="0" fontId="57" fillId="25" borderId="0" xfId="0" applyFont="1" applyFill="1" applyAlignment="1">
      <alignment vertical="center"/>
    </xf>
    <xf numFmtId="186" fontId="57" fillId="5" borderId="33" xfId="0" applyNumberFormat="1" applyFont="1" applyFill="1" applyBorder="1" applyAlignment="1">
      <alignment horizontal="center" vertical="center"/>
    </xf>
    <xf numFmtId="184" fontId="58" fillId="5" borderId="39" xfId="0" applyNumberFormat="1" applyFont="1" applyFill="1" applyBorder="1" applyAlignment="1">
      <alignment horizontal="right" vertical="center"/>
    </xf>
    <xf numFmtId="184" fontId="58" fillId="5" borderId="32" xfId="0" applyNumberFormat="1" applyFont="1" applyFill="1" applyBorder="1" applyAlignment="1">
      <alignment horizontal="right" vertical="center"/>
    </xf>
    <xf numFmtId="0" fontId="57" fillId="5" borderId="0" xfId="0" applyFont="1" applyFill="1" applyBorder="1" applyAlignment="1">
      <alignment horizontal="right" vertical="center"/>
    </xf>
    <xf numFmtId="184" fontId="57" fillId="5" borderId="35" xfId="0" applyNumberFormat="1" applyFont="1" applyFill="1" applyBorder="1" applyAlignment="1">
      <alignment horizontal="center" vertical="center"/>
    </xf>
    <xf numFmtId="184" fontId="57" fillId="5" borderId="33" xfId="0" applyNumberFormat="1" applyFont="1" applyFill="1" applyBorder="1" applyAlignment="1">
      <alignment horizontal="center" vertical="center"/>
    </xf>
    <xf numFmtId="184" fontId="58" fillId="5" borderId="39" xfId="0" applyNumberFormat="1" applyFont="1" applyFill="1" applyBorder="1" applyAlignment="1">
      <alignment horizontal="center" vertical="center"/>
    </xf>
    <xf numFmtId="0" fontId="57" fillId="5" borderId="0" xfId="0" applyFont="1" applyFill="1" applyBorder="1" applyAlignment="1">
      <alignment vertical="center"/>
    </xf>
    <xf numFmtId="183" fontId="57" fillId="5" borderId="0" xfId="0" applyNumberFormat="1" applyFont="1" applyFill="1" applyBorder="1" applyAlignment="1">
      <alignment horizontal="center" vertical="center"/>
    </xf>
    <xf numFmtId="184" fontId="58" fillId="5" borderId="32" xfId="0" applyNumberFormat="1" applyFont="1" applyFill="1" applyBorder="1" applyAlignment="1">
      <alignment horizontal="center" vertical="center"/>
    </xf>
    <xf numFmtId="0" fontId="57" fillId="5" borderId="17" xfId="0" applyFont="1" applyFill="1" applyBorder="1" applyAlignment="1">
      <alignment horizontal="center" vertical="center"/>
    </xf>
    <xf numFmtId="179" fontId="58" fillId="5" borderId="32" xfId="0" applyNumberFormat="1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right" vertical="center"/>
    </xf>
    <xf numFmtId="192" fontId="59" fillId="5" borderId="35" xfId="0" applyNumberFormat="1" applyFont="1" applyFill="1" applyBorder="1" applyAlignment="1">
      <alignment horizontal="center" vertical="center"/>
    </xf>
    <xf numFmtId="192" fontId="57" fillId="5" borderId="0" xfId="0" applyNumberFormat="1" applyFont="1" applyFill="1" applyAlignment="1">
      <alignment vertical="center"/>
    </xf>
    <xf numFmtId="4" fontId="42" fillId="4" borderId="28" xfId="112" applyNumberFormat="1" applyFont="1" applyFill="1" applyBorder="1" applyAlignment="1">
      <alignment horizontal="center"/>
    </xf>
    <xf numFmtId="0" fontId="38" fillId="26" borderId="0" xfId="0" applyFont="1" applyFill="1" applyAlignment="1">
      <alignment horizontal="left" vertical="center" indent="1"/>
    </xf>
    <xf numFmtId="0" fontId="5" fillId="26" borderId="0" xfId="0" applyFont="1" applyFill="1" applyAlignment="1">
      <alignment vertical="center"/>
    </xf>
    <xf numFmtId="0" fontId="57" fillId="26" borderId="0" xfId="0" applyFont="1" applyFill="1" applyAlignment="1">
      <alignment vertical="center"/>
    </xf>
    <xf numFmtId="193" fontId="57" fillId="5" borderId="33" xfId="0" applyNumberFormat="1" applyFont="1" applyFill="1" applyBorder="1" applyAlignment="1">
      <alignment horizontal="center" vertical="center"/>
    </xf>
    <xf numFmtId="193" fontId="57" fillId="5" borderId="0" xfId="0" applyNumberFormat="1" applyFont="1" applyFill="1" applyAlignment="1">
      <alignment vertical="center"/>
    </xf>
    <xf numFmtId="0" fontId="57" fillId="5" borderId="0" xfId="0" applyFont="1" applyFill="1" applyAlignment="1">
      <alignment horizontal="center" vertical="center"/>
    </xf>
    <xf numFmtId="193" fontId="6" fillId="0" borderId="0" xfId="0" applyNumberFormat="1" applyFont="1"/>
    <xf numFmtId="0" fontId="56" fillId="5" borderId="0" xfId="0" applyFont="1" applyFill="1" applyAlignment="1">
      <alignment vertical="center"/>
    </xf>
    <xf numFmtId="4" fontId="5" fillId="5" borderId="0" xfId="0" applyNumberFormat="1" applyFont="1" applyFill="1" applyAlignment="1">
      <alignment vertical="center"/>
    </xf>
    <xf numFmtId="183" fontId="57" fillId="5" borderId="0" xfId="0" applyNumberFormat="1" applyFont="1" applyFill="1" applyAlignment="1">
      <alignment vertical="center"/>
    </xf>
    <xf numFmtId="4" fontId="57" fillId="5" borderId="0" xfId="0" applyNumberFormat="1" applyFont="1" applyFill="1" applyAlignment="1">
      <alignment vertical="center"/>
    </xf>
    <xf numFmtId="179" fontId="57" fillId="5" borderId="0" xfId="0" applyNumberFormat="1" applyFont="1" applyFill="1" applyAlignment="1">
      <alignment vertical="center"/>
    </xf>
    <xf numFmtId="181" fontId="57" fillId="5" borderId="29" xfId="0" applyNumberFormat="1" applyFont="1" applyFill="1" applyBorder="1" applyAlignment="1">
      <alignment vertical="center"/>
    </xf>
    <xf numFmtId="189" fontId="57" fillId="5" borderId="29" xfId="0" applyNumberFormat="1" applyFont="1" applyFill="1" applyBorder="1" applyAlignment="1">
      <alignment vertical="center"/>
    </xf>
    <xf numFmtId="187" fontId="57" fillId="5" borderId="29" xfId="0" applyNumberFormat="1" applyFont="1" applyFill="1" applyBorder="1" applyAlignment="1">
      <alignment vertical="center"/>
    </xf>
    <xf numFmtId="190" fontId="57" fillId="5" borderId="29" xfId="0" applyNumberFormat="1" applyFont="1" applyFill="1" applyBorder="1" applyAlignment="1">
      <alignment vertical="center"/>
    </xf>
    <xf numFmtId="182" fontId="0" fillId="0" borderId="0" xfId="0" applyNumberFormat="1" applyFill="1"/>
    <xf numFmtId="184" fontId="0" fillId="0" borderId="0" xfId="0" applyNumberFormat="1" applyFill="1"/>
    <xf numFmtId="0" fontId="3" fillId="0" borderId="0" xfId="0" applyFont="1"/>
    <xf numFmtId="9" fontId="3" fillId="0" borderId="0" xfId="0" applyNumberFormat="1" applyFont="1"/>
    <xf numFmtId="186" fontId="5" fillId="9" borderId="0" xfId="0" applyNumberFormat="1" applyFont="1" applyFill="1" applyAlignment="1">
      <alignment vertical="center"/>
    </xf>
    <xf numFmtId="184" fontId="5" fillId="9" borderId="0" xfId="0" applyNumberFormat="1" applyFont="1" applyFill="1" applyAlignment="1">
      <alignment vertical="center"/>
    </xf>
    <xf numFmtId="185" fontId="5" fillId="9" borderId="0" xfId="0" applyNumberFormat="1" applyFont="1" applyFill="1" applyAlignment="1">
      <alignment vertical="center"/>
    </xf>
    <xf numFmtId="183" fontId="5" fillId="9" borderId="0" xfId="0" applyNumberFormat="1" applyFont="1" applyFill="1" applyAlignment="1">
      <alignment vertical="center"/>
    </xf>
    <xf numFmtId="179" fontId="5" fillId="9" borderId="0" xfId="0" applyNumberFormat="1" applyFont="1" applyFill="1" applyAlignment="1">
      <alignment vertical="center"/>
    </xf>
    <xf numFmtId="4" fontId="6" fillId="0" borderId="0" xfId="0" applyNumberFormat="1" applyFont="1"/>
    <xf numFmtId="194" fontId="57" fillId="5" borderId="29" xfId="0" applyNumberFormat="1" applyFont="1" applyFill="1" applyBorder="1" applyAlignment="1">
      <alignment vertical="center"/>
    </xf>
    <xf numFmtId="195" fontId="5" fillId="5" borderId="0" xfId="0" applyNumberFormat="1" applyFont="1" applyFill="1" applyAlignment="1">
      <alignment vertical="center"/>
    </xf>
    <xf numFmtId="9" fontId="5" fillId="5" borderId="0" xfId="0" applyNumberFormat="1" applyFont="1" applyFill="1" applyAlignment="1">
      <alignment vertical="center"/>
    </xf>
    <xf numFmtId="0" fontId="5" fillId="27" borderId="38" xfId="0" applyFont="1" applyFill="1" applyBorder="1" applyAlignment="1">
      <alignment vertical="center"/>
    </xf>
    <xf numFmtId="0" fontId="38" fillId="27" borderId="0" xfId="0" applyFont="1" applyFill="1" applyAlignment="1">
      <alignment horizontal="left" vertical="center" indent="1"/>
    </xf>
    <xf numFmtId="0" fontId="5" fillId="27" borderId="0" xfId="0" applyFont="1" applyFill="1" applyAlignment="1">
      <alignment vertical="center"/>
    </xf>
    <xf numFmtId="0" fontId="52" fillId="27" borderId="0" xfId="0" applyFont="1" applyFill="1" applyAlignment="1">
      <alignment vertical="center"/>
    </xf>
    <xf numFmtId="0" fontId="57" fillId="27" borderId="0" xfId="0" applyFont="1" applyFill="1" applyAlignment="1">
      <alignment vertical="center"/>
    </xf>
    <xf numFmtId="184" fontId="57" fillId="5" borderId="41" xfId="0" applyNumberFormat="1" applyFont="1" applyFill="1" applyBorder="1" applyAlignment="1">
      <alignment horizontal="center" vertical="center"/>
    </xf>
    <xf numFmtId="0" fontId="2" fillId="5" borderId="0" xfId="0" applyFont="1" applyFill="1" applyAlignment="1">
      <alignment vertical="center"/>
    </xf>
    <xf numFmtId="184" fontId="57" fillId="5" borderId="40" xfId="0" applyNumberFormat="1" applyFont="1" applyFill="1" applyBorder="1" applyAlignment="1">
      <alignment horizontal="center" vertical="center"/>
    </xf>
    <xf numFmtId="184" fontId="57" fillId="5" borderId="43" xfId="0" applyNumberFormat="1" applyFont="1" applyFill="1" applyBorder="1" applyAlignment="1">
      <alignment horizontal="center" vertical="center"/>
    </xf>
    <xf numFmtId="0" fontId="4" fillId="27" borderId="0" xfId="0" applyFont="1" applyFill="1" applyAlignment="1">
      <alignment vertical="center"/>
    </xf>
    <xf numFmtId="184" fontId="57" fillId="27" borderId="42" xfId="0" applyNumberFormat="1" applyFont="1" applyFill="1" applyBorder="1" applyAlignment="1">
      <alignment horizontal="center" vertical="center"/>
    </xf>
    <xf numFmtId="192" fontId="59" fillId="27" borderId="35" xfId="0" applyNumberFormat="1" applyFont="1" applyFill="1" applyBorder="1" applyAlignment="1">
      <alignment horizontal="center" vertical="center"/>
    </xf>
    <xf numFmtId="0" fontId="1" fillId="27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184" fontId="57" fillId="5" borderId="44" xfId="0" applyNumberFormat="1" applyFont="1" applyFill="1" applyBorder="1" applyAlignment="1">
      <alignment horizontal="center" vertical="center"/>
    </xf>
    <xf numFmtId="184" fontId="1" fillId="9" borderId="0" xfId="0" applyNumberFormat="1" applyFont="1" applyFill="1" applyAlignment="1">
      <alignment vertical="center"/>
    </xf>
    <xf numFmtId="183" fontId="1" fillId="5" borderId="0" xfId="0" applyNumberFormat="1" applyFont="1" applyFill="1" applyAlignment="1">
      <alignment vertical="center"/>
    </xf>
    <xf numFmtId="184" fontId="57" fillId="27" borderId="43" xfId="0" applyNumberFormat="1" applyFont="1" applyFill="1" applyBorder="1" applyAlignment="1">
      <alignment horizontal="center" vertical="center"/>
    </xf>
    <xf numFmtId="184" fontId="57" fillId="27" borderId="45" xfId="0" applyNumberFormat="1" applyFont="1" applyFill="1" applyBorder="1" applyAlignment="1">
      <alignment horizontal="center" vertical="center"/>
    </xf>
    <xf numFmtId="0" fontId="60" fillId="0" borderId="0" xfId="0" applyFont="1"/>
    <xf numFmtId="0" fontId="0" fillId="0" borderId="0" xfId="0" applyAlignment="1">
      <alignment vertical="center"/>
    </xf>
    <xf numFmtId="0" fontId="0" fillId="5" borderId="0" xfId="0" applyFill="1" applyBorder="1" applyAlignment="1">
      <alignment horizontal="center" vertical="center" wrapText="1"/>
    </xf>
    <xf numFmtId="0" fontId="44" fillId="21" borderId="0" xfId="0" applyFont="1" applyFill="1" applyAlignment="1" applyProtection="1">
      <alignment horizontal="center" vertical="center"/>
      <protection locked="0"/>
    </xf>
    <xf numFmtId="0" fontId="42" fillId="5" borderId="0" xfId="0" applyFont="1" applyFill="1" applyAlignment="1">
      <alignment horizontal="center" vertical="center"/>
    </xf>
    <xf numFmtId="191" fontId="51" fillId="24" borderId="29" xfId="0" applyNumberFormat="1" applyFont="1" applyFill="1" applyBorder="1" applyAlignment="1">
      <alignment horizontal="center" vertical="center"/>
    </xf>
    <xf numFmtId="191" fontId="51" fillId="24" borderId="30" xfId="0" applyNumberFormat="1" applyFont="1" applyFill="1" applyBorder="1" applyAlignment="1">
      <alignment horizontal="center" vertical="center"/>
    </xf>
    <xf numFmtId="9" fontId="51" fillId="24" borderId="29" xfId="0" applyNumberFormat="1" applyFont="1" applyFill="1" applyBorder="1" applyAlignment="1">
      <alignment horizontal="center" vertical="center"/>
    </xf>
    <xf numFmtId="9" fontId="51" fillId="24" borderId="30" xfId="0" applyNumberFormat="1" applyFont="1" applyFill="1" applyBorder="1" applyAlignment="1">
      <alignment horizontal="center" vertical="center"/>
    </xf>
    <xf numFmtId="188" fontId="51" fillId="24" borderId="29" xfId="0" applyNumberFormat="1" applyFont="1" applyFill="1" applyBorder="1" applyAlignment="1">
      <alignment horizontal="center" vertical="center"/>
    </xf>
    <xf numFmtId="188" fontId="51" fillId="24" borderId="30" xfId="0" applyNumberFormat="1" applyFont="1" applyFill="1" applyBorder="1" applyAlignment="1">
      <alignment horizontal="center" vertical="center"/>
    </xf>
    <xf numFmtId="190" fontId="51" fillId="24" borderId="29" xfId="0" applyNumberFormat="1" applyFont="1" applyFill="1" applyBorder="1" applyAlignment="1">
      <alignment horizontal="center" vertical="center"/>
    </xf>
    <xf numFmtId="190" fontId="51" fillId="24" borderId="30" xfId="0" applyNumberFormat="1" applyFont="1" applyFill="1" applyBorder="1" applyAlignment="1">
      <alignment horizontal="center" vertical="center"/>
    </xf>
    <xf numFmtId="187" fontId="51" fillId="24" borderId="29" xfId="0" applyNumberFormat="1" applyFont="1" applyFill="1" applyBorder="1" applyAlignment="1">
      <alignment horizontal="center" vertical="center"/>
    </xf>
    <xf numFmtId="187" fontId="51" fillId="24" borderId="30" xfId="0" applyNumberFormat="1" applyFont="1" applyFill="1" applyBorder="1" applyAlignment="1">
      <alignment horizontal="center" vertical="center"/>
    </xf>
    <xf numFmtId="189" fontId="51" fillId="24" borderId="29" xfId="0" applyNumberFormat="1" applyFont="1" applyFill="1" applyBorder="1" applyAlignment="1">
      <alignment horizontal="center" vertical="center"/>
    </xf>
    <xf numFmtId="189" fontId="51" fillId="24" borderId="30" xfId="0" applyNumberFormat="1" applyFont="1" applyFill="1" applyBorder="1" applyAlignment="1">
      <alignment horizontal="center" vertical="center"/>
    </xf>
    <xf numFmtId="181" fontId="51" fillId="24" borderId="29" xfId="0" applyNumberFormat="1" applyFont="1" applyFill="1" applyBorder="1" applyAlignment="1">
      <alignment horizontal="center" vertical="center"/>
    </xf>
    <xf numFmtId="181" fontId="51" fillId="24" borderId="30" xfId="0" applyNumberFormat="1" applyFont="1" applyFill="1" applyBorder="1" applyAlignment="1">
      <alignment horizontal="center" vertical="center"/>
    </xf>
    <xf numFmtId="0" fontId="38" fillId="21" borderId="0" xfId="0" applyFont="1" applyFill="1" applyAlignment="1">
      <alignment horizontal="left" vertical="center"/>
    </xf>
    <xf numFmtId="0" fontId="56" fillId="5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</cellXfs>
  <cellStyles count="175">
    <cellStyle name="0" xfId="2"/>
    <cellStyle name="000" xfId="3"/>
    <cellStyle name="000 2" xfId="4"/>
    <cellStyle name="3_D" xfId="5"/>
    <cellStyle name="3_D 2" xfId="6"/>
    <cellStyle name="3_D_BTS_DTK" xfId="7"/>
    <cellStyle name="3_D_BTS_DTK 2" xfId="8"/>
    <cellStyle name="3_D_Tool" xfId="9"/>
    <cellStyle name="3_D_Tool 2" xfId="10"/>
    <cellStyle name="3_DNoColor" xfId="11"/>
    <cellStyle name="3_DNoColor 2" xfId="12"/>
    <cellStyle name="3_DNoColor_BTS_DTK" xfId="13"/>
    <cellStyle name="3_DNoColor_BTS_DTK 2" xfId="14"/>
    <cellStyle name="CellLock" xfId="15"/>
    <cellStyle name="CellLock 2" xfId="16"/>
    <cellStyle name="CellUnlock" xfId="17"/>
    <cellStyle name="CellUnlock 2" xfId="18"/>
    <cellStyle name="Column_Title" xfId="19"/>
    <cellStyle name="Comma  - Style1" xfId="20"/>
    <cellStyle name="Comma  - Style2" xfId="21"/>
    <cellStyle name="Comma  - Style3" xfId="22"/>
    <cellStyle name="Comma  - Style4" xfId="23"/>
    <cellStyle name="Comma  - Style5" xfId="24"/>
    <cellStyle name="Comma  - Style6" xfId="25"/>
    <cellStyle name="Comma  - Style7" xfId="26"/>
    <cellStyle name="Comma  - Style8" xfId="27"/>
    <cellStyle name="Comma [0] 2" xfId="28"/>
    <cellStyle name="Comma [0] 2 2" xfId="142"/>
    <cellStyle name="Comma [0] 3" xfId="29"/>
    <cellStyle name="Comma [0] 3 2" xfId="30"/>
    <cellStyle name="Comma [0] 3 2 2" xfId="143"/>
    <cellStyle name="Comma [0] 3 3" xfId="144"/>
    <cellStyle name="Comma [0] Centered" xfId="31"/>
    <cellStyle name="Comma [0] Centered 2" xfId="32"/>
    <cellStyle name="Comma 0" xfId="33"/>
    <cellStyle name="Comma 000" xfId="34"/>
    <cellStyle name="Comma 000,0" xfId="35"/>
    <cellStyle name="Comma 000,0 2" xfId="36"/>
    <cellStyle name="Comma 000,000" xfId="37"/>
    <cellStyle name="Comma 000,000 2" xfId="38"/>
    <cellStyle name="Comma 000_Toyota_Dealer_Sim.2004Jul28" xfId="39"/>
    <cellStyle name="Comma 1" xfId="40"/>
    <cellStyle name="Comma 2" xfId="41"/>
    <cellStyle name="Comma 2 2" xfId="145"/>
    <cellStyle name="Comma 3" xfId="42"/>
    <cellStyle name="Comma 3 2" xfId="43"/>
    <cellStyle name="Comma 3 2 2" xfId="146"/>
    <cellStyle name="Comma 3 3" xfId="147"/>
    <cellStyle name="Comma 4" xfId="44"/>
    <cellStyle name="Comma 4 2" xfId="45"/>
    <cellStyle name="Comma 4 2 2" xfId="148"/>
    <cellStyle name="Comma 4 3" xfId="149"/>
    <cellStyle name="Comma 5" xfId="46"/>
    <cellStyle name="Comma 5 2" xfId="47"/>
    <cellStyle name="Comma 5 2 2" xfId="150"/>
    <cellStyle name="Comma 5 3" xfId="151"/>
    <cellStyle name="Comma 6" xfId="48"/>
    <cellStyle name="Comma 6 2" xfId="49"/>
    <cellStyle name="Comma 6 2 2" xfId="152"/>
    <cellStyle name="Comma 6 3" xfId="153"/>
    <cellStyle name="Comma 7" xfId="50"/>
    <cellStyle name="Comma 7 2" xfId="154"/>
    <cellStyle name="Comma 8" xfId="51"/>
    <cellStyle name="Comma 8 2" xfId="155"/>
    <cellStyle name="Comma Centered" xfId="52"/>
    <cellStyle name="Comma Centered 2" xfId="53"/>
    <cellStyle name="Comma Centered 2 2" xfId="156"/>
    <cellStyle name="Comma Centered 3" xfId="157"/>
    <cellStyle name="Comma, Centered" xfId="54"/>
    <cellStyle name="Comma, No Dec" xfId="55"/>
    <cellStyle name="Comma, No Dec 2" xfId="56"/>
    <cellStyle name="Comma, No Dec No 0" xfId="57"/>
    <cellStyle name="Comma, Pos" xfId="58"/>
    <cellStyle name="Comma, Pos 2" xfId="59"/>
    <cellStyle name="Comma, Pos, No Dec" xfId="60"/>
    <cellStyle name="Comma, Pos, No Dec, No 0" xfId="61"/>
    <cellStyle name="Comma, Pos, No Dec, No 0 2" xfId="62"/>
    <cellStyle name="Comma, Pos, No Dec_BarclaysFeedbacks" xfId="63"/>
    <cellStyle name="Comma0" xfId="64"/>
    <cellStyle name="Comma0 - Style4" xfId="65"/>
    <cellStyle name="Comma000" xfId="66"/>
    <cellStyle name="Comma1 - Style1" xfId="67"/>
    <cellStyle name="ContentsHyperlink" xfId="68"/>
    <cellStyle name="Curren - Style2" xfId="69"/>
    <cellStyle name="Curren - Style5" xfId="70"/>
    <cellStyle name="Currency [0] (000)" xfId="71"/>
    <cellStyle name="Currency 2" xfId="72"/>
    <cellStyle name="Currency 2 2" xfId="73"/>
    <cellStyle name="Currency, No Dec" xfId="74"/>
    <cellStyle name="Currency, No Dec 2" xfId="75"/>
    <cellStyle name="Currency, Pos, 2 Dec" xfId="76"/>
    <cellStyle name="Currency, Pos, 2 Dec 2" xfId="77"/>
    <cellStyle name="Currency, Pos, No Dec" xfId="78"/>
    <cellStyle name="Currency, Pos, No Dec 2" xfId="79"/>
    <cellStyle name="Currency0" xfId="80"/>
    <cellStyle name="Date" xfId="81"/>
    <cellStyle name="DateTTM" xfId="82"/>
    <cellStyle name="DateTTM 2" xfId="83"/>
    <cellStyle name="Decision" xfId="84"/>
    <cellStyle name="Euro" xfId="85"/>
    <cellStyle name="Euro 2" xfId="86"/>
    <cellStyle name="Feedback000" xfId="87"/>
    <cellStyle name="Feedback000 2" xfId="88"/>
    <cellStyle name="Feedback000,000" xfId="89"/>
    <cellStyle name="Feedback000,000 2" xfId="90"/>
    <cellStyle name="Feedback000_Autodesk_SW_BAFeedbacks" xfId="91"/>
    <cellStyle name="Fixed" xfId="92"/>
    <cellStyle name="Fixed3 - Style3" xfId="93"/>
    <cellStyle name="Fraction (1)" xfId="94"/>
    <cellStyle name="Grey" xfId="95"/>
    <cellStyle name="Grey 2" xfId="96"/>
    <cellStyle name="Hyperlink" xfId="162" builtinId="8"/>
    <cellStyle name="Input [yellow]" xfId="97"/>
    <cellStyle name="Input [yellow] 2" xfId="98"/>
    <cellStyle name="InputBox" xfId="99"/>
    <cellStyle name="InputBox 2" xfId="100"/>
    <cellStyle name="no dec" xfId="101"/>
    <cellStyle name="Normal" xfId="0" builtinId="0"/>
    <cellStyle name="Normal - Style1" xfId="102"/>
    <cellStyle name="Normal 10" xfId="160"/>
    <cellStyle name="Normal 11" xfId="163"/>
    <cellStyle name="Normal 11 2" xfId="167"/>
    <cellStyle name="Normal 12" xfId="166"/>
    <cellStyle name="Normal 13" xfId="169"/>
    <cellStyle name="Normal 14" xfId="171"/>
    <cellStyle name="Normal 15" xfId="161"/>
    <cellStyle name="Normal 15 12" xfId="164"/>
    <cellStyle name="Normal 15 12 2" xfId="165"/>
    <cellStyle name="Normal 15 12 3" xfId="168"/>
    <cellStyle name="Normal 15 12 4" xfId="173"/>
    <cellStyle name="Normal 15 12 5" xfId="174"/>
    <cellStyle name="Normal 15 2" xfId="170"/>
    <cellStyle name="Normal 16" xfId="172"/>
    <cellStyle name="Normal 2" xfId="1"/>
    <cellStyle name="Normal 2 2" xfId="103"/>
    <cellStyle name="Normal 2 3" xfId="158"/>
    <cellStyle name="Normal 3" xfId="104"/>
    <cellStyle name="Normal 4" xfId="105"/>
    <cellStyle name="Normal 4 2" xfId="106"/>
    <cellStyle name="Normal 5" xfId="107"/>
    <cellStyle name="Normal 5 2" xfId="108"/>
    <cellStyle name="Normal 6" xfId="109"/>
    <cellStyle name="Normal 6 2" xfId="110"/>
    <cellStyle name="Normal 7" xfId="111"/>
    <cellStyle name="Normal 8" xfId="112"/>
    <cellStyle name="Normal 9" xfId="140"/>
    <cellStyle name="Normal 9 2" xfId="141"/>
    <cellStyle name="Number [0]" xfId="113"/>
    <cellStyle name="Percen - Style2" xfId="114"/>
    <cellStyle name="Percen - Style3" xfId="115"/>
    <cellStyle name="Percent (1)" xfId="116"/>
    <cellStyle name="Percent (2)" xfId="117"/>
    <cellStyle name="Percent [2]" xfId="118"/>
    <cellStyle name="Percent 0" xfId="119"/>
    <cellStyle name="Percent 0 2" xfId="120"/>
    <cellStyle name="Percent 00" xfId="121"/>
    <cellStyle name="Percent 00 2" xfId="122"/>
    <cellStyle name="Percent 00 2 2" xfId="123"/>
    <cellStyle name="Percent 00 3" xfId="124"/>
    <cellStyle name="Percent 2" xfId="125"/>
    <cellStyle name="Percent 3" xfId="126"/>
    <cellStyle name="Percent 3 2" xfId="127"/>
    <cellStyle name="Percent 4" xfId="128"/>
    <cellStyle name="Percent 4 2" xfId="129"/>
    <cellStyle name="Percent 5" xfId="130"/>
    <cellStyle name="Percent 5 2" xfId="131"/>
    <cellStyle name="Percent 6" xfId="132"/>
    <cellStyle name="Percent 6 2" xfId="133"/>
    <cellStyle name="Percent 7" xfId="134"/>
    <cellStyle name="Percent 8" xfId="135"/>
    <cellStyle name="Percent 9" xfId="159"/>
    <cellStyle name="Percent, Pos" xfId="136"/>
    <cellStyle name="Percent, Pos 2" xfId="137"/>
    <cellStyle name="Percent, Pos, No 0" xfId="138"/>
    <cellStyle name="Percent, Pos, No 0 2" xfId="139"/>
  </cellStyles>
  <dxfs count="10">
    <dxf>
      <font>
        <color rgb="FF00B050"/>
      </font>
    </dxf>
    <dxf>
      <font>
        <color theme="5"/>
      </font>
    </dxf>
    <dxf>
      <font>
        <color rgb="FF00B050"/>
      </font>
    </dxf>
    <dxf>
      <font>
        <color theme="5"/>
      </font>
    </dxf>
    <dxf>
      <font>
        <color rgb="FF00B050"/>
      </font>
    </dxf>
    <dxf>
      <font>
        <color theme="5"/>
      </font>
    </dxf>
    <dxf>
      <font>
        <color rgb="FF00B050"/>
      </font>
    </dxf>
    <dxf>
      <font>
        <color theme="5"/>
      </font>
    </dxf>
    <dxf>
      <font>
        <color rgb="FF00B050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r>
              <a:rPr lang="en-US" sz="1100" b="1">
                <a:solidFill>
                  <a:schemeClr val="accent2"/>
                </a:solidFill>
              </a:rPr>
              <a:t>Investment Efficiency Chart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Graphs!$E$11</c:f>
              <c:strCache>
                <c:ptCount val="1"/>
                <c:pt idx="0">
                  <c:v>1.3 Hurdle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Graphs!$E$13:$F$13</c:f>
              <c:numCache>
                <c:formatCode>"$"#,##0" MM"</c:formatCode>
                <c:ptCount val="2"/>
                <c:pt idx="0">
                  <c:v>1</c:v>
                </c:pt>
                <c:pt idx="1">
                  <c:v>250</c:v>
                </c:pt>
              </c:numCache>
            </c:numRef>
          </c:xVal>
          <c:yVal>
            <c:numRef>
              <c:f>Graphs!$E$12:$F$12</c:f>
              <c:numCache>
                <c:formatCode>"$"#,##0" MM"</c:formatCode>
                <c:ptCount val="2"/>
                <c:pt idx="0">
                  <c:v>0.3</c:v>
                </c:pt>
                <c:pt idx="1">
                  <c:v>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03-484D-8A44-4F7158BFDAB1}"/>
            </c:ext>
          </c:extLst>
        </c:ser>
        <c:ser>
          <c:idx val="1"/>
          <c:order val="1"/>
          <c:tx>
            <c:strRef>
              <c:f>Graphs!$G$11</c:f>
              <c:strCache>
                <c:ptCount val="1"/>
                <c:pt idx="0">
                  <c:v>1.5 Hurdle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Graphs!$G$13:$H$13</c:f>
              <c:numCache>
                <c:formatCode>"$"#,##0" MM"</c:formatCode>
                <c:ptCount val="2"/>
                <c:pt idx="0">
                  <c:v>1</c:v>
                </c:pt>
                <c:pt idx="1">
                  <c:v>250</c:v>
                </c:pt>
              </c:numCache>
            </c:numRef>
          </c:xVal>
          <c:yVal>
            <c:numRef>
              <c:f>Graphs!$G$12:$H$12</c:f>
              <c:numCache>
                <c:formatCode>"$"#,##0" MM"</c:formatCode>
                <c:ptCount val="2"/>
                <c:pt idx="0">
                  <c:v>0.5</c:v>
                </c:pt>
                <c:pt idx="1">
                  <c:v>125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03-484D-8A44-4F7158BFDAB1}"/>
            </c:ext>
          </c:extLst>
        </c:ser>
        <c:ser>
          <c:idx val="2"/>
          <c:order val="2"/>
          <c:tx>
            <c:strRef>
              <c:f>Graphs!$I$11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3"/>
            <c:spPr>
              <a:solidFill>
                <a:schemeClr val="tx1">
                  <a:lumMod val="50000"/>
                  <a:lumOff val="5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Graphs!$I$13</c:f>
              <c:numCache>
                <c:formatCode>"$"#,##0" MM"</c:formatCode>
                <c:ptCount val="1"/>
                <c:pt idx="0">
                  <c:v>55.555555560000002</c:v>
                </c:pt>
              </c:numCache>
            </c:numRef>
          </c:xVal>
          <c:yVal>
            <c:numRef>
              <c:f>Graphs!$I$12</c:f>
              <c:numCache>
                <c:formatCode>"$"#,##0" MM"</c:formatCode>
                <c:ptCount val="1"/>
                <c:pt idx="0">
                  <c:v>26.436109649999999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C03-484D-8A44-4F7158BFDAB1}"/>
            </c:ext>
          </c:extLst>
        </c:ser>
        <c:ser>
          <c:idx val="3"/>
          <c:order val="3"/>
          <c:tx>
            <c:strRef>
              <c:f>Graphs!$J$11</c:f>
              <c:strCache>
                <c:ptCount val="1"/>
                <c:pt idx="0">
                  <c:v>Scenario 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3"/>
            <c:spPr>
              <a:solidFill>
                <a:schemeClr val="accent4"/>
              </a:solidFill>
              <a:ln w="34925">
                <a:noFill/>
              </a:ln>
              <a:effectLst/>
            </c:spPr>
          </c:marker>
          <c:xVal>
            <c:numRef>
              <c:f>Graphs!$J$13</c:f>
              <c:numCache>
                <c:formatCode>"$"#,##0" MM"</c:formatCode>
                <c:ptCount val="1"/>
                <c:pt idx="0">
                  <c:v>55.555555560000002</c:v>
                </c:pt>
              </c:numCache>
            </c:numRef>
          </c:xVal>
          <c:yVal>
            <c:numRef>
              <c:f>Graphs!$J$12</c:f>
              <c:numCache>
                <c:formatCode>"$"#,##0" MM"</c:formatCode>
                <c:ptCount val="1"/>
                <c:pt idx="0">
                  <c:v>26.436109649999999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373-494C-95CC-EA17B5E7532A}"/>
            </c:ext>
          </c:extLst>
        </c:ser>
        <c:ser>
          <c:idx val="4"/>
          <c:order val="4"/>
          <c:tx>
            <c:strRef>
              <c:f>Graphs!$K$11</c:f>
              <c:strCache>
                <c:ptCount val="1"/>
                <c:pt idx="0">
                  <c:v>Scenario 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3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xVal>
            <c:numRef>
              <c:f>Graphs!$K$13</c:f>
              <c:numCache>
                <c:formatCode>"$"#,##0" MM"</c:formatCode>
                <c:ptCount val="1"/>
                <c:pt idx="0">
                  <c:v>55.555555560000002</c:v>
                </c:pt>
              </c:numCache>
            </c:numRef>
          </c:xVal>
          <c:yVal>
            <c:numRef>
              <c:f>Graphs!$K$12</c:f>
              <c:numCache>
                <c:formatCode>"$"#,##0" MM"</c:formatCode>
                <c:ptCount val="1"/>
                <c:pt idx="0">
                  <c:v>26.436109649999999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373-494C-95CC-EA17B5E7532A}"/>
            </c:ext>
          </c:extLst>
        </c:ser>
        <c:ser>
          <c:idx val="5"/>
          <c:order val="5"/>
          <c:tx>
            <c:strRef>
              <c:f>Graphs!$L$11</c:f>
              <c:strCache>
                <c:ptCount val="1"/>
                <c:pt idx="0">
                  <c:v>Scenario 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3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Graphs!$L$13</c:f>
              <c:numCache>
                <c:formatCode>"$"#,##0" MM"</c:formatCode>
                <c:ptCount val="1"/>
                <c:pt idx="0">
                  <c:v>55.555555560000002</c:v>
                </c:pt>
              </c:numCache>
            </c:numRef>
          </c:xVal>
          <c:yVal>
            <c:numRef>
              <c:f>Graphs!$L$12</c:f>
              <c:numCache>
                <c:formatCode>"$"#,##0" MM"</c:formatCode>
                <c:ptCount val="1"/>
                <c:pt idx="0">
                  <c:v>26.436109649999999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373-494C-95CC-EA17B5E75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81632"/>
        <c:axId val="72192384"/>
      </c:scatterChart>
      <c:valAx>
        <c:axId val="7218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PV10 Investment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&quot;$&quot;#,##0&quot; MM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92384"/>
        <c:crosses val="autoZero"/>
        <c:crossBetween val="midCat"/>
      </c:valAx>
      <c:valAx>
        <c:axId val="7219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NPV10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&quot;$&quot;#,##0&quot; MM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1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2"/>
                </a:solidFill>
              </a:rPr>
              <a:t>Business Unit Net Cash Flow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Graphs!$D$3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Graphs!$E$2:$N$2</c:f>
              <c:strCache>
                <c:ptCount val="1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</c:strCache>
            </c:strRef>
          </c:cat>
          <c:val>
            <c:numRef>
              <c:f>Graphs!$E$3:$N$3</c:f>
              <c:numCache>
                <c:formatCode>"$"#,##0,," MM"</c:formatCode>
                <c:ptCount val="10"/>
                <c:pt idx="0">
                  <c:v>2096305117.9889832</c:v>
                </c:pt>
                <c:pt idx="1">
                  <c:v>2112889324.9955125</c:v>
                </c:pt>
                <c:pt idx="2">
                  <c:v>2091387980.0145295</c:v>
                </c:pt>
                <c:pt idx="3">
                  <c:v>2035904531.8969917</c:v>
                </c:pt>
                <c:pt idx="4">
                  <c:v>1951318535.4161341</c:v>
                </c:pt>
                <c:pt idx="5">
                  <c:v>1842999047.4117804</c:v>
                </c:pt>
                <c:pt idx="6">
                  <c:v>1716522174.8038776</c:v>
                </c:pt>
                <c:pt idx="7">
                  <c:v>1577409231.4334083</c:v>
                </c:pt>
                <c:pt idx="8">
                  <c:v>1430898772.718884</c:v>
                </c:pt>
                <c:pt idx="9">
                  <c:v>1281761929.143038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160-440F-83C1-E57680D95EF1}"/>
            </c:ext>
          </c:extLst>
        </c:ser>
        <c:ser>
          <c:idx val="1"/>
          <c:order val="1"/>
          <c:tx>
            <c:strRef>
              <c:f>Graphs!$D$4</c:f>
              <c:strCache>
                <c:ptCount val="1"/>
                <c:pt idx="0">
                  <c:v>Royalty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Graphs!$E$2:$N$2</c:f>
              <c:strCache>
                <c:ptCount val="1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</c:strCache>
            </c:strRef>
          </c:cat>
          <c:val>
            <c:numRef>
              <c:f>Graphs!$E$4:$N$4</c:f>
              <c:numCache>
                <c:formatCode>"$"#,##0,," MM"</c:formatCode>
                <c:ptCount val="10"/>
                <c:pt idx="0">
                  <c:v>-314445767.69834745</c:v>
                </c:pt>
                <c:pt idx="1">
                  <c:v>-316933398.74932688</c:v>
                </c:pt>
                <c:pt idx="2">
                  <c:v>-316150766.86033547</c:v>
                </c:pt>
                <c:pt idx="3">
                  <c:v>-307847573.20577204</c:v>
                </c:pt>
                <c:pt idx="4">
                  <c:v>-295134620.82664543</c:v>
                </c:pt>
                <c:pt idx="5">
                  <c:v>-277050393.30357361</c:v>
                </c:pt>
                <c:pt idx="6">
                  <c:v>-257478326.22058162</c:v>
                </c:pt>
                <c:pt idx="7">
                  <c:v>-236611384.71501124</c:v>
                </c:pt>
                <c:pt idx="8">
                  <c:v>-214634815.90783259</c:v>
                </c:pt>
                <c:pt idx="9">
                  <c:v>-192264289.3714557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160-440F-83C1-E57680D95EF1}"/>
            </c:ext>
          </c:extLst>
        </c:ser>
        <c:ser>
          <c:idx val="2"/>
          <c:order val="2"/>
          <c:tx>
            <c:strRef>
              <c:f>Graphs!$D$5</c:f>
              <c:strCache>
                <c:ptCount val="1"/>
                <c:pt idx="0">
                  <c:v>OpEx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Graphs!$E$2:$N$2</c:f>
              <c:strCache>
                <c:ptCount val="1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</c:strCache>
            </c:strRef>
          </c:cat>
          <c:val>
            <c:numRef>
              <c:f>Graphs!$E$5:$N$5</c:f>
              <c:numCache>
                <c:formatCode>"$"#,##0,," MM"</c:formatCode>
                <c:ptCount val="10"/>
                <c:pt idx="0">
                  <c:v>-628891535.3966949</c:v>
                </c:pt>
                <c:pt idx="1">
                  <c:v>-633866797.49865377</c:v>
                </c:pt>
                <c:pt idx="2">
                  <c:v>-637186673.43698323</c:v>
                </c:pt>
                <c:pt idx="3">
                  <c:v>-620618933.25399065</c:v>
                </c:pt>
                <c:pt idx="4">
                  <c:v>-595142922.68174148</c:v>
                </c:pt>
                <c:pt idx="5">
                  <c:v>-555301858.99076045</c:v>
                </c:pt>
                <c:pt idx="6">
                  <c:v>-514956652.4411633</c:v>
                </c:pt>
                <c:pt idx="7">
                  <c:v>-473222769.43002242</c:v>
                </c:pt>
                <c:pt idx="8">
                  <c:v>-429269631.81566519</c:v>
                </c:pt>
                <c:pt idx="9">
                  <c:v>-384528578.74291146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160-440F-83C1-E57680D95EF1}"/>
            </c:ext>
          </c:extLst>
        </c:ser>
        <c:ser>
          <c:idx val="3"/>
          <c:order val="3"/>
          <c:tx>
            <c:strRef>
              <c:f>Graphs!$D$6</c:f>
              <c:strCache>
                <c:ptCount val="1"/>
                <c:pt idx="0">
                  <c:v>Income Tax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Graphs!$E$2:$N$2</c:f>
              <c:strCache>
                <c:ptCount val="1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</c:strCache>
            </c:strRef>
          </c:cat>
          <c:val>
            <c:numRef>
              <c:f>Graphs!$E$6:$N$6</c:f>
              <c:numCache>
                <c:formatCode>"$"#,##0,," MM"</c:formatCode>
                <c:ptCount val="10"/>
                <c:pt idx="0">
                  <c:v>-345890344.46818227</c:v>
                </c:pt>
                <c:pt idx="1">
                  <c:v>-348626738.62425947</c:v>
                </c:pt>
                <c:pt idx="2">
                  <c:v>-346300301.63147533</c:v>
                </c:pt>
                <c:pt idx="3">
                  <c:v>-337155194.47361523</c:v>
                </c:pt>
                <c:pt idx="4">
                  <c:v>-323185978.60077488</c:v>
                </c:pt>
                <c:pt idx="5">
                  <c:v>-304395110.91884708</c:v>
                </c:pt>
                <c:pt idx="6">
                  <c:v>-283226158.8426398</c:v>
                </c:pt>
                <c:pt idx="7">
                  <c:v>-260272523.18651235</c:v>
                </c:pt>
                <c:pt idx="8">
                  <c:v>-236098297.49861583</c:v>
                </c:pt>
                <c:pt idx="9">
                  <c:v>-211490718.30860126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160-440F-83C1-E57680D95EF1}"/>
            </c:ext>
          </c:extLst>
        </c:ser>
        <c:ser>
          <c:idx val="4"/>
          <c:order val="4"/>
          <c:tx>
            <c:strRef>
              <c:f>Graphs!$D$7</c:f>
              <c:strCache>
                <c:ptCount val="1"/>
                <c:pt idx="0">
                  <c:v>CapEx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Graphs!$E$2:$N$2</c:f>
              <c:strCache>
                <c:ptCount val="1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</c:strCache>
            </c:strRef>
          </c:cat>
          <c:val>
            <c:numRef>
              <c:f>Graphs!$E$7:$N$7</c:f>
              <c:numCache>
                <c:formatCode>"$"#,##0,," MM"</c:formatCode>
                <c:ptCount val="10"/>
                <c:pt idx="0">
                  <c:v>0</c:v>
                </c:pt>
                <c:pt idx="1">
                  <c:v>-10000000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160-440F-83C1-E57680D95EF1}"/>
            </c:ext>
          </c:extLst>
        </c:ser>
        <c:ser>
          <c:idx val="5"/>
          <c:order val="5"/>
          <c:tx>
            <c:strRef>
              <c:f>Graphs!$D$8</c:f>
              <c:strCache>
                <c:ptCount val="1"/>
                <c:pt idx="0">
                  <c:v>Working Capital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Graphs!$E$2:$N$2</c:f>
              <c:strCache>
                <c:ptCount val="1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</c:strCache>
            </c:strRef>
          </c:cat>
          <c:val>
            <c:numRef>
              <c:f>Graphs!$E$8:$N$8</c:f>
              <c:numCache>
                <c:formatCode>"$"#,##0,," MM"</c:formatCode>
                <c:ptCount val="10"/>
                <c:pt idx="0">
                  <c:v>-1817447</c:v>
                </c:pt>
                <c:pt idx="1">
                  <c:v>-1817447</c:v>
                </c:pt>
                <c:pt idx="2">
                  <c:v>571786</c:v>
                </c:pt>
                <c:pt idx="3">
                  <c:v>6066260</c:v>
                </c:pt>
                <c:pt idx="4">
                  <c:v>9288002</c:v>
                </c:pt>
                <c:pt idx="5">
                  <c:v>13212221</c:v>
                </c:pt>
                <c:pt idx="6">
                  <c:v>14299227</c:v>
                </c:pt>
                <c:pt idx="7">
                  <c:v>15245254</c:v>
                </c:pt>
                <c:pt idx="8">
                  <c:v>16055941</c:v>
                </c:pt>
                <c:pt idx="9">
                  <c:v>16343764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F160-440F-83C1-E57680D95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2082176"/>
        <c:axId val="72083712"/>
      </c:barChart>
      <c:lineChart>
        <c:grouping val="standard"/>
        <c:varyColors val="0"/>
        <c:ser>
          <c:idx val="6"/>
          <c:order val="6"/>
          <c:tx>
            <c:strRef>
              <c:f>Graphs!$D$9</c:f>
              <c:strCache>
                <c:ptCount val="1"/>
                <c:pt idx="0">
                  <c:v>Net Cash Flow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Graphs!$E$2:$N$2</c:f>
              <c:strCache>
                <c:ptCount val="1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</c:strCache>
            </c:strRef>
          </c:cat>
          <c:val>
            <c:numRef>
              <c:f>Graphs!$E$9:$N$9</c:f>
              <c:numCache>
                <c:formatCode>"$"#,##0,," MM"</c:formatCode>
                <c:ptCount val="10"/>
                <c:pt idx="0">
                  <c:v>805260023.4257586</c:v>
                </c:pt>
                <c:pt idx="1">
                  <c:v>801644943.12327218</c:v>
                </c:pt>
                <c:pt idx="2">
                  <c:v>808605823.14010918</c:v>
                </c:pt>
                <c:pt idx="3">
                  <c:v>792761713.77176905</c:v>
                </c:pt>
                <c:pt idx="4">
                  <c:v>763388618.7351414</c:v>
                </c:pt>
                <c:pt idx="5">
                  <c:v>723467479.8106432</c:v>
                </c:pt>
                <c:pt idx="6">
                  <c:v>675160264.29949284</c:v>
                </c:pt>
                <c:pt idx="7">
                  <c:v>622547808.10186219</c:v>
                </c:pt>
                <c:pt idx="8">
                  <c:v>566951968.49677026</c:v>
                </c:pt>
                <c:pt idx="9">
                  <c:v>509822106.72006965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F160-440F-83C1-E57680D95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82176"/>
        <c:axId val="72083712"/>
      </c:lineChart>
      <c:catAx>
        <c:axId val="7208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83712"/>
        <c:crosses val="autoZero"/>
        <c:auto val="1"/>
        <c:lblAlgn val="ctr"/>
        <c:lblOffset val="100"/>
        <c:noMultiLvlLbl val="0"/>
      </c:catAx>
      <c:valAx>
        <c:axId val="720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,,&quot; MM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8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142875</xdr:colOff>
      <xdr:row>80</xdr:row>
      <xdr:rowOff>76200</xdr:rowOff>
    </xdr:from>
    <xdr:ext cx="645928" cy="228600"/>
    <xdr:pic>
      <xdr:nvPicPr>
        <xdr:cNvPr id="2" name="Picture 1">
          <a:extLst>
            <a:ext uri="{FF2B5EF4-FFF2-40B4-BE49-F238E27FC236}">
              <a16:creationId xmlns="" xmlns:a16="http://schemas.microsoft.com/office/drawing/2014/main" id="{C14A67D1-CBB7-4385-B630-F06509BBAE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981075" y="10210800"/>
          <a:ext cx="645928" cy="228600"/>
        </a:xfrm>
        <a:prstGeom prst="rect">
          <a:avLst/>
        </a:prstGeom>
      </xdr:spPr>
    </xdr:pic>
    <xdr:clientData/>
  </xdr:oneCellAnchor>
  <xdr:twoCellAnchor>
    <xdr:from>
      <xdr:col>16</xdr:col>
      <xdr:colOff>504825</xdr:colOff>
      <xdr:row>2</xdr:row>
      <xdr:rowOff>47626</xdr:rowOff>
    </xdr:from>
    <xdr:to>
      <xdr:col>17</xdr:col>
      <xdr:colOff>704850</xdr:colOff>
      <xdr:row>2</xdr:row>
      <xdr:rowOff>276226</xdr:rowOff>
    </xdr:to>
    <xdr:sp macro="[0]!ResetNumbers" textlink="">
      <xdr:nvSpPr>
        <xdr:cNvPr id="3" name="Rectangle: Rounded Corners 2">
          <a:extLst>
            <a:ext uri="{FF2B5EF4-FFF2-40B4-BE49-F238E27FC236}">
              <a16:creationId xmlns="" xmlns:a16="http://schemas.microsoft.com/office/drawing/2014/main" id="{F86D1410-288C-4E31-9DCF-66BAC91781C5}"/>
            </a:ext>
          </a:extLst>
        </xdr:cNvPr>
        <xdr:cNvSpPr/>
      </xdr:nvSpPr>
      <xdr:spPr>
        <a:xfrm>
          <a:off x="14011275" y="695326"/>
          <a:ext cx="914400" cy="228600"/>
        </a:xfrm>
        <a:prstGeom prst="roundRect">
          <a:avLst/>
        </a:prstGeom>
        <a:solidFill>
          <a:srgbClr val="FF0000"/>
        </a:solidFill>
        <a:ln w="6350">
          <a:noFill/>
        </a:ln>
        <a:scene3d>
          <a:camera prst="orthographicFront"/>
          <a:lightRig rig="threePt" dir="t"/>
        </a:scene3d>
        <a:sp3d>
          <a:bevelT w="381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Reset</a:t>
          </a:r>
        </a:p>
      </xdr:txBody>
    </xdr:sp>
    <xdr:clientData/>
  </xdr:twoCellAnchor>
  <xdr:oneCellAnchor>
    <xdr:from>
      <xdr:col>18</xdr:col>
      <xdr:colOff>1020654</xdr:colOff>
      <xdr:row>1</xdr:row>
      <xdr:rowOff>9525</xdr:rowOff>
    </xdr:from>
    <xdr:ext cx="427145" cy="476250"/>
    <xdr:pic>
      <xdr:nvPicPr>
        <xdr:cNvPr id="9" name="Picture 8">
          <a:extLst>
            <a:ext uri="{FF2B5EF4-FFF2-40B4-BE49-F238E27FC236}">
              <a16:creationId xmlns="" xmlns:a16="http://schemas.microsoft.com/office/drawing/2014/main" id="{3725A9FC-41C0-4550-8A87-C79CE7423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27279" y="190500"/>
          <a:ext cx="427145" cy="476250"/>
        </a:xfrm>
        <a:prstGeom prst="rect">
          <a:avLst/>
        </a:prstGeom>
      </xdr:spPr>
    </xdr:pic>
    <xdr:clientData/>
  </xdr:oneCellAnchor>
  <xdr:twoCellAnchor>
    <xdr:from>
      <xdr:col>6</xdr:col>
      <xdr:colOff>28575</xdr:colOff>
      <xdr:row>4</xdr:row>
      <xdr:rowOff>142875</xdr:rowOff>
    </xdr:from>
    <xdr:to>
      <xdr:col>6</xdr:col>
      <xdr:colOff>257175</xdr:colOff>
      <xdr:row>6</xdr:row>
      <xdr:rowOff>9525</xdr:rowOff>
    </xdr:to>
    <xdr:sp macro="[0]!ProjSchedPlus" textlink="">
      <xdr:nvSpPr>
        <xdr:cNvPr id="5" name="Plus Sign 4">
          <a:extLst>
            <a:ext uri="{FF2B5EF4-FFF2-40B4-BE49-F238E27FC236}">
              <a16:creationId xmlns="" xmlns:a16="http://schemas.microsoft.com/office/drawing/2014/main" id="{C812D9D3-8B59-4932-B279-FE5A35013BA9}"/>
            </a:ext>
          </a:extLst>
        </xdr:cNvPr>
        <xdr:cNvSpPr/>
      </xdr:nvSpPr>
      <xdr:spPr>
        <a:xfrm>
          <a:off x="4676775" y="1304925"/>
          <a:ext cx="228600" cy="228600"/>
        </a:xfrm>
        <a:prstGeom prst="mathPlus">
          <a:avLst/>
        </a:prstGeom>
        <a:solidFill>
          <a:srgbClr val="00B050"/>
        </a:solidFill>
        <a:ln w="6350">
          <a:solidFill>
            <a:srgbClr val="2832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5</xdr:row>
      <xdr:rowOff>180975</xdr:rowOff>
    </xdr:from>
    <xdr:to>
      <xdr:col>6</xdr:col>
      <xdr:colOff>257175</xdr:colOff>
      <xdr:row>7</xdr:row>
      <xdr:rowOff>9525</xdr:rowOff>
    </xdr:to>
    <xdr:sp macro="[0]!ProjCapExPlus" textlink="">
      <xdr:nvSpPr>
        <xdr:cNvPr id="19" name="Plus Sign 18">
          <a:extLst>
            <a:ext uri="{FF2B5EF4-FFF2-40B4-BE49-F238E27FC236}">
              <a16:creationId xmlns="" xmlns:a16="http://schemas.microsoft.com/office/drawing/2014/main" id="{01B712C6-C8D1-47FB-944D-75354E459E60}"/>
            </a:ext>
          </a:extLst>
        </xdr:cNvPr>
        <xdr:cNvSpPr/>
      </xdr:nvSpPr>
      <xdr:spPr>
        <a:xfrm>
          <a:off x="4676775" y="1504950"/>
          <a:ext cx="228600" cy="228600"/>
        </a:xfrm>
        <a:prstGeom prst="mathPlus">
          <a:avLst/>
        </a:prstGeom>
        <a:solidFill>
          <a:srgbClr val="00B050"/>
        </a:solidFill>
        <a:ln w="6350">
          <a:solidFill>
            <a:srgbClr val="2832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7</xdr:row>
      <xdr:rowOff>180975</xdr:rowOff>
    </xdr:from>
    <xdr:to>
      <xdr:col>6</xdr:col>
      <xdr:colOff>257175</xdr:colOff>
      <xdr:row>9</xdr:row>
      <xdr:rowOff>9525</xdr:rowOff>
    </xdr:to>
    <xdr:sp macro="[0]!ProdPlus" textlink="">
      <xdr:nvSpPr>
        <xdr:cNvPr id="21" name="Plus Sign 20">
          <a:extLst>
            <a:ext uri="{FF2B5EF4-FFF2-40B4-BE49-F238E27FC236}">
              <a16:creationId xmlns="" xmlns:a16="http://schemas.microsoft.com/office/drawing/2014/main" id="{1515596D-11FB-44F0-BCA4-15E07CD4ED94}"/>
            </a:ext>
          </a:extLst>
        </xdr:cNvPr>
        <xdr:cNvSpPr/>
      </xdr:nvSpPr>
      <xdr:spPr>
        <a:xfrm>
          <a:off x="4676775" y="1504950"/>
          <a:ext cx="228600" cy="228600"/>
        </a:xfrm>
        <a:prstGeom prst="mathPlus">
          <a:avLst/>
        </a:prstGeom>
        <a:solidFill>
          <a:srgbClr val="00B050"/>
        </a:solidFill>
        <a:ln w="6350">
          <a:solidFill>
            <a:srgbClr val="2832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8</xdr:row>
      <xdr:rowOff>180975</xdr:rowOff>
    </xdr:from>
    <xdr:to>
      <xdr:col>6</xdr:col>
      <xdr:colOff>257175</xdr:colOff>
      <xdr:row>10</xdr:row>
      <xdr:rowOff>9525</xdr:rowOff>
    </xdr:to>
    <xdr:sp macro="[0]!ResPlus" textlink="">
      <xdr:nvSpPr>
        <xdr:cNvPr id="22" name="Plus Sign 21">
          <a:extLst>
            <a:ext uri="{FF2B5EF4-FFF2-40B4-BE49-F238E27FC236}">
              <a16:creationId xmlns="" xmlns:a16="http://schemas.microsoft.com/office/drawing/2014/main" id="{31B06FA1-FE02-45C4-B94D-5836598DB35F}"/>
            </a:ext>
          </a:extLst>
        </xdr:cNvPr>
        <xdr:cNvSpPr/>
      </xdr:nvSpPr>
      <xdr:spPr>
        <a:xfrm>
          <a:off x="4676775" y="1504950"/>
          <a:ext cx="228600" cy="228600"/>
        </a:xfrm>
        <a:prstGeom prst="mathPlus">
          <a:avLst/>
        </a:prstGeom>
        <a:solidFill>
          <a:srgbClr val="00B050"/>
        </a:solidFill>
        <a:ln w="6350">
          <a:solidFill>
            <a:srgbClr val="2832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9</xdr:row>
      <xdr:rowOff>180975</xdr:rowOff>
    </xdr:from>
    <xdr:to>
      <xdr:col>6</xdr:col>
      <xdr:colOff>257175</xdr:colOff>
      <xdr:row>11</xdr:row>
      <xdr:rowOff>9525</xdr:rowOff>
    </xdr:to>
    <xdr:sp macro="[0]!RelPlus" textlink="">
      <xdr:nvSpPr>
        <xdr:cNvPr id="23" name="Plus Sign 22">
          <a:extLst>
            <a:ext uri="{FF2B5EF4-FFF2-40B4-BE49-F238E27FC236}">
              <a16:creationId xmlns="" xmlns:a16="http://schemas.microsoft.com/office/drawing/2014/main" id="{D3650247-139C-40F1-81E4-7371B9FF63D9}"/>
            </a:ext>
          </a:extLst>
        </xdr:cNvPr>
        <xdr:cNvSpPr/>
      </xdr:nvSpPr>
      <xdr:spPr>
        <a:xfrm>
          <a:off x="4676775" y="1504950"/>
          <a:ext cx="228600" cy="228600"/>
        </a:xfrm>
        <a:prstGeom prst="mathPlus">
          <a:avLst/>
        </a:prstGeom>
        <a:solidFill>
          <a:srgbClr val="00B050"/>
        </a:solidFill>
        <a:ln w="6350">
          <a:solidFill>
            <a:srgbClr val="2832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11</xdr:row>
      <xdr:rowOff>180975</xdr:rowOff>
    </xdr:from>
    <xdr:to>
      <xdr:col>6</xdr:col>
      <xdr:colOff>257175</xdr:colOff>
      <xdr:row>13</xdr:row>
      <xdr:rowOff>9525</xdr:rowOff>
    </xdr:to>
    <xdr:sp macro="[0]!OpExPlus" textlink="">
      <xdr:nvSpPr>
        <xdr:cNvPr id="24" name="Plus Sign 23">
          <a:extLst>
            <a:ext uri="{FF2B5EF4-FFF2-40B4-BE49-F238E27FC236}">
              <a16:creationId xmlns="" xmlns:a16="http://schemas.microsoft.com/office/drawing/2014/main" id="{5B18E30E-DC42-4DD1-ACB9-27E0F88E90FE}"/>
            </a:ext>
          </a:extLst>
        </xdr:cNvPr>
        <xdr:cNvSpPr/>
      </xdr:nvSpPr>
      <xdr:spPr>
        <a:xfrm>
          <a:off x="4676775" y="1504950"/>
          <a:ext cx="228600" cy="228600"/>
        </a:xfrm>
        <a:prstGeom prst="mathPlus">
          <a:avLst/>
        </a:prstGeom>
        <a:solidFill>
          <a:srgbClr val="00B050"/>
        </a:solidFill>
        <a:ln w="6350">
          <a:solidFill>
            <a:srgbClr val="2832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12</xdr:row>
      <xdr:rowOff>180975</xdr:rowOff>
    </xdr:from>
    <xdr:to>
      <xdr:col>6</xdr:col>
      <xdr:colOff>257175</xdr:colOff>
      <xdr:row>14</xdr:row>
      <xdr:rowOff>9525</xdr:rowOff>
    </xdr:to>
    <xdr:sp macro="[0]!NetbackPlus" textlink="">
      <xdr:nvSpPr>
        <xdr:cNvPr id="25" name="Plus Sign 24">
          <a:extLst>
            <a:ext uri="{FF2B5EF4-FFF2-40B4-BE49-F238E27FC236}">
              <a16:creationId xmlns="" xmlns:a16="http://schemas.microsoft.com/office/drawing/2014/main" id="{A9D97F64-D977-42D1-BE5A-D39084ADF1FC}"/>
            </a:ext>
          </a:extLst>
        </xdr:cNvPr>
        <xdr:cNvSpPr/>
      </xdr:nvSpPr>
      <xdr:spPr>
        <a:xfrm>
          <a:off x="4676775" y="1504950"/>
          <a:ext cx="228600" cy="228600"/>
        </a:xfrm>
        <a:prstGeom prst="mathPlus">
          <a:avLst/>
        </a:prstGeom>
        <a:solidFill>
          <a:srgbClr val="00B050"/>
        </a:solidFill>
        <a:ln w="6350">
          <a:solidFill>
            <a:srgbClr val="2832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13</xdr:row>
      <xdr:rowOff>180975</xdr:rowOff>
    </xdr:from>
    <xdr:to>
      <xdr:col>6</xdr:col>
      <xdr:colOff>257175</xdr:colOff>
      <xdr:row>15</xdr:row>
      <xdr:rowOff>47625</xdr:rowOff>
    </xdr:to>
    <xdr:sp macro="[0]!WorkingCapPlus" textlink="">
      <xdr:nvSpPr>
        <xdr:cNvPr id="26" name="Plus Sign 25">
          <a:extLst>
            <a:ext uri="{FF2B5EF4-FFF2-40B4-BE49-F238E27FC236}">
              <a16:creationId xmlns="" xmlns:a16="http://schemas.microsoft.com/office/drawing/2014/main" id="{8170B77F-93C4-4305-942B-5708122A5D12}"/>
            </a:ext>
          </a:extLst>
        </xdr:cNvPr>
        <xdr:cNvSpPr/>
      </xdr:nvSpPr>
      <xdr:spPr>
        <a:xfrm>
          <a:off x="5057775" y="3105150"/>
          <a:ext cx="228600" cy="228600"/>
        </a:xfrm>
        <a:prstGeom prst="mathPlus">
          <a:avLst/>
        </a:prstGeom>
        <a:solidFill>
          <a:srgbClr val="00B050"/>
        </a:solidFill>
        <a:ln w="6350">
          <a:solidFill>
            <a:srgbClr val="2832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219075</xdr:colOff>
      <xdr:row>5</xdr:row>
      <xdr:rowOff>57150</xdr:rowOff>
    </xdr:from>
    <xdr:to>
      <xdr:col>3</xdr:col>
      <xdr:colOff>457200</xdr:colOff>
      <xdr:row>5</xdr:row>
      <xdr:rowOff>133350</xdr:rowOff>
    </xdr:to>
    <xdr:sp macro="[0]!ProjSchedMinus" textlink="">
      <xdr:nvSpPr>
        <xdr:cNvPr id="33" name="Rectangle 32">
          <a:extLst>
            <a:ext uri="{FF2B5EF4-FFF2-40B4-BE49-F238E27FC236}">
              <a16:creationId xmlns="" xmlns:a16="http://schemas.microsoft.com/office/drawing/2014/main" id="{64C26D5D-2255-406D-A99A-BC0A4A41869E}"/>
            </a:ext>
          </a:extLst>
        </xdr:cNvPr>
        <xdr:cNvSpPr/>
      </xdr:nvSpPr>
      <xdr:spPr>
        <a:xfrm>
          <a:off x="2895600" y="1381125"/>
          <a:ext cx="238125" cy="76200"/>
        </a:xfrm>
        <a:prstGeom prst="rect">
          <a:avLst/>
        </a:prstGeom>
        <a:solidFill>
          <a:schemeClr val="accent2"/>
        </a:solidFill>
        <a:ln w="6350">
          <a:solidFill>
            <a:srgbClr val="2832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219075</xdr:colOff>
      <xdr:row>6</xdr:row>
      <xdr:rowOff>57150</xdr:rowOff>
    </xdr:from>
    <xdr:to>
      <xdr:col>3</xdr:col>
      <xdr:colOff>457200</xdr:colOff>
      <xdr:row>6</xdr:row>
      <xdr:rowOff>133350</xdr:rowOff>
    </xdr:to>
    <xdr:sp macro="[0]!ProjCapExMinus" textlink="">
      <xdr:nvSpPr>
        <xdr:cNvPr id="34" name="Rectangle 33">
          <a:extLst>
            <a:ext uri="{FF2B5EF4-FFF2-40B4-BE49-F238E27FC236}">
              <a16:creationId xmlns="" xmlns:a16="http://schemas.microsoft.com/office/drawing/2014/main" id="{7E651ED2-0E1F-4496-B991-5AFFB707276A}"/>
            </a:ext>
          </a:extLst>
        </xdr:cNvPr>
        <xdr:cNvSpPr/>
      </xdr:nvSpPr>
      <xdr:spPr>
        <a:xfrm>
          <a:off x="2895600" y="1581150"/>
          <a:ext cx="238125" cy="76200"/>
        </a:xfrm>
        <a:prstGeom prst="rect">
          <a:avLst/>
        </a:prstGeom>
        <a:solidFill>
          <a:schemeClr val="accent2"/>
        </a:solidFill>
        <a:ln w="6350">
          <a:solidFill>
            <a:srgbClr val="2832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219075</xdr:colOff>
      <xdr:row>8</xdr:row>
      <xdr:rowOff>57150</xdr:rowOff>
    </xdr:from>
    <xdr:to>
      <xdr:col>3</xdr:col>
      <xdr:colOff>457200</xdr:colOff>
      <xdr:row>8</xdr:row>
      <xdr:rowOff>133350</xdr:rowOff>
    </xdr:to>
    <xdr:sp macro="[0]!ProdMinus" textlink="">
      <xdr:nvSpPr>
        <xdr:cNvPr id="35" name="Rectangle 34">
          <a:extLst>
            <a:ext uri="{FF2B5EF4-FFF2-40B4-BE49-F238E27FC236}">
              <a16:creationId xmlns="" xmlns:a16="http://schemas.microsoft.com/office/drawing/2014/main" id="{5D3AECC3-4604-43D5-B450-032EAE509A58}"/>
            </a:ext>
          </a:extLst>
        </xdr:cNvPr>
        <xdr:cNvSpPr/>
      </xdr:nvSpPr>
      <xdr:spPr>
        <a:xfrm>
          <a:off x="2895600" y="1981200"/>
          <a:ext cx="238125" cy="76200"/>
        </a:xfrm>
        <a:prstGeom prst="rect">
          <a:avLst/>
        </a:prstGeom>
        <a:solidFill>
          <a:schemeClr val="accent2"/>
        </a:solidFill>
        <a:ln w="6350">
          <a:solidFill>
            <a:srgbClr val="2832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219075</xdr:colOff>
      <xdr:row>9</xdr:row>
      <xdr:rowOff>57150</xdr:rowOff>
    </xdr:from>
    <xdr:to>
      <xdr:col>3</xdr:col>
      <xdr:colOff>457200</xdr:colOff>
      <xdr:row>9</xdr:row>
      <xdr:rowOff>133350</xdr:rowOff>
    </xdr:to>
    <xdr:sp macro="[0]!ResMinus" textlink="">
      <xdr:nvSpPr>
        <xdr:cNvPr id="36" name="Rectangle 35">
          <a:extLst>
            <a:ext uri="{FF2B5EF4-FFF2-40B4-BE49-F238E27FC236}">
              <a16:creationId xmlns="" xmlns:a16="http://schemas.microsoft.com/office/drawing/2014/main" id="{5F43C955-E1B8-4280-B72C-1BA5C79E6146}"/>
            </a:ext>
          </a:extLst>
        </xdr:cNvPr>
        <xdr:cNvSpPr/>
      </xdr:nvSpPr>
      <xdr:spPr>
        <a:xfrm>
          <a:off x="2895600" y="2181225"/>
          <a:ext cx="238125" cy="76200"/>
        </a:xfrm>
        <a:prstGeom prst="rect">
          <a:avLst/>
        </a:prstGeom>
        <a:solidFill>
          <a:schemeClr val="accent2"/>
        </a:solidFill>
        <a:ln w="6350">
          <a:solidFill>
            <a:srgbClr val="2832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219075</xdr:colOff>
      <xdr:row>10</xdr:row>
      <xdr:rowOff>57150</xdr:rowOff>
    </xdr:from>
    <xdr:to>
      <xdr:col>3</xdr:col>
      <xdr:colOff>457200</xdr:colOff>
      <xdr:row>10</xdr:row>
      <xdr:rowOff>133350</xdr:rowOff>
    </xdr:to>
    <xdr:sp macro="[0]!RelMinus" textlink="">
      <xdr:nvSpPr>
        <xdr:cNvPr id="37" name="Rectangle 36">
          <a:extLst>
            <a:ext uri="{FF2B5EF4-FFF2-40B4-BE49-F238E27FC236}">
              <a16:creationId xmlns="" xmlns:a16="http://schemas.microsoft.com/office/drawing/2014/main" id="{BE41E6CE-2545-4A46-931F-284B6D1638C3}"/>
            </a:ext>
          </a:extLst>
        </xdr:cNvPr>
        <xdr:cNvSpPr/>
      </xdr:nvSpPr>
      <xdr:spPr>
        <a:xfrm>
          <a:off x="2895600" y="2381250"/>
          <a:ext cx="238125" cy="76200"/>
        </a:xfrm>
        <a:prstGeom prst="rect">
          <a:avLst/>
        </a:prstGeom>
        <a:solidFill>
          <a:schemeClr val="accent2"/>
        </a:solidFill>
        <a:ln w="6350">
          <a:solidFill>
            <a:srgbClr val="2832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219075</xdr:colOff>
      <xdr:row>12</xdr:row>
      <xdr:rowOff>57150</xdr:rowOff>
    </xdr:from>
    <xdr:to>
      <xdr:col>3</xdr:col>
      <xdr:colOff>457200</xdr:colOff>
      <xdr:row>12</xdr:row>
      <xdr:rowOff>133350</xdr:rowOff>
    </xdr:to>
    <xdr:sp macro="[0]!OpExMinus" textlink="">
      <xdr:nvSpPr>
        <xdr:cNvPr id="38" name="Rectangle 37">
          <a:extLst>
            <a:ext uri="{FF2B5EF4-FFF2-40B4-BE49-F238E27FC236}">
              <a16:creationId xmlns="" xmlns:a16="http://schemas.microsoft.com/office/drawing/2014/main" id="{9ADEEC66-C801-4E64-AAB2-E945103FA4EA}"/>
            </a:ext>
          </a:extLst>
        </xdr:cNvPr>
        <xdr:cNvSpPr/>
      </xdr:nvSpPr>
      <xdr:spPr>
        <a:xfrm>
          <a:off x="2895600" y="2781300"/>
          <a:ext cx="238125" cy="76200"/>
        </a:xfrm>
        <a:prstGeom prst="rect">
          <a:avLst/>
        </a:prstGeom>
        <a:solidFill>
          <a:schemeClr val="accent2"/>
        </a:solidFill>
        <a:ln w="6350">
          <a:solidFill>
            <a:srgbClr val="2832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219075</xdr:colOff>
      <xdr:row>13</xdr:row>
      <xdr:rowOff>57150</xdr:rowOff>
    </xdr:from>
    <xdr:to>
      <xdr:col>3</xdr:col>
      <xdr:colOff>457200</xdr:colOff>
      <xdr:row>13</xdr:row>
      <xdr:rowOff>133350</xdr:rowOff>
    </xdr:to>
    <xdr:sp macro="[0]!NetbackMinus" textlink="">
      <xdr:nvSpPr>
        <xdr:cNvPr id="39" name="Rectangle 38">
          <a:extLst>
            <a:ext uri="{FF2B5EF4-FFF2-40B4-BE49-F238E27FC236}">
              <a16:creationId xmlns="" xmlns:a16="http://schemas.microsoft.com/office/drawing/2014/main" id="{9A658CB9-13AB-4FB6-8F41-37092811CC43}"/>
            </a:ext>
          </a:extLst>
        </xdr:cNvPr>
        <xdr:cNvSpPr/>
      </xdr:nvSpPr>
      <xdr:spPr>
        <a:xfrm>
          <a:off x="2895600" y="2981325"/>
          <a:ext cx="238125" cy="76200"/>
        </a:xfrm>
        <a:prstGeom prst="rect">
          <a:avLst/>
        </a:prstGeom>
        <a:solidFill>
          <a:schemeClr val="accent2"/>
        </a:solidFill>
        <a:ln w="6350">
          <a:solidFill>
            <a:srgbClr val="2832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219075</xdr:colOff>
      <xdr:row>14</xdr:row>
      <xdr:rowOff>57150</xdr:rowOff>
    </xdr:from>
    <xdr:to>
      <xdr:col>3</xdr:col>
      <xdr:colOff>457200</xdr:colOff>
      <xdr:row>14</xdr:row>
      <xdr:rowOff>133350</xdr:rowOff>
    </xdr:to>
    <xdr:sp macro="[0]!WorkingCapMinus" textlink="">
      <xdr:nvSpPr>
        <xdr:cNvPr id="40" name="Rectangle 39">
          <a:extLst>
            <a:ext uri="{FF2B5EF4-FFF2-40B4-BE49-F238E27FC236}">
              <a16:creationId xmlns="" xmlns:a16="http://schemas.microsoft.com/office/drawing/2014/main" id="{0BAC87FC-CF40-4136-A46E-8A54743BD9D1}"/>
            </a:ext>
          </a:extLst>
        </xdr:cNvPr>
        <xdr:cNvSpPr/>
      </xdr:nvSpPr>
      <xdr:spPr>
        <a:xfrm>
          <a:off x="2895600" y="3181350"/>
          <a:ext cx="238125" cy="76200"/>
        </a:xfrm>
        <a:prstGeom prst="rect">
          <a:avLst/>
        </a:prstGeom>
        <a:solidFill>
          <a:schemeClr val="accent2"/>
        </a:solidFill>
        <a:ln w="6350">
          <a:solidFill>
            <a:srgbClr val="2832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1809750</xdr:colOff>
      <xdr:row>17</xdr:row>
      <xdr:rowOff>23813</xdr:rowOff>
    </xdr:from>
    <xdr:to>
      <xdr:col>2</xdr:col>
      <xdr:colOff>2047875</xdr:colOff>
      <xdr:row>17</xdr:row>
      <xdr:rowOff>202406</xdr:rowOff>
    </xdr:to>
    <xdr:sp macro="[0]!ProjFinOpenClose" textlink="">
      <xdr:nvSpPr>
        <xdr:cNvPr id="4" name="Arrow: Chevron 3">
          <a:extLst>
            <a:ext uri="{FF2B5EF4-FFF2-40B4-BE49-F238E27FC236}">
              <a16:creationId xmlns="" xmlns:a16="http://schemas.microsoft.com/office/drawing/2014/main" id="{1561F4D4-A3A0-43CB-94C5-AF0C077A8B9B}"/>
            </a:ext>
          </a:extLst>
        </xdr:cNvPr>
        <xdr:cNvSpPr/>
      </xdr:nvSpPr>
      <xdr:spPr>
        <a:xfrm>
          <a:off x="2143125" y="3702844"/>
          <a:ext cx="238125" cy="178593"/>
        </a:xfrm>
        <a:prstGeom prst="chevron">
          <a:avLst/>
        </a:prstGeom>
        <a:solidFill>
          <a:schemeClr val="accent2"/>
        </a:solidFill>
        <a:ln w="6350">
          <a:solidFill>
            <a:srgbClr val="2832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1809750</xdr:colOff>
      <xdr:row>46</xdr:row>
      <xdr:rowOff>23813</xdr:rowOff>
    </xdr:from>
    <xdr:to>
      <xdr:col>2</xdr:col>
      <xdr:colOff>2047875</xdr:colOff>
      <xdr:row>46</xdr:row>
      <xdr:rowOff>202406</xdr:rowOff>
    </xdr:to>
    <xdr:sp macro="[0]!BUFinOpenClose" textlink="">
      <xdr:nvSpPr>
        <xdr:cNvPr id="27" name="Arrow: Chevron 26">
          <a:extLst>
            <a:ext uri="{FF2B5EF4-FFF2-40B4-BE49-F238E27FC236}">
              <a16:creationId xmlns="" xmlns:a16="http://schemas.microsoft.com/office/drawing/2014/main" id="{37146414-5CC5-4C5F-9D5D-9018B9BCC862}"/>
            </a:ext>
          </a:extLst>
        </xdr:cNvPr>
        <xdr:cNvSpPr/>
      </xdr:nvSpPr>
      <xdr:spPr>
        <a:xfrm>
          <a:off x="2143125" y="3702844"/>
          <a:ext cx="238125" cy="178593"/>
        </a:xfrm>
        <a:prstGeom prst="chevron">
          <a:avLst/>
        </a:prstGeom>
        <a:solidFill>
          <a:schemeClr val="accent2"/>
        </a:solidFill>
        <a:ln w="6350">
          <a:solidFill>
            <a:srgbClr val="2832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oneCellAnchor>
    <xdr:from>
      <xdr:col>16</xdr:col>
      <xdr:colOff>0</xdr:colOff>
      <xdr:row>5</xdr:row>
      <xdr:rowOff>68036</xdr:rowOff>
    </xdr:from>
    <xdr:ext cx="3377367" cy="2100127"/>
    <xdr:pic>
      <xdr:nvPicPr>
        <xdr:cNvPr id="31" name="Picture 30">
          <a:extLst>
            <a:ext uri="{FF2B5EF4-FFF2-40B4-BE49-F238E27FC236}">
              <a16:creationId xmlns="" xmlns:a16="http://schemas.microsoft.com/office/drawing/2014/main" id="{DB023ADA-AAA0-4D10-BCD4-B92DEDF3B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93536" y="1401536"/>
          <a:ext cx="3377367" cy="2100127"/>
        </a:xfrm>
        <a:prstGeom prst="rect">
          <a:avLst/>
        </a:prstGeom>
      </xdr:spPr>
    </xdr:pic>
    <xdr:clientData/>
  </xdr:oneCellAnchor>
  <xdr:twoCellAnchor>
    <xdr:from>
      <xdr:col>12</xdr:col>
      <xdr:colOff>798740</xdr:colOff>
      <xdr:row>2</xdr:row>
      <xdr:rowOff>42183</xdr:rowOff>
    </xdr:from>
    <xdr:to>
      <xdr:col>14</xdr:col>
      <xdr:colOff>557892</xdr:colOff>
      <xdr:row>2</xdr:row>
      <xdr:rowOff>312965</xdr:rowOff>
    </xdr:to>
    <xdr:sp macro="[0]!savescen1" textlink="">
      <xdr:nvSpPr>
        <xdr:cNvPr id="28" name="Rectangle: Rounded Corners 27">
          <a:extLst>
            <a:ext uri="{FF2B5EF4-FFF2-40B4-BE49-F238E27FC236}">
              <a16:creationId xmlns="" xmlns:a16="http://schemas.microsoft.com/office/drawing/2014/main" id="{4188E5CE-8FDA-47AF-A308-5BF05141741D}"/>
            </a:ext>
          </a:extLst>
        </xdr:cNvPr>
        <xdr:cNvSpPr/>
      </xdr:nvSpPr>
      <xdr:spPr>
        <a:xfrm>
          <a:off x="11317061" y="695326"/>
          <a:ext cx="1392010" cy="270782"/>
        </a:xfrm>
        <a:prstGeom prst="roundRect">
          <a:avLst/>
        </a:prstGeom>
        <a:solidFill>
          <a:srgbClr val="FF0000"/>
        </a:solidFill>
        <a:ln w="6350">
          <a:noFill/>
        </a:ln>
        <a:scene3d>
          <a:camera prst="orthographicFront"/>
          <a:lightRig rig="threePt" dir="t"/>
        </a:scene3d>
        <a:sp3d>
          <a:bevelT w="381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Save Scenario</a:t>
          </a:r>
          <a:r>
            <a:rPr lang="en-US" sz="1100" baseline="0">
              <a:solidFill>
                <a:schemeClr val="bg1"/>
              </a:solidFill>
            </a:rPr>
            <a:t> 1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570139</xdr:colOff>
      <xdr:row>2</xdr:row>
      <xdr:rowOff>58512</xdr:rowOff>
    </xdr:from>
    <xdr:to>
      <xdr:col>16</xdr:col>
      <xdr:colOff>519792</xdr:colOff>
      <xdr:row>2</xdr:row>
      <xdr:rowOff>329294</xdr:rowOff>
    </xdr:to>
    <xdr:sp macro="[0]!savescen2" textlink="">
      <xdr:nvSpPr>
        <xdr:cNvPr id="41" name="Rectangle: Rounded Corners 40">
          <a:extLst>
            <a:ext uri="{FF2B5EF4-FFF2-40B4-BE49-F238E27FC236}">
              <a16:creationId xmlns="" xmlns:a16="http://schemas.microsoft.com/office/drawing/2014/main" id="{8CC7566E-7A57-4FF0-ACC6-1DEBE2F608FC}"/>
            </a:ext>
          </a:extLst>
        </xdr:cNvPr>
        <xdr:cNvSpPr/>
      </xdr:nvSpPr>
      <xdr:spPr>
        <a:xfrm>
          <a:off x="12721318" y="711655"/>
          <a:ext cx="1392010" cy="270782"/>
        </a:xfrm>
        <a:prstGeom prst="roundRect">
          <a:avLst/>
        </a:prstGeom>
        <a:solidFill>
          <a:srgbClr val="FF0000"/>
        </a:solidFill>
        <a:ln w="6350">
          <a:noFill/>
        </a:ln>
        <a:scene3d>
          <a:camera prst="orthographicFront"/>
          <a:lightRig rig="threePt" dir="t"/>
        </a:scene3d>
        <a:sp3d>
          <a:bevelT w="381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Save Scenario</a:t>
          </a:r>
          <a:r>
            <a:rPr lang="en-US" sz="1100" baseline="0">
              <a:solidFill>
                <a:schemeClr val="bg1"/>
              </a:solidFill>
            </a:rPr>
            <a:t> 2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19</xdr:row>
      <xdr:rowOff>0</xdr:rowOff>
    </xdr:from>
    <xdr:to>
      <xdr:col>18</xdr:col>
      <xdr:colOff>1657351</xdr:colOff>
      <xdr:row>45</xdr:row>
      <xdr:rowOff>119061</xdr:rowOff>
    </xdr:to>
    <xdr:graphicFrame macro="">
      <xdr:nvGraphicFramePr>
        <xdr:cNvPr id="29" name="Chart 28">
          <a:extLst>
            <a:ext uri="{FF2B5EF4-FFF2-40B4-BE49-F238E27FC236}">
              <a16:creationId xmlns="" xmlns:a16="http://schemas.microsoft.com/office/drawing/2014/main" id="{08597562-8767-43F1-A5EE-C107713D4D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904874</xdr:colOff>
      <xdr:row>49</xdr:row>
      <xdr:rowOff>166686</xdr:rowOff>
    </xdr:from>
    <xdr:to>
      <xdr:col>18</xdr:col>
      <xdr:colOff>1964530</xdr:colOff>
      <xdr:row>76</xdr:row>
      <xdr:rowOff>119061</xdr:rowOff>
    </xdr:to>
    <xdr:graphicFrame macro="">
      <xdr:nvGraphicFramePr>
        <xdr:cNvPr id="42" name="Chart 41">
          <a:extLst>
            <a:ext uri="{FF2B5EF4-FFF2-40B4-BE49-F238E27FC236}">
              <a16:creationId xmlns="" xmlns:a16="http://schemas.microsoft.com/office/drawing/2014/main" id="{84EE0FFE-3A83-4C36-87BF-F5234330D4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eme1">
  <a:themeElements>
    <a:clrScheme name="BTS Colors Final 9-9-15">
      <a:dk1>
        <a:srgbClr val="000000"/>
      </a:dk1>
      <a:lt1>
        <a:srgbClr val="FFFFFF"/>
      </a:lt1>
      <a:dk2>
        <a:srgbClr val="28324B"/>
      </a:dk2>
      <a:lt2>
        <a:srgbClr val="CFCFCF"/>
      </a:lt2>
      <a:accent1>
        <a:srgbClr val="28324B"/>
      </a:accent1>
      <a:accent2>
        <a:srgbClr val="FB054B"/>
      </a:accent2>
      <a:accent3>
        <a:srgbClr val="CDCDCD"/>
      </a:accent3>
      <a:accent4>
        <a:srgbClr val="0AB9F3"/>
      </a:accent4>
      <a:accent5>
        <a:srgbClr val="006EB9"/>
      </a:accent5>
      <a:accent6>
        <a:srgbClr val="FFC300"/>
      </a:accent6>
      <a:hlink>
        <a:srgbClr val="00B9FF"/>
      </a:hlink>
      <a:folHlink>
        <a:srgbClr val="006EB9"/>
      </a:folHlink>
    </a:clrScheme>
    <a:fontScheme name="BTS">
      <a:majorFont>
        <a:latin typeface="Verdana"/>
        <a:ea typeface=""/>
        <a:cs typeface=""/>
      </a:majorFont>
      <a:minorFont>
        <a:latin typeface="Verdana"/>
        <a:ea typeface=""/>
        <a:cs typeface="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 w="6350">
          <a:solidFill>
            <a:srgbClr val="28324B"/>
          </a:solidFill>
        </a:ln>
      </a:spPr>
      <a:bodyPr rtlCol="0" anchor="ctr"/>
      <a:lstStyle>
        <a:defPPr algn="ctr"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6350">
          <a:solidFill>
            <a:srgbClr val="28324B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  <a:ln>
          <a:solidFill>
            <a:srgbClr val="28324B"/>
          </a:solidFill>
        </a:ln>
      </a:spPr>
      <a:bodyPr wrap="square" rtlCol="0">
        <a:spAutoFit/>
      </a:bodyPr>
      <a:lstStyle>
        <a:defPPr>
          <a:defRPr sz="1200" dirty="0"/>
        </a:defPPr>
      </a:lstStyle>
    </a:txDef>
  </a:objectDefaults>
  <a:extraClrSchemeLst/>
  <a:extLst>
    <a:ext uri="{05A4C25C-085E-4340-85A3-A5531E510DB2}">
      <thm15:themeFamily xmlns:thm15="http://schemas.microsoft.com/office/thememl/2012/main" xmlns="" name="Theme1" id="{2C4D523F-9E93-4452-95EC-51FBAE8A54F9}" vid="{4F29DFF7-7508-4639-9F64-2BE615DAE339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oduleFactory@bts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oduleFactory@bt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A1:P179"/>
  <sheetViews>
    <sheetView topLeftCell="A14" zoomScale="85" zoomScaleNormal="85" workbookViewId="0">
      <selection activeCell="F38" sqref="F38"/>
    </sheetView>
  </sheetViews>
  <sheetFormatPr defaultColWidth="8.796875" defaultRowHeight="15"/>
  <cols>
    <col min="1" max="2" width="2.5" style="52" customWidth="1"/>
    <col min="3" max="3" width="22.296875" style="52" customWidth="1"/>
    <col min="4" max="4" width="2.5" style="52" customWidth="1"/>
    <col min="5" max="12" width="22.296875" style="51" customWidth="1"/>
    <col min="13" max="16384" width="8.796875" style="51"/>
  </cols>
  <sheetData>
    <row r="1" spans="1:16" s="92" customFormat="1" ht="14.25">
      <c r="A1" s="93" t="s">
        <v>100</v>
      </c>
    </row>
    <row r="2" spans="1:16" s="90" customFormat="1" ht="14.25">
      <c r="C2" s="91"/>
      <c r="D2" s="91"/>
      <c r="E2" s="91"/>
      <c r="F2" s="91"/>
      <c r="G2" s="91"/>
      <c r="I2" s="91"/>
      <c r="J2" s="91"/>
      <c r="K2" s="91"/>
      <c r="L2" s="91"/>
      <c r="M2" s="91"/>
      <c r="N2" s="91"/>
      <c r="O2" s="91"/>
    </row>
    <row r="3" spans="1:16" s="90" customFormat="1" ht="14.25">
      <c r="C3" s="90" t="s">
        <v>11</v>
      </c>
      <c r="D3" s="13" t="s">
        <v>4</v>
      </c>
      <c r="F3" s="13"/>
      <c r="G3" s="12"/>
      <c r="I3" s="12"/>
      <c r="J3" s="12"/>
      <c r="K3" s="12"/>
      <c r="L3" s="12"/>
      <c r="M3" s="12"/>
      <c r="N3" s="12"/>
      <c r="O3" s="12"/>
    </row>
    <row r="4" spans="1:16" s="79" customFormat="1" ht="14.25"/>
    <row r="5" spans="1:16" s="87" customFormat="1" ht="14.25">
      <c r="A5" s="89"/>
      <c r="C5" s="87" t="s">
        <v>10</v>
      </c>
      <c r="G5" s="88"/>
      <c r="H5" s="88"/>
      <c r="I5" s="88"/>
      <c r="J5" s="88"/>
      <c r="K5" s="88"/>
      <c r="L5" s="88"/>
      <c r="M5" s="88"/>
      <c r="N5" s="88"/>
      <c r="O5" s="88"/>
      <c r="P5" s="88"/>
    </row>
    <row r="6" spans="1:16" s="79" customFormat="1" ht="14.25"/>
    <row r="7" spans="1:16" s="79" customFormat="1" ht="14.25">
      <c r="C7" s="86" t="s">
        <v>9</v>
      </c>
      <c r="D7" s="86"/>
      <c r="E7" s="86"/>
      <c r="F7" s="86"/>
      <c r="G7" s="85" t="s">
        <v>8</v>
      </c>
    </row>
    <row r="8" spans="1:16" s="79" customFormat="1" ht="14.25">
      <c r="C8" s="84"/>
      <c r="D8" s="80" t="s">
        <v>1</v>
      </c>
      <c r="G8" s="83"/>
      <c r="H8" s="80" t="s">
        <v>2</v>
      </c>
    </row>
    <row r="9" spans="1:16" s="79" customFormat="1" ht="14.25">
      <c r="C9" s="82"/>
      <c r="D9" s="80" t="s">
        <v>0</v>
      </c>
    </row>
    <row r="10" spans="1:16" s="79" customFormat="1" ht="14.25">
      <c r="C10" s="81"/>
      <c r="D10" s="80" t="s">
        <v>3</v>
      </c>
    </row>
    <row r="11" spans="1:16" s="79" customFormat="1" ht="14.25"/>
    <row r="12" spans="1:16" s="62" customFormat="1">
      <c r="A12" s="63" t="s">
        <v>99</v>
      </c>
    </row>
    <row r="13" spans="1:16" s="52" customFormat="1"/>
    <row r="14" spans="1:16" s="52" customFormat="1">
      <c r="C14" s="52" t="s">
        <v>65</v>
      </c>
      <c r="E14" s="77" t="str">
        <f>F114&amp;F115&amp;F116&amp;F117&amp;F118&amp;F119&amp;F120&amp;F121&amp;F122&amp;F123</f>
        <v xml:space="preserve">Project NPV: -$24.9 MM      Project Investment PV: $8.3 MM      Project DPI: -2.02      Project IRR:  -2.7%      Proect Payback: 0 Years      </v>
      </c>
      <c r="F14" s="78"/>
      <c r="G14" s="78"/>
      <c r="H14" s="78"/>
      <c r="J14" s="78"/>
      <c r="K14" s="78"/>
    </row>
    <row r="15" spans="1:16" s="52" customFormat="1">
      <c r="E15" s="64" t="s">
        <v>98</v>
      </c>
    </row>
    <row r="16" spans="1:16" s="52" customFormat="1">
      <c r="E16" s="65"/>
    </row>
    <row r="17" spans="1:8" s="52" customFormat="1">
      <c r="C17" s="52" t="s">
        <v>64</v>
      </c>
      <c r="E17" s="77" t="str">
        <f>F128&amp;F129&amp;F130&amp;F131&amp;F132&amp;F133&amp;F134&amp;F135&amp;F136&amp;F137</f>
        <v/>
      </c>
      <c r="F17" s="78"/>
      <c r="G17" s="78"/>
      <c r="H17" s="78"/>
    </row>
    <row r="18" spans="1:8" s="52" customFormat="1">
      <c r="E18" s="64" t="s">
        <v>97</v>
      </c>
    </row>
    <row r="19" spans="1:8" s="52" customFormat="1">
      <c r="E19" s="65"/>
    </row>
    <row r="20" spans="1:8" s="52" customFormat="1">
      <c r="C20" s="52" t="s">
        <v>63</v>
      </c>
      <c r="E20" s="77" t="str">
        <f>F142&amp;F143&amp;F144&amp;F145&amp;F146&amp;F147&amp;F148&amp;F149&amp;F150&amp;F151</f>
        <v/>
      </c>
      <c r="F20" s="78"/>
      <c r="G20" s="78"/>
      <c r="H20" s="78"/>
    </row>
    <row r="21" spans="1:8" s="52" customFormat="1">
      <c r="E21" s="64" t="s">
        <v>96</v>
      </c>
    </row>
    <row r="22" spans="1:8" s="52" customFormat="1"/>
    <row r="23" spans="1:8" s="52" customFormat="1">
      <c r="C23" s="52" t="s">
        <v>62</v>
      </c>
      <c r="E23" s="77" t="str">
        <f>F156&amp;F157&amp;F158&amp;F159&amp;F160&amp;F161&amp;F162&amp;F163&amp;F164&amp;F165</f>
        <v/>
      </c>
    </row>
    <row r="24" spans="1:8" s="52" customFormat="1">
      <c r="E24" s="64" t="s">
        <v>95</v>
      </c>
    </row>
    <row r="25" spans="1:8" s="52" customFormat="1"/>
    <row r="26" spans="1:8" s="52" customFormat="1">
      <c r="C26" s="52" t="s">
        <v>61</v>
      </c>
      <c r="E26" s="77" t="str">
        <f>F159&amp;F160&amp;F161&amp;F162&amp;F163&amp;F164&amp;F165&amp;F166&amp;F167&amp;F168</f>
        <v/>
      </c>
    </row>
    <row r="27" spans="1:8" s="52" customFormat="1">
      <c r="E27" s="64" t="s">
        <v>94</v>
      </c>
    </row>
    <row r="28" spans="1:8" s="52" customFormat="1"/>
    <row r="29" spans="1:8" s="62" customFormat="1">
      <c r="A29" s="63" t="s">
        <v>7</v>
      </c>
    </row>
    <row r="30" spans="1:8" s="52" customFormat="1"/>
    <row r="31" spans="1:8" s="52" customFormat="1">
      <c r="C31" s="60" t="s">
        <v>93</v>
      </c>
      <c r="E31" s="76">
        <v>1</v>
      </c>
      <c r="F31" s="52" t="s">
        <v>92</v>
      </c>
    </row>
    <row r="32" spans="1:8" s="52" customFormat="1">
      <c r="C32" s="60" t="s">
        <v>91</v>
      </c>
      <c r="E32" s="76">
        <v>6</v>
      </c>
      <c r="F32" s="52" t="s">
        <v>90</v>
      </c>
    </row>
    <row r="33" spans="2:9" s="52" customFormat="1">
      <c r="C33" s="52" t="s">
        <v>89</v>
      </c>
      <c r="E33" s="76">
        <v>2</v>
      </c>
      <c r="F33" s="52" t="s">
        <v>88</v>
      </c>
    </row>
    <row r="34" spans="2:9" s="52" customFormat="1">
      <c r="F34" s="65"/>
    </row>
    <row r="35" spans="2:9" s="52" customFormat="1">
      <c r="B35" s="75" t="s">
        <v>65</v>
      </c>
    </row>
    <row r="36" spans="2:9" s="52" customFormat="1">
      <c r="C36" s="52" t="s">
        <v>79</v>
      </c>
      <c r="E36" s="52" t="s">
        <v>78</v>
      </c>
      <c r="F36" s="60" t="s">
        <v>77</v>
      </c>
      <c r="G36" s="60" t="s">
        <v>76</v>
      </c>
      <c r="H36" s="52" t="s">
        <v>75</v>
      </c>
      <c r="I36" s="52" t="s">
        <v>74</v>
      </c>
    </row>
    <row r="37" spans="2:9" s="52" customFormat="1">
      <c r="B37" s="52">
        <v>1</v>
      </c>
      <c r="C37" s="74" t="s">
        <v>266</v>
      </c>
      <c r="E37" s="74" t="b">
        <v>1</v>
      </c>
      <c r="F37" s="73">
        <f>finNPV</f>
        <v>-24940327.721630108</v>
      </c>
      <c r="G37" s="72" t="str">
        <f>TEXT(F37,"$0.0,,;-$0.0,,;$0.0") &amp; " MM"</f>
        <v>-$24.9 MM</v>
      </c>
      <c r="H37" s="73"/>
      <c r="I37" s="72"/>
    </row>
    <row r="38" spans="2:9" s="52" customFormat="1">
      <c r="B38" s="52">
        <v>2</v>
      </c>
      <c r="C38" s="71" t="s">
        <v>267</v>
      </c>
      <c r="E38" s="71" t="b">
        <v>1</v>
      </c>
      <c r="F38" s="70">
        <f>finPV</f>
        <v>8264462.809917354</v>
      </c>
      <c r="G38" s="72" t="str">
        <f>TEXT(F38,"$0.0,,;-$0.0,,;$0.0") &amp; " MM"</f>
        <v>$8.3 MM</v>
      </c>
      <c r="H38" s="70"/>
      <c r="I38" s="69"/>
    </row>
    <row r="39" spans="2:9" s="52" customFormat="1">
      <c r="B39" s="52">
        <v>3</v>
      </c>
      <c r="C39" s="71" t="s">
        <v>268</v>
      </c>
      <c r="E39" s="71" t="b">
        <v>1</v>
      </c>
      <c r="F39" s="70">
        <f>IF(F38=0,"NA",F37/F38+1)</f>
        <v>-2.0177796543172435</v>
      </c>
      <c r="G39" s="180" t="str">
        <f>TEXT(F39,"0.00;-0.00;0.00")</f>
        <v>-2.02</v>
      </c>
      <c r="H39" s="70"/>
      <c r="I39" s="69"/>
    </row>
    <row r="40" spans="2:9" s="52" customFormat="1">
      <c r="B40" s="52">
        <v>4</v>
      </c>
      <c r="C40" s="71" t="s">
        <v>282</v>
      </c>
      <c r="E40" s="71" t="b">
        <v>1</v>
      </c>
      <c r="F40" s="70">
        <f>finIRR</f>
        <v>-2.6952787764973563E-2</v>
      </c>
      <c r="G40" s="180" t="str">
        <f>TEXT(F40,"0.0%")</f>
        <v>-2.7%</v>
      </c>
      <c r="H40" s="70"/>
      <c r="I40" s="69"/>
    </row>
    <row r="41" spans="2:9" s="52" customFormat="1">
      <c r="B41" s="52">
        <v>5</v>
      </c>
      <c r="C41" s="71" t="s">
        <v>305</v>
      </c>
      <c r="E41" s="71" t="b">
        <v>1</v>
      </c>
      <c r="F41" s="70">
        <f>finPaybackFinal</f>
        <v>0</v>
      </c>
      <c r="G41" s="180" t="str">
        <f>TEXT(F41,"0")&amp;" Years"</f>
        <v>0 Years</v>
      </c>
      <c r="H41" s="70"/>
      <c r="I41" s="69"/>
    </row>
    <row r="42" spans="2:9" s="52" customFormat="1">
      <c r="B42" s="52">
        <v>6</v>
      </c>
      <c r="C42" s="71"/>
      <c r="E42" s="71" t="b">
        <v>0</v>
      </c>
      <c r="F42" s="70"/>
      <c r="G42" s="69"/>
      <c r="H42" s="70"/>
      <c r="I42" s="69"/>
    </row>
    <row r="43" spans="2:9" s="52" customFormat="1">
      <c r="B43" s="52">
        <v>7</v>
      </c>
      <c r="C43" s="71"/>
      <c r="E43" s="71" t="b">
        <v>0</v>
      </c>
      <c r="F43" s="70"/>
      <c r="G43" s="69"/>
      <c r="H43" s="70"/>
      <c r="I43" s="69"/>
    </row>
    <row r="44" spans="2:9" s="52" customFormat="1">
      <c r="B44" s="52">
        <v>8</v>
      </c>
      <c r="C44" s="71"/>
      <c r="E44" s="71" t="b">
        <v>0</v>
      </c>
      <c r="F44" s="70"/>
      <c r="G44" s="69"/>
      <c r="H44" s="70"/>
      <c r="I44" s="69"/>
    </row>
    <row r="45" spans="2:9" s="52" customFormat="1">
      <c r="B45" s="52">
        <v>9</v>
      </c>
      <c r="C45" s="71"/>
      <c r="E45" s="71" t="b">
        <v>0</v>
      </c>
      <c r="F45" s="70"/>
      <c r="G45" s="69"/>
      <c r="H45" s="70"/>
      <c r="I45" s="69"/>
    </row>
    <row r="46" spans="2:9" s="52" customFormat="1">
      <c r="B46" s="52">
        <v>10</v>
      </c>
      <c r="C46" s="68"/>
      <c r="E46" s="68" t="b">
        <v>0</v>
      </c>
      <c r="F46" s="67"/>
      <c r="G46" s="66"/>
      <c r="H46" s="67"/>
      <c r="I46" s="66"/>
    </row>
    <row r="47" spans="2:9" s="52" customFormat="1">
      <c r="C47" s="64" t="s">
        <v>87</v>
      </c>
      <c r="E47" s="65"/>
      <c r="G47" s="64" t="s">
        <v>86</v>
      </c>
    </row>
    <row r="48" spans="2:9" s="52" customFormat="1"/>
    <row r="49" spans="2:9" s="52" customFormat="1">
      <c r="B49" s="75" t="s">
        <v>64</v>
      </c>
    </row>
    <row r="50" spans="2:9" s="52" customFormat="1">
      <c r="C50" s="52" t="s">
        <v>79</v>
      </c>
      <c r="E50" s="52" t="s">
        <v>78</v>
      </c>
      <c r="F50" s="60" t="s">
        <v>77</v>
      </c>
      <c r="G50" s="60" t="s">
        <v>76</v>
      </c>
      <c r="H50" s="52" t="s">
        <v>75</v>
      </c>
      <c r="I50" s="52" t="s">
        <v>74</v>
      </c>
    </row>
    <row r="51" spans="2:9" s="52" customFormat="1">
      <c r="B51" s="52">
        <v>1</v>
      </c>
      <c r="C51" s="74"/>
      <c r="D51" s="53"/>
      <c r="E51" s="74" t="b">
        <v>1</v>
      </c>
      <c r="F51" s="73"/>
      <c r="G51" s="72"/>
      <c r="H51" s="73"/>
      <c r="I51" s="72"/>
    </row>
    <row r="52" spans="2:9" s="52" customFormat="1">
      <c r="B52" s="52">
        <v>2</v>
      </c>
      <c r="C52" s="71"/>
      <c r="D52" s="53"/>
      <c r="E52" s="71" t="b">
        <v>1</v>
      </c>
      <c r="F52" s="70"/>
      <c r="G52" s="69"/>
      <c r="H52" s="70"/>
      <c r="I52" s="69"/>
    </row>
    <row r="53" spans="2:9" s="52" customFormat="1">
      <c r="B53" s="52">
        <v>3</v>
      </c>
      <c r="C53" s="71"/>
      <c r="D53" s="53"/>
      <c r="E53" s="71" t="b">
        <v>1</v>
      </c>
      <c r="F53" s="70"/>
      <c r="G53" s="69"/>
      <c r="H53" s="70"/>
      <c r="I53" s="69"/>
    </row>
    <row r="54" spans="2:9" s="52" customFormat="1">
      <c r="B54" s="52">
        <v>4</v>
      </c>
      <c r="C54" s="71"/>
      <c r="D54" s="53"/>
      <c r="E54" s="71" t="b">
        <v>1</v>
      </c>
      <c r="F54" s="70"/>
      <c r="G54" s="69"/>
      <c r="H54" s="70"/>
      <c r="I54" s="69"/>
    </row>
    <row r="55" spans="2:9" s="52" customFormat="1">
      <c r="B55" s="52">
        <v>5</v>
      </c>
      <c r="C55" s="71"/>
      <c r="D55" s="53"/>
      <c r="E55" s="71" t="b">
        <v>1</v>
      </c>
      <c r="F55" s="70"/>
      <c r="G55" s="69"/>
      <c r="H55" s="70"/>
      <c r="I55" s="69"/>
    </row>
    <row r="56" spans="2:9" s="52" customFormat="1">
      <c r="B56" s="52">
        <v>6</v>
      </c>
      <c r="C56" s="71"/>
      <c r="D56" s="53"/>
      <c r="E56" s="71" t="b">
        <v>1</v>
      </c>
      <c r="F56" s="70"/>
      <c r="G56" s="69"/>
      <c r="H56" s="70"/>
      <c r="I56" s="69"/>
    </row>
    <row r="57" spans="2:9" s="52" customFormat="1">
      <c r="B57" s="52">
        <v>7</v>
      </c>
      <c r="C57" s="71"/>
      <c r="D57" s="53"/>
      <c r="E57" s="71" t="b">
        <v>1</v>
      </c>
      <c r="F57" s="70"/>
      <c r="G57" s="69"/>
      <c r="H57" s="70"/>
      <c r="I57" s="69"/>
    </row>
    <row r="58" spans="2:9" s="52" customFormat="1">
      <c r="B58" s="52">
        <v>8</v>
      </c>
      <c r="C58" s="71"/>
      <c r="D58" s="53"/>
      <c r="E58" s="71" t="b">
        <v>1</v>
      </c>
      <c r="F58" s="70"/>
      <c r="G58" s="69"/>
      <c r="H58" s="70"/>
      <c r="I58" s="69"/>
    </row>
    <row r="59" spans="2:9" s="52" customFormat="1">
      <c r="B59" s="52">
        <v>9</v>
      </c>
      <c r="C59" s="71"/>
      <c r="D59" s="53"/>
      <c r="E59" s="71" t="b">
        <v>1</v>
      </c>
      <c r="F59" s="70"/>
      <c r="G59" s="69"/>
      <c r="H59" s="70"/>
      <c r="I59" s="69"/>
    </row>
    <row r="60" spans="2:9" s="52" customFormat="1">
      <c r="B60" s="52">
        <v>10</v>
      </c>
      <c r="C60" s="68"/>
      <c r="D60" s="53"/>
      <c r="E60" s="68" t="b">
        <v>1</v>
      </c>
      <c r="F60" s="67"/>
      <c r="G60" s="66"/>
      <c r="H60" s="67"/>
      <c r="I60" s="66"/>
    </row>
    <row r="61" spans="2:9" s="52" customFormat="1">
      <c r="C61" s="64" t="s">
        <v>85</v>
      </c>
      <c r="E61" s="65"/>
      <c r="G61" s="64" t="s">
        <v>84</v>
      </c>
    </row>
    <row r="62" spans="2:9" s="52" customFormat="1"/>
    <row r="63" spans="2:9" s="52" customFormat="1">
      <c r="B63" s="75" t="s">
        <v>63</v>
      </c>
    </row>
    <row r="64" spans="2:9" s="52" customFormat="1">
      <c r="C64" s="52" t="s">
        <v>79</v>
      </c>
      <c r="E64" s="52" t="s">
        <v>78</v>
      </c>
      <c r="F64" s="60" t="s">
        <v>77</v>
      </c>
      <c r="G64" s="60" t="s">
        <v>76</v>
      </c>
      <c r="H64" s="52" t="s">
        <v>75</v>
      </c>
      <c r="I64" s="52" t="s">
        <v>74</v>
      </c>
    </row>
    <row r="65" spans="2:9" s="52" customFormat="1">
      <c r="B65" s="52">
        <v>1</v>
      </c>
      <c r="C65" s="74"/>
      <c r="D65" s="53"/>
      <c r="E65" s="74" t="b">
        <v>1</v>
      </c>
      <c r="F65" s="73"/>
      <c r="G65" s="72"/>
      <c r="H65" s="73"/>
      <c r="I65" s="72"/>
    </row>
    <row r="66" spans="2:9" s="52" customFormat="1">
      <c r="B66" s="52">
        <v>2</v>
      </c>
      <c r="C66" s="71"/>
      <c r="D66" s="53"/>
      <c r="E66" s="71" t="b">
        <v>1</v>
      </c>
      <c r="F66" s="70"/>
      <c r="G66" s="69"/>
      <c r="H66" s="70"/>
      <c r="I66" s="69"/>
    </row>
    <row r="67" spans="2:9" s="52" customFormat="1">
      <c r="B67" s="52">
        <v>3</v>
      </c>
      <c r="C67" s="71"/>
      <c r="D67" s="53"/>
      <c r="E67" s="71" t="b">
        <v>1</v>
      </c>
      <c r="F67" s="70"/>
      <c r="G67" s="69"/>
      <c r="H67" s="70"/>
      <c r="I67" s="69"/>
    </row>
    <row r="68" spans="2:9" s="52" customFormat="1">
      <c r="B68" s="52">
        <v>4</v>
      </c>
      <c r="C68" s="71"/>
      <c r="D68" s="53"/>
      <c r="E68" s="71" t="b">
        <v>1</v>
      </c>
      <c r="F68" s="70"/>
      <c r="G68" s="69"/>
      <c r="H68" s="70"/>
      <c r="I68" s="69"/>
    </row>
    <row r="69" spans="2:9" s="52" customFormat="1">
      <c r="B69" s="52">
        <v>5</v>
      </c>
      <c r="C69" s="71"/>
      <c r="D69" s="53"/>
      <c r="E69" s="71" t="b">
        <v>1</v>
      </c>
      <c r="F69" s="70"/>
      <c r="G69" s="69"/>
      <c r="H69" s="70"/>
      <c r="I69" s="69"/>
    </row>
    <row r="70" spans="2:9" s="52" customFormat="1">
      <c r="B70" s="52">
        <v>6</v>
      </c>
      <c r="C70" s="71"/>
      <c r="D70" s="53"/>
      <c r="E70" s="71" t="b">
        <v>1</v>
      </c>
      <c r="F70" s="70"/>
      <c r="G70" s="69"/>
      <c r="H70" s="70"/>
      <c r="I70" s="69"/>
    </row>
    <row r="71" spans="2:9" s="52" customFormat="1">
      <c r="B71" s="52">
        <v>7</v>
      </c>
      <c r="C71" s="71"/>
      <c r="D71" s="53"/>
      <c r="E71" s="71" t="b">
        <v>1</v>
      </c>
      <c r="F71" s="70"/>
      <c r="G71" s="69"/>
      <c r="H71" s="70"/>
      <c r="I71" s="69"/>
    </row>
    <row r="72" spans="2:9" s="52" customFormat="1">
      <c r="B72" s="52">
        <v>8</v>
      </c>
      <c r="C72" s="71"/>
      <c r="D72" s="53"/>
      <c r="E72" s="71" t="b">
        <v>1</v>
      </c>
      <c r="F72" s="70"/>
      <c r="G72" s="69"/>
      <c r="H72" s="70"/>
      <c r="I72" s="69"/>
    </row>
    <row r="73" spans="2:9" s="52" customFormat="1">
      <c r="B73" s="52">
        <v>9</v>
      </c>
      <c r="C73" s="71"/>
      <c r="D73" s="53"/>
      <c r="E73" s="71" t="b">
        <v>1</v>
      </c>
      <c r="F73" s="70"/>
      <c r="G73" s="69"/>
      <c r="H73" s="70"/>
      <c r="I73" s="69"/>
    </row>
    <row r="74" spans="2:9" s="52" customFormat="1">
      <c r="B74" s="52">
        <v>10</v>
      </c>
      <c r="C74" s="68"/>
      <c r="D74" s="53"/>
      <c r="E74" s="68" t="b">
        <v>1</v>
      </c>
      <c r="F74" s="67"/>
      <c r="G74" s="66"/>
      <c r="H74" s="67"/>
      <c r="I74" s="66"/>
    </row>
    <row r="75" spans="2:9" s="52" customFormat="1">
      <c r="C75" s="64" t="s">
        <v>83</v>
      </c>
      <c r="E75" s="65"/>
      <c r="G75" s="64" t="s">
        <v>82</v>
      </c>
    </row>
    <row r="76" spans="2:9" s="52" customFormat="1"/>
    <row r="77" spans="2:9" s="52" customFormat="1">
      <c r="B77" s="75" t="s">
        <v>62</v>
      </c>
    </row>
    <row r="78" spans="2:9" s="52" customFormat="1">
      <c r="C78" s="52" t="s">
        <v>79</v>
      </c>
      <c r="E78" s="52" t="s">
        <v>78</v>
      </c>
      <c r="F78" s="60" t="s">
        <v>77</v>
      </c>
      <c r="G78" s="60" t="s">
        <v>76</v>
      </c>
      <c r="H78" s="52" t="s">
        <v>75</v>
      </c>
      <c r="I78" s="52" t="s">
        <v>74</v>
      </c>
    </row>
    <row r="79" spans="2:9" s="52" customFormat="1">
      <c r="B79" s="52">
        <v>1</v>
      </c>
      <c r="C79" s="74"/>
      <c r="D79" s="53"/>
      <c r="E79" s="74" t="b">
        <v>1</v>
      </c>
      <c r="F79" s="73"/>
      <c r="G79" s="72"/>
      <c r="H79" s="73"/>
      <c r="I79" s="72"/>
    </row>
    <row r="80" spans="2:9" s="52" customFormat="1">
      <c r="B80" s="52">
        <v>2</v>
      </c>
      <c r="C80" s="71"/>
      <c r="D80" s="53"/>
      <c r="E80" s="71" t="b">
        <v>1</v>
      </c>
      <c r="F80" s="70"/>
      <c r="G80" s="69"/>
      <c r="H80" s="70"/>
      <c r="I80" s="69"/>
    </row>
    <row r="81" spans="2:9" s="52" customFormat="1">
      <c r="B81" s="52">
        <v>3</v>
      </c>
      <c r="C81" s="71"/>
      <c r="D81" s="53"/>
      <c r="E81" s="71" t="b">
        <v>1</v>
      </c>
      <c r="F81" s="70"/>
      <c r="G81" s="69"/>
      <c r="H81" s="70"/>
      <c r="I81" s="69"/>
    </row>
    <row r="82" spans="2:9" s="52" customFormat="1">
      <c r="B82" s="52">
        <v>4</v>
      </c>
      <c r="C82" s="71"/>
      <c r="D82" s="53"/>
      <c r="E82" s="71" t="b">
        <v>1</v>
      </c>
      <c r="F82" s="70"/>
      <c r="G82" s="69"/>
      <c r="H82" s="70"/>
      <c r="I82" s="69"/>
    </row>
    <row r="83" spans="2:9" s="52" customFormat="1">
      <c r="B83" s="52">
        <v>5</v>
      </c>
      <c r="C83" s="71"/>
      <c r="D83" s="53"/>
      <c r="E83" s="71" t="b">
        <v>1</v>
      </c>
      <c r="F83" s="70"/>
      <c r="G83" s="69"/>
      <c r="H83" s="70"/>
      <c r="I83" s="69"/>
    </row>
    <row r="84" spans="2:9" s="52" customFormat="1">
      <c r="B84" s="52">
        <v>6</v>
      </c>
      <c r="C84" s="71"/>
      <c r="D84" s="53"/>
      <c r="E84" s="71" t="b">
        <v>1</v>
      </c>
      <c r="F84" s="70"/>
      <c r="G84" s="69"/>
      <c r="H84" s="70"/>
      <c r="I84" s="69"/>
    </row>
    <row r="85" spans="2:9" s="52" customFormat="1">
      <c r="B85" s="52">
        <v>7</v>
      </c>
      <c r="C85" s="71"/>
      <c r="D85" s="53"/>
      <c r="E85" s="71" t="b">
        <v>1</v>
      </c>
      <c r="F85" s="70"/>
      <c r="G85" s="69"/>
      <c r="H85" s="70"/>
      <c r="I85" s="69"/>
    </row>
    <row r="86" spans="2:9" s="52" customFormat="1">
      <c r="B86" s="52">
        <v>8</v>
      </c>
      <c r="C86" s="71"/>
      <c r="D86" s="53"/>
      <c r="E86" s="71" t="b">
        <v>1</v>
      </c>
      <c r="F86" s="70"/>
      <c r="G86" s="69"/>
      <c r="H86" s="70"/>
      <c r="I86" s="69"/>
    </row>
    <row r="87" spans="2:9" s="52" customFormat="1">
      <c r="B87" s="52">
        <v>9</v>
      </c>
      <c r="C87" s="71"/>
      <c r="D87" s="53"/>
      <c r="E87" s="71" t="b">
        <v>1</v>
      </c>
      <c r="F87" s="70"/>
      <c r="G87" s="69"/>
      <c r="H87" s="70"/>
      <c r="I87" s="69"/>
    </row>
    <row r="88" spans="2:9" s="52" customFormat="1">
      <c r="B88" s="52">
        <v>10</v>
      </c>
      <c r="C88" s="68"/>
      <c r="D88" s="53"/>
      <c r="E88" s="68" t="b">
        <v>1</v>
      </c>
      <c r="F88" s="67"/>
      <c r="G88" s="66"/>
      <c r="H88" s="67"/>
      <c r="I88" s="66"/>
    </row>
    <row r="89" spans="2:9" s="52" customFormat="1">
      <c r="C89" s="64" t="s">
        <v>81</v>
      </c>
      <c r="E89" s="65"/>
      <c r="G89" s="64" t="s">
        <v>80</v>
      </c>
    </row>
    <row r="90" spans="2:9" s="52" customFormat="1"/>
    <row r="91" spans="2:9" s="52" customFormat="1">
      <c r="B91" s="75" t="s">
        <v>61</v>
      </c>
    </row>
    <row r="92" spans="2:9" s="52" customFormat="1">
      <c r="C92" s="52" t="s">
        <v>79</v>
      </c>
      <c r="E92" s="52" t="s">
        <v>78</v>
      </c>
      <c r="F92" s="60" t="s">
        <v>77</v>
      </c>
      <c r="G92" s="60" t="s">
        <v>76</v>
      </c>
      <c r="H92" s="52" t="s">
        <v>75</v>
      </c>
      <c r="I92" s="52" t="s">
        <v>74</v>
      </c>
    </row>
    <row r="93" spans="2:9" s="52" customFormat="1">
      <c r="B93" s="52">
        <v>1</v>
      </c>
      <c r="C93" s="74"/>
      <c r="D93" s="53"/>
      <c r="E93" s="74" t="b">
        <v>1</v>
      </c>
      <c r="F93" s="73"/>
      <c r="G93" s="72"/>
      <c r="H93" s="73"/>
      <c r="I93" s="72"/>
    </row>
    <row r="94" spans="2:9" s="52" customFormat="1">
      <c r="B94" s="52">
        <v>2</v>
      </c>
      <c r="C94" s="71"/>
      <c r="D94" s="53"/>
      <c r="E94" s="71" t="b">
        <v>1</v>
      </c>
      <c r="F94" s="70"/>
      <c r="G94" s="69"/>
      <c r="H94" s="70"/>
      <c r="I94" s="69"/>
    </row>
    <row r="95" spans="2:9" s="52" customFormat="1">
      <c r="B95" s="52">
        <v>3</v>
      </c>
      <c r="C95" s="71"/>
      <c r="D95" s="53"/>
      <c r="E95" s="71" t="b">
        <v>1</v>
      </c>
      <c r="F95" s="70"/>
      <c r="G95" s="69"/>
      <c r="H95" s="70"/>
      <c r="I95" s="69"/>
    </row>
    <row r="96" spans="2:9" s="52" customFormat="1">
      <c r="B96" s="52">
        <v>4</v>
      </c>
      <c r="C96" s="71"/>
      <c r="D96" s="53"/>
      <c r="E96" s="71" t="b">
        <v>1</v>
      </c>
      <c r="F96" s="70"/>
      <c r="G96" s="69"/>
      <c r="H96" s="70"/>
      <c r="I96" s="69"/>
    </row>
    <row r="97" spans="1:9" s="52" customFormat="1">
      <c r="B97" s="52">
        <v>5</v>
      </c>
      <c r="C97" s="71"/>
      <c r="D97" s="53"/>
      <c r="E97" s="71" t="b">
        <v>1</v>
      </c>
      <c r="F97" s="70"/>
      <c r="G97" s="69"/>
      <c r="H97" s="70"/>
      <c r="I97" s="69"/>
    </row>
    <row r="98" spans="1:9" s="52" customFormat="1">
      <c r="B98" s="52">
        <v>6</v>
      </c>
      <c r="C98" s="71"/>
      <c r="D98" s="53"/>
      <c r="E98" s="71" t="b">
        <v>1</v>
      </c>
      <c r="F98" s="70"/>
      <c r="G98" s="69"/>
      <c r="H98" s="70"/>
      <c r="I98" s="69"/>
    </row>
    <row r="99" spans="1:9" s="52" customFormat="1">
      <c r="B99" s="52">
        <v>7</v>
      </c>
      <c r="C99" s="71"/>
      <c r="D99" s="53"/>
      <c r="E99" s="71" t="b">
        <v>1</v>
      </c>
      <c r="F99" s="70"/>
      <c r="G99" s="69"/>
      <c r="H99" s="70"/>
      <c r="I99" s="69"/>
    </row>
    <row r="100" spans="1:9" s="52" customFormat="1">
      <c r="B100" s="52">
        <v>8</v>
      </c>
      <c r="C100" s="71"/>
      <c r="D100" s="53"/>
      <c r="E100" s="71" t="b">
        <v>1</v>
      </c>
      <c r="F100" s="70"/>
      <c r="G100" s="69"/>
      <c r="H100" s="70"/>
      <c r="I100" s="69"/>
    </row>
    <row r="101" spans="1:9" s="52" customFormat="1">
      <c r="B101" s="52">
        <v>9</v>
      </c>
      <c r="C101" s="71"/>
      <c r="D101" s="53"/>
      <c r="E101" s="71" t="b">
        <v>1</v>
      </c>
      <c r="F101" s="70"/>
      <c r="G101" s="69"/>
      <c r="H101" s="70"/>
      <c r="I101" s="69"/>
    </row>
    <row r="102" spans="1:9" s="52" customFormat="1">
      <c r="B102" s="52">
        <v>10</v>
      </c>
      <c r="C102" s="68"/>
      <c r="D102" s="53"/>
      <c r="E102" s="68" t="b">
        <v>1</v>
      </c>
      <c r="F102" s="67"/>
      <c r="G102" s="66"/>
      <c r="H102" s="67"/>
      <c r="I102" s="66"/>
    </row>
    <row r="103" spans="1:9" s="52" customFormat="1">
      <c r="C103" s="64" t="s">
        <v>73</v>
      </c>
      <c r="E103" s="65"/>
      <c r="G103" s="64" t="s">
        <v>72</v>
      </c>
    </row>
    <row r="104" spans="1:9" s="52" customFormat="1"/>
    <row r="105" spans="1:9" s="52" customFormat="1"/>
    <row r="106" spans="1:9" s="62" customFormat="1">
      <c r="A106" s="63" t="s">
        <v>5</v>
      </c>
    </row>
    <row r="107" spans="1:9" s="52" customFormat="1"/>
    <row r="108" spans="1:9" s="52" customFormat="1">
      <c r="C108" s="52" t="s">
        <v>71</v>
      </c>
      <c r="E108" s="61" t="str">
        <f>REPT(CHAR(32),DB_WhiteSpaceLength)</f>
        <v xml:space="preserve"> </v>
      </c>
      <c r="F108" s="52" t="s">
        <v>70</v>
      </c>
    </row>
    <row r="109" spans="1:9" s="52" customFormat="1">
      <c r="C109" s="52" t="s">
        <v>69</v>
      </c>
      <c r="E109" s="61" t="str">
        <f>REPT(CHAR(32),DB_LargeWhiteSpaceLength)</f>
        <v xml:space="preserve">      </v>
      </c>
      <c r="F109" s="52" t="s">
        <v>68</v>
      </c>
    </row>
    <row r="110" spans="1:9" s="52" customFormat="1">
      <c r="C110" s="52" t="s">
        <v>67</v>
      </c>
      <c r="E110" s="61" t="str">
        <f>REPT(CHAR(32),DB_SubWhiteSpaceLength)</f>
        <v xml:space="preserve">  </v>
      </c>
      <c r="F110" s="52" t="s">
        <v>66</v>
      </c>
    </row>
    <row r="111" spans="1:9" s="52" customFormat="1"/>
    <row r="112" spans="1:9" s="52" customFormat="1"/>
    <row r="113" spans="3:6" s="52" customFormat="1">
      <c r="C113" s="52" t="s">
        <v>65</v>
      </c>
      <c r="E113" s="60" t="s">
        <v>60</v>
      </c>
      <c r="F113" s="60" t="s">
        <v>59</v>
      </c>
    </row>
    <row r="114" spans="3:6" s="52" customFormat="1">
      <c r="E114" s="59" t="str">
        <f t="shared" ref="E114:E123" si="0">IF(COUNTBLANK(F37:I37)&gt;=4,"",INDEX(DB_ArrayDash1Names,$B37)&amp;DB_WhiteSpace&amp;INDEX(DB_ArrayDash1Values,$B37)&amp;IF(H37="","",DB_SubWhiteSpace&amp;I37)&amp;DB_LargeWhiteSpace)</f>
        <v xml:space="preserve">Project NPV: -$24.9 MM      </v>
      </c>
      <c r="F114" s="58" t="str">
        <f t="shared" ref="F114:F123" si="1">IF(E37,E114,"")</f>
        <v xml:space="preserve">Project NPV: -$24.9 MM      </v>
      </c>
    </row>
    <row r="115" spans="3:6" s="52" customFormat="1">
      <c r="E115" s="57" t="str">
        <f t="shared" si="0"/>
        <v xml:space="preserve">Project Investment PV: $8.3 MM      </v>
      </c>
      <c r="F115" s="56" t="str">
        <f t="shared" si="1"/>
        <v xml:space="preserve">Project Investment PV: $8.3 MM      </v>
      </c>
    </row>
    <row r="116" spans="3:6" s="52" customFormat="1">
      <c r="E116" s="57" t="str">
        <f t="shared" si="0"/>
        <v xml:space="preserve">Project DPI: -2.02      </v>
      </c>
      <c r="F116" s="56" t="str">
        <f t="shared" si="1"/>
        <v xml:space="preserve">Project DPI: -2.02      </v>
      </c>
    </row>
    <row r="117" spans="3:6" s="52" customFormat="1">
      <c r="E117" s="57" t="str">
        <f t="shared" si="0"/>
        <v xml:space="preserve">Project IRR:  -2.7%      </v>
      </c>
      <c r="F117" s="56" t="str">
        <f t="shared" si="1"/>
        <v xml:space="preserve">Project IRR:  -2.7%      </v>
      </c>
    </row>
    <row r="118" spans="3:6" s="52" customFormat="1">
      <c r="E118" s="57" t="str">
        <f t="shared" si="0"/>
        <v xml:space="preserve">Proect Payback: 0 Years      </v>
      </c>
      <c r="F118" s="56" t="str">
        <f t="shared" si="1"/>
        <v xml:space="preserve">Proect Payback: 0 Years      </v>
      </c>
    </row>
    <row r="119" spans="3:6" s="52" customFormat="1">
      <c r="E119" s="57" t="str">
        <f t="shared" si="0"/>
        <v/>
      </c>
      <c r="F119" s="56" t="str">
        <f t="shared" si="1"/>
        <v/>
      </c>
    </row>
    <row r="120" spans="3:6" s="52" customFormat="1">
      <c r="E120" s="57" t="str">
        <f t="shared" si="0"/>
        <v/>
      </c>
      <c r="F120" s="56" t="str">
        <f t="shared" si="1"/>
        <v/>
      </c>
    </row>
    <row r="121" spans="3:6" s="52" customFormat="1">
      <c r="E121" s="57" t="str">
        <f t="shared" si="0"/>
        <v/>
      </c>
      <c r="F121" s="56" t="str">
        <f t="shared" si="1"/>
        <v/>
      </c>
    </row>
    <row r="122" spans="3:6" s="52" customFormat="1">
      <c r="E122" s="57" t="str">
        <f t="shared" si="0"/>
        <v/>
      </c>
      <c r="F122" s="56" t="str">
        <f t="shared" si="1"/>
        <v/>
      </c>
    </row>
    <row r="123" spans="3:6" s="52" customFormat="1">
      <c r="E123" s="55" t="str">
        <f t="shared" si="0"/>
        <v/>
      </c>
      <c r="F123" s="54" t="str">
        <f t="shared" si="1"/>
        <v/>
      </c>
    </row>
    <row r="124" spans="3:6" s="52" customFormat="1"/>
    <row r="125" spans="3:6" s="52" customFormat="1"/>
    <row r="126" spans="3:6" s="52" customFormat="1"/>
    <row r="127" spans="3:6" s="52" customFormat="1">
      <c r="C127" s="52" t="s">
        <v>64</v>
      </c>
      <c r="E127" s="60" t="s">
        <v>60</v>
      </c>
      <c r="F127" s="60" t="s">
        <v>59</v>
      </c>
    </row>
    <row r="128" spans="3:6" s="52" customFormat="1">
      <c r="E128" s="59" t="str">
        <f t="shared" ref="E128:E137" si="2">IF(COUNTBLANK(F51:I51)&gt;=4,"",INDEX(DB_ArrayDash1Names,$B51)&amp; DB_WhiteSpace &amp; INDEX(DB_ArrayDash1Values,$B51) &amp; IF(H51="","",DB_SubWhiteSpace &amp; I51))</f>
        <v/>
      </c>
      <c r="F128" s="58" t="str">
        <f t="shared" ref="F128:F137" si="3">IF(E51,E128,"")</f>
        <v/>
      </c>
    </row>
    <row r="129" spans="3:6" s="52" customFormat="1">
      <c r="E129" s="57" t="str">
        <f t="shared" si="2"/>
        <v/>
      </c>
      <c r="F129" s="56" t="str">
        <f t="shared" si="3"/>
        <v/>
      </c>
    </row>
    <row r="130" spans="3:6" s="52" customFormat="1">
      <c r="E130" s="57" t="str">
        <f t="shared" si="2"/>
        <v/>
      </c>
      <c r="F130" s="56" t="str">
        <f t="shared" si="3"/>
        <v/>
      </c>
    </row>
    <row r="131" spans="3:6" s="52" customFormat="1">
      <c r="E131" s="57" t="str">
        <f t="shared" si="2"/>
        <v/>
      </c>
      <c r="F131" s="56" t="str">
        <f t="shared" si="3"/>
        <v/>
      </c>
    </row>
    <row r="132" spans="3:6" s="52" customFormat="1">
      <c r="E132" s="57" t="str">
        <f t="shared" si="2"/>
        <v/>
      </c>
      <c r="F132" s="56" t="str">
        <f t="shared" si="3"/>
        <v/>
      </c>
    </row>
    <row r="133" spans="3:6" s="52" customFormat="1">
      <c r="E133" s="57" t="str">
        <f t="shared" si="2"/>
        <v/>
      </c>
      <c r="F133" s="56" t="str">
        <f t="shared" si="3"/>
        <v/>
      </c>
    </row>
    <row r="134" spans="3:6" s="52" customFormat="1">
      <c r="E134" s="57" t="str">
        <f t="shared" si="2"/>
        <v/>
      </c>
      <c r="F134" s="56" t="str">
        <f t="shared" si="3"/>
        <v/>
      </c>
    </row>
    <row r="135" spans="3:6" s="52" customFormat="1">
      <c r="E135" s="57" t="str">
        <f t="shared" si="2"/>
        <v/>
      </c>
      <c r="F135" s="56" t="str">
        <f t="shared" si="3"/>
        <v/>
      </c>
    </row>
    <row r="136" spans="3:6" s="52" customFormat="1">
      <c r="E136" s="57" t="str">
        <f t="shared" si="2"/>
        <v/>
      </c>
      <c r="F136" s="56" t="str">
        <f t="shared" si="3"/>
        <v/>
      </c>
    </row>
    <row r="137" spans="3:6" s="52" customFormat="1">
      <c r="E137" s="55" t="str">
        <f t="shared" si="2"/>
        <v/>
      </c>
      <c r="F137" s="54" t="str">
        <f t="shared" si="3"/>
        <v/>
      </c>
    </row>
    <row r="138" spans="3:6" s="52" customFormat="1"/>
    <row r="139" spans="3:6" s="52" customFormat="1"/>
    <row r="140" spans="3:6" s="52" customFormat="1"/>
    <row r="141" spans="3:6" s="52" customFormat="1">
      <c r="C141" s="52" t="s">
        <v>63</v>
      </c>
      <c r="E141" s="60" t="s">
        <v>60</v>
      </c>
      <c r="F141" s="60" t="s">
        <v>59</v>
      </c>
    </row>
    <row r="142" spans="3:6" s="52" customFormat="1">
      <c r="E142" s="59" t="str">
        <f t="shared" ref="E142:E151" si="4">IF(COUNTBLANK(F65:I65)&gt;=4,"",INDEX(DB_ArrayDash1Names,$B65)&amp; DB_WhiteSpace &amp; INDEX(DB_ArrayDash1Values,$B65) &amp; IF(H65="","",DB_SubWhiteSpace &amp; I65))</f>
        <v/>
      </c>
      <c r="F142" s="58" t="str">
        <f t="shared" ref="F142:F151" si="5">IF(E65,E142,"")</f>
        <v/>
      </c>
    </row>
    <row r="143" spans="3:6" s="52" customFormat="1">
      <c r="E143" s="57" t="str">
        <f t="shared" si="4"/>
        <v/>
      </c>
      <c r="F143" s="56" t="str">
        <f t="shared" si="5"/>
        <v/>
      </c>
    </row>
    <row r="144" spans="3:6" s="52" customFormat="1">
      <c r="E144" s="57" t="str">
        <f t="shared" si="4"/>
        <v/>
      </c>
      <c r="F144" s="56" t="str">
        <f t="shared" si="5"/>
        <v/>
      </c>
    </row>
    <row r="145" spans="3:6" s="52" customFormat="1">
      <c r="E145" s="57" t="str">
        <f t="shared" si="4"/>
        <v/>
      </c>
      <c r="F145" s="56" t="str">
        <f t="shared" si="5"/>
        <v/>
      </c>
    </row>
    <row r="146" spans="3:6" s="52" customFormat="1">
      <c r="E146" s="57" t="str">
        <f t="shared" si="4"/>
        <v/>
      </c>
      <c r="F146" s="56" t="str">
        <f t="shared" si="5"/>
        <v/>
      </c>
    </row>
    <row r="147" spans="3:6" s="52" customFormat="1">
      <c r="E147" s="57" t="str">
        <f t="shared" si="4"/>
        <v/>
      </c>
      <c r="F147" s="56" t="str">
        <f t="shared" si="5"/>
        <v/>
      </c>
    </row>
    <row r="148" spans="3:6" s="52" customFormat="1">
      <c r="E148" s="57" t="str">
        <f t="shared" si="4"/>
        <v/>
      </c>
      <c r="F148" s="56" t="str">
        <f t="shared" si="5"/>
        <v/>
      </c>
    </row>
    <row r="149" spans="3:6" s="52" customFormat="1">
      <c r="E149" s="57" t="str">
        <f t="shared" si="4"/>
        <v/>
      </c>
      <c r="F149" s="56" t="str">
        <f t="shared" si="5"/>
        <v/>
      </c>
    </row>
    <row r="150" spans="3:6" s="52" customFormat="1">
      <c r="E150" s="57" t="str">
        <f t="shared" si="4"/>
        <v/>
      </c>
      <c r="F150" s="56" t="str">
        <f t="shared" si="5"/>
        <v/>
      </c>
    </row>
    <row r="151" spans="3:6" s="52" customFormat="1">
      <c r="E151" s="55" t="str">
        <f t="shared" si="4"/>
        <v/>
      </c>
      <c r="F151" s="54" t="str">
        <f t="shared" si="5"/>
        <v/>
      </c>
    </row>
    <row r="152" spans="3:6" s="52" customFormat="1"/>
    <row r="153" spans="3:6" s="52" customFormat="1"/>
    <row r="154" spans="3:6" s="52" customFormat="1"/>
    <row r="155" spans="3:6" s="52" customFormat="1">
      <c r="C155" s="52" t="s">
        <v>62</v>
      </c>
      <c r="E155" s="60" t="s">
        <v>60</v>
      </c>
      <c r="F155" s="60" t="s">
        <v>59</v>
      </c>
    </row>
    <row r="156" spans="3:6" s="52" customFormat="1">
      <c r="E156" s="59" t="str">
        <f t="shared" ref="E156:E165" si="6">IF(COUNTBLANK(F79:I79)&gt;=4,"",INDEX(DB_ArrayDash1Names,$B79)&amp; DB_WhiteSpace &amp; INDEX(DB_ArrayDash1Values,$B79) &amp; IF(H79="","",DB_SubWhiteSpace &amp; I79))</f>
        <v/>
      </c>
      <c r="F156" s="58" t="str">
        <f t="shared" ref="F156:F165" si="7">IF(E79,E156,"")</f>
        <v/>
      </c>
    </row>
    <row r="157" spans="3:6" s="52" customFormat="1">
      <c r="E157" s="57" t="str">
        <f t="shared" si="6"/>
        <v/>
      </c>
      <c r="F157" s="56" t="str">
        <f t="shared" si="7"/>
        <v/>
      </c>
    </row>
    <row r="158" spans="3:6" s="52" customFormat="1">
      <c r="E158" s="57" t="str">
        <f t="shared" si="6"/>
        <v/>
      </c>
      <c r="F158" s="56" t="str">
        <f t="shared" si="7"/>
        <v/>
      </c>
    </row>
    <row r="159" spans="3:6" s="52" customFormat="1">
      <c r="E159" s="57" t="str">
        <f t="shared" si="6"/>
        <v/>
      </c>
      <c r="F159" s="56" t="str">
        <f t="shared" si="7"/>
        <v/>
      </c>
    </row>
    <row r="160" spans="3:6" s="52" customFormat="1">
      <c r="E160" s="57" t="str">
        <f t="shared" si="6"/>
        <v/>
      </c>
      <c r="F160" s="56" t="str">
        <f t="shared" si="7"/>
        <v/>
      </c>
    </row>
    <row r="161" spans="3:6" s="52" customFormat="1">
      <c r="E161" s="57" t="str">
        <f t="shared" si="6"/>
        <v/>
      </c>
      <c r="F161" s="56" t="str">
        <f t="shared" si="7"/>
        <v/>
      </c>
    </row>
    <row r="162" spans="3:6" s="52" customFormat="1">
      <c r="E162" s="57" t="str">
        <f t="shared" si="6"/>
        <v/>
      </c>
      <c r="F162" s="56" t="str">
        <f t="shared" si="7"/>
        <v/>
      </c>
    </row>
    <row r="163" spans="3:6" s="52" customFormat="1">
      <c r="E163" s="57" t="str">
        <f t="shared" si="6"/>
        <v/>
      </c>
      <c r="F163" s="56" t="str">
        <f t="shared" si="7"/>
        <v/>
      </c>
    </row>
    <row r="164" spans="3:6" s="52" customFormat="1">
      <c r="E164" s="57" t="str">
        <f t="shared" si="6"/>
        <v/>
      </c>
      <c r="F164" s="56" t="str">
        <f t="shared" si="7"/>
        <v/>
      </c>
    </row>
    <row r="165" spans="3:6" s="52" customFormat="1">
      <c r="E165" s="55" t="str">
        <f t="shared" si="6"/>
        <v/>
      </c>
      <c r="F165" s="54" t="str">
        <f t="shared" si="7"/>
        <v/>
      </c>
    </row>
    <row r="166" spans="3:6" s="52" customFormat="1"/>
    <row r="167" spans="3:6" s="52" customFormat="1"/>
    <row r="168" spans="3:6" s="52" customFormat="1"/>
    <row r="169" spans="3:6" s="52" customFormat="1">
      <c r="C169" s="52" t="s">
        <v>61</v>
      </c>
      <c r="E169" s="60" t="s">
        <v>60</v>
      </c>
      <c r="F169" s="60" t="s">
        <v>59</v>
      </c>
    </row>
    <row r="170" spans="3:6" s="52" customFormat="1">
      <c r="E170" s="59" t="str">
        <f t="shared" ref="E170:E179" si="8">IF(COUNTBLANK(F93:I93)&gt;=4,"",INDEX(DB_ArrayDash1Names,$B93)&amp; DB_WhiteSpace &amp; INDEX(DB_ArrayDash1Values,$B93) &amp; IF(H93="","",DB_SubWhiteSpace &amp; I93))</f>
        <v/>
      </c>
      <c r="F170" s="58" t="str">
        <f t="shared" ref="F170:F179" si="9">IF(E93,E170,"")</f>
        <v/>
      </c>
    </row>
    <row r="171" spans="3:6" s="52" customFormat="1">
      <c r="E171" s="57" t="str">
        <f t="shared" si="8"/>
        <v/>
      </c>
      <c r="F171" s="56" t="str">
        <f t="shared" si="9"/>
        <v/>
      </c>
    </row>
    <row r="172" spans="3:6" s="52" customFormat="1">
      <c r="E172" s="57" t="str">
        <f t="shared" si="8"/>
        <v/>
      </c>
      <c r="F172" s="56" t="str">
        <f t="shared" si="9"/>
        <v/>
      </c>
    </row>
    <row r="173" spans="3:6" s="52" customFormat="1">
      <c r="E173" s="57" t="str">
        <f t="shared" si="8"/>
        <v/>
      </c>
      <c r="F173" s="56" t="str">
        <f t="shared" si="9"/>
        <v/>
      </c>
    </row>
    <row r="174" spans="3:6" s="52" customFormat="1">
      <c r="E174" s="57" t="str">
        <f t="shared" si="8"/>
        <v/>
      </c>
      <c r="F174" s="56" t="str">
        <f t="shared" si="9"/>
        <v/>
      </c>
    </row>
    <row r="175" spans="3:6" s="52" customFormat="1">
      <c r="E175" s="57" t="str">
        <f t="shared" si="8"/>
        <v/>
      </c>
      <c r="F175" s="56" t="str">
        <f t="shared" si="9"/>
        <v/>
      </c>
    </row>
    <row r="176" spans="3:6" s="52" customFormat="1">
      <c r="E176" s="57" t="str">
        <f t="shared" si="8"/>
        <v/>
      </c>
      <c r="F176" s="56" t="str">
        <f t="shared" si="9"/>
        <v/>
      </c>
    </row>
    <row r="177" spans="5:13" s="52" customFormat="1">
      <c r="E177" s="57" t="str">
        <f t="shared" si="8"/>
        <v/>
      </c>
      <c r="F177" s="56" t="str">
        <f t="shared" si="9"/>
        <v/>
      </c>
    </row>
    <row r="178" spans="5:13" s="52" customFormat="1">
      <c r="E178" s="57" t="str">
        <f t="shared" si="8"/>
        <v/>
      </c>
      <c r="F178" s="56" t="str">
        <f t="shared" si="9"/>
        <v/>
      </c>
    </row>
    <row r="179" spans="5:13">
      <c r="E179" s="55" t="str">
        <f t="shared" si="8"/>
        <v/>
      </c>
      <c r="F179" s="54" t="str">
        <f t="shared" si="9"/>
        <v/>
      </c>
      <c r="G179" s="53"/>
      <c r="H179" s="53"/>
      <c r="I179" s="53"/>
      <c r="J179" s="53"/>
      <c r="K179" s="53"/>
      <c r="L179" s="53"/>
      <c r="M179" s="53"/>
    </row>
  </sheetData>
  <dataValidations disablePrompts="1" count="1">
    <dataValidation type="list" allowBlank="1" showInputMessage="1" showErrorMessage="1" sqref="E37:E46 E51:E60 E65:E74 E79:E88 E93:E102">
      <formula1>"True,False"</formula1>
    </dataValidation>
  </dataValidations>
  <hyperlinks>
    <hyperlink ref="D3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/>
  </sheetPr>
  <dimension ref="A1:U30"/>
  <sheetViews>
    <sheetView zoomScaleNormal="100" workbookViewId="0">
      <selection activeCell="K13" sqref="K13"/>
    </sheetView>
  </sheetViews>
  <sheetFormatPr defaultColWidth="8.796875" defaultRowHeight="14.25"/>
  <cols>
    <col min="1" max="1" width="1.69921875" style="22" customWidth="1"/>
    <col min="2" max="2" width="1.69921875" style="14" customWidth="1"/>
    <col min="3" max="3" width="24.69921875" style="14" customWidth="1"/>
    <col min="4" max="4" width="1.69921875" style="14" customWidth="1"/>
    <col min="5" max="5" width="10.69921875" style="14" customWidth="1"/>
    <col min="6" max="6" width="1.69921875" style="14" customWidth="1"/>
    <col min="7" max="7" width="10.69921875" style="14" customWidth="1"/>
    <col min="8" max="8" width="1.69921875" style="14" customWidth="1"/>
    <col min="9" max="9" width="10.69921875" style="14" customWidth="1"/>
    <col min="10" max="10" width="1.69921875" style="14" customWidth="1"/>
    <col min="11" max="11" width="10.69921875" style="14" customWidth="1"/>
    <col min="12" max="12" width="1.69921875" style="14" customWidth="1"/>
    <col min="13" max="13" width="10.69921875" style="14" customWidth="1"/>
    <col min="14" max="14" width="1.69921875" style="14" customWidth="1"/>
    <col min="15" max="15" width="10.69921875" style="14" customWidth="1"/>
    <col min="16" max="17" width="1.69921875" style="14" customWidth="1"/>
    <col min="18" max="18" width="20.69921875" style="14" customWidth="1"/>
    <col min="19" max="16384" width="8.796875" style="14"/>
  </cols>
  <sheetData>
    <row r="1" spans="1:21" s="23" customFormat="1" ht="6" customHeight="1">
      <c r="A1" s="22"/>
    </row>
    <row r="2" spans="1:21" s="38" customFormat="1" ht="54.75" customHeight="1">
      <c r="A2" s="22"/>
      <c r="O2" s="46"/>
      <c r="T2" s="45" t="s">
        <v>18</v>
      </c>
      <c r="U2" s="38" t="s">
        <v>17</v>
      </c>
    </row>
    <row r="3" spans="1:21" s="23" customFormat="1" ht="9.9499999999999993" customHeight="1">
      <c r="A3" s="22"/>
    </row>
    <row r="4" spans="1:21" s="23" customFormat="1" ht="44.1" customHeight="1">
      <c r="A4" s="22"/>
      <c r="F4" s="38"/>
      <c r="G4" s="38"/>
      <c r="H4" s="38"/>
      <c r="I4" s="38"/>
      <c r="J4" s="38"/>
      <c r="K4" s="44"/>
      <c r="L4" s="43"/>
      <c r="M4" s="43"/>
      <c r="N4" s="43"/>
      <c r="O4" s="42"/>
      <c r="P4" s="38"/>
    </row>
    <row r="5" spans="1:21" s="23" customFormat="1" ht="6" customHeight="1">
      <c r="A5" s="22"/>
      <c r="C5" s="41"/>
      <c r="F5" s="38"/>
      <c r="G5" s="38"/>
      <c r="H5" s="38"/>
      <c r="I5" s="38"/>
      <c r="J5" s="38"/>
      <c r="K5" s="40"/>
      <c r="L5" s="231"/>
      <c r="M5" s="231"/>
      <c r="N5" s="231"/>
      <c r="O5" s="39"/>
      <c r="P5" s="38"/>
    </row>
    <row r="6" spans="1:21" s="23" customFormat="1">
      <c r="A6" s="22"/>
      <c r="F6" s="38"/>
      <c r="G6" s="38"/>
      <c r="H6" s="38"/>
      <c r="I6" s="38"/>
      <c r="J6" s="38"/>
      <c r="K6" s="40"/>
      <c r="L6" s="231"/>
      <c r="M6" s="231"/>
      <c r="N6" s="231"/>
      <c r="O6" s="39"/>
      <c r="P6" s="38"/>
    </row>
    <row r="7" spans="1:21" s="23" customFormat="1" ht="45.75" customHeight="1" thickBot="1">
      <c r="A7" s="27"/>
      <c r="B7" s="25"/>
      <c r="C7" s="37" t="str">
        <f>nmProgramTitle</f>
        <v>Chevron Financial Fluency Tool</v>
      </c>
      <c r="D7" s="36"/>
      <c r="E7" s="36"/>
      <c r="F7" s="36"/>
      <c r="G7" s="36"/>
      <c r="H7" s="26"/>
      <c r="I7" s="26"/>
      <c r="J7" s="26"/>
      <c r="K7" s="33"/>
      <c r="L7" s="231"/>
      <c r="M7" s="231"/>
      <c r="N7" s="231"/>
      <c r="O7" s="32"/>
      <c r="P7" s="26"/>
      <c r="Q7" s="25"/>
      <c r="R7" s="25"/>
    </row>
    <row r="8" spans="1:21" s="23" customFormat="1" ht="28.5" customHeight="1">
      <c r="A8" s="27"/>
      <c r="B8" s="25"/>
      <c r="C8" s="35" t="str">
        <f>nmProgramSubtitle</f>
        <v>Part One</v>
      </c>
      <c r="D8" s="25"/>
      <c r="E8" s="25"/>
      <c r="F8" s="26"/>
      <c r="G8" s="26"/>
      <c r="H8" s="26"/>
      <c r="I8" s="26"/>
      <c r="J8" s="26"/>
      <c r="K8" s="33"/>
      <c r="L8" s="231"/>
      <c r="M8" s="231"/>
      <c r="N8" s="231"/>
      <c r="O8" s="32"/>
      <c r="P8" s="26"/>
      <c r="Q8" s="25"/>
      <c r="R8" s="25"/>
    </row>
    <row r="9" spans="1:21" s="23" customFormat="1" ht="21.95" customHeight="1">
      <c r="A9" s="27"/>
      <c r="B9" s="25"/>
      <c r="D9" s="25"/>
      <c r="E9" s="25"/>
      <c r="F9" s="26"/>
      <c r="G9" s="26"/>
      <c r="H9" s="26"/>
      <c r="I9" s="26"/>
      <c r="J9" s="26"/>
      <c r="K9" s="33"/>
      <c r="L9" s="231"/>
      <c r="M9" s="231"/>
      <c r="N9" s="231"/>
      <c r="O9" s="32"/>
      <c r="P9" s="26"/>
      <c r="Q9" s="25"/>
      <c r="R9" s="25"/>
    </row>
    <row r="10" spans="1:21" s="23" customFormat="1" ht="21.95" customHeight="1">
      <c r="A10" s="27"/>
      <c r="B10" s="25"/>
      <c r="C10" s="25"/>
      <c r="D10" s="25"/>
      <c r="E10" s="25"/>
      <c r="F10" s="26"/>
      <c r="G10" s="26"/>
      <c r="H10" s="26"/>
      <c r="I10" s="26"/>
      <c r="J10" s="26"/>
      <c r="K10" s="33"/>
      <c r="L10" s="26"/>
      <c r="M10" s="26"/>
      <c r="N10" s="26"/>
      <c r="O10" s="32"/>
      <c r="P10" s="26"/>
      <c r="Q10" s="25"/>
      <c r="R10" s="25"/>
    </row>
    <row r="11" spans="1:21" s="23" customFormat="1" ht="21.95" customHeight="1">
      <c r="A11" s="27"/>
      <c r="B11" s="25"/>
      <c r="D11" s="25"/>
      <c r="E11" s="25"/>
      <c r="F11" s="26"/>
      <c r="G11" s="26"/>
      <c r="H11" s="26"/>
      <c r="I11" s="26"/>
      <c r="J11" s="26"/>
      <c r="K11" s="33"/>
      <c r="L11" s="26"/>
      <c r="M11" s="26"/>
      <c r="N11" s="26"/>
      <c r="O11" s="32"/>
      <c r="P11" s="26"/>
      <c r="Q11" s="25"/>
      <c r="R11" s="25"/>
    </row>
    <row r="12" spans="1:21" s="23" customFormat="1" ht="21.95" customHeight="1">
      <c r="A12" s="27"/>
      <c r="B12" s="25"/>
      <c r="D12" s="25"/>
      <c r="E12" s="25"/>
      <c r="F12" s="26"/>
      <c r="G12" s="26"/>
      <c r="H12" s="26"/>
      <c r="I12" s="26"/>
      <c r="J12" s="26"/>
      <c r="K12" s="33"/>
      <c r="L12" s="26"/>
      <c r="M12" s="26"/>
      <c r="N12" s="26"/>
      <c r="O12" s="32"/>
      <c r="P12" s="26"/>
      <c r="Q12" s="25"/>
      <c r="R12" s="25"/>
    </row>
    <row r="13" spans="1:21" s="23" customFormat="1" ht="21.95" customHeight="1">
      <c r="A13" s="27"/>
      <c r="B13" s="25"/>
      <c r="C13" s="25"/>
      <c r="D13" s="25"/>
      <c r="E13" s="25"/>
      <c r="F13" s="26"/>
      <c r="G13" s="26"/>
      <c r="H13" s="26"/>
      <c r="I13" s="26"/>
      <c r="J13" s="26"/>
      <c r="K13" s="33"/>
      <c r="L13" s="26"/>
      <c r="M13" s="26"/>
      <c r="N13" s="26"/>
      <c r="O13" s="32"/>
      <c r="P13" s="26"/>
      <c r="Q13" s="25"/>
      <c r="R13" s="25"/>
      <c r="T13" s="16" t="b">
        <v>0</v>
      </c>
    </row>
    <row r="14" spans="1:21" s="23" customFormat="1" ht="21.95" customHeight="1">
      <c r="A14" s="27"/>
      <c r="B14" s="25"/>
      <c r="C14" s="233" t="s">
        <v>15</v>
      </c>
      <c r="D14" s="233"/>
      <c r="E14" s="233"/>
      <c r="F14" s="233"/>
      <c r="G14" s="233"/>
      <c r="H14" s="26"/>
      <c r="I14" s="26"/>
      <c r="J14" s="26"/>
      <c r="K14" s="33"/>
      <c r="L14" s="26"/>
      <c r="M14" s="26"/>
      <c r="N14" s="26"/>
      <c r="O14" s="32"/>
      <c r="P14" s="26"/>
      <c r="Q14" s="25"/>
      <c r="R14" s="25"/>
      <c r="T14" s="16" t="b">
        <v>0</v>
      </c>
    </row>
    <row r="15" spans="1:21" s="23" customFormat="1" ht="21.95" customHeight="1">
      <c r="A15" s="27"/>
      <c r="B15" s="25"/>
      <c r="C15" s="232" t="s">
        <v>101</v>
      </c>
      <c r="D15" s="232"/>
      <c r="E15" s="232"/>
      <c r="F15" s="232"/>
      <c r="G15" s="232"/>
      <c r="H15" s="26"/>
      <c r="I15" s="26"/>
      <c r="J15" s="26"/>
      <c r="K15" s="33"/>
      <c r="L15" s="26"/>
      <c r="M15" s="26"/>
      <c r="N15" s="26"/>
      <c r="O15" s="32"/>
      <c r="P15" s="26"/>
      <c r="Q15" s="25"/>
      <c r="R15" s="25"/>
      <c r="T15" s="16" t="b">
        <v>0</v>
      </c>
    </row>
    <row r="16" spans="1:21" s="23" customFormat="1" ht="21.95" customHeight="1">
      <c r="A16" s="27"/>
      <c r="B16" s="25"/>
      <c r="C16" s="25"/>
      <c r="D16" s="25"/>
      <c r="E16" s="50"/>
      <c r="F16" s="26"/>
      <c r="G16" s="26"/>
      <c r="H16" s="26"/>
      <c r="I16" s="26"/>
      <c r="J16" s="26"/>
      <c r="K16" s="33"/>
      <c r="L16" s="26"/>
      <c r="M16" s="26"/>
      <c r="N16" s="26"/>
      <c r="O16" s="32"/>
      <c r="P16" s="26"/>
      <c r="Q16" s="25"/>
      <c r="R16" s="25"/>
      <c r="T16" s="16" t="b">
        <v>0</v>
      </c>
    </row>
    <row r="17" spans="1:20" s="23" customFormat="1" ht="21.95" customHeight="1">
      <c r="A17" s="27"/>
      <c r="B17" s="25"/>
      <c r="H17" s="34"/>
      <c r="I17" s="34"/>
      <c r="J17" s="26"/>
      <c r="K17" s="33"/>
      <c r="L17" s="26"/>
      <c r="M17" s="26"/>
      <c r="N17" s="26"/>
      <c r="O17" s="32"/>
      <c r="P17" s="26"/>
      <c r="Q17" s="25"/>
      <c r="R17" s="25"/>
      <c r="T17" s="16" t="b">
        <v>0</v>
      </c>
    </row>
    <row r="18" spans="1:20" s="23" customFormat="1" ht="21.95" customHeight="1">
      <c r="A18" s="27"/>
      <c r="B18" s="25"/>
      <c r="H18" s="31"/>
      <c r="I18" s="31"/>
      <c r="J18" s="26"/>
      <c r="K18" s="30"/>
      <c r="L18" s="29"/>
      <c r="M18" s="29"/>
      <c r="N18" s="29"/>
      <c r="O18" s="28"/>
      <c r="P18" s="26"/>
      <c r="Q18" s="25"/>
      <c r="R18" s="25"/>
      <c r="T18" s="23" t="s">
        <v>16</v>
      </c>
    </row>
    <row r="19" spans="1:20" s="23" customFormat="1" ht="9.9499999999999993" customHeight="1">
      <c r="A19" s="27"/>
      <c r="B19" s="25"/>
      <c r="C19" s="25"/>
      <c r="D19" s="25"/>
      <c r="E19" s="25"/>
      <c r="F19" s="25"/>
      <c r="G19" s="25"/>
      <c r="H19" s="26"/>
      <c r="I19" s="26"/>
      <c r="J19" s="25"/>
      <c r="K19" s="25"/>
      <c r="L19" s="25"/>
      <c r="M19" s="25"/>
      <c r="N19" s="25"/>
      <c r="O19" s="25"/>
      <c r="P19" s="25"/>
      <c r="Q19" s="25"/>
      <c r="R19" s="25"/>
    </row>
    <row r="20" spans="1:20" s="23" customFormat="1" ht="21.95" customHeight="1">
      <c r="A20" s="22"/>
    </row>
    <row r="21" spans="1:20" s="24" customFormat="1" ht="21.95" customHeight="1">
      <c r="A21" s="22"/>
    </row>
    <row r="22" spans="1:20" s="24" customFormat="1" ht="21.95" customHeight="1">
      <c r="A22" s="22"/>
    </row>
    <row r="23" spans="1:20" s="23" customFormat="1" ht="21.95" customHeight="1">
      <c r="A23" s="22"/>
    </row>
    <row r="24" spans="1:20" ht="21.95" customHeight="1"/>
    <row r="25" spans="1:20" ht="21.95" customHeight="1"/>
    <row r="26" spans="1:20" ht="21.95" customHeight="1"/>
    <row r="27" spans="1:20" ht="21.95" customHeight="1"/>
    <row r="28" spans="1:20" ht="21.95" customHeight="1"/>
    <row r="29" spans="1:20" ht="21.95" customHeight="1"/>
    <row r="30" spans="1:20" ht="21.95" customHeight="1"/>
  </sheetData>
  <sheetProtection selectLockedCells="1"/>
  <mergeCells count="3">
    <mergeCell ref="L5:N9"/>
    <mergeCell ref="C15:G15"/>
    <mergeCell ref="C14:G14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7"/>
  </sheetPr>
  <dimension ref="C1:AH92"/>
  <sheetViews>
    <sheetView showGridLines="0" tabSelected="1" topLeftCell="A61" zoomScale="80" zoomScaleNormal="80" workbookViewId="0">
      <selection activeCell="I88" sqref="I88"/>
    </sheetView>
  </sheetViews>
  <sheetFormatPr defaultColWidth="8.796875" defaultRowHeight="12.75"/>
  <cols>
    <col min="1" max="2" width="1.69921875" style="142" customWidth="1"/>
    <col min="3" max="3" width="24.69921875" style="142" customWidth="1"/>
    <col min="4" max="4" width="9.09765625" style="142" customWidth="1"/>
    <col min="5" max="13" width="9.5" style="142" customWidth="1"/>
    <col min="14" max="14" width="9.796875" style="142" customWidth="1"/>
    <col min="15" max="18" width="7.5" style="142" customWidth="1"/>
    <col min="19" max="19" width="20.69921875" style="142" customWidth="1"/>
    <col min="20" max="26" width="8.796875" style="142"/>
    <col min="27" max="27" width="10.19921875" style="142" bestFit="1" customWidth="1"/>
    <col min="28" max="16384" width="8.796875" style="142"/>
  </cols>
  <sheetData>
    <row r="1" spans="3:28" s="144" customFormat="1" ht="6" customHeight="1">
      <c r="C1" s="249" t="str">
        <f>nmProgramTitle</f>
        <v>Chevron Financial Fluency Tool</v>
      </c>
      <c r="D1" s="249"/>
      <c r="E1" s="249"/>
      <c r="F1" s="249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</row>
    <row r="2" spans="3:28" s="144" customFormat="1" ht="45" customHeight="1">
      <c r="C2" s="249"/>
      <c r="D2" s="249"/>
      <c r="E2" s="249"/>
      <c r="F2" s="249"/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88"/>
      <c r="R2" s="188"/>
      <c r="U2" s="152" t="s">
        <v>260</v>
      </c>
      <c r="V2" s="144" t="s">
        <v>17</v>
      </c>
      <c r="X2" s="152" t="s">
        <v>293</v>
      </c>
      <c r="Y2" s="144" t="s">
        <v>292</v>
      </c>
    </row>
    <row r="3" spans="3:28" s="143" customFormat="1" ht="27.95" customHeight="1">
      <c r="C3" s="248" t="str">
        <f>DB_Dashboard1</f>
        <v xml:space="preserve">Project NPV: -$24.9 MM      Project Investment PV: $8.3 MM      Project DPI: -2.02      Project IRR:  -2.7%      Proect Payback: 0 Years      </v>
      </c>
      <c r="D3" s="248"/>
      <c r="E3" s="248"/>
      <c r="F3" s="248"/>
      <c r="G3" s="248"/>
      <c r="H3" s="248"/>
      <c r="I3" s="248"/>
      <c r="J3" s="248"/>
      <c r="K3" s="248"/>
      <c r="L3" s="248"/>
      <c r="M3" s="248"/>
      <c r="N3" s="248"/>
      <c r="O3" s="248"/>
      <c r="P3" s="248"/>
      <c r="Q3" s="248"/>
      <c r="R3" s="248"/>
      <c r="S3" s="248"/>
    </row>
    <row r="4" spans="3:28" s="144" customFormat="1" ht="12.75" customHeight="1"/>
    <row r="5" spans="3:28" s="144" customFormat="1" ht="12.75" customHeight="1">
      <c r="K5" s="149" t="s">
        <v>283</v>
      </c>
      <c r="L5" s="149" t="s">
        <v>284</v>
      </c>
      <c r="M5" s="149" t="s">
        <v>315</v>
      </c>
      <c r="N5" s="149" t="s">
        <v>316</v>
      </c>
    </row>
    <row r="6" spans="3:28" s="144" customFormat="1" ht="15.95" customHeight="1">
      <c r="C6" s="210" t="s">
        <v>324</v>
      </c>
      <c r="E6" s="246">
        <v>1</v>
      </c>
      <c r="F6" s="247"/>
      <c r="I6" s="210" t="s">
        <v>321</v>
      </c>
      <c r="J6" s="151"/>
      <c r="K6" s="190">
        <v>26436109.649999999</v>
      </c>
      <c r="L6" s="190">
        <v>26436109.649999999</v>
      </c>
      <c r="M6" s="190">
        <v>26436109.649999999</v>
      </c>
      <c r="N6" s="190">
        <v>26436109.649999999</v>
      </c>
      <c r="V6" s="144">
        <v>1</v>
      </c>
      <c r="W6" s="144" t="s">
        <v>306</v>
      </c>
      <c r="AA6" s="158">
        <f>finNPV</f>
        <v>-24940327.721630108</v>
      </c>
      <c r="AB6" s="144" t="s">
        <v>286</v>
      </c>
    </row>
    <row r="7" spans="3:28" s="144" customFormat="1" ht="15.95" customHeight="1">
      <c r="C7" s="151" t="s">
        <v>169</v>
      </c>
      <c r="E7" s="244">
        <v>10</v>
      </c>
      <c r="F7" s="245"/>
      <c r="I7" s="210" t="s">
        <v>322</v>
      </c>
      <c r="J7" s="151"/>
      <c r="K7" s="190">
        <v>55555555.560000002</v>
      </c>
      <c r="L7" s="190">
        <v>55555555.560000002</v>
      </c>
      <c r="M7" s="190">
        <v>55555555.560000002</v>
      </c>
      <c r="N7" s="190">
        <v>55555555.560000002</v>
      </c>
      <c r="V7" s="144">
        <v>10</v>
      </c>
      <c r="W7" s="144" t="s">
        <v>307</v>
      </c>
      <c r="AA7" s="158">
        <f>finPV</f>
        <v>8264462.809917354</v>
      </c>
      <c r="AB7" s="144" t="s">
        <v>287</v>
      </c>
    </row>
    <row r="8" spans="3:28" s="144" customFormat="1" ht="15.95" customHeight="1">
      <c r="E8" s="101"/>
      <c r="I8" s="210" t="s">
        <v>323</v>
      </c>
      <c r="J8" s="151"/>
      <c r="K8" s="191">
        <v>1.4758499736753574</v>
      </c>
      <c r="L8" s="191">
        <v>1.4758499736753574</v>
      </c>
      <c r="M8" s="191">
        <v>1.4758499736753574</v>
      </c>
      <c r="N8" s="191">
        <v>1.4758499736753574</v>
      </c>
      <c r="AA8" s="189">
        <f>AA6/AA7+1</f>
        <v>-2.0177796543172435</v>
      </c>
      <c r="AB8" s="144" t="s">
        <v>288</v>
      </c>
    </row>
    <row r="9" spans="3:28" s="144" customFormat="1" ht="15.95" customHeight="1">
      <c r="C9" s="210" t="s">
        <v>325</v>
      </c>
      <c r="E9" s="242">
        <v>1</v>
      </c>
      <c r="F9" s="243"/>
      <c r="I9" s="151" t="s">
        <v>285</v>
      </c>
      <c r="J9" s="151"/>
      <c r="K9" s="192">
        <v>0.17235962307547825</v>
      </c>
      <c r="L9" s="192">
        <v>0.17235962307547825</v>
      </c>
      <c r="M9" s="192">
        <v>0.17235962307547825</v>
      </c>
      <c r="N9" s="192">
        <v>0.17235962307547825</v>
      </c>
      <c r="V9" s="144">
        <v>1</v>
      </c>
      <c r="W9" s="144" t="s">
        <v>308</v>
      </c>
      <c r="AA9" s="159">
        <f>finIRR</f>
        <v>-2.6952787764973563E-2</v>
      </c>
      <c r="AB9" s="144" t="s">
        <v>289</v>
      </c>
    </row>
    <row r="10" spans="3:28" s="144" customFormat="1" ht="15.95" customHeight="1">
      <c r="C10" s="151" t="s">
        <v>318</v>
      </c>
      <c r="E10" s="240">
        <v>1</v>
      </c>
      <c r="F10" s="241"/>
      <c r="K10" s="161"/>
      <c r="L10" s="161"/>
      <c r="M10" s="161"/>
      <c r="N10" s="161"/>
      <c r="V10" s="144">
        <v>1</v>
      </c>
      <c r="W10" s="144" t="s">
        <v>309</v>
      </c>
      <c r="AA10" s="208">
        <f>finPaybackFinal</f>
        <v>0</v>
      </c>
      <c r="AB10" s="144" t="s">
        <v>304</v>
      </c>
    </row>
    <row r="11" spans="3:28" s="144" customFormat="1" ht="15.95" customHeight="1">
      <c r="C11" s="151" t="s">
        <v>166</v>
      </c>
      <c r="E11" s="236">
        <v>0.9</v>
      </c>
      <c r="F11" s="237"/>
      <c r="I11" s="210" t="s">
        <v>324</v>
      </c>
      <c r="J11" s="151"/>
      <c r="K11" s="193">
        <v>1.5</v>
      </c>
      <c r="L11" s="193">
        <v>0.75</v>
      </c>
      <c r="M11" s="193">
        <v>0.75</v>
      </c>
      <c r="N11" s="193">
        <v>0.75</v>
      </c>
      <c r="V11" s="209">
        <v>0.9</v>
      </c>
      <c r="W11" s="144" t="s">
        <v>310</v>
      </c>
    </row>
    <row r="12" spans="3:28" s="144" customFormat="1" ht="15.95" customHeight="1">
      <c r="E12" s="101"/>
      <c r="I12" s="210" t="s">
        <v>169</v>
      </c>
      <c r="J12" s="151"/>
      <c r="K12" s="194">
        <v>30</v>
      </c>
      <c r="L12" s="194">
        <v>10</v>
      </c>
      <c r="M12" s="194">
        <v>10</v>
      </c>
      <c r="N12" s="194">
        <v>10</v>
      </c>
    </row>
    <row r="13" spans="3:28" s="144" customFormat="1" ht="15.95" customHeight="1">
      <c r="C13" s="151" t="s">
        <v>170</v>
      </c>
      <c r="E13" s="238">
        <v>15</v>
      </c>
      <c r="F13" s="239"/>
      <c r="I13" s="151" t="s">
        <v>295</v>
      </c>
      <c r="J13" s="151"/>
      <c r="K13" s="207">
        <v>30</v>
      </c>
      <c r="L13" s="207">
        <v>10</v>
      </c>
      <c r="M13" s="207">
        <v>10</v>
      </c>
      <c r="N13" s="207">
        <v>10</v>
      </c>
      <c r="V13" s="144">
        <v>15</v>
      </c>
      <c r="W13" s="144" t="s">
        <v>311</v>
      </c>
    </row>
    <row r="14" spans="3:28" s="144" customFormat="1" ht="15.95" customHeight="1">
      <c r="C14" s="151" t="s">
        <v>317</v>
      </c>
      <c r="E14" s="238">
        <v>50</v>
      </c>
      <c r="F14" s="239"/>
      <c r="V14" s="144">
        <v>50</v>
      </c>
      <c r="W14" s="144" t="s">
        <v>312</v>
      </c>
    </row>
    <row r="15" spans="3:28" s="144" customFormat="1" ht="12.75" customHeight="1">
      <c r="C15" s="151" t="s">
        <v>233</v>
      </c>
      <c r="E15" s="234">
        <v>40</v>
      </c>
      <c r="F15" s="235"/>
      <c r="I15" s="210" t="s">
        <v>325</v>
      </c>
      <c r="J15" s="151"/>
      <c r="K15" s="195">
        <v>9.5</v>
      </c>
      <c r="L15" s="195">
        <v>2.5</v>
      </c>
      <c r="M15" s="195">
        <v>2.5</v>
      </c>
      <c r="N15" s="195">
        <v>2.5</v>
      </c>
      <c r="V15" s="144">
        <v>40</v>
      </c>
      <c r="W15" s="144" t="s">
        <v>313</v>
      </c>
    </row>
    <row r="16" spans="3:28" s="144" customFormat="1" ht="12.75" customHeight="1">
      <c r="C16" s="153"/>
      <c r="I16" s="210" t="s">
        <v>318</v>
      </c>
      <c r="J16" s="151"/>
      <c r="K16" s="196">
        <v>5</v>
      </c>
      <c r="L16" s="196">
        <v>3</v>
      </c>
      <c r="M16" s="196">
        <v>3</v>
      </c>
      <c r="N16" s="196">
        <v>3</v>
      </c>
    </row>
    <row r="17" spans="3:19" s="144" customFormat="1" ht="28.5" customHeight="1"/>
    <row r="18" spans="3:19" s="144" customFormat="1" ht="18" customHeight="1">
      <c r="C18" s="148" t="s">
        <v>250</v>
      </c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</row>
    <row r="19" spans="3:19" s="144" customFormat="1"/>
    <row r="20" spans="3:19" s="144" customFormat="1" ht="18" customHeight="1">
      <c r="C20" s="181" t="s">
        <v>168</v>
      </c>
      <c r="D20" s="182"/>
      <c r="E20" s="182"/>
      <c r="F20" s="182"/>
      <c r="G20" s="182"/>
      <c r="H20" s="182"/>
      <c r="I20" s="182"/>
      <c r="J20" s="182"/>
      <c r="K20" s="182"/>
      <c r="L20" s="182"/>
    </row>
    <row r="21" spans="3:19" s="144" customFormat="1"/>
    <row r="22" spans="3:19" s="144" customFormat="1">
      <c r="C22" s="99"/>
      <c r="E22" s="150" t="s">
        <v>165</v>
      </c>
      <c r="G22" s="149" t="s">
        <v>142</v>
      </c>
      <c r="H22" s="149" t="s">
        <v>143</v>
      </c>
      <c r="I22" s="149" t="s">
        <v>144</v>
      </c>
      <c r="K22" s="149" t="s">
        <v>146</v>
      </c>
      <c r="L22" s="149" t="s">
        <v>151</v>
      </c>
    </row>
    <row r="23" spans="3:19" s="144" customFormat="1">
      <c r="E23" s="146"/>
      <c r="G23" s="145"/>
      <c r="H23" s="145"/>
      <c r="I23" s="145"/>
      <c r="K23" s="145"/>
      <c r="L23" s="145"/>
    </row>
    <row r="24" spans="3:19" s="144" customFormat="1">
      <c r="C24" s="144" t="s">
        <v>102</v>
      </c>
      <c r="E24" s="184">
        <f>INDEX(finDeltaProdBBL,1)</f>
        <v>0</v>
      </c>
      <c r="F24" s="185"/>
      <c r="G24" s="184">
        <f>INDEX(finDeltaProdBBL,2)</f>
        <v>0</v>
      </c>
      <c r="H24" s="184">
        <f>INDEX(finDeltaProdBBL,3)</f>
        <v>892.3</v>
      </c>
      <c r="I24" s="184">
        <f>INDEX(finDeltaProdBBL,4)</f>
        <v>899.3</v>
      </c>
      <c r="J24" s="185"/>
      <c r="K24" s="184">
        <f>INDEX(finDeltaProdBBL,6)</f>
        <v>219.4</v>
      </c>
      <c r="L24" s="184">
        <f>INDEX(finDeltaProdBBL,11)</f>
        <v>0</v>
      </c>
    </row>
    <row r="25" spans="3:19" s="144" customFormat="1">
      <c r="C25" s="99" t="s">
        <v>27</v>
      </c>
      <c r="E25" s="171">
        <f>INDEX(finDeltaRev,1)</f>
        <v>0</v>
      </c>
      <c r="F25" s="186"/>
      <c r="G25" s="174">
        <f>INDEX(finDeltaRev,2)</f>
        <v>0</v>
      </c>
      <c r="H25" s="174">
        <f>INDEX(finDeltaRev,3)</f>
        <v>16283799</v>
      </c>
      <c r="I25" s="174">
        <f>INDEX(finDeltaRev,4)</f>
        <v>16412623</v>
      </c>
      <c r="J25" s="186"/>
      <c r="K25" s="174">
        <f>INDEX(finDeltaRev,6)</f>
        <v>4003575</v>
      </c>
      <c r="L25" s="174">
        <f>INDEX(finDeltaRev,11)</f>
        <v>0</v>
      </c>
    </row>
    <row r="26" spans="3:19" s="144" customFormat="1">
      <c r="C26" s="99"/>
    </row>
    <row r="27" spans="3:19" s="144" customFormat="1">
      <c r="C27" s="219" t="str">
        <f>"- Royalty"</f>
        <v>- Royalty</v>
      </c>
      <c r="E27" s="160">
        <f>INDEX(finDeltaRoyalty,1)</f>
        <v>0</v>
      </c>
      <c r="F27" s="161"/>
      <c r="G27" s="160">
        <f>INDEX(finDeltaRoyalty,2)</f>
        <v>0</v>
      </c>
      <c r="H27" s="160">
        <f>INDEX(finDeltaRoyalty,3)</f>
        <v>2442570</v>
      </c>
      <c r="I27" s="160">
        <f>INDEX(finDeltaRoyalty,4)</f>
        <v>2461893</v>
      </c>
      <c r="J27" s="160"/>
      <c r="K27" s="160">
        <f>INDEX(finDeltaRoyalty,6)</f>
        <v>600536</v>
      </c>
      <c r="L27" s="160">
        <f>INDEX(finDeltaRoyalty,11)</f>
        <v>0</v>
      </c>
    </row>
    <row r="28" spans="3:19" s="144" customFormat="1">
      <c r="C28" s="219" t="str">
        <f>"- OpEx"</f>
        <v>- OpEx</v>
      </c>
      <c r="E28" s="160">
        <f>INDEX(finDeltaOpEx,1)</f>
        <v>0</v>
      </c>
      <c r="F28" s="161"/>
      <c r="G28" s="160">
        <f>INDEX(finDeltaOpEx,2)</f>
        <v>0</v>
      </c>
      <c r="H28" s="160">
        <f>INDEX(finDeltaOpEx,3)</f>
        <v>9770279</v>
      </c>
      <c r="I28" s="160">
        <f>INDEX(finDeltaOpEx,4)</f>
        <v>9847574</v>
      </c>
      <c r="J28" s="160"/>
      <c r="K28" s="160">
        <f>INDEX(finDeltaOpEx,6)</f>
        <v>2402145</v>
      </c>
      <c r="L28" s="160">
        <f>INDEX(finDeltaOpEx,11)</f>
        <v>0</v>
      </c>
    </row>
    <row r="29" spans="3:19" s="144" customFormat="1">
      <c r="C29" s="219" t="str">
        <f>"- Tax"</f>
        <v>- Tax</v>
      </c>
      <c r="E29" s="170">
        <f>INDEX(finDeltaTaxRoyalty,1)</f>
        <v>0</v>
      </c>
      <c r="F29" s="161"/>
      <c r="G29" s="170">
        <f>INDEX(finDeltaTaxRoyalty,2)</f>
        <v>0</v>
      </c>
      <c r="H29" s="170">
        <f>INDEX(finDeltaTaxRoyalty,3)</f>
        <v>1221285</v>
      </c>
      <c r="I29" s="170">
        <f>INDEX(finDeltaTaxRoyalty,4)</f>
        <v>1230947</v>
      </c>
      <c r="J29" s="169"/>
      <c r="K29" s="170">
        <f>INDEX(finDeltaTaxRoyalty,6)</f>
        <v>300268</v>
      </c>
      <c r="L29" s="170">
        <f>INDEX(finDeltaTaxRoyalty,11)</f>
        <v>0</v>
      </c>
    </row>
    <row r="30" spans="3:19" s="216" customFormat="1">
      <c r="C30" s="219" t="str">
        <f>"- CapEx"</f>
        <v>- CapEx</v>
      </c>
      <c r="E30" s="218">
        <f>INDEX(finDeltaCapEx,1)</f>
        <v>0</v>
      </c>
      <c r="F30" s="161"/>
      <c r="G30" s="217">
        <f>INDEX(finDeltaCapEx,2)</f>
        <v>10000000</v>
      </c>
      <c r="H30" s="217">
        <f>INDEX(finDeltaCapEx,3)</f>
        <v>0</v>
      </c>
      <c r="I30" s="217">
        <f>INDEX(finDeltaCapEx,4)</f>
        <v>0</v>
      </c>
      <c r="J30" s="215"/>
      <c r="K30" s="217">
        <f>INDEX(finDeltaCapEx,6)</f>
        <v>0</v>
      </c>
      <c r="L30" s="217">
        <f>INDEX(finDeltaCapEx,11)</f>
        <v>0</v>
      </c>
    </row>
    <row r="31" spans="3:19" s="144" customFormat="1">
      <c r="C31" s="219" t="str">
        <f>"- Change in Working Capital"</f>
        <v>- Change in Working Capital</v>
      </c>
      <c r="E31" s="220">
        <f>INDEX(finDeltaWorkingCapDelta,1)*-1</f>
        <v>0</v>
      </c>
      <c r="F31" s="161"/>
      <c r="G31" s="220">
        <f>INDEX(finDeltaWorkingCapDelta,2)*-1</f>
        <v>0</v>
      </c>
      <c r="H31" s="220">
        <f>INDEX(finDeltaWorkingCapDelta,3)*-1</f>
        <v>1784526</v>
      </c>
      <c r="I31" s="220">
        <f>INDEX(finDeltaWorkingCapDelta,4)*-1</f>
        <v>14118</v>
      </c>
      <c r="J31" s="161"/>
      <c r="K31" s="220">
        <f>INDEX(finDeltaWorkingCapDelta,6)*-1</f>
        <v>-1341592</v>
      </c>
      <c r="L31" s="220">
        <f>INDEX(finDeltaWorkingCapDelta,11)*-1</f>
        <v>0</v>
      </c>
    </row>
    <row r="32" spans="3:19" s="144" customFormat="1">
      <c r="C32" s="99"/>
    </row>
    <row r="33" spans="3:34" s="144" customFormat="1">
      <c r="C33" s="213" t="s">
        <v>329</v>
      </c>
      <c r="E33" s="162">
        <f>INDEX(finDeltaCashFlow,1)</f>
        <v>0</v>
      </c>
      <c r="F33" s="161"/>
      <c r="G33" s="162">
        <f>INDEX(finDeltaCashFlow,2)</f>
        <v>-10000000</v>
      </c>
      <c r="H33" s="162">
        <f>INDEX(finDeltaCashFlow,3)</f>
        <v>1065138.8345154524</v>
      </c>
      <c r="I33" s="162">
        <f>INDEX(finDeltaCashFlow,4)</f>
        <v>2858090.9914271832</v>
      </c>
      <c r="J33" s="162"/>
      <c r="K33" s="162">
        <f>INDEX(finDeltaCashFlow,6)</f>
        <v>2042217.557107687</v>
      </c>
      <c r="L33" s="162">
        <f>INDEX(finDeltaCashFlow,11)</f>
        <v>0</v>
      </c>
    </row>
    <row r="34" spans="3:34" s="144" customFormat="1">
      <c r="C34" s="99"/>
      <c r="E34" s="221"/>
      <c r="F34" s="161"/>
      <c r="G34" s="221"/>
      <c r="H34" s="221"/>
      <c r="I34" s="221"/>
      <c r="J34" s="161"/>
      <c r="K34" s="221"/>
      <c r="L34" s="221"/>
    </row>
    <row r="35" spans="3:34" s="144" customFormat="1">
      <c r="C35" s="99"/>
      <c r="E35" s="177"/>
      <c r="G35" s="177"/>
      <c r="H35" s="177"/>
      <c r="I35" s="177"/>
      <c r="K35" s="177"/>
      <c r="L35" s="177"/>
    </row>
    <row r="36" spans="3:34" s="144" customFormat="1">
      <c r="C36" s="99"/>
      <c r="E36" s="177"/>
      <c r="G36" s="177"/>
      <c r="H36" s="177"/>
      <c r="I36" s="177"/>
      <c r="K36" s="177"/>
      <c r="L36" s="177"/>
    </row>
    <row r="37" spans="3:34" s="144" customFormat="1" ht="18" customHeight="1">
      <c r="C37" s="211" t="s">
        <v>168</v>
      </c>
      <c r="D37" s="212"/>
      <c r="E37" s="212"/>
      <c r="F37" s="212"/>
      <c r="G37" s="212"/>
      <c r="H37" s="212"/>
      <c r="I37" s="212"/>
      <c r="J37" s="212"/>
      <c r="K37" s="212"/>
      <c r="L37" s="212"/>
    </row>
    <row r="38" spans="3:34" s="144" customFormat="1">
      <c r="C38" s="212"/>
      <c r="D38" s="212"/>
      <c r="E38" s="212"/>
      <c r="F38" s="212"/>
      <c r="G38" s="212"/>
      <c r="H38" s="212"/>
      <c r="I38" s="212"/>
      <c r="J38" s="212"/>
      <c r="K38" s="212"/>
      <c r="L38" s="212"/>
    </row>
    <row r="39" spans="3:34" s="144" customFormat="1">
      <c r="C39" s="213"/>
      <c r="D39" s="213"/>
      <c r="E39" s="213"/>
      <c r="F39" s="213"/>
      <c r="G39" s="213"/>
      <c r="H39" s="213"/>
      <c r="I39" s="213"/>
      <c r="J39" s="213"/>
      <c r="K39" s="213"/>
      <c r="L39" s="213"/>
    </row>
    <row r="40" spans="3:34" s="144" customFormat="1">
      <c r="C40" s="213"/>
      <c r="D40" s="213"/>
      <c r="E40" s="213"/>
      <c r="F40" s="213"/>
      <c r="G40" s="213"/>
      <c r="H40" s="213"/>
      <c r="I40" s="213"/>
      <c r="J40" s="213"/>
      <c r="K40" s="213"/>
      <c r="L40" s="213"/>
    </row>
    <row r="41" spans="3:34" s="144" customFormat="1" ht="15" customHeight="1">
      <c r="C41" s="213"/>
      <c r="D41" s="213"/>
      <c r="E41" s="213"/>
      <c r="F41" s="213"/>
      <c r="G41" s="213"/>
      <c r="H41" s="213"/>
      <c r="I41" s="213"/>
      <c r="J41" s="213"/>
      <c r="K41" s="213"/>
      <c r="L41" s="213"/>
      <c r="AA41" s="157"/>
      <c r="AC41" s="157"/>
      <c r="AD41" s="157"/>
      <c r="AE41" s="157"/>
      <c r="AF41" s="157"/>
      <c r="AG41" s="157"/>
      <c r="AH41" s="157"/>
    </row>
    <row r="42" spans="3:34" s="144" customFormat="1" ht="15" customHeight="1">
      <c r="C42" s="213"/>
      <c r="D42" s="213"/>
      <c r="E42" s="213"/>
      <c r="F42" s="213" t="s">
        <v>330</v>
      </c>
      <c r="G42" s="213"/>
      <c r="H42" s="213"/>
      <c r="I42" s="213"/>
      <c r="J42" s="213"/>
      <c r="K42" s="213"/>
      <c r="L42" s="213"/>
      <c r="AA42" s="157"/>
      <c r="AC42" s="157"/>
      <c r="AD42" s="157"/>
      <c r="AE42" s="157"/>
      <c r="AF42" s="157"/>
      <c r="AG42" s="157"/>
      <c r="AH42" s="157"/>
    </row>
    <row r="43" spans="3:34" s="144" customFormat="1" ht="15" customHeight="1">
      <c r="C43" s="213"/>
      <c r="D43" s="213"/>
      <c r="E43" s="213"/>
      <c r="F43" s="213"/>
      <c r="G43" s="213"/>
      <c r="H43" s="213"/>
      <c r="I43" s="213"/>
      <c r="J43" s="213"/>
      <c r="K43" s="213"/>
      <c r="L43" s="213"/>
      <c r="AA43" s="158"/>
      <c r="AC43" s="158"/>
      <c r="AD43" s="158"/>
      <c r="AE43" s="158"/>
      <c r="AF43" s="158"/>
      <c r="AG43" s="158"/>
      <c r="AH43" s="158"/>
    </row>
    <row r="44" spans="3:34" s="144" customFormat="1" ht="15" customHeight="1">
      <c r="C44" s="213"/>
      <c r="D44" s="213"/>
      <c r="E44" s="213"/>
      <c r="F44" s="213"/>
      <c r="G44" s="213"/>
      <c r="H44" s="213"/>
      <c r="I44" s="213"/>
      <c r="J44" s="213"/>
      <c r="K44" s="213"/>
      <c r="L44" s="213"/>
      <c r="AA44" s="157"/>
      <c r="AC44" s="157"/>
      <c r="AD44" s="157"/>
      <c r="AE44" s="157"/>
      <c r="AF44" s="158"/>
      <c r="AG44" s="157"/>
      <c r="AH44" s="157"/>
    </row>
    <row r="45" spans="3:34" s="144" customFormat="1" ht="15" customHeight="1">
      <c r="C45" s="213"/>
      <c r="D45" s="213"/>
      <c r="E45" s="213"/>
      <c r="F45" s="213"/>
      <c r="G45" s="213"/>
      <c r="H45" s="213"/>
      <c r="I45" s="213"/>
      <c r="J45" s="213"/>
      <c r="K45" s="213"/>
      <c r="L45" s="213"/>
      <c r="AA45" s="157"/>
      <c r="AC45" s="157"/>
      <c r="AD45" s="157"/>
      <c r="AE45" s="157"/>
      <c r="AF45" s="158"/>
      <c r="AG45" s="157"/>
      <c r="AH45" s="157"/>
    </row>
    <row r="46" spans="3:34" s="144" customFormat="1" ht="29.25" customHeight="1">
      <c r="C46" s="212"/>
      <c r="D46" s="212"/>
      <c r="E46" s="214"/>
      <c r="F46" s="214"/>
      <c r="G46" s="214"/>
      <c r="H46" s="214"/>
      <c r="I46" s="214"/>
      <c r="J46" s="214"/>
      <c r="K46" s="214"/>
      <c r="L46" s="214"/>
    </row>
    <row r="47" spans="3:34" s="144" customFormat="1" ht="18" customHeight="1">
      <c r="C47" s="148" t="s">
        <v>261</v>
      </c>
      <c r="D47" s="147"/>
      <c r="E47" s="164"/>
      <c r="F47" s="164"/>
      <c r="G47" s="164"/>
      <c r="H47" s="164"/>
      <c r="I47" s="164"/>
      <c r="J47" s="164"/>
      <c r="K47" s="164"/>
      <c r="L47" s="164"/>
      <c r="M47" s="147"/>
      <c r="N47" s="147"/>
      <c r="O47" s="147"/>
      <c r="P47" s="147"/>
      <c r="Q47" s="147"/>
      <c r="R47" s="147"/>
      <c r="S47" s="147"/>
    </row>
    <row r="48" spans="3:34" s="144" customFormat="1">
      <c r="E48" s="161"/>
      <c r="F48" s="161"/>
      <c r="G48" s="161"/>
      <c r="H48" s="161"/>
      <c r="I48" s="161"/>
      <c r="J48" s="161"/>
      <c r="K48" s="161"/>
      <c r="L48" s="161"/>
    </row>
    <row r="49" spans="3:34" s="144" customFormat="1" ht="18" customHeight="1">
      <c r="C49" s="181" t="s">
        <v>232</v>
      </c>
      <c r="D49" s="182"/>
      <c r="E49" s="183"/>
      <c r="F49" s="183"/>
      <c r="G49" s="183"/>
      <c r="H49" s="183"/>
      <c r="I49" s="183"/>
      <c r="J49" s="183"/>
      <c r="K49" s="183"/>
      <c r="L49" s="183"/>
    </row>
    <row r="50" spans="3:34" s="144" customFormat="1">
      <c r="E50" s="161"/>
      <c r="F50" s="161"/>
      <c r="G50" s="161"/>
      <c r="H50" s="161"/>
      <c r="I50" s="161"/>
      <c r="J50" s="161"/>
      <c r="K50" s="161"/>
      <c r="L50" s="161"/>
    </row>
    <row r="51" spans="3:34" s="144" customFormat="1" ht="15" customHeight="1">
      <c r="E51" s="150" t="s">
        <v>165</v>
      </c>
      <c r="G51" s="149" t="s">
        <v>142</v>
      </c>
      <c r="H51" s="149" t="s">
        <v>143</v>
      </c>
      <c r="I51" s="149" t="s">
        <v>144</v>
      </c>
      <c r="K51" s="149" t="s">
        <v>146</v>
      </c>
      <c r="L51" s="149" t="s">
        <v>151</v>
      </c>
    </row>
    <row r="52" spans="3:34" s="144" customFormat="1" ht="15" customHeight="1">
      <c r="E52" s="161"/>
      <c r="F52" s="161"/>
      <c r="G52" s="161"/>
      <c r="H52" s="161"/>
      <c r="I52" s="161"/>
      <c r="J52" s="161"/>
      <c r="K52" s="161"/>
      <c r="L52" s="161"/>
    </row>
    <row r="53" spans="3:34" s="144" customFormat="1" ht="15" customHeight="1">
      <c r="C53" s="144" t="s">
        <v>102</v>
      </c>
      <c r="E53" s="165">
        <f>INDEX(FinProdBBL,1)</f>
        <v>114866.03386241004</v>
      </c>
      <c r="F53" s="161"/>
      <c r="G53" s="165">
        <f>INDEX(FinProdBBL,2)</f>
        <v>115774.75753400069</v>
      </c>
      <c r="H53" s="165">
        <f>INDEX(FinProdBBL,3)</f>
        <v>115488.86460651524</v>
      </c>
      <c r="I53" s="165">
        <f>INDEX(FinProdBBL,4)</f>
        <v>112455.73450439161</v>
      </c>
      <c r="J53" s="161"/>
      <c r="K53" s="165">
        <f>INDEX(FinProdBBL,6)</f>
        <v>101205.62312459311</v>
      </c>
      <c r="L53" s="165">
        <f>INDEX(FinProdBBL,11)</f>
        <v>62146.101548685663</v>
      </c>
      <c r="AA53" s="201">
        <f>INDEX(FinBaseProdBBL,1)</f>
        <v>114866.03386241004</v>
      </c>
      <c r="AC53" s="201">
        <f>INDEX(FinBaseProdBBL,2)</f>
        <v>115774.75753400069</v>
      </c>
      <c r="AD53" s="201">
        <f>INDEX(FinBaseProdBBL,3)</f>
        <v>114596.60164463175</v>
      </c>
      <c r="AE53" s="201">
        <f>INDEX(FinBaseProdBBL,4)</f>
        <v>111556.41270668448</v>
      </c>
      <c r="AG53" s="201">
        <f>INDEX(FinBaseProdBBL,6)</f>
        <v>100986.24917324824</v>
      </c>
      <c r="AH53" s="201">
        <f>INDEX(FinBaseProdBBL,11)</f>
        <v>62146.101548685663</v>
      </c>
    </row>
    <row r="54" spans="3:34" s="144" customFormat="1" ht="15" customHeight="1">
      <c r="C54" s="213" t="s">
        <v>27</v>
      </c>
      <c r="E54" s="166">
        <f>INDEX(FinRev,1)</f>
        <v>2096305117.9889832</v>
      </c>
      <c r="F54" s="161"/>
      <c r="G54" s="167">
        <f>INDEX(FinRev,2)</f>
        <v>2112889324.9955125</v>
      </c>
      <c r="H54" s="167">
        <f>INDEX(FinRev,3)</f>
        <v>2107671779.0689032</v>
      </c>
      <c r="I54" s="167">
        <f>INDEX(FinRev,4)</f>
        <v>2052317154.705147</v>
      </c>
      <c r="J54" s="161"/>
      <c r="K54" s="167">
        <f>INDEX(FinRev,6)</f>
        <v>1847002622.0238242</v>
      </c>
      <c r="L54" s="167">
        <f>INDEX(FinRev,11)</f>
        <v>1134166353.2635133</v>
      </c>
      <c r="AA54" s="202">
        <f>INDEX(FinBaseRev,1)</f>
        <v>2096305117.9889832</v>
      </c>
      <c r="AC54" s="202">
        <f>INDEX(FinBaseRev,2)</f>
        <v>2112889324.9955125</v>
      </c>
      <c r="AD54" s="202">
        <f>INDEX(FinBaseRev,3)</f>
        <v>2091387980.0145295</v>
      </c>
      <c r="AE54" s="202">
        <f>INDEX(FinBaseRev,4)</f>
        <v>2035904531.8969917</v>
      </c>
      <c r="AG54" s="202">
        <f>INDEX(FinBaseRev,6)</f>
        <v>1842999047.4117804</v>
      </c>
      <c r="AH54" s="202">
        <f>INDEX(FinBaseRev,11)</f>
        <v>1134166353.2635133</v>
      </c>
    </row>
    <row r="55" spans="3:34" s="144" customFormat="1">
      <c r="E55" s="168"/>
      <c r="F55" s="161"/>
      <c r="G55" s="163"/>
      <c r="H55" s="163"/>
      <c r="I55" s="163"/>
      <c r="J55" s="161"/>
      <c r="K55" s="163"/>
      <c r="L55" s="163"/>
    </row>
    <row r="56" spans="3:34" s="144" customFormat="1" ht="15" customHeight="1">
      <c r="C56" s="144" t="s">
        <v>103</v>
      </c>
      <c r="E56" s="160">
        <f>INDEX(FinOpEx,1)</f>
        <v>628891535.3966949</v>
      </c>
      <c r="F56" s="161"/>
      <c r="G56" s="160">
        <f>INDEX(FinOpEx,2)</f>
        <v>633866797.49865377</v>
      </c>
      <c r="H56" s="160">
        <f>INDEX(FinOpEx,3)</f>
        <v>637186673.43698323</v>
      </c>
      <c r="I56" s="160">
        <f>INDEX(FinOpEx,4)</f>
        <v>620618933.25399065</v>
      </c>
      <c r="J56" s="160"/>
      <c r="K56" s="160">
        <f>INDEX(FinOpEx,6)</f>
        <v>555301858.99076045</v>
      </c>
      <c r="L56" s="160">
        <f>INDEX(FinOpEx,11)</f>
        <v>340249905.97905403</v>
      </c>
      <c r="AA56" s="202">
        <f>INDEX(FinBaseOpEx,1)</f>
        <v>628891535.3966949</v>
      </c>
      <c r="AC56" s="202">
        <f>INDEX(FinBaseOpEx,2)</f>
        <v>633866797.49865377</v>
      </c>
      <c r="AD56" s="202">
        <f>INDEX(FinBaseOpEx,3)</f>
        <v>627416394.00435889</v>
      </c>
      <c r="AE56" s="202">
        <f>INDEX(FinBaseOpEx,4)</f>
        <v>610771359.56909752</v>
      </c>
      <c r="AF56" s="157"/>
      <c r="AG56" s="202">
        <f>INDEX(FinBaseOpEx,6)</f>
        <v>552899714.22353411</v>
      </c>
      <c r="AH56" s="202">
        <f>INDEX(FinBaseOpEx,11)</f>
        <v>340249905.97905403</v>
      </c>
    </row>
    <row r="57" spans="3:34" s="144" customFormat="1" ht="15" customHeight="1">
      <c r="C57" s="144" t="s">
        <v>111</v>
      </c>
      <c r="E57" s="169">
        <f>INDEX(FinDDAClosing,1)*-1</f>
        <v>187500000</v>
      </c>
      <c r="F57" s="161"/>
      <c r="G57" s="169">
        <f>INDEX(FinDDAClosing,2)*-1</f>
        <v>182812500</v>
      </c>
      <c r="H57" s="169">
        <f>INDEX(FinDDAClosing,3)*-1</f>
        <v>178492187.5</v>
      </c>
      <c r="I57" s="169">
        <f>INDEX(FinDDAClosing,4)*-1</f>
        <v>174029882.8125</v>
      </c>
      <c r="J57" s="169"/>
      <c r="K57" s="169">
        <f>INDEX(FinDDAClosing,6)*-1</f>
        <v>165437157.34863281</v>
      </c>
      <c r="L57" s="169">
        <f>INDEX(FinDDAClosing,11)*-1</f>
        <v>145765966.86149764</v>
      </c>
      <c r="AA57" s="202">
        <f>INDEX(FinBaseDDAClosing,1)*-1</f>
        <v>187500000</v>
      </c>
      <c r="AC57" s="202">
        <f>INDEX(FinBaseDDAClosing,2)*-1</f>
        <v>182812500</v>
      </c>
      <c r="AD57" s="202">
        <f>INDEX(FinBaseDDAClosing,3)*-1</f>
        <v>178242187.5</v>
      </c>
      <c r="AE57" s="202">
        <f>INDEX(FinBaseDDAClosing,4)*-1</f>
        <v>173786132.8125</v>
      </c>
      <c r="AF57" s="157"/>
      <c r="AG57" s="202">
        <f>INDEX(FinBaseDDAClosing,6)*-1</f>
        <v>165205442.50488281</v>
      </c>
      <c r="AH57" s="202">
        <f>INDEX(FinBaseDDAClosing,11)*-1</f>
        <v>145561803.9105821</v>
      </c>
    </row>
    <row r="58" spans="3:34" s="144" customFormat="1" ht="15" customHeight="1">
      <c r="C58" s="144" t="s">
        <v>231</v>
      </c>
      <c r="E58" s="170">
        <f>INDEX(FinTax,1)+INDEX(FinRoyalty,1)</f>
        <v>660336112.16652966</v>
      </c>
      <c r="F58" s="161"/>
      <c r="G58" s="170">
        <f>INDEX(FinTax,2)+INDEX(FinRoyalty,2)</f>
        <v>665560137.37358642</v>
      </c>
      <c r="H58" s="170">
        <f>INDEX(FinTax,3)+INDEX(FinRoyalty,3)</f>
        <v>662451068.4918108</v>
      </c>
      <c r="I58" s="170">
        <f>INDEX(FinTax,4)+INDEX(FinRoyalty,4)</f>
        <v>645002767.67938733</v>
      </c>
      <c r="J58" s="169"/>
      <c r="K58" s="170">
        <f>INDEX(FinTax,6)+INDEX(FinRoyalty,6)</f>
        <v>581445504.22242069</v>
      </c>
      <c r="L58" s="170">
        <f>INDEX(FinTax,11)+INDEX(FinRoyalty,11)</f>
        <v>357262401.27800667</v>
      </c>
      <c r="AA58" s="202">
        <f>INDEX(FinBaseTax,1)+INDEX(FinBaseRoyalty,1)</f>
        <v>660336112.16652966</v>
      </c>
      <c r="AC58" s="202">
        <f>INDEX(FinBaseTax,2)+INDEX(FinBaseRoyalty,2)</f>
        <v>665560137.37358642</v>
      </c>
      <c r="AD58" s="202">
        <f>INDEX(FinBaseTax,3)+INDEX(FinBaseRoyalty,3)</f>
        <v>658787213.70457673</v>
      </c>
      <c r="AE58" s="202">
        <f>INDEX(FinBaseTax,4)+INDEX(FinBaseRoyalty,4)</f>
        <v>641309927.54755235</v>
      </c>
      <c r="AF58" s="157"/>
      <c r="AG58" s="202">
        <f>INDEX(FinBaseTax,6)+INDEX(FinBaseRoyalty,6)</f>
        <v>580544699.93471074</v>
      </c>
      <c r="AH58" s="202">
        <f>INDEX(FinBaseTax,11)+INDEX(FinBaseRoyalty,11)</f>
        <v>357262401.27800667</v>
      </c>
    </row>
    <row r="59" spans="3:34" s="144" customFormat="1" ht="15" customHeight="1">
      <c r="C59" s="99" t="s">
        <v>167</v>
      </c>
      <c r="E59" s="171">
        <f>SUM(E56:E58)</f>
        <v>1476727647.5632246</v>
      </c>
      <c r="F59" s="161"/>
      <c r="G59" s="171">
        <f>SUM(G56:G58)</f>
        <v>1482239434.8722401</v>
      </c>
      <c r="H59" s="171">
        <f>SUM(H56:H58)</f>
        <v>1478129929.4287939</v>
      </c>
      <c r="I59" s="171">
        <f>SUM(I56:I58)</f>
        <v>1439651583.745878</v>
      </c>
      <c r="J59" s="169"/>
      <c r="K59" s="171">
        <f>SUM(K56:K58)</f>
        <v>1302184520.5618138</v>
      </c>
      <c r="L59" s="171">
        <f>SUM(L56:L58)</f>
        <v>843278274.11855841</v>
      </c>
      <c r="AA59" s="202">
        <f>SUM(AA56:AA58)</f>
        <v>1476727647.5632246</v>
      </c>
      <c r="AC59" s="202">
        <f>SUM(AC56:AC58)</f>
        <v>1482239434.8722401</v>
      </c>
      <c r="AD59" s="202">
        <f>SUM(AD56:AD58)</f>
        <v>1464445795.2089357</v>
      </c>
      <c r="AE59" s="202">
        <f>SUM(AE56:AE58)</f>
        <v>1425867419.9291499</v>
      </c>
      <c r="AF59" s="157"/>
      <c r="AG59" s="202">
        <f>SUM(AG56:AG58)</f>
        <v>1298649856.6631277</v>
      </c>
      <c r="AH59" s="202">
        <f>SUM(AH56:AH58)</f>
        <v>843074111.16764283</v>
      </c>
    </row>
    <row r="60" spans="3:34" s="144" customFormat="1" ht="15" customHeight="1">
      <c r="E60" s="168"/>
      <c r="F60" s="161"/>
      <c r="G60" s="168"/>
      <c r="H60" s="168"/>
      <c r="I60" s="168"/>
      <c r="J60" s="168"/>
      <c r="K60" s="168"/>
      <c r="L60" s="168"/>
    </row>
    <row r="61" spans="3:34" s="144" customFormat="1">
      <c r="C61" s="99" t="s">
        <v>114</v>
      </c>
      <c r="E61" s="162">
        <f>INDEX(FinNetEarn,1)</f>
        <v>619577470.4257586</v>
      </c>
      <c r="F61" s="161"/>
      <c r="G61" s="162">
        <f>INDEX(FinNetEarn,2)</f>
        <v>630649890.12327218</v>
      </c>
      <c r="H61" s="162">
        <f>INDEX(FinNetEarn,3)</f>
        <v>629541849.64010918</v>
      </c>
      <c r="I61" s="162">
        <f>INDEX(FinNetEarn,4)</f>
        <v>612665570.95926905</v>
      </c>
      <c r="J61" s="162"/>
      <c r="K61" s="162">
        <f>INDEX(FinNetEarn,6)</f>
        <v>544818101.46201038</v>
      </c>
      <c r="L61" s="162">
        <f>INDEX(FinNetEarn,11)</f>
        <v>290888079.14495504</v>
      </c>
      <c r="AA61" s="202">
        <f>INDEX(FinBaseNetEarn,1)</f>
        <v>619577470.4257586</v>
      </c>
      <c r="AC61" s="202">
        <f>INDEX(FinBaseNetEarn,2)</f>
        <v>630649890.12327218</v>
      </c>
      <c r="AD61" s="202">
        <f>INDEX(FinBaseNetEarn,3)</f>
        <v>626942184.80559373</v>
      </c>
      <c r="AE61" s="202">
        <f>INDEX(FinBaseNetEarn,4)</f>
        <v>610037111.96784186</v>
      </c>
      <c r="AF61" s="157"/>
      <c r="AG61" s="202">
        <f>INDEX(FinBaseNetEarn,6)</f>
        <v>544349190.7486527</v>
      </c>
      <c r="AH61" s="202">
        <f>INDEX(FinBaseNetEarn,11)</f>
        <v>291092242.09587061</v>
      </c>
    </row>
    <row r="62" spans="3:34" s="144" customFormat="1" ht="15" customHeight="1">
      <c r="C62" s="100"/>
      <c r="E62" s="178">
        <f>INDEX(FinNetEarnBBL,1)</f>
        <v>14.77784567496855</v>
      </c>
      <c r="F62" s="179"/>
      <c r="G62" s="178">
        <f>INDEX(FinNetEarnBBL,2)</f>
        <v>14.923874210131938</v>
      </c>
      <c r="H62" s="178">
        <f>INDEX(FinNetEarnBBL,3)</f>
        <v>14.934532404239409</v>
      </c>
      <c r="I62" s="178">
        <f>INDEX(FinNetEarnBBL,4)</f>
        <v>14.926191343152556</v>
      </c>
      <c r="J62" s="178"/>
      <c r="K62" s="178">
        <f>INDEX(FinNetEarnBBL,6)</f>
        <v>14.74870947570812</v>
      </c>
      <c r="L62" s="178">
        <f>INDEX(FinNetEarnBBL,11)</f>
        <v>12.823871838021711</v>
      </c>
      <c r="AA62" s="203">
        <f>INDEX(FinBaseNetEarnBBL,1)</f>
        <v>14.77784567496855</v>
      </c>
      <c r="AB62" s="155"/>
      <c r="AC62" s="203">
        <f>INDEX(FinBaseNetEarnBBL,2)</f>
        <v>14.923874210131938</v>
      </c>
      <c r="AD62" s="203">
        <f>INDEX(FinBaseNetEarnBBL,3)</f>
        <v>14.988662811412883</v>
      </c>
      <c r="AE62" s="203">
        <f>INDEX(FinBaseNetEarnBBL,4)</f>
        <v>14.981967533601109</v>
      </c>
      <c r="AF62" s="155"/>
      <c r="AG62" s="203">
        <f>INDEX(FinBaseNetEarnBBL,6)</f>
        <v>14.768026915507923</v>
      </c>
      <c r="AH62" s="203">
        <f>INDEX(FinBaseNetEarnBBL,11)</f>
        <v>12.832872411452941</v>
      </c>
    </row>
    <row r="63" spans="3:34" s="144" customFormat="1" ht="15" customHeight="1">
      <c r="E63" s="161"/>
      <c r="F63" s="161"/>
      <c r="G63" s="161"/>
      <c r="H63" s="161"/>
      <c r="I63" s="161"/>
      <c r="J63" s="161"/>
      <c r="K63" s="161"/>
      <c r="L63" s="161"/>
    </row>
    <row r="64" spans="3:34" s="144" customFormat="1">
      <c r="C64" s="153"/>
      <c r="D64" s="153"/>
      <c r="E64" s="168"/>
      <c r="F64" s="172"/>
      <c r="G64" s="168"/>
      <c r="H64" s="168"/>
      <c r="I64" s="168"/>
      <c r="J64" s="172"/>
      <c r="K64" s="168"/>
      <c r="L64" s="168"/>
      <c r="M64" s="153"/>
      <c r="N64" s="153"/>
      <c r="O64" s="153"/>
      <c r="P64" s="153"/>
    </row>
    <row r="65" spans="3:34" s="144" customFormat="1" ht="18" customHeight="1">
      <c r="C65" s="181" t="s">
        <v>331</v>
      </c>
      <c r="D65" s="182"/>
      <c r="E65" s="183"/>
      <c r="F65" s="183"/>
      <c r="G65" s="183"/>
      <c r="H65" s="183"/>
      <c r="I65" s="183"/>
      <c r="J65" s="183"/>
      <c r="K65" s="183"/>
      <c r="L65" s="183"/>
    </row>
    <row r="66" spans="3:34" s="144" customFormat="1">
      <c r="E66" s="161"/>
      <c r="F66" s="161"/>
      <c r="G66" s="161"/>
      <c r="H66" s="161"/>
      <c r="I66" s="161"/>
      <c r="J66" s="161"/>
      <c r="K66" s="161"/>
      <c r="L66" s="161"/>
    </row>
    <row r="67" spans="3:34" s="144" customFormat="1" ht="15" customHeight="1">
      <c r="E67" s="150" t="s">
        <v>165</v>
      </c>
      <c r="G67" s="149" t="s">
        <v>142</v>
      </c>
      <c r="H67" s="149" t="s">
        <v>143</v>
      </c>
      <c r="I67" s="149" t="s">
        <v>144</v>
      </c>
      <c r="K67" s="149" t="s">
        <v>146</v>
      </c>
      <c r="L67" s="149" t="s">
        <v>151</v>
      </c>
    </row>
    <row r="68" spans="3:34" s="144" customFormat="1" ht="15" customHeight="1">
      <c r="E68" s="161"/>
      <c r="F68" s="161"/>
      <c r="G68" s="161"/>
      <c r="H68" s="161"/>
      <c r="I68" s="161"/>
      <c r="J68" s="161"/>
      <c r="K68" s="161"/>
      <c r="L68" s="161"/>
    </row>
    <row r="69" spans="3:34" s="144" customFormat="1" ht="15" customHeight="1">
      <c r="C69" s="213" t="s">
        <v>27</v>
      </c>
      <c r="E69" s="160">
        <f>INDEX(FinRev,1)</f>
        <v>2096305117.9889832</v>
      </c>
      <c r="F69" s="161"/>
      <c r="G69" s="160">
        <f>INDEX(FinRev,2)</f>
        <v>2112889324.9955125</v>
      </c>
      <c r="H69" s="160">
        <f>INDEX(FinRev,3)</f>
        <v>2107671779.0689032</v>
      </c>
      <c r="I69" s="160">
        <f>INDEX(FinRev,4)</f>
        <v>2052317154.705147</v>
      </c>
      <c r="J69" s="160"/>
      <c r="K69" s="160">
        <f>INDEX(FinRev,6)</f>
        <v>1847002622.0238242</v>
      </c>
      <c r="L69" s="160">
        <f>INDEX(FinRev,11)</f>
        <v>1134166353.2635133</v>
      </c>
      <c r="AA69" s="202">
        <f>INDEX(FinBaseRev,1)</f>
        <v>2096305117.9889832</v>
      </c>
      <c r="AC69" s="202">
        <f>INDEX(FinBaseRev,2)</f>
        <v>2112889324.9955125</v>
      </c>
      <c r="AD69" s="202">
        <f>INDEX(FinBaseRev,3)</f>
        <v>2091387980.0145295</v>
      </c>
      <c r="AE69" s="202">
        <f>INDEX(FinBaseRev,4)</f>
        <v>2035904531.8969917</v>
      </c>
      <c r="AF69" s="157"/>
      <c r="AG69" s="202">
        <f>INDEX(FinBaseRev,6)</f>
        <v>1842999047.4117804</v>
      </c>
      <c r="AH69" s="202">
        <f>INDEX(FinBaseRev,11)</f>
        <v>1134166353.2635133</v>
      </c>
    </row>
    <row r="70" spans="3:34" s="144" customFormat="1" ht="15" customHeight="1">
      <c r="C70" s="160"/>
      <c r="E70" s="160"/>
      <c r="F70" s="161"/>
      <c r="G70" s="160"/>
      <c r="H70" s="160"/>
      <c r="I70" s="160"/>
      <c r="J70" s="160"/>
      <c r="K70" s="160"/>
      <c r="L70" s="160"/>
      <c r="AA70" s="202"/>
      <c r="AC70" s="202"/>
      <c r="AD70" s="202"/>
      <c r="AE70" s="202"/>
      <c r="AF70" s="157"/>
      <c r="AG70" s="202"/>
      <c r="AH70" s="202"/>
    </row>
    <row r="71" spans="3:34" s="144" customFormat="1" ht="15" customHeight="1">
      <c r="C71" s="212" t="s">
        <v>326</v>
      </c>
      <c r="E71" s="160">
        <f>INDEX(FinRoyalty,1)</f>
        <v>314445767.69834745</v>
      </c>
      <c r="F71" s="161"/>
      <c r="G71" s="160">
        <f>INDEX(FinRoyalty,2)</f>
        <v>316933398.74932688</v>
      </c>
      <c r="H71" s="160">
        <f>INDEX(FinRoyalty,3)</f>
        <v>316150766.86033547</v>
      </c>
      <c r="I71" s="160">
        <f>INDEX(FinRoyalty,4)</f>
        <v>307847573.20577204</v>
      </c>
      <c r="J71" s="160"/>
      <c r="K71" s="160">
        <f>INDEX(FinRoyalty,6)</f>
        <v>277050393.30357361</v>
      </c>
      <c r="L71" s="160">
        <f>INDEX(FinRoyalty,11)</f>
        <v>170124952.98952699</v>
      </c>
      <c r="AA71" s="202">
        <f>INDEX(FinBaseRoyalty,1)</f>
        <v>314445767.69834745</v>
      </c>
      <c r="AC71" s="202">
        <f>INDEX(FinBaseRoyalty,2)</f>
        <v>316933398.74932688</v>
      </c>
      <c r="AD71" s="202">
        <f>INDEX(FinBaseRoyalty,3)</f>
        <v>313708197.00217938</v>
      </c>
      <c r="AE71" s="202">
        <f>INDEX(FinBaseRoyalty,4)</f>
        <v>305385679.78454876</v>
      </c>
      <c r="AF71" s="157"/>
      <c r="AG71" s="202">
        <f>INDEX(FinBaseRoyalty,6)</f>
        <v>276449857.11176705</v>
      </c>
      <c r="AH71" s="202">
        <f>INDEX(FinBaseRoyalty,11)</f>
        <v>170124952.98952699</v>
      </c>
    </row>
    <row r="72" spans="3:34" s="144" customFormat="1" ht="15" customHeight="1">
      <c r="C72" s="212" t="s">
        <v>103</v>
      </c>
      <c r="E72" s="173">
        <f>INDEX(FinOpEx,1)</f>
        <v>628891535.3966949</v>
      </c>
      <c r="F72" s="161"/>
      <c r="G72" s="173">
        <f>INDEX(FinOpEx,2)</f>
        <v>633866797.49865377</v>
      </c>
      <c r="H72" s="173">
        <f>INDEX(FinOpEx,3)</f>
        <v>637186673.43698323</v>
      </c>
      <c r="I72" s="173">
        <f>INDEX(FinOpEx,4)</f>
        <v>620618933.25399065</v>
      </c>
      <c r="J72" s="173"/>
      <c r="K72" s="173">
        <f>INDEX(FinOpEx,6)</f>
        <v>555301858.99076045</v>
      </c>
      <c r="L72" s="173">
        <f>INDEX(FinOpEx,11)</f>
        <v>340249905.97905403</v>
      </c>
      <c r="AA72" s="204">
        <f>INDEX(FinBaseOpEx,1)</f>
        <v>628891535.3966949</v>
      </c>
      <c r="AC72" s="204">
        <f>INDEX(FinBaseOpEx,2)</f>
        <v>633866797.49865377</v>
      </c>
      <c r="AD72" s="204">
        <f>INDEX(FinBaseOpEx,3)</f>
        <v>627416394.00435889</v>
      </c>
      <c r="AE72" s="204">
        <f>INDEX(FinBaseOpEx,4)</f>
        <v>610771359.56909752</v>
      </c>
      <c r="AF72" s="158"/>
      <c r="AG72" s="204">
        <f>INDEX(FinBaseOpEx,6)</f>
        <v>552899714.22353411</v>
      </c>
      <c r="AH72" s="204">
        <f>INDEX(FinBaseOpEx,11)</f>
        <v>340249905.97905403</v>
      </c>
    </row>
    <row r="73" spans="3:34" s="144" customFormat="1" ht="15" customHeight="1">
      <c r="C73" s="212" t="s">
        <v>327</v>
      </c>
      <c r="E73" s="170">
        <f>INDEX(FinTax,1)</f>
        <v>345890344.46818227</v>
      </c>
      <c r="F73" s="161"/>
      <c r="G73" s="170">
        <f>INDEX(FinTax,2)</f>
        <v>348626738.62425947</v>
      </c>
      <c r="H73" s="170">
        <f>INDEX(FinTax,3)</f>
        <v>346300301.63147533</v>
      </c>
      <c r="I73" s="170">
        <f>INDEX(FinTax,4)</f>
        <v>337155194.47361523</v>
      </c>
      <c r="J73" s="173"/>
      <c r="K73" s="170">
        <f>INDEX(FinTax,6)</f>
        <v>304395110.91884708</v>
      </c>
      <c r="L73" s="170">
        <f>INDEX(FinTax,11)</f>
        <v>187137448.28847972</v>
      </c>
      <c r="AA73" s="202">
        <f>INDEX(FinBaseTax,1)</f>
        <v>345890344.46818227</v>
      </c>
      <c r="AC73" s="202">
        <f>INDEX(FinBaseTax,2)</f>
        <v>348626738.62425947</v>
      </c>
      <c r="AD73" s="202">
        <f>INDEX(FinBaseTax,3)</f>
        <v>345079016.70239729</v>
      </c>
      <c r="AE73" s="202">
        <f>INDEX(FinBaseTax,4)</f>
        <v>335924247.76300365</v>
      </c>
      <c r="AF73" s="158"/>
      <c r="AG73" s="202">
        <f>INDEX(FinBaseTax,6)</f>
        <v>304094842.82294375</v>
      </c>
      <c r="AH73" s="202">
        <f>INDEX(FinBaseTax,11)</f>
        <v>187137448.28847972</v>
      </c>
    </row>
    <row r="74" spans="3:34" s="223" customFormat="1" ht="15" customHeight="1">
      <c r="C74" s="222" t="s">
        <v>328</v>
      </c>
      <c r="E74" s="217">
        <f>INDEX(FinCapExClosing,1)</f>
        <v>0</v>
      </c>
      <c r="F74" s="161"/>
      <c r="G74" s="224">
        <f>INDEX(FinCapExClosing,2)</f>
        <v>10000000</v>
      </c>
      <c r="H74" s="224">
        <f>INDEX(FinCapExClosing,3)</f>
        <v>0</v>
      </c>
      <c r="I74" s="217">
        <f>INDEX(FinCapExClosing,4)</f>
        <v>0</v>
      </c>
      <c r="J74" s="173"/>
      <c r="K74" s="224">
        <f>INDEX(FinCapExClosing,6)</f>
        <v>0</v>
      </c>
      <c r="L74" s="217">
        <f>INDEX(FinCapExClosing,11)</f>
        <v>0</v>
      </c>
      <c r="AA74" s="225">
        <v>0</v>
      </c>
      <c r="AC74" s="225">
        <v>0</v>
      </c>
      <c r="AD74" s="225">
        <v>0</v>
      </c>
      <c r="AE74" s="225">
        <v>0</v>
      </c>
      <c r="AF74" s="226"/>
      <c r="AG74" s="225">
        <v>0</v>
      </c>
      <c r="AH74" s="225">
        <v>0</v>
      </c>
    </row>
    <row r="75" spans="3:34" s="223" customFormat="1" ht="15" customHeight="1">
      <c r="C75" s="222" t="s">
        <v>329</v>
      </c>
      <c r="E75" s="227">
        <f>INDEX(FinCashFlow,1)</f>
        <v>805260023.4257586</v>
      </c>
      <c r="F75" s="161"/>
      <c r="G75" s="228">
        <f>INDEX(FinCashFlow,2)</f>
        <v>801644943.12327218</v>
      </c>
      <c r="H75" s="228">
        <f>INDEX(FinCashFlow,3)</f>
        <v>808605823.14010918</v>
      </c>
      <c r="I75" s="227">
        <f>INDEX(FinCashFlow,4)</f>
        <v>792761713.77176905</v>
      </c>
      <c r="J75" s="161"/>
      <c r="K75" s="228">
        <f>INDEX(FinCashFlow,6)</f>
        <v>723467479.8106432</v>
      </c>
      <c r="L75" s="227">
        <f>INDEX(FinCashFlow,11)</f>
        <v>452828904.00645268</v>
      </c>
      <c r="AA75" s="225">
        <f>INDEX(FinBaseCashFlow,1)</f>
        <v>805260023.4257586</v>
      </c>
      <c r="AC75" s="225">
        <f>INDEX(FinBaseCashFlow,2)</f>
        <v>811644943.12327218</v>
      </c>
      <c r="AD75" s="225">
        <f>INDEX(FinBaseCashFlow,3)</f>
        <v>807540684.30559373</v>
      </c>
      <c r="AE75" s="225">
        <f>INDEX(FinBaseCashFlow,4)</f>
        <v>789903622.78034186</v>
      </c>
      <c r="AF75" s="226"/>
      <c r="AG75" s="225">
        <f>INDEX(FinBaseCashFlow,6)</f>
        <v>721425262.25353551</v>
      </c>
      <c r="AH75" s="225">
        <f>INDEX(FinBaseCashFlow,11)</f>
        <v>452828904.00645268</v>
      </c>
    </row>
    <row r="76" spans="3:34" s="144" customFormat="1" ht="15" customHeight="1">
      <c r="C76" s="223"/>
      <c r="E76" s="178">
        <f>INDEX(FinCashMargin,1)</f>
        <v>19.206651181538319</v>
      </c>
      <c r="F76" s="179"/>
      <c r="G76" s="178">
        <f>INDEX(FinCashMargin,2)</f>
        <v>18.970348651010738</v>
      </c>
      <c r="H76" s="178">
        <f>INDEX(FinCashMargin,3)</f>
        <v>19.182441762761641</v>
      </c>
      <c r="I76" s="178">
        <f>INDEX(FinCashMargin,4)</f>
        <v>19.313820769715871</v>
      </c>
      <c r="J76" s="178"/>
      <c r="K76" s="178">
        <f>INDEX(FinCashMargin,6)</f>
        <v>19.584906680260016</v>
      </c>
      <c r="L76" s="178">
        <f>INDEX(FinCashMargin,11)</f>
        <v>19.963072555602519</v>
      </c>
      <c r="AA76" s="203">
        <f>INDEX(FinBaseCashMargin,1)</f>
        <v>19.206651181538319</v>
      </c>
      <c r="AB76" s="155"/>
      <c r="AC76" s="203">
        <f>INDEX(FinBaseCashMargin,2)</f>
        <v>19.206991429259929</v>
      </c>
      <c r="AD76" s="203">
        <f>INDEX(FinBaseCashMargin,3)</f>
        <v>19.306333688978732</v>
      </c>
      <c r="AE76" s="203">
        <f>INDEX(FinBaseCashMargin,4)</f>
        <v>19.399328662143468</v>
      </c>
      <c r="AF76" s="155"/>
      <c r="AG76" s="203">
        <f>INDEX(FinBaseCashMargin,6)</f>
        <v>19.572046531078531</v>
      </c>
      <c r="AH76" s="203">
        <f>INDEX(FinBaseCashMargin,11)</f>
        <v>19.963072555602519</v>
      </c>
    </row>
    <row r="77" spans="3:34" s="144" customFormat="1">
      <c r="E77" s="175"/>
      <c r="F77" s="161"/>
      <c r="G77" s="175"/>
      <c r="H77" s="175"/>
      <c r="I77" s="175"/>
      <c r="J77" s="173"/>
      <c r="K77" s="175"/>
      <c r="L77" s="175"/>
      <c r="AF77" s="158"/>
    </row>
    <row r="78" spans="3:34" s="144" customFormat="1" ht="15" customHeight="1">
      <c r="C78" s="144" t="s">
        <v>130</v>
      </c>
      <c r="E78" s="170">
        <f>INDEX(FinCapEmpClosing,1)</f>
        <v>7312500000</v>
      </c>
      <c r="F78" s="161"/>
      <c r="G78" s="170">
        <f>INDEX(FinCapEmpClosing,2)</f>
        <v>7139687500</v>
      </c>
      <c r="H78" s="170">
        <f>INDEX(FinCapEmpClosing,3)</f>
        <v>6961195312.5</v>
      </c>
      <c r="I78" s="170">
        <f>INDEX(FinCapEmpClosing,4)</f>
        <v>6787165429.6875</v>
      </c>
      <c r="J78" s="173"/>
      <c r="K78" s="170">
        <f>INDEX(FinCapEmpClosing,6)</f>
        <v>6452049136.5966797</v>
      </c>
      <c r="L78" s="170">
        <f>INDEX(FinCapEmpClosing,11)</f>
        <v>5684872707.5984077</v>
      </c>
      <c r="AA78" s="202">
        <f>INDEX(FinBaseCapEmpClosing,1)</f>
        <v>7312500000</v>
      </c>
      <c r="AC78" s="202">
        <f>INDEX(FinBaseCapEmpClosing,2)</f>
        <v>7129687500</v>
      </c>
      <c r="AD78" s="202">
        <f>INDEX(FinBaseCapEmpClosing,3)</f>
        <v>6951445312.5</v>
      </c>
      <c r="AE78" s="202">
        <f>INDEX(FinBaseCapEmpClosing,4)</f>
        <v>6777659179.6875</v>
      </c>
      <c r="AF78" s="158"/>
      <c r="AG78" s="202">
        <f>INDEX(FinBaseCapEmpClosing,6)</f>
        <v>6443012257.6904297</v>
      </c>
      <c r="AH78" s="202">
        <f>INDEX(FinBaseCapEmpClosing,11)</f>
        <v>5676910352.512701</v>
      </c>
    </row>
    <row r="79" spans="3:34" s="144" customFormat="1" ht="15" customHeight="1">
      <c r="C79" s="99" t="s">
        <v>152</v>
      </c>
      <c r="E79" s="176">
        <f>INDEX(FinROCE,1)</f>
        <v>8.4728542964206302E-2</v>
      </c>
      <c r="F79" s="161"/>
      <c r="G79" s="176">
        <f>INDEX(FinROCE,2)</f>
        <v>8.8330181135136826E-2</v>
      </c>
      <c r="H79" s="176">
        <f>INDEX(FinROCE,3)</f>
        <v>9.043588369222462E-2</v>
      </c>
      <c r="I79" s="176">
        <f>INDEX(FinROCE,4)</f>
        <v>9.0268253707126433E-2</v>
      </c>
      <c r="J79" s="173"/>
      <c r="K79" s="176">
        <f>INDEX(FinROCE,6)</f>
        <v>8.4441096142889957E-2</v>
      </c>
      <c r="L79" s="176">
        <f>INDEX(FinROCE,11)</f>
        <v>5.116879376316618E-2</v>
      </c>
      <c r="AA79" s="205">
        <f>INDEX(FinBaseROCE,1)</f>
        <v>8.4728542964206302E-2</v>
      </c>
      <c r="AC79" s="205">
        <f>INDEX(FinBaseROCE,2)</f>
        <v>8.8454071812161777E-2</v>
      </c>
      <c r="AD79" s="205">
        <f>INDEX(FinBaseROCE,3)</f>
        <v>9.0188753075311448E-2</v>
      </c>
      <c r="AE79" s="205">
        <f>INDEX(FinBaseROCE,4)</f>
        <v>9.0007050486709345E-2</v>
      </c>
      <c r="AF79" s="158"/>
      <c r="AG79" s="205">
        <f>INDEX(FinBaseROCE,6)</f>
        <v>8.4486753862514113E-2</v>
      </c>
      <c r="AH79" s="205">
        <f>INDEX(FinBaseROCE,11)</f>
        <v>5.1276526141905344E-2</v>
      </c>
    </row>
    <row r="80" spans="3:34" s="144" customFormat="1" ht="30" customHeight="1"/>
    <row r="81" spans="4:10" s="143" customFormat="1" ht="15" customHeight="1"/>
    <row r="82" spans="4:10" s="143" customFormat="1" ht="15" customHeight="1"/>
    <row r="83" spans="4:10" ht="21.95" customHeight="1"/>
    <row r="84" spans="4:10" ht="21.95" customHeight="1"/>
    <row r="85" spans="4:10" ht="21.95" customHeight="1"/>
    <row r="86" spans="4:10" ht="14.25">
      <c r="E86" s="229" t="s">
        <v>333</v>
      </c>
    </row>
    <row r="87" spans="4:10" ht="14.25">
      <c r="D87" s="142" t="str">
        <f>IF(tlInput_LMS_FINISHED&gt;0,"true","false")</f>
        <v>false</v>
      </c>
      <c r="E87" t="s">
        <v>334</v>
      </c>
      <c r="I87" s="142">
        <v>0</v>
      </c>
      <c r="J87" s="250" t="s">
        <v>340</v>
      </c>
    </row>
    <row r="88" spans="4:10" ht="14.25">
      <c r="D88" s="142">
        <f>IF(LMS_FINISHED="true",1,0)</f>
        <v>0</v>
      </c>
      <c r="E88" t="s">
        <v>335</v>
      </c>
    </row>
    <row r="89" spans="4:10" ht="14.25">
      <c r="D89" s="230">
        <v>0</v>
      </c>
      <c r="E89" t="s">
        <v>336</v>
      </c>
    </row>
    <row r="90" spans="4:10" ht="14.25">
      <c r="D90" s="230">
        <v>0</v>
      </c>
      <c r="E90" t="s">
        <v>337</v>
      </c>
    </row>
    <row r="91" spans="4:10" ht="14.25">
      <c r="D91" s="230">
        <v>0</v>
      </c>
      <c r="E91" t="s">
        <v>338</v>
      </c>
    </row>
    <row r="92" spans="4:10" ht="14.25">
      <c r="D92" s="142">
        <f>IF(LMS_FINISHED="true",100,0)</f>
        <v>0</v>
      </c>
      <c r="E92" t="s">
        <v>339</v>
      </c>
    </row>
  </sheetData>
  <sheetProtection selectLockedCells="1"/>
  <mergeCells count="10">
    <mergeCell ref="E9:F9"/>
    <mergeCell ref="E7:F7"/>
    <mergeCell ref="E6:F6"/>
    <mergeCell ref="C3:S3"/>
    <mergeCell ref="C1:F2"/>
    <mergeCell ref="E15:F15"/>
    <mergeCell ref="E11:F11"/>
    <mergeCell ref="E13:F13"/>
    <mergeCell ref="E14:F14"/>
    <mergeCell ref="E10:F10"/>
  </mergeCells>
  <conditionalFormatting sqref="G53:I53 E68:L79">
    <cfRule type="expression" dxfId="9" priority="19">
      <formula>E53&lt;AA53</formula>
    </cfRule>
    <cfRule type="expression" dxfId="8" priority="20">
      <formula>E53&gt;AA53</formula>
    </cfRule>
  </conditionalFormatting>
  <conditionalFormatting sqref="K53:L53">
    <cfRule type="expression" dxfId="7" priority="17">
      <formula>K53&lt;AG53</formula>
    </cfRule>
    <cfRule type="expression" dxfId="6" priority="18">
      <formula>K53&gt;AG53</formula>
    </cfRule>
  </conditionalFormatting>
  <conditionalFormatting sqref="E53:L66">
    <cfRule type="expression" dxfId="5" priority="21">
      <formula>E53&lt;AA53</formula>
    </cfRule>
    <cfRule type="expression" dxfId="4" priority="23">
      <formula>E53&gt;AA53</formula>
    </cfRule>
  </conditionalFormatting>
  <conditionalFormatting sqref="E49:L50">
    <cfRule type="expression" dxfId="3" priority="5">
      <formula>E49&lt;AA49</formula>
    </cfRule>
    <cfRule type="expression" dxfId="2" priority="6">
      <formula>E49&gt;AA49</formula>
    </cfRule>
  </conditionalFormatting>
  <conditionalFormatting sqref="C70">
    <cfRule type="expression" dxfId="1" priority="1">
      <formula>C70&lt;Y70</formula>
    </cfRule>
    <cfRule type="expression" dxfId="0" priority="2">
      <formula>C70&gt;Y70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CL40"/>
  <sheetViews>
    <sheetView workbookViewId="0">
      <selection activeCell="E39" sqref="E39"/>
    </sheetView>
  </sheetViews>
  <sheetFormatPr defaultRowHeight="14.25"/>
  <cols>
    <col min="5" max="89" width="13.5" customWidth="1"/>
  </cols>
  <sheetData>
    <row r="1" spans="3:90" s="94" customFormat="1">
      <c r="E1" s="96">
        <v>-0.75</v>
      </c>
      <c r="F1" s="96">
        <f>E1+0.25</f>
        <v>-0.5</v>
      </c>
      <c r="G1" s="96">
        <f>F1+0.25</f>
        <v>-0.25</v>
      </c>
      <c r="H1" s="96">
        <f t="shared" ref="H1:AM1" si="0">G1+0.25</f>
        <v>0</v>
      </c>
      <c r="I1" s="96">
        <f t="shared" si="0"/>
        <v>0.25</v>
      </c>
      <c r="J1" s="96">
        <f t="shared" si="0"/>
        <v>0.5</v>
      </c>
      <c r="K1" s="96">
        <f t="shared" si="0"/>
        <v>0.75</v>
      </c>
      <c r="L1" s="96">
        <f t="shared" si="0"/>
        <v>1</v>
      </c>
      <c r="M1" s="96">
        <f t="shared" si="0"/>
        <v>1.25</v>
      </c>
      <c r="N1" s="96">
        <f t="shared" si="0"/>
        <v>1.5</v>
      </c>
      <c r="O1" s="96">
        <f t="shared" si="0"/>
        <v>1.75</v>
      </c>
      <c r="P1" s="96">
        <f t="shared" si="0"/>
        <v>2</v>
      </c>
      <c r="Q1" s="96">
        <f t="shared" si="0"/>
        <v>2.25</v>
      </c>
      <c r="R1" s="96">
        <f t="shared" si="0"/>
        <v>2.5</v>
      </c>
      <c r="S1" s="96">
        <f t="shared" si="0"/>
        <v>2.75</v>
      </c>
      <c r="T1" s="96">
        <f t="shared" si="0"/>
        <v>3</v>
      </c>
      <c r="U1" s="96">
        <f t="shared" si="0"/>
        <v>3.25</v>
      </c>
      <c r="V1" s="96">
        <f t="shared" si="0"/>
        <v>3.5</v>
      </c>
      <c r="W1" s="96">
        <f t="shared" si="0"/>
        <v>3.75</v>
      </c>
      <c r="X1" s="96">
        <f t="shared" si="0"/>
        <v>4</v>
      </c>
      <c r="Y1" s="96">
        <f t="shared" si="0"/>
        <v>4.25</v>
      </c>
      <c r="Z1" s="96">
        <f t="shared" si="0"/>
        <v>4.5</v>
      </c>
      <c r="AA1" s="96">
        <f t="shared" si="0"/>
        <v>4.75</v>
      </c>
      <c r="AB1" s="96">
        <f t="shared" si="0"/>
        <v>5</v>
      </c>
      <c r="AC1" s="96">
        <f t="shared" si="0"/>
        <v>5.25</v>
      </c>
      <c r="AD1" s="96">
        <f t="shared" si="0"/>
        <v>5.5</v>
      </c>
      <c r="AE1" s="96">
        <f t="shared" si="0"/>
        <v>5.75</v>
      </c>
      <c r="AF1" s="96">
        <f t="shared" si="0"/>
        <v>6</v>
      </c>
      <c r="AG1" s="96">
        <f t="shared" si="0"/>
        <v>6.25</v>
      </c>
      <c r="AH1" s="96">
        <f t="shared" si="0"/>
        <v>6.5</v>
      </c>
      <c r="AI1" s="96">
        <f t="shared" si="0"/>
        <v>6.75</v>
      </c>
      <c r="AJ1" s="96">
        <f t="shared" si="0"/>
        <v>7</v>
      </c>
      <c r="AK1" s="96">
        <f t="shared" si="0"/>
        <v>7.25</v>
      </c>
      <c r="AL1" s="96">
        <f t="shared" si="0"/>
        <v>7.5</v>
      </c>
      <c r="AM1" s="96">
        <f t="shared" si="0"/>
        <v>7.75</v>
      </c>
      <c r="AN1" s="96">
        <f t="shared" ref="AN1:CK1" si="1">AM1+0.25</f>
        <v>8</v>
      </c>
      <c r="AO1" s="96">
        <f t="shared" si="1"/>
        <v>8.25</v>
      </c>
      <c r="AP1" s="96">
        <f t="shared" si="1"/>
        <v>8.5</v>
      </c>
      <c r="AQ1" s="96">
        <f t="shared" si="1"/>
        <v>8.75</v>
      </c>
      <c r="AR1" s="96">
        <f t="shared" si="1"/>
        <v>9</v>
      </c>
      <c r="AS1" s="96">
        <f t="shared" si="1"/>
        <v>9.25</v>
      </c>
      <c r="AT1" s="96">
        <f t="shared" si="1"/>
        <v>9.5</v>
      </c>
      <c r="AU1" s="96">
        <f t="shared" si="1"/>
        <v>9.75</v>
      </c>
      <c r="AV1" s="96">
        <f t="shared" si="1"/>
        <v>10</v>
      </c>
      <c r="AW1" s="96">
        <f t="shared" si="1"/>
        <v>10.25</v>
      </c>
      <c r="AX1" s="96">
        <f t="shared" si="1"/>
        <v>10.5</v>
      </c>
      <c r="AY1" s="96">
        <f t="shared" si="1"/>
        <v>10.75</v>
      </c>
      <c r="AZ1" s="96">
        <f t="shared" si="1"/>
        <v>11</v>
      </c>
      <c r="BA1" s="96">
        <f t="shared" si="1"/>
        <v>11.25</v>
      </c>
      <c r="BB1" s="96">
        <f t="shared" si="1"/>
        <v>11.5</v>
      </c>
      <c r="BC1" s="96">
        <f t="shared" si="1"/>
        <v>11.75</v>
      </c>
      <c r="BD1" s="96">
        <f t="shared" si="1"/>
        <v>12</v>
      </c>
      <c r="BE1" s="96">
        <f t="shared" si="1"/>
        <v>12.25</v>
      </c>
      <c r="BF1" s="96">
        <f t="shared" si="1"/>
        <v>12.5</v>
      </c>
      <c r="BG1" s="96">
        <f t="shared" si="1"/>
        <v>12.75</v>
      </c>
      <c r="BH1" s="96">
        <f t="shared" si="1"/>
        <v>13</v>
      </c>
      <c r="BI1" s="96">
        <f t="shared" si="1"/>
        <v>13.25</v>
      </c>
      <c r="BJ1" s="96">
        <f t="shared" si="1"/>
        <v>13.5</v>
      </c>
      <c r="BK1" s="96">
        <f t="shared" si="1"/>
        <v>13.75</v>
      </c>
      <c r="BL1" s="96">
        <f t="shared" si="1"/>
        <v>14</v>
      </c>
      <c r="BM1" s="96">
        <f t="shared" si="1"/>
        <v>14.25</v>
      </c>
      <c r="BN1" s="96">
        <f t="shared" si="1"/>
        <v>14.5</v>
      </c>
      <c r="BO1" s="96">
        <f t="shared" si="1"/>
        <v>14.75</v>
      </c>
      <c r="BP1" s="96">
        <f t="shared" si="1"/>
        <v>15</v>
      </c>
      <c r="BQ1" s="96">
        <f t="shared" si="1"/>
        <v>15.25</v>
      </c>
      <c r="BR1" s="96">
        <f t="shared" si="1"/>
        <v>15.5</v>
      </c>
      <c r="BS1" s="96">
        <f t="shared" si="1"/>
        <v>15.75</v>
      </c>
      <c r="BT1" s="96">
        <f t="shared" si="1"/>
        <v>16</v>
      </c>
      <c r="BU1" s="96">
        <f t="shared" si="1"/>
        <v>16.25</v>
      </c>
      <c r="BV1" s="96">
        <f t="shared" si="1"/>
        <v>16.5</v>
      </c>
      <c r="BW1" s="96">
        <f t="shared" si="1"/>
        <v>16.75</v>
      </c>
      <c r="BX1" s="96">
        <f t="shared" si="1"/>
        <v>17</v>
      </c>
      <c r="BY1" s="96">
        <f t="shared" si="1"/>
        <v>17.25</v>
      </c>
      <c r="BZ1" s="96">
        <f t="shared" si="1"/>
        <v>17.5</v>
      </c>
      <c r="CA1" s="96">
        <f t="shared" si="1"/>
        <v>17.75</v>
      </c>
      <c r="CB1" s="96">
        <f t="shared" si="1"/>
        <v>18</v>
      </c>
      <c r="CC1" s="96">
        <f t="shared" si="1"/>
        <v>18.25</v>
      </c>
      <c r="CD1" s="96">
        <f t="shared" si="1"/>
        <v>18.5</v>
      </c>
      <c r="CE1" s="96">
        <f t="shared" si="1"/>
        <v>18.75</v>
      </c>
      <c r="CF1" s="96">
        <f t="shared" si="1"/>
        <v>19</v>
      </c>
      <c r="CG1" s="96">
        <f t="shared" si="1"/>
        <v>19.25</v>
      </c>
      <c r="CH1" s="96">
        <f t="shared" si="1"/>
        <v>19.5</v>
      </c>
      <c r="CI1" s="96">
        <f t="shared" si="1"/>
        <v>19.75</v>
      </c>
      <c r="CJ1" s="96">
        <f t="shared" si="1"/>
        <v>20</v>
      </c>
      <c r="CK1" s="96">
        <f t="shared" si="1"/>
        <v>20.25</v>
      </c>
      <c r="CL1" s="94" t="s">
        <v>154</v>
      </c>
    </row>
    <row r="3" spans="3:90">
      <c r="C3" t="s">
        <v>250</v>
      </c>
      <c r="E3" t="b">
        <v>1</v>
      </c>
      <c r="F3" t="s">
        <v>262</v>
      </c>
    </row>
    <row r="4" spans="3:90">
      <c r="C4" t="s">
        <v>261</v>
      </c>
      <c r="E4" t="b">
        <v>1</v>
      </c>
      <c r="F4" t="s">
        <v>263</v>
      </c>
    </row>
    <row r="6" spans="3:90">
      <c r="C6" t="s">
        <v>201</v>
      </c>
      <c r="E6">
        <f>IF(tlInputSched=0,0,tlInputCapEx/tlInputSched/4)</f>
        <v>2.5</v>
      </c>
      <c r="F6" t="s">
        <v>243</v>
      </c>
    </row>
    <row r="8" spans="3:90">
      <c r="C8" t="s">
        <v>269</v>
      </c>
      <c r="E8" s="156">
        <f t="shared" ref="E8:AJ8" si="2">CalcProdBase/MAX(CalcProdBase)</f>
        <v>0.98428329046632912</v>
      </c>
      <c r="F8" s="156">
        <f t="shared" si="2"/>
        <v>0.9898464862262959</v>
      </c>
      <c r="G8" s="156">
        <f t="shared" si="2"/>
        <v>0.99418032067750384</v>
      </c>
      <c r="H8" s="156">
        <f t="shared" si="2"/>
        <v>0.99730306655655498</v>
      </c>
      <c r="I8" s="156">
        <f t="shared" si="2"/>
        <v>0.99923534124800828</v>
      </c>
      <c r="J8" s="156">
        <f t="shared" si="2"/>
        <v>1</v>
      </c>
      <c r="K8" s="156">
        <f t="shared" si="2"/>
        <v>0.99962202380952381</v>
      </c>
      <c r="L8" s="156">
        <f t="shared" si="2"/>
        <v>0.99812840252976165</v>
      </c>
      <c r="M8" s="156">
        <f t="shared" si="2"/>
        <v>0.99554801376185809</v>
      </c>
      <c r="N8" s="156">
        <f t="shared" si="2"/>
        <v>0.99191149810047807</v>
      </c>
      <c r="O8" s="156">
        <f t="shared" si="2"/>
        <v>0.98725113130641362</v>
      </c>
      <c r="P8" s="156">
        <f t="shared" si="2"/>
        <v>0.98160069398042582</v>
      </c>
      <c r="Q8" s="156">
        <f t="shared" si="2"/>
        <v>0.97499533931051585</v>
      </c>
      <c r="R8" s="156">
        <f t="shared" si="2"/>
        <v>0.96747145945996893</v>
      </c>
      <c r="S8" s="156">
        <f t="shared" si="2"/>
        <v>0.95906655115591055</v>
      </c>
      <c r="T8" s="156">
        <f t="shared" si="2"/>
        <v>0.94981908102785328</v>
      </c>
      <c r="U8" s="156">
        <f t="shared" si="2"/>
        <v>0.93976835123293834</v>
      </c>
      <c r="V8" s="156">
        <f t="shared" si="2"/>
        <v>0.92895436588938785</v>
      </c>
      <c r="W8" s="156">
        <f t="shared" si="2"/>
        <v>0.91741769882226609</v>
      </c>
      <c r="X8" s="156">
        <f t="shared" si="2"/>
        <v>0.90519936310613314</v>
      </c>
      <c r="Y8" s="156">
        <f t="shared" si="2"/>
        <v>0.89234068286772361</v>
      </c>
      <c r="Z8" s="156">
        <f t="shared" si="2"/>
        <v>0.87888316778859799</v>
      </c>
      <c r="AA8" s="156">
        <f t="shared" si="2"/>
        <v>0.86486839072293453</v>
      </c>
      <c r="AB8" s="156">
        <f t="shared" si="2"/>
        <v>0.85033786881947493</v>
      </c>
      <c r="AC8" s="156">
        <f t="shared" si="2"/>
        <v>0.83533294850926454</v>
      </c>
      <c r="AD8" s="156">
        <f t="shared" si="2"/>
        <v>0.81989469469245102</v>
      </c>
      <c r="AE8" s="156">
        <f t="shared" si="2"/>
        <v>0.80406378442819759</v>
      </c>
      <c r="AF8" s="156">
        <f t="shared" si="2"/>
        <v>0.78788040540192861</v>
      </c>
      <c r="AG8" s="156">
        <f t="shared" si="2"/>
        <v>0.77138415941382565</v>
      </c>
      <c r="AH8" s="156">
        <f t="shared" si="2"/>
        <v>0.75461397110195394</v>
      </c>
      <c r="AI8" s="156">
        <f t="shared" si="2"/>
        <v>0.73760800208274546</v>
      </c>
      <c r="AJ8" s="156">
        <f t="shared" si="2"/>
        <v>0.72040357066103178</v>
      </c>
      <c r="AK8" s="156">
        <f t="shared" ref="AK8:BP8" si="3">CalcProdBase/MAX(CalcProdBase)</f>
        <v>0.70303707723153019</v>
      </c>
      <c r="AL8" s="156">
        <f t="shared" si="3"/>
        <v>0.68554393546382164</v>
      </c>
      <c r="AM8" s="156">
        <f t="shared" si="3"/>
        <v>0.6679585093335757</v>
      </c>
      <c r="AN8" s="156">
        <f t="shared" si="3"/>
        <v>0.65031405603420767</v>
      </c>
      <c r="AO8" s="156">
        <f t="shared" si="3"/>
        <v>0.63264267477544489</v>
      </c>
      <c r="AP8" s="156">
        <f t="shared" si="3"/>
        <v>0.61497526144853953</v>
      </c>
      <c r="AQ8" s="156">
        <f t="shared" si="3"/>
        <v>0.59734146911224062</v>
      </c>
      <c r="AR8" s="156">
        <f t="shared" si="3"/>
        <v>0.5797696742291889</v>
      </c>
      <c r="AS8" s="156">
        <f t="shared" si="3"/>
        <v>0.56228694855925798</v>
      </c>
      <c r="AT8" s="156">
        <f t="shared" si="3"/>
        <v>0.54491903659458774</v>
      </c>
      <c r="AU8" s="156">
        <f t="shared" si="3"/>
        <v>0.527690338400718</v>
      </c>
      <c r="AV8" s="156">
        <f t="shared" si="3"/>
        <v>0.51062389770940364</v>
      </c>
      <c r="AW8" s="156">
        <f t="shared" si="3"/>
        <v>0.49374139509138659</v>
      </c>
      <c r="AX8" s="156">
        <f t="shared" si="3"/>
        <v>0.47706314602170236</v>
      </c>
      <c r="AY8" s="156">
        <f t="shared" si="3"/>
        <v>0.4606081036359812</v>
      </c>
      <c r="AZ8" s="156">
        <f t="shared" si="3"/>
        <v>0.44439386596371094</v>
      </c>
      <c r="BA8" s="156">
        <f t="shared" si="3"/>
        <v>0.42843668741355567</v>
      </c>
      <c r="BB8" s="156">
        <f t="shared" si="3"/>
        <v>0.412751494276555</v>
      </c>
      <c r="BC8" s="156">
        <f t="shared" si="3"/>
        <v>0.39735190400535603</v>
      </c>
      <c r="BD8" s="156">
        <f t="shared" si="3"/>
        <v>0.3822502480215203</v>
      </c>
      <c r="BE8" s="156">
        <f t="shared" si="3"/>
        <v>0.36745759779836934</v>
      </c>
      <c r="BF8" s="156">
        <f t="shared" si="3"/>
        <v>0.35298379396374108</v>
      </c>
      <c r="BG8" s="156">
        <f t="shared" si="3"/>
        <v>0.33883747816537479</v>
      </c>
      <c r="BH8" s="156">
        <f t="shared" si="3"/>
        <v>0.32502612744136467</v>
      </c>
      <c r="BI8" s="156">
        <f t="shared" si="3"/>
        <v>0.31155609083916841</v>
      </c>
      <c r="BJ8" s="156">
        <f t="shared" si="3"/>
        <v>0.2984326280289416</v>
      </c>
      <c r="BK8" s="156">
        <f t="shared" si="3"/>
        <v>0.28565994966044228</v>
      </c>
      <c r="BL8" s="156">
        <f t="shared" si="3"/>
        <v>0.27324125921730941</v>
      </c>
      <c r="BM8" s="156">
        <f t="shared" si="3"/>
        <v>0.2611787961281119</v>
      </c>
      <c r="BN8" s="156">
        <f t="shared" si="3"/>
        <v>0.24947387990008693</v>
      </c>
      <c r="BO8" s="156">
        <f t="shared" si="3"/>
        <v>0.23812695504886597</v>
      </c>
      <c r="BP8" s="156">
        <f t="shared" si="3"/>
        <v>0.22713763660563865</v>
      </c>
      <c r="BQ8" s="156">
        <f t="shared" ref="BQ8:CK8" si="4">CalcProdBase/MAX(CalcProdBase)</f>
        <v>0.21650475599203722</v>
      </c>
      <c r="BR8" s="156">
        <f t="shared" si="4"/>
        <v>0.20622640706245984</v>
      </c>
      <c r="BS8" s="156">
        <f t="shared" si="4"/>
        <v>0.19629999212349875</v>
      </c>
      <c r="BT8" s="156">
        <f t="shared" si="4"/>
        <v>0.18672226775052159</v>
      </c>
      <c r="BU8" s="156">
        <f t="shared" si="4"/>
        <v>0.17748939023218449</v>
      </c>
      <c r="BV8" s="156">
        <f t="shared" si="4"/>
        <v>0.16859696048465894</v>
      </c>
      <c r="BW8" s="156">
        <f t="shared" si="4"/>
        <v>0.16004006828855133</v>
      </c>
      <c r="BX8" s="156">
        <f t="shared" si="4"/>
        <v>0.15181333571281208</v>
      </c>
      <c r="BY8" s="156">
        <f t="shared" si="4"/>
        <v>0.14391095960129818</v>
      </c>
      <c r="BZ8" s="156">
        <f t="shared" si="4"/>
        <v>0.13632675300900726</v>
      </c>
      <c r="CA8" s="156">
        <f t="shared" si="4"/>
        <v>0.12905418548627104</v>
      </c>
      <c r="CB8" s="156">
        <f t="shared" si="4"/>
        <v>0.12208642212033215</v>
      </c>
      <c r="CC8" s="156">
        <f t="shared" si="4"/>
        <v>0.11541636125466863</v>
      </c>
      <c r="CD8" s="156">
        <f t="shared" si="4"/>
        <v>0.10903667081713042</v>
      </c>
      <c r="CE8" s="156">
        <f t="shared" si="4"/>
        <v>0.10293982319835895</v>
      </c>
      <c r="CF8" s="156">
        <f t="shared" si="4"/>
        <v>9.7118128632043096E-2</v>
      </c>
      <c r="CG8" s="156">
        <f t="shared" si="4"/>
        <v>9.1563767038274693E-2</v>
      </c>
      <c r="CH8" s="156">
        <f t="shared" si="4"/>
        <v>8.6268818300581668E-2</v>
      </c>
      <c r="CI8" s="156">
        <f t="shared" si="4"/>
        <v>8.6999909981095053E-2</v>
      </c>
      <c r="CJ8" s="156">
        <f t="shared" si="4"/>
        <v>8.1907856426319203E-2</v>
      </c>
      <c r="CK8" s="156">
        <f t="shared" si="4"/>
        <v>7.7015568418522168E-2</v>
      </c>
      <c r="CL8" t="s">
        <v>270</v>
      </c>
    </row>
    <row r="9" spans="3:90">
      <c r="C9" t="s">
        <v>271</v>
      </c>
      <c r="E9">
        <f t="shared" ref="E9:AJ9" si="5">MAX(0,CalcRefQuarter-tlInputSched)*4</f>
        <v>0</v>
      </c>
      <c r="F9">
        <f t="shared" si="5"/>
        <v>0</v>
      </c>
      <c r="G9">
        <f t="shared" si="5"/>
        <v>0</v>
      </c>
      <c r="H9">
        <f t="shared" si="5"/>
        <v>0</v>
      </c>
      <c r="I9">
        <f t="shared" si="5"/>
        <v>0</v>
      </c>
      <c r="J9">
        <f t="shared" si="5"/>
        <v>0</v>
      </c>
      <c r="K9">
        <f t="shared" si="5"/>
        <v>0</v>
      </c>
      <c r="L9">
        <f t="shared" si="5"/>
        <v>0</v>
      </c>
      <c r="M9">
        <f t="shared" si="5"/>
        <v>1</v>
      </c>
      <c r="N9">
        <f t="shared" si="5"/>
        <v>2</v>
      </c>
      <c r="O9">
        <f t="shared" si="5"/>
        <v>3</v>
      </c>
      <c r="P9">
        <f t="shared" si="5"/>
        <v>4</v>
      </c>
      <c r="Q9">
        <f t="shared" si="5"/>
        <v>5</v>
      </c>
      <c r="R9">
        <f t="shared" si="5"/>
        <v>6</v>
      </c>
      <c r="S9">
        <f t="shared" si="5"/>
        <v>7</v>
      </c>
      <c r="T9">
        <f t="shared" si="5"/>
        <v>8</v>
      </c>
      <c r="U9">
        <f t="shared" si="5"/>
        <v>9</v>
      </c>
      <c r="V9">
        <f t="shared" si="5"/>
        <v>10</v>
      </c>
      <c r="W9">
        <f t="shared" si="5"/>
        <v>11</v>
      </c>
      <c r="X9">
        <f t="shared" si="5"/>
        <v>12</v>
      </c>
      <c r="Y9">
        <f t="shared" si="5"/>
        <v>13</v>
      </c>
      <c r="Z9">
        <f t="shared" si="5"/>
        <v>14</v>
      </c>
      <c r="AA9">
        <f t="shared" si="5"/>
        <v>15</v>
      </c>
      <c r="AB9">
        <f t="shared" si="5"/>
        <v>16</v>
      </c>
      <c r="AC9">
        <f t="shared" si="5"/>
        <v>17</v>
      </c>
      <c r="AD9">
        <f t="shared" si="5"/>
        <v>18</v>
      </c>
      <c r="AE9">
        <f t="shared" si="5"/>
        <v>19</v>
      </c>
      <c r="AF9">
        <f t="shared" si="5"/>
        <v>20</v>
      </c>
      <c r="AG9">
        <f t="shared" si="5"/>
        <v>21</v>
      </c>
      <c r="AH9">
        <f t="shared" si="5"/>
        <v>22</v>
      </c>
      <c r="AI9">
        <f t="shared" si="5"/>
        <v>23</v>
      </c>
      <c r="AJ9">
        <f t="shared" si="5"/>
        <v>24</v>
      </c>
      <c r="AK9">
        <f t="shared" ref="AK9:BP9" si="6">MAX(0,CalcRefQuarter-tlInputSched)*4</f>
        <v>25</v>
      </c>
      <c r="AL9">
        <f t="shared" si="6"/>
        <v>26</v>
      </c>
      <c r="AM9">
        <f t="shared" si="6"/>
        <v>27</v>
      </c>
      <c r="AN9">
        <f t="shared" si="6"/>
        <v>28</v>
      </c>
      <c r="AO9">
        <f t="shared" si="6"/>
        <v>29</v>
      </c>
      <c r="AP9">
        <f t="shared" si="6"/>
        <v>30</v>
      </c>
      <c r="AQ9">
        <f t="shared" si="6"/>
        <v>31</v>
      </c>
      <c r="AR9">
        <f t="shared" si="6"/>
        <v>32</v>
      </c>
      <c r="AS9">
        <f t="shared" si="6"/>
        <v>33</v>
      </c>
      <c r="AT9">
        <f t="shared" si="6"/>
        <v>34</v>
      </c>
      <c r="AU9">
        <f t="shared" si="6"/>
        <v>35</v>
      </c>
      <c r="AV9">
        <f t="shared" si="6"/>
        <v>36</v>
      </c>
      <c r="AW9">
        <f t="shared" si="6"/>
        <v>37</v>
      </c>
      <c r="AX9">
        <f t="shared" si="6"/>
        <v>38</v>
      </c>
      <c r="AY9">
        <f t="shared" si="6"/>
        <v>39</v>
      </c>
      <c r="AZ9">
        <f t="shared" si="6"/>
        <v>40</v>
      </c>
      <c r="BA9">
        <f t="shared" si="6"/>
        <v>41</v>
      </c>
      <c r="BB9">
        <f t="shared" si="6"/>
        <v>42</v>
      </c>
      <c r="BC9">
        <f t="shared" si="6"/>
        <v>43</v>
      </c>
      <c r="BD9">
        <f t="shared" si="6"/>
        <v>44</v>
      </c>
      <c r="BE9">
        <f t="shared" si="6"/>
        <v>45</v>
      </c>
      <c r="BF9">
        <f t="shared" si="6"/>
        <v>46</v>
      </c>
      <c r="BG9">
        <f t="shared" si="6"/>
        <v>47</v>
      </c>
      <c r="BH9">
        <f t="shared" si="6"/>
        <v>48</v>
      </c>
      <c r="BI9">
        <f t="shared" si="6"/>
        <v>49</v>
      </c>
      <c r="BJ9">
        <f t="shared" si="6"/>
        <v>50</v>
      </c>
      <c r="BK9">
        <f t="shared" si="6"/>
        <v>51</v>
      </c>
      <c r="BL9">
        <f t="shared" si="6"/>
        <v>52</v>
      </c>
      <c r="BM9">
        <f t="shared" si="6"/>
        <v>53</v>
      </c>
      <c r="BN9">
        <f t="shared" si="6"/>
        <v>54</v>
      </c>
      <c r="BO9">
        <f t="shared" si="6"/>
        <v>55</v>
      </c>
      <c r="BP9">
        <f t="shared" si="6"/>
        <v>56</v>
      </c>
      <c r="BQ9">
        <f t="shared" ref="BQ9:CK9" si="7">MAX(0,CalcRefQuarter-tlInputSched)*4</f>
        <v>57</v>
      </c>
      <c r="BR9">
        <f t="shared" si="7"/>
        <v>58</v>
      </c>
      <c r="BS9">
        <f t="shared" si="7"/>
        <v>59</v>
      </c>
      <c r="BT9">
        <f t="shared" si="7"/>
        <v>60</v>
      </c>
      <c r="BU9">
        <f t="shared" si="7"/>
        <v>61</v>
      </c>
      <c r="BV9">
        <f t="shared" si="7"/>
        <v>62</v>
      </c>
      <c r="BW9">
        <f t="shared" si="7"/>
        <v>63</v>
      </c>
      <c r="BX9">
        <f t="shared" si="7"/>
        <v>64</v>
      </c>
      <c r="BY9">
        <f t="shared" si="7"/>
        <v>65</v>
      </c>
      <c r="BZ9">
        <f t="shared" si="7"/>
        <v>66</v>
      </c>
      <c r="CA9">
        <f t="shared" si="7"/>
        <v>67</v>
      </c>
      <c r="CB9">
        <f t="shared" si="7"/>
        <v>68</v>
      </c>
      <c r="CC9">
        <f t="shared" si="7"/>
        <v>69</v>
      </c>
      <c r="CD9">
        <f t="shared" si="7"/>
        <v>70</v>
      </c>
      <c r="CE9">
        <f t="shared" si="7"/>
        <v>71</v>
      </c>
      <c r="CF9">
        <f t="shared" si="7"/>
        <v>72</v>
      </c>
      <c r="CG9">
        <f t="shared" si="7"/>
        <v>73</v>
      </c>
      <c r="CH9">
        <f t="shared" si="7"/>
        <v>74</v>
      </c>
      <c r="CI9">
        <f t="shared" si="7"/>
        <v>75</v>
      </c>
      <c r="CJ9">
        <f t="shared" si="7"/>
        <v>76</v>
      </c>
      <c r="CK9">
        <f t="shared" si="7"/>
        <v>77</v>
      </c>
      <c r="CL9" t="s">
        <v>272</v>
      </c>
    </row>
    <row r="11" spans="3:90">
      <c r="C11" t="s">
        <v>104</v>
      </c>
      <c r="E11" s="97">
        <v>500000000</v>
      </c>
      <c r="F11" s="97">
        <f>E15</f>
        <v>489593750</v>
      </c>
      <c r="G11" s="97">
        <f t="shared" ref="G11:BR11" si="8">F15</f>
        <v>479128683.59375</v>
      </c>
      <c r="H11" s="97">
        <f t="shared" si="8"/>
        <v>468617798.09741211</v>
      </c>
      <c r="I11" s="97">
        <f t="shared" si="8"/>
        <v>458073897.64022034</v>
      </c>
      <c r="J11" s="97">
        <f t="shared" si="8"/>
        <v>447509568.37589276</v>
      </c>
      <c r="K11" s="97">
        <f t="shared" si="8"/>
        <v>436937154.82301229</v>
      </c>
      <c r="L11" s="97">
        <f t="shared" si="8"/>
        <v>426368737.39073068</v>
      </c>
      <c r="M11" s="97">
        <f t="shared" si="8"/>
        <v>416816111.14031011</v>
      </c>
      <c r="N11" s="97">
        <f t="shared" si="8"/>
        <v>406209931.56184149</v>
      </c>
      <c r="O11" s="97">
        <f t="shared" si="8"/>
        <v>395641741.85338467</v>
      </c>
      <c r="P11" s="97">
        <f t="shared" si="8"/>
        <v>385122467.55382854</v>
      </c>
      <c r="Q11" s="97">
        <f t="shared" si="8"/>
        <v>374662675.55893207</v>
      </c>
      <c r="R11" s="97">
        <f t="shared" si="8"/>
        <v>364272559.41721028</v>
      </c>
      <c r="S11" s="97">
        <f t="shared" si="8"/>
        <v>353961926.04719067</v>
      </c>
      <c r="T11" s="97">
        <f t="shared" si="8"/>
        <v>343740183.88493025</v>
      </c>
      <c r="U11" s="97">
        <f t="shared" si="8"/>
        <v>333616332.46482915</v>
      </c>
      <c r="V11" s="97">
        <f t="shared" si="8"/>
        <v>323598953.43105572</v>
      </c>
      <c r="W11" s="97">
        <f t="shared" si="8"/>
        <v>313696202.9713378</v>
      </c>
      <c r="X11" s="97">
        <f t="shared" si="8"/>
        <v>303915805.65949833</v>
      </c>
      <c r="Y11" s="97">
        <f t="shared" si="8"/>
        <v>294265049.68794316</v>
      </c>
      <c r="Z11" s="97">
        <f t="shared" si="8"/>
        <v>284750783.46636498</v>
      </c>
      <c r="AA11" s="97">
        <f t="shared" si="8"/>
        <v>275458867.1518383</v>
      </c>
      <c r="AB11" s="97">
        <f t="shared" si="8"/>
        <v>266315120.85630122</v>
      </c>
      <c r="AC11" s="97">
        <f t="shared" si="8"/>
        <v>257324997.24746671</v>
      </c>
      <c r="AD11" s="97">
        <f t="shared" si="8"/>
        <v>248493511.86147976</v>
      </c>
      <c r="AE11" s="97">
        <f t="shared" si="8"/>
        <v>239825246.07937849</v>
      </c>
      <c r="AF11" s="97">
        <f t="shared" si="8"/>
        <v>231324351.22750944</v>
      </c>
      <c r="AG11" s="97">
        <f t="shared" si="8"/>
        <v>222994553.75138915</v>
      </c>
      <c r="AH11" s="97">
        <f t="shared" si="8"/>
        <v>214839161.4099251</v>
      </c>
      <c r="AI11" s="97">
        <f t="shared" si="8"/>
        <v>206861070.43465385</v>
      </c>
      <c r="AJ11" s="97">
        <f t="shared" si="8"/>
        <v>199062773.59672114</v>
      </c>
      <c r="AK11" s="97">
        <f t="shared" si="8"/>
        <v>191446369.12272096</v>
      </c>
      <c r="AL11" s="97">
        <f t="shared" si="8"/>
        <v>184013570.39922085</v>
      </c>
      <c r="AM11" s="97">
        <f t="shared" si="8"/>
        <v>176765716.40482813</v>
      </c>
      <c r="AN11" s="97">
        <f t="shared" si="8"/>
        <v>169703782.80798799</v>
      </c>
      <c r="AO11" s="97">
        <f t="shared" si="8"/>
        <v>162828393.66834328</v>
      </c>
      <c r="AP11" s="97">
        <f t="shared" si="8"/>
        <v>156139833.67941681</v>
      </c>
      <c r="AQ11" s="97">
        <f t="shared" si="8"/>
        <v>149638060.89059207</v>
      </c>
      <c r="AR11" s="97">
        <f t="shared" si="8"/>
        <v>143322719.84685227</v>
      </c>
      <c r="AS11" s="97">
        <f t="shared" si="8"/>
        <v>137193155.08548251</v>
      </c>
      <c r="AT11" s="97">
        <f t="shared" si="8"/>
        <v>131248424.92992681</v>
      </c>
      <c r="AU11" s="97">
        <f t="shared" si="8"/>
        <v>125487315.52221163</v>
      </c>
      <c r="AV11" s="97">
        <f t="shared" si="8"/>
        <v>119908355.03677979</v>
      </c>
      <c r="AW11" s="97">
        <f t="shared" si="8"/>
        <v>114509828.02021225</v>
      </c>
      <c r="AX11" s="97">
        <f t="shared" si="8"/>
        <v>109289789.80312996</v>
      </c>
      <c r="AY11" s="97">
        <f t="shared" si="8"/>
        <v>104246080.93255031</v>
      </c>
      <c r="AZ11" s="97">
        <f t="shared" si="8"/>
        <v>99376341.575102687</v>
      </c>
      <c r="BA11" s="97">
        <f t="shared" si="8"/>
        <v>94678025.843771011</v>
      </c>
      <c r="BB11" s="97">
        <f t="shared" si="8"/>
        <v>90148416.003208727</v>
      </c>
      <c r="BC11" s="97">
        <f t="shared" si="8"/>
        <v>85784636.511147618</v>
      </c>
      <c r="BD11" s="97">
        <f t="shared" si="8"/>
        <v>81583667.855978534</v>
      </c>
      <c r="BE11" s="97">
        <f t="shared" si="8"/>
        <v>77542360.15320389</v>
      </c>
      <c r="BF11" s="97">
        <f t="shared" si="8"/>
        <v>73657446.466131508</v>
      </c>
      <c r="BG11" s="97">
        <f t="shared" si="8"/>
        <v>69925555.818882078</v>
      </c>
      <c r="BH11" s="97">
        <f t="shared" si="8"/>
        <v>66343225.872502632</v>
      </c>
      <c r="BI11" s="97">
        <f t="shared" si="8"/>
        <v>62906915.237701297</v>
      </c>
      <c r="BJ11" s="97">
        <f t="shared" si="8"/>
        <v>59613015.400430813</v>
      </c>
      <c r="BK11" s="97">
        <f t="shared" si="8"/>
        <v>56457862.239235893</v>
      </c>
      <c r="BL11" s="97">
        <f t="shared" si="8"/>
        <v>53437747.115930684</v>
      </c>
      <c r="BM11" s="97">
        <f t="shared" si="8"/>
        <v>50548927.523775473</v>
      </c>
      <c r="BN11" s="97">
        <f t="shared" si="8"/>
        <v>47787637.279865615</v>
      </c>
      <c r="BO11" s="97">
        <f t="shared" si="8"/>
        <v>45150096.250920258</v>
      </c>
      <c r="BP11" s="97">
        <f t="shared" si="8"/>
        <v>42632519.604055472</v>
      </c>
      <c r="BQ11" s="97">
        <f t="shared" si="8"/>
        <v>40231126.57643678</v>
      </c>
      <c r="BR11" s="97">
        <f t="shared" si="8"/>
        <v>37942148.759923488</v>
      </c>
      <c r="BS11" s="97">
        <f t="shared" ref="BS11:CK11" si="9">BR15</f>
        <v>35761837.898934491</v>
      </c>
      <c r="BT11" s="97">
        <f t="shared" si="9"/>
        <v>33686473.201777682</v>
      </c>
      <c r="BU11" s="97">
        <f t="shared" si="9"/>
        <v>31712368.167587493</v>
      </c>
      <c r="BV11" s="97">
        <f t="shared" si="9"/>
        <v>29835876.932804257</v>
      </c>
      <c r="BW11" s="97">
        <f t="shared" si="9"/>
        <v>28053400.142801795</v>
      </c>
      <c r="BX11" s="97">
        <f t="shared" si="9"/>
        <v>26361390.355824001</v>
      </c>
      <c r="BY11" s="97">
        <f t="shared" si="9"/>
        <v>24756356.987825874</v>
      </c>
      <c r="BZ11" s="97">
        <f t="shared" si="9"/>
        <v>23234870.808129076</v>
      </c>
      <c r="CA11" s="97">
        <f t="shared" si="9"/>
        <v>21793567.996996459</v>
      </c>
      <c r="CB11" s="97">
        <f t="shared" si="9"/>
        <v>20429153.777305458</v>
      </c>
      <c r="CC11" s="97">
        <f t="shared" si="9"/>
        <v>19138405.633457772</v>
      </c>
      <c r="CD11" s="97">
        <f t="shared" si="9"/>
        <v>17918176.131504767</v>
      </c>
      <c r="CE11" s="97">
        <f t="shared" si="9"/>
        <v>16765395.35519677</v>
      </c>
      <c r="CF11" s="97">
        <f t="shared" si="9"/>
        <v>15677072.973283321</v>
      </c>
      <c r="CG11" s="97">
        <f t="shared" si="9"/>
        <v>14650299.95390352</v>
      </c>
      <c r="CH11" s="97">
        <f t="shared" si="9"/>
        <v>13682249.942315275</v>
      </c>
      <c r="CI11" s="97">
        <f>CG15</f>
        <v>13682249.942315275</v>
      </c>
      <c r="CJ11" s="97">
        <f>CH15</f>
        <v>12770180.318523223</v>
      </c>
      <c r="CK11" s="97">
        <f t="shared" si="9"/>
        <v>11904216.587154217</v>
      </c>
      <c r="CL11" t="s">
        <v>122</v>
      </c>
    </row>
    <row r="12" spans="3:90">
      <c r="C12" t="s">
        <v>105</v>
      </c>
      <c r="E12">
        <f t="shared" ref="E12:AJ12" si="10">IF(CalcRefQuarter=tlInputSched,tlInputRes*1000000,0)</f>
        <v>0</v>
      </c>
      <c r="F12">
        <f t="shared" si="10"/>
        <v>0</v>
      </c>
      <c r="G12">
        <f t="shared" si="10"/>
        <v>0</v>
      </c>
      <c r="H12">
        <f t="shared" si="10"/>
        <v>0</v>
      </c>
      <c r="I12">
        <f t="shared" si="10"/>
        <v>0</v>
      </c>
      <c r="J12">
        <f t="shared" si="10"/>
        <v>0</v>
      </c>
      <c r="K12">
        <f t="shared" si="10"/>
        <v>0</v>
      </c>
      <c r="L12">
        <f t="shared" si="10"/>
        <v>1000000</v>
      </c>
      <c r="M12">
        <f t="shared" si="10"/>
        <v>0</v>
      </c>
      <c r="N12">
        <f t="shared" si="10"/>
        <v>0</v>
      </c>
      <c r="O12">
        <f t="shared" si="10"/>
        <v>0</v>
      </c>
      <c r="P12">
        <f t="shared" si="10"/>
        <v>0</v>
      </c>
      <c r="Q12">
        <f t="shared" si="10"/>
        <v>0</v>
      </c>
      <c r="R12">
        <f t="shared" si="10"/>
        <v>0</v>
      </c>
      <c r="S12">
        <f t="shared" si="10"/>
        <v>0</v>
      </c>
      <c r="T12">
        <f t="shared" si="10"/>
        <v>0</v>
      </c>
      <c r="U12">
        <f t="shared" si="10"/>
        <v>0</v>
      </c>
      <c r="V12">
        <f t="shared" si="10"/>
        <v>0</v>
      </c>
      <c r="W12">
        <f t="shared" si="10"/>
        <v>0</v>
      </c>
      <c r="X12">
        <f t="shared" si="10"/>
        <v>0</v>
      </c>
      <c r="Y12">
        <f t="shared" si="10"/>
        <v>0</v>
      </c>
      <c r="Z12">
        <f t="shared" si="10"/>
        <v>0</v>
      </c>
      <c r="AA12">
        <f t="shared" si="10"/>
        <v>0</v>
      </c>
      <c r="AB12">
        <f t="shared" si="10"/>
        <v>0</v>
      </c>
      <c r="AC12">
        <f t="shared" si="10"/>
        <v>0</v>
      </c>
      <c r="AD12">
        <f t="shared" si="10"/>
        <v>0</v>
      </c>
      <c r="AE12">
        <f t="shared" si="10"/>
        <v>0</v>
      </c>
      <c r="AF12">
        <f t="shared" si="10"/>
        <v>0</v>
      </c>
      <c r="AG12">
        <f t="shared" si="10"/>
        <v>0</v>
      </c>
      <c r="AH12">
        <f t="shared" si="10"/>
        <v>0</v>
      </c>
      <c r="AI12">
        <f t="shared" si="10"/>
        <v>0</v>
      </c>
      <c r="AJ12">
        <f t="shared" si="10"/>
        <v>0</v>
      </c>
      <c r="AK12">
        <f t="shared" ref="AK12:BP12" si="11">IF(CalcRefQuarter=tlInputSched,tlInputRes*1000000,0)</f>
        <v>0</v>
      </c>
      <c r="AL12">
        <f t="shared" si="11"/>
        <v>0</v>
      </c>
      <c r="AM12">
        <f t="shared" si="11"/>
        <v>0</v>
      </c>
      <c r="AN12">
        <f t="shared" si="11"/>
        <v>0</v>
      </c>
      <c r="AO12">
        <f t="shared" si="11"/>
        <v>0</v>
      </c>
      <c r="AP12">
        <f t="shared" si="11"/>
        <v>0</v>
      </c>
      <c r="AQ12">
        <f t="shared" si="11"/>
        <v>0</v>
      </c>
      <c r="AR12">
        <f t="shared" si="11"/>
        <v>0</v>
      </c>
      <c r="AS12">
        <f t="shared" si="11"/>
        <v>0</v>
      </c>
      <c r="AT12">
        <f t="shared" si="11"/>
        <v>0</v>
      </c>
      <c r="AU12">
        <f t="shared" si="11"/>
        <v>0</v>
      </c>
      <c r="AV12">
        <f t="shared" si="11"/>
        <v>0</v>
      </c>
      <c r="AW12">
        <f t="shared" si="11"/>
        <v>0</v>
      </c>
      <c r="AX12">
        <f t="shared" si="11"/>
        <v>0</v>
      </c>
      <c r="AY12">
        <f t="shared" si="11"/>
        <v>0</v>
      </c>
      <c r="AZ12">
        <f t="shared" si="11"/>
        <v>0</v>
      </c>
      <c r="BA12">
        <f t="shared" si="11"/>
        <v>0</v>
      </c>
      <c r="BB12">
        <f t="shared" si="11"/>
        <v>0</v>
      </c>
      <c r="BC12">
        <f t="shared" si="11"/>
        <v>0</v>
      </c>
      <c r="BD12">
        <f t="shared" si="11"/>
        <v>0</v>
      </c>
      <c r="BE12">
        <f t="shared" si="11"/>
        <v>0</v>
      </c>
      <c r="BF12">
        <f t="shared" si="11"/>
        <v>0</v>
      </c>
      <c r="BG12">
        <f t="shared" si="11"/>
        <v>0</v>
      </c>
      <c r="BH12">
        <f t="shared" si="11"/>
        <v>0</v>
      </c>
      <c r="BI12">
        <f t="shared" si="11"/>
        <v>0</v>
      </c>
      <c r="BJ12">
        <f t="shared" si="11"/>
        <v>0</v>
      </c>
      <c r="BK12">
        <f t="shared" si="11"/>
        <v>0</v>
      </c>
      <c r="BL12">
        <f t="shared" si="11"/>
        <v>0</v>
      </c>
      <c r="BM12">
        <f t="shared" si="11"/>
        <v>0</v>
      </c>
      <c r="BN12">
        <f t="shared" si="11"/>
        <v>0</v>
      </c>
      <c r="BO12">
        <f t="shared" si="11"/>
        <v>0</v>
      </c>
      <c r="BP12">
        <f t="shared" si="11"/>
        <v>0</v>
      </c>
      <c r="BQ12">
        <f t="shared" ref="BQ12:CK12" si="12">IF(CalcRefQuarter=tlInputSched,tlInputRes*1000000,0)</f>
        <v>0</v>
      </c>
      <c r="BR12">
        <f t="shared" si="12"/>
        <v>0</v>
      </c>
      <c r="BS12">
        <f t="shared" si="12"/>
        <v>0</v>
      </c>
      <c r="BT12">
        <f t="shared" si="12"/>
        <v>0</v>
      </c>
      <c r="BU12">
        <f t="shared" si="12"/>
        <v>0</v>
      </c>
      <c r="BV12">
        <f t="shared" si="12"/>
        <v>0</v>
      </c>
      <c r="BW12">
        <f t="shared" si="12"/>
        <v>0</v>
      </c>
      <c r="BX12">
        <f t="shared" si="12"/>
        <v>0</v>
      </c>
      <c r="BY12">
        <f t="shared" si="12"/>
        <v>0</v>
      </c>
      <c r="BZ12">
        <f t="shared" si="12"/>
        <v>0</v>
      </c>
      <c r="CA12">
        <f t="shared" si="12"/>
        <v>0</v>
      </c>
      <c r="CB12">
        <f t="shared" si="12"/>
        <v>0</v>
      </c>
      <c r="CC12">
        <f t="shared" si="12"/>
        <v>0</v>
      </c>
      <c r="CD12">
        <f t="shared" si="12"/>
        <v>0</v>
      </c>
      <c r="CE12">
        <f t="shared" si="12"/>
        <v>0</v>
      </c>
      <c r="CF12">
        <f t="shared" si="12"/>
        <v>0</v>
      </c>
      <c r="CG12">
        <f t="shared" si="12"/>
        <v>0</v>
      </c>
      <c r="CH12">
        <f t="shared" si="12"/>
        <v>0</v>
      </c>
      <c r="CI12">
        <f t="shared" si="12"/>
        <v>0</v>
      </c>
      <c r="CJ12">
        <f t="shared" si="12"/>
        <v>0</v>
      </c>
      <c r="CK12">
        <f t="shared" si="12"/>
        <v>0</v>
      </c>
      <c r="CL12" t="s">
        <v>123</v>
      </c>
    </row>
    <row r="13" spans="3:90">
      <c r="C13" t="s">
        <v>107</v>
      </c>
      <c r="E13" s="97">
        <f>-E26</f>
        <v>-10406250</v>
      </c>
      <c r="F13" s="97">
        <f t="shared" ref="F13:BQ13" si="13">-F26</f>
        <v>-10465066.40625</v>
      </c>
      <c r="G13" s="97">
        <f t="shared" si="13"/>
        <v>-10510885.496337891</v>
      </c>
      <c r="H13" s="97">
        <f t="shared" si="13"/>
        <v>-10543900.457191773</v>
      </c>
      <c r="I13" s="97">
        <f t="shared" si="13"/>
        <v>-10564329.264327582</v>
      </c>
      <c r="J13" s="97">
        <f t="shared" si="13"/>
        <v>-10572413.552880468</v>
      </c>
      <c r="K13" s="97">
        <f t="shared" si="13"/>
        <v>-10568417.432281611</v>
      </c>
      <c r="L13" s="97">
        <f t="shared" si="13"/>
        <v>-10552626.250420583</v>
      </c>
      <c r="M13" s="97">
        <f t="shared" si="13"/>
        <v>-10606179.578468647</v>
      </c>
      <c r="N13" s="97">
        <f t="shared" si="13"/>
        <v>-10568189.708456798</v>
      </c>
      <c r="O13" s="97">
        <f t="shared" si="13"/>
        <v>-10519274.299556142</v>
      </c>
      <c r="P13" s="97">
        <f t="shared" si="13"/>
        <v>-10459791.994896485</v>
      </c>
      <c r="Q13" s="97">
        <f t="shared" si="13"/>
        <v>-10390116.141721781</v>
      </c>
      <c r="R13" s="97">
        <f t="shared" si="13"/>
        <v>-10310633.370019622</v>
      </c>
      <c r="S13" s="97">
        <f t="shared" si="13"/>
        <v>-10221742.162260434</v>
      </c>
      <c r="T13" s="97">
        <f t="shared" si="13"/>
        <v>-10123851.420101104</v>
      </c>
      <c r="U13" s="97">
        <f t="shared" si="13"/>
        <v>-10017379.033773443</v>
      </c>
      <c r="V13" s="97">
        <f t="shared" si="13"/>
        <v>-9902750.4597179461</v>
      </c>
      <c r="W13" s="97">
        <f t="shared" si="13"/>
        <v>-9780397.3118394762</v>
      </c>
      <c r="X13" s="97">
        <f t="shared" si="13"/>
        <v>-9650755.971555192</v>
      </c>
      <c r="Y13" s="97">
        <f t="shared" si="13"/>
        <v>-9514266.2215782087</v>
      </c>
      <c r="Z13" s="97">
        <f t="shared" si="13"/>
        <v>-9291916.314526692</v>
      </c>
      <c r="AA13" s="97">
        <f t="shared" si="13"/>
        <v>-9143746.2955370732</v>
      </c>
      <c r="AB13" s="97">
        <f t="shared" si="13"/>
        <v>-8990123.6088345107</v>
      </c>
      <c r="AC13" s="97">
        <f t="shared" si="13"/>
        <v>-8831485.3859869502</v>
      </c>
      <c r="AD13" s="97">
        <f t="shared" si="13"/>
        <v>-8668265.7821012624</v>
      </c>
      <c r="AE13" s="97">
        <f t="shared" si="13"/>
        <v>-8500894.8518690355</v>
      </c>
      <c r="AF13" s="97">
        <f t="shared" si="13"/>
        <v>-8329797.4761203071</v>
      </c>
      <c r="AG13" s="97">
        <f t="shared" si="13"/>
        <v>-8155392.341464038</v>
      </c>
      <c r="AH13" s="97">
        <f t="shared" si="13"/>
        <v>-7978090.9752712473</v>
      </c>
      <c r="AI13" s="97">
        <f t="shared" si="13"/>
        <v>-7798296.8379327022</v>
      </c>
      <c r="AJ13" s="97">
        <f t="shared" si="13"/>
        <v>-7616404.4740001746</v>
      </c>
      <c r="AK13" s="97">
        <f t="shared" si="13"/>
        <v>-7432798.7235001018</v>
      </c>
      <c r="AL13" s="97">
        <f t="shared" si="13"/>
        <v>-7247853.994392721</v>
      </c>
      <c r="AM13" s="97">
        <f t="shared" si="13"/>
        <v>-7061933.5968401302</v>
      </c>
      <c r="AN13" s="97">
        <f t="shared" si="13"/>
        <v>-6875389.1396447252</v>
      </c>
      <c r="AO13" s="97">
        <f t="shared" si="13"/>
        <v>-6688559.9889264638</v>
      </c>
      <c r="AP13" s="97">
        <f t="shared" si="13"/>
        <v>-6501772.7888247482</v>
      </c>
      <c r="AQ13" s="97">
        <f t="shared" si="13"/>
        <v>-6315341.0437397817</v>
      </c>
      <c r="AR13" s="97">
        <f t="shared" si="13"/>
        <v>-6129564.7613697704</v>
      </c>
      <c r="AS13" s="97">
        <f t="shared" si="13"/>
        <v>-5944730.1555557018</v>
      </c>
      <c r="AT13" s="97">
        <f t="shared" si="13"/>
        <v>-5761109.4077151865</v>
      </c>
      <c r="AU13" s="97">
        <f t="shared" si="13"/>
        <v>-5578960.4854318313</v>
      </c>
      <c r="AV13" s="97">
        <f t="shared" si="13"/>
        <v>-5398527.0165675487</v>
      </c>
      <c r="AW13" s="97">
        <f t="shared" si="13"/>
        <v>-5220038.2170822853</v>
      </c>
      <c r="AX13" s="97">
        <f t="shared" si="13"/>
        <v>-5043708.8705796394</v>
      </c>
      <c r="AY13" s="97">
        <f t="shared" si="13"/>
        <v>-4869739.3574476186</v>
      </c>
      <c r="AZ13" s="97">
        <f t="shared" si="13"/>
        <v>-4698315.7313316837</v>
      </c>
      <c r="BA13" s="97">
        <f t="shared" si="13"/>
        <v>-4529609.8405622886</v>
      </c>
      <c r="BB13" s="97">
        <f t="shared" si="13"/>
        <v>-4363779.4920611149</v>
      </c>
      <c r="BC13" s="97">
        <f t="shared" si="13"/>
        <v>-4200968.6551690847</v>
      </c>
      <c r="BD13" s="97">
        <f t="shared" si="13"/>
        <v>-4041307.7027746416</v>
      </c>
      <c r="BE13" s="97">
        <f t="shared" si="13"/>
        <v>-3884913.68707238</v>
      </c>
      <c r="BF13" s="97">
        <f t="shared" si="13"/>
        <v>-3731890.647249423</v>
      </c>
      <c r="BG13" s="97">
        <f t="shared" si="13"/>
        <v>-3582329.9463794478</v>
      </c>
      <c r="BH13" s="97">
        <f t="shared" si="13"/>
        <v>-3436310.634801338</v>
      </c>
      <c r="BI13" s="97">
        <f t="shared" si="13"/>
        <v>-3293899.837270482</v>
      </c>
      <c r="BJ13" s="97">
        <f t="shared" si="13"/>
        <v>-3155153.1611949177</v>
      </c>
      <c r="BK13" s="97">
        <f t="shared" si="13"/>
        <v>-3020115.1233052122</v>
      </c>
      <c r="BL13" s="97">
        <f t="shared" si="13"/>
        <v>-2888819.5921552069</v>
      </c>
      <c r="BM13" s="97">
        <f t="shared" si="13"/>
        <v>-2761290.2439098549</v>
      </c>
      <c r="BN13" s="97">
        <f t="shared" si="13"/>
        <v>-2637541.0289453533</v>
      </c>
      <c r="BO13" s="97">
        <f t="shared" si="13"/>
        <v>-2517576.6468647886</v>
      </c>
      <c r="BP13" s="97">
        <f t="shared" si="13"/>
        <v>-2401393.0276186927</v>
      </c>
      <c r="BQ13" s="97">
        <f t="shared" si="13"/>
        <v>-2288977.816513293</v>
      </c>
      <c r="BR13" s="97">
        <f t="shared" ref="BR13:CK13" si="14">-BR26</f>
        <v>-2180310.8609889946</v>
      </c>
      <c r="BS13" s="97">
        <f t="shared" si="14"/>
        <v>-2075364.6971568072</v>
      </c>
      <c r="BT13" s="97">
        <f t="shared" si="14"/>
        <v>-1974105.03419019</v>
      </c>
      <c r="BU13" s="97">
        <f t="shared" si="14"/>
        <v>-1876491.2347832376</v>
      </c>
      <c r="BV13" s="97">
        <f t="shared" si="14"/>
        <v>-1782476.7900024608</v>
      </c>
      <c r="BW13" s="97">
        <f t="shared" si="14"/>
        <v>-1692009.7869777957</v>
      </c>
      <c r="BX13" s="97">
        <f t="shared" si="14"/>
        <v>-1605033.3679981267</v>
      </c>
      <c r="BY13" s="97">
        <f t="shared" si="14"/>
        <v>-1521486.1796967983</v>
      </c>
      <c r="BZ13" s="97">
        <f t="shared" si="14"/>
        <v>-1441302.8111326166</v>
      </c>
      <c r="CA13" s="97">
        <f t="shared" si="14"/>
        <v>-1364414.2196910018</v>
      </c>
      <c r="CB13" s="97">
        <f t="shared" si="14"/>
        <v>-1290748.1438476853</v>
      </c>
      <c r="CC13" s="97">
        <f t="shared" si="14"/>
        <v>-1220229.5019530067</v>
      </c>
      <c r="CD13" s="97">
        <f t="shared" si="14"/>
        <v>-1152780.7763079959</v>
      </c>
      <c r="CE13" s="97">
        <f t="shared" si="14"/>
        <v>-1088322.3819134494</v>
      </c>
      <c r="CF13" s="97">
        <f t="shared" si="14"/>
        <v>-1026773.019379801</v>
      </c>
      <c r="CG13" s="97">
        <f t="shared" si="14"/>
        <v>-968050.01158824528</v>
      </c>
      <c r="CH13" s="97">
        <f t="shared" si="14"/>
        <v>-912069.62379205215</v>
      </c>
      <c r="CI13" s="97">
        <f t="shared" si="14"/>
        <v>-919799.02738351002</v>
      </c>
      <c r="CJ13" s="97">
        <f t="shared" si="14"/>
        <v>-865963.7313690047</v>
      </c>
      <c r="CK13" s="97">
        <f t="shared" si="14"/>
        <v>-814240.43933077669</v>
      </c>
      <c r="CL13" t="s">
        <v>124</v>
      </c>
    </row>
    <row r="14" spans="3:90" ht="2.1" customHeight="1"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  <c r="AX14" s="95"/>
      <c r="AY14" s="95"/>
      <c r="AZ14" s="95"/>
      <c r="BA14" s="95"/>
      <c r="BB14" s="95"/>
      <c r="BC14" s="95"/>
      <c r="BD14" s="95"/>
      <c r="BE14" s="95"/>
      <c r="BF14" s="95"/>
      <c r="BG14" s="95"/>
      <c r="BH14" s="95"/>
      <c r="BI14" s="95"/>
      <c r="BJ14" s="95"/>
      <c r="BK14" s="95"/>
      <c r="BL14" s="95"/>
      <c r="BM14" s="95"/>
      <c r="BN14" s="95"/>
      <c r="BO14" s="95"/>
      <c r="BP14" s="95"/>
      <c r="BQ14" s="95"/>
      <c r="BR14" s="95"/>
      <c r="BS14" s="95"/>
      <c r="BT14" s="95"/>
      <c r="BU14" s="95"/>
      <c r="BV14" s="95"/>
      <c r="BW14" s="95"/>
      <c r="BX14" s="95"/>
      <c r="BY14" s="95"/>
      <c r="BZ14" s="95"/>
      <c r="CA14" s="95"/>
      <c r="CB14" s="95"/>
      <c r="CC14" s="95"/>
      <c r="CD14" s="95"/>
      <c r="CE14" s="95"/>
      <c r="CF14" s="95"/>
      <c r="CG14" s="95"/>
      <c r="CH14" s="95"/>
      <c r="CI14" s="95"/>
      <c r="CJ14" s="95"/>
      <c r="CK14" s="95"/>
    </row>
    <row r="15" spans="3:90">
      <c r="C15" t="s">
        <v>106</v>
      </c>
      <c r="E15" s="97">
        <f>SUM(E11:E14)</f>
        <v>489593750</v>
      </c>
      <c r="F15" s="97">
        <f>SUM(F11:F14)</f>
        <v>479128683.59375</v>
      </c>
      <c r="G15" s="97">
        <f t="shared" ref="G15:BR15" si="15">SUM(G11:G14)</f>
        <v>468617798.09741211</v>
      </c>
      <c r="H15" s="97">
        <f t="shared" si="15"/>
        <v>458073897.64022034</v>
      </c>
      <c r="I15" s="97">
        <f t="shared" si="15"/>
        <v>447509568.37589276</v>
      </c>
      <c r="J15" s="97">
        <f t="shared" si="15"/>
        <v>436937154.82301229</v>
      </c>
      <c r="K15" s="97">
        <f t="shared" si="15"/>
        <v>426368737.39073068</v>
      </c>
      <c r="L15" s="97">
        <f t="shared" si="15"/>
        <v>416816111.14031011</v>
      </c>
      <c r="M15" s="97">
        <f t="shared" si="15"/>
        <v>406209931.56184149</v>
      </c>
      <c r="N15" s="97">
        <f t="shared" si="15"/>
        <v>395641741.85338467</v>
      </c>
      <c r="O15" s="97">
        <f t="shared" si="15"/>
        <v>385122467.55382854</v>
      </c>
      <c r="P15" s="97">
        <f t="shared" si="15"/>
        <v>374662675.55893207</v>
      </c>
      <c r="Q15" s="97">
        <f t="shared" si="15"/>
        <v>364272559.41721028</v>
      </c>
      <c r="R15" s="97">
        <f t="shared" si="15"/>
        <v>353961926.04719067</v>
      </c>
      <c r="S15" s="97">
        <f t="shared" si="15"/>
        <v>343740183.88493025</v>
      </c>
      <c r="T15" s="97">
        <f t="shared" si="15"/>
        <v>333616332.46482915</v>
      </c>
      <c r="U15" s="97">
        <f t="shared" si="15"/>
        <v>323598953.43105572</v>
      </c>
      <c r="V15" s="97">
        <f t="shared" si="15"/>
        <v>313696202.9713378</v>
      </c>
      <c r="W15" s="97">
        <f t="shared" si="15"/>
        <v>303915805.65949833</v>
      </c>
      <c r="X15" s="97">
        <f t="shared" si="15"/>
        <v>294265049.68794316</v>
      </c>
      <c r="Y15" s="97">
        <f t="shared" si="15"/>
        <v>284750783.46636498</v>
      </c>
      <c r="Z15" s="97">
        <f t="shared" si="15"/>
        <v>275458867.1518383</v>
      </c>
      <c r="AA15" s="97">
        <f t="shared" si="15"/>
        <v>266315120.85630122</v>
      </c>
      <c r="AB15" s="97">
        <f t="shared" si="15"/>
        <v>257324997.24746671</v>
      </c>
      <c r="AC15" s="97">
        <f t="shared" si="15"/>
        <v>248493511.86147976</v>
      </c>
      <c r="AD15" s="97">
        <f t="shared" si="15"/>
        <v>239825246.07937849</v>
      </c>
      <c r="AE15" s="97">
        <f t="shared" si="15"/>
        <v>231324351.22750944</v>
      </c>
      <c r="AF15" s="97">
        <f t="shared" si="15"/>
        <v>222994553.75138915</v>
      </c>
      <c r="AG15" s="97">
        <f t="shared" si="15"/>
        <v>214839161.4099251</v>
      </c>
      <c r="AH15" s="97">
        <f t="shared" si="15"/>
        <v>206861070.43465385</v>
      </c>
      <c r="AI15" s="97">
        <f t="shared" si="15"/>
        <v>199062773.59672114</v>
      </c>
      <c r="AJ15" s="97">
        <f t="shared" si="15"/>
        <v>191446369.12272096</v>
      </c>
      <c r="AK15" s="97">
        <f t="shared" si="15"/>
        <v>184013570.39922085</v>
      </c>
      <c r="AL15" s="97">
        <f t="shared" si="15"/>
        <v>176765716.40482813</v>
      </c>
      <c r="AM15" s="97">
        <f t="shared" si="15"/>
        <v>169703782.80798799</v>
      </c>
      <c r="AN15" s="97">
        <f t="shared" si="15"/>
        <v>162828393.66834328</v>
      </c>
      <c r="AO15" s="97">
        <f t="shared" si="15"/>
        <v>156139833.67941681</v>
      </c>
      <c r="AP15" s="97">
        <f t="shared" si="15"/>
        <v>149638060.89059207</v>
      </c>
      <c r="AQ15" s="97">
        <f t="shared" si="15"/>
        <v>143322719.84685227</v>
      </c>
      <c r="AR15" s="97">
        <f t="shared" si="15"/>
        <v>137193155.08548251</v>
      </c>
      <c r="AS15" s="97">
        <f t="shared" si="15"/>
        <v>131248424.92992681</v>
      </c>
      <c r="AT15" s="97">
        <f t="shared" si="15"/>
        <v>125487315.52221163</v>
      </c>
      <c r="AU15" s="97">
        <f t="shared" si="15"/>
        <v>119908355.03677979</v>
      </c>
      <c r="AV15" s="97">
        <f t="shared" si="15"/>
        <v>114509828.02021225</v>
      </c>
      <c r="AW15" s="97">
        <f t="shared" si="15"/>
        <v>109289789.80312996</v>
      </c>
      <c r="AX15" s="97">
        <f t="shared" si="15"/>
        <v>104246080.93255031</v>
      </c>
      <c r="AY15" s="97">
        <f t="shared" si="15"/>
        <v>99376341.575102687</v>
      </c>
      <c r="AZ15" s="97">
        <f t="shared" si="15"/>
        <v>94678025.843771011</v>
      </c>
      <c r="BA15" s="97">
        <f t="shared" si="15"/>
        <v>90148416.003208727</v>
      </c>
      <c r="BB15" s="97">
        <f t="shared" si="15"/>
        <v>85784636.511147618</v>
      </c>
      <c r="BC15" s="97">
        <f t="shared" si="15"/>
        <v>81583667.855978534</v>
      </c>
      <c r="BD15" s="97">
        <f t="shared" si="15"/>
        <v>77542360.15320389</v>
      </c>
      <c r="BE15" s="97">
        <f t="shared" si="15"/>
        <v>73657446.466131508</v>
      </c>
      <c r="BF15" s="97">
        <f t="shared" si="15"/>
        <v>69925555.818882078</v>
      </c>
      <c r="BG15" s="97">
        <f t="shared" si="15"/>
        <v>66343225.872502632</v>
      </c>
      <c r="BH15" s="97">
        <f t="shared" si="15"/>
        <v>62906915.237701297</v>
      </c>
      <c r="BI15" s="97">
        <f t="shared" si="15"/>
        <v>59613015.400430813</v>
      </c>
      <c r="BJ15" s="97">
        <f t="shared" si="15"/>
        <v>56457862.239235893</v>
      </c>
      <c r="BK15" s="97">
        <f t="shared" si="15"/>
        <v>53437747.115930684</v>
      </c>
      <c r="BL15" s="97">
        <f t="shared" si="15"/>
        <v>50548927.523775473</v>
      </c>
      <c r="BM15" s="97">
        <f t="shared" si="15"/>
        <v>47787637.279865615</v>
      </c>
      <c r="BN15" s="97">
        <f t="shared" si="15"/>
        <v>45150096.250920258</v>
      </c>
      <c r="BO15" s="97">
        <f t="shared" si="15"/>
        <v>42632519.604055472</v>
      </c>
      <c r="BP15" s="97">
        <f t="shared" si="15"/>
        <v>40231126.57643678</v>
      </c>
      <c r="BQ15" s="97">
        <f t="shared" si="15"/>
        <v>37942148.759923488</v>
      </c>
      <c r="BR15" s="97">
        <f t="shared" si="15"/>
        <v>35761837.898934491</v>
      </c>
      <c r="BS15" s="97">
        <f t="shared" ref="BS15:CK15" si="16">SUM(BS11:BS14)</f>
        <v>33686473.201777682</v>
      </c>
      <c r="BT15" s="97">
        <f t="shared" si="16"/>
        <v>31712368.167587493</v>
      </c>
      <c r="BU15" s="97">
        <f t="shared" si="16"/>
        <v>29835876.932804257</v>
      </c>
      <c r="BV15" s="97">
        <f t="shared" si="16"/>
        <v>28053400.142801795</v>
      </c>
      <c r="BW15" s="97">
        <f t="shared" si="16"/>
        <v>26361390.355824001</v>
      </c>
      <c r="BX15" s="97">
        <f t="shared" si="16"/>
        <v>24756356.987825874</v>
      </c>
      <c r="BY15" s="97">
        <f t="shared" si="16"/>
        <v>23234870.808129076</v>
      </c>
      <c r="BZ15" s="97">
        <f t="shared" si="16"/>
        <v>21793567.996996459</v>
      </c>
      <c r="CA15" s="97">
        <f t="shared" si="16"/>
        <v>20429153.777305458</v>
      </c>
      <c r="CB15" s="97">
        <f t="shared" si="16"/>
        <v>19138405.633457772</v>
      </c>
      <c r="CC15" s="97">
        <f t="shared" si="16"/>
        <v>17918176.131504767</v>
      </c>
      <c r="CD15" s="97">
        <f t="shared" si="16"/>
        <v>16765395.35519677</v>
      </c>
      <c r="CE15" s="97">
        <f t="shared" si="16"/>
        <v>15677072.973283321</v>
      </c>
      <c r="CF15" s="97">
        <f t="shared" si="16"/>
        <v>14650299.95390352</v>
      </c>
      <c r="CG15" s="97">
        <f t="shared" si="16"/>
        <v>13682249.942315275</v>
      </c>
      <c r="CH15" s="97">
        <f t="shared" si="16"/>
        <v>12770180.318523223</v>
      </c>
      <c r="CI15" s="97">
        <f t="shared" ref="CI15" si="17">SUM(CI11:CI14)</f>
        <v>12762450.914931765</v>
      </c>
      <c r="CJ15" s="97">
        <f t="shared" si="16"/>
        <v>11904216.587154217</v>
      </c>
      <c r="CK15" s="97">
        <f t="shared" si="16"/>
        <v>11089976.14782344</v>
      </c>
      <c r="CL15" t="s">
        <v>125</v>
      </c>
    </row>
    <row r="17" spans="3:90">
      <c r="C17" t="s">
        <v>273</v>
      </c>
      <c r="E17">
        <v>0</v>
      </c>
      <c r="F17">
        <f>F12+E20</f>
        <v>0</v>
      </c>
      <c r="G17">
        <f t="shared" ref="G17:BR17" si="18">G12+F20</f>
        <v>0</v>
      </c>
      <c r="H17">
        <f t="shared" si="18"/>
        <v>0</v>
      </c>
      <c r="I17">
        <f t="shared" si="18"/>
        <v>0</v>
      </c>
      <c r="J17">
        <f t="shared" si="18"/>
        <v>0</v>
      </c>
      <c r="K17">
        <f t="shared" si="18"/>
        <v>0</v>
      </c>
      <c r="L17">
        <f t="shared" si="18"/>
        <v>1000000</v>
      </c>
      <c r="M17">
        <f t="shared" si="18"/>
        <v>1000000</v>
      </c>
      <c r="N17">
        <f t="shared" si="18"/>
        <v>919165.73477045272</v>
      </c>
      <c r="O17">
        <f t="shared" si="18"/>
        <v>837874.5920891182</v>
      </c>
      <c r="P17">
        <f t="shared" si="18"/>
        <v>756227.53325347824</v>
      </c>
      <c r="Q17">
        <f t="shared" si="18"/>
        <v>674324.01891252119</v>
      </c>
      <c r="R17">
        <f t="shared" si="18"/>
        <v>592261.81651252857</v>
      </c>
      <c r="S17">
        <f t="shared" si="18"/>
        <v>510136.81651252857</v>
      </c>
      <c r="T17">
        <f t="shared" si="18"/>
        <v>428042.85780717141</v>
      </c>
      <c r="U17">
        <f t="shared" si="18"/>
        <v>346071.5627494147</v>
      </c>
      <c r="V17">
        <f t="shared" si="18"/>
        <v>264312.18211922213</v>
      </c>
      <c r="W17">
        <f t="shared" si="18"/>
        <v>182851.45033772037</v>
      </c>
      <c r="X17">
        <f t="shared" si="18"/>
        <v>101773.45117918115</v>
      </c>
      <c r="Y17">
        <f t="shared" si="18"/>
        <v>21159.494186038675</v>
      </c>
      <c r="Z17">
        <f t="shared" si="18"/>
        <v>-58911.998054837444</v>
      </c>
      <c r="AA17">
        <f t="shared" si="18"/>
        <v>-58911.998054837444</v>
      </c>
      <c r="AB17">
        <f t="shared" si="18"/>
        <v>-58911.998054837444</v>
      </c>
      <c r="AC17">
        <f t="shared" si="18"/>
        <v>-58911.998054837444</v>
      </c>
      <c r="AD17">
        <f t="shared" si="18"/>
        <v>-58911.998054837444</v>
      </c>
      <c r="AE17">
        <f t="shared" si="18"/>
        <v>-58911.998054837444</v>
      </c>
      <c r="AF17">
        <f t="shared" si="18"/>
        <v>-58911.998054837444</v>
      </c>
      <c r="AG17">
        <f t="shared" si="18"/>
        <v>-58911.998054837444</v>
      </c>
      <c r="AH17">
        <f t="shared" si="18"/>
        <v>-58911.998054837444</v>
      </c>
      <c r="AI17">
        <f t="shared" si="18"/>
        <v>-58911.998054837444</v>
      </c>
      <c r="AJ17">
        <f t="shared" si="18"/>
        <v>-58911.998054837444</v>
      </c>
      <c r="AK17">
        <f t="shared" si="18"/>
        <v>-58911.998054837444</v>
      </c>
      <c r="AL17">
        <f t="shared" si="18"/>
        <v>-58911.998054837444</v>
      </c>
      <c r="AM17">
        <f t="shared" si="18"/>
        <v>-58911.998054837444</v>
      </c>
      <c r="AN17">
        <f t="shared" si="18"/>
        <v>-58911.998054837444</v>
      </c>
      <c r="AO17">
        <f t="shared" si="18"/>
        <v>-58911.998054837444</v>
      </c>
      <c r="AP17">
        <f t="shared" si="18"/>
        <v>-58911.998054837444</v>
      </c>
      <c r="AQ17">
        <f t="shared" si="18"/>
        <v>-58911.998054837444</v>
      </c>
      <c r="AR17">
        <f t="shared" si="18"/>
        <v>-58911.998054837444</v>
      </c>
      <c r="AS17">
        <f t="shared" si="18"/>
        <v>-58911.998054837444</v>
      </c>
      <c r="AT17">
        <f t="shared" si="18"/>
        <v>-58911.998054837444</v>
      </c>
      <c r="AU17">
        <f t="shared" si="18"/>
        <v>-58911.998054837444</v>
      </c>
      <c r="AV17">
        <f t="shared" si="18"/>
        <v>-58911.998054837444</v>
      </c>
      <c r="AW17">
        <f t="shared" si="18"/>
        <v>-58911.998054837444</v>
      </c>
      <c r="AX17">
        <f t="shared" si="18"/>
        <v>-58911.998054837444</v>
      </c>
      <c r="AY17">
        <f t="shared" si="18"/>
        <v>-58911.998054837444</v>
      </c>
      <c r="AZ17">
        <f t="shared" si="18"/>
        <v>-58911.998054837444</v>
      </c>
      <c r="BA17">
        <f t="shared" si="18"/>
        <v>-58911.998054837444</v>
      </c>
      <c r="BB17">
        <f t="shared" si="18"/>
        <v>-58911.998054837444</v>
      </c>
      <c r="BC17">
        <f t="shared" si="18"/>
        <v>-58911.998054837444</v>
      </c>
      <c r="BD17">
        <f t="shared" si="18"/>
        <v>-58911.998054837444</v>
      </c>
      <c r="BE17">
        <f t="shared" si="18"/>
        <v>-58911.998054837444</v>
      </c>
      <c r="BF17">
        <f t="shared" si="18"/>
        <v>-58911.998054837444</v>
      </c>
      <c r="BG17">
        <f t="shared" si="18"/>
        <v>-58911.998054837444</v>
      </c>
      <c r="BH17">
        <f t="shared" si="18"/>
        <v>-58911.998054837444</v>
      </c>
      <c r="BI17">
        <f t="shared" si="18"/>
        <v>-58911.998054837444</v>
      </c>
      <c r="BJ17">
        <f t="shared" si="18"/>
        <v>-58911.998054837444</v>
      </c>
      <c r="BK17">
        <f t="shared" si="18"/>
        <v>-58911.998054837444</v>
      </c>
      <c r="BL17">
        <f t="shared" si="18"/>
        <v>-58911.998054837444</v>
      </c>
      <c r="BM17">
        <f t="shared" si="18"/>
        <v>-58911.998054837444</v>
      </c>
      <c r="BN17">
        <f t="shared" si="18"/>
        <v>-58911.998054837444</v>
      </c>
      <c r="BO17">
        <f t="shared" si="18"/>
        <v>-58911.998054837444</v>
      </c>
      <c r="BP17">
        <f t="shared" si="18"/>
        <v>-58911.998054837444</v>
      </c>
      <c r="BQ17">
        <f t="shared" si="18"/>
        <v>-58911.998054837444</v>
      </c>
      <c r="BR17">
        <f t="shared" si="18"/>
        <v>-58911.998054837444</v>
      </c>
      <c r="BS17">
        <f t="shared" ref="BS17:CK17" si="19">BS12+BR20</f>
        <v>-58911.998054837444</v>
      </c>
      <c r="BT17">
        <f t="shared" si="19"/>
        <v>-58911.998054837444</v>
      </c>
      <c r="BU17">
        <f t="shared" si="19"/>
        <v>-58911.998054837444</v>
      </c>
      <c r="BV17">
        <f t="shared" si="19"/>
        <v>-58911.998054837444</v>
      </c>
      <c r="BW17">
        <f t="shared" si="19"/>
        <v>-58911.998054837444</v>
      </c>
      <c r="BX17">
        <f t="shared" si="19"/>
        <v>-58911.998054837444</v>
      </c>
      <c r="BY17">
        <f t="shared" si="19"/>
        <v>-58911.998054837444</v>
      </c>
      <c r="BZ17">
        <f t="shared" si="19"/>
        <v>-58911.998054837444</v>
      </c>
      <c r="CA17">
        <f t="shared" si="19"/>
        <v>-58911.998054837444</v>
      </c>
      <c r="CB17">
        <f t="shared" si="19"/>
        <v>-58911.998054837444</v>
      </c>
      <c r="CC17">
        <f t="shared" si="19"/>
        <v>-58911.998054837444</v>
      </c>
      <c r="CD17">
        <f t="shared" si="19"/>
        <v>-58911.998054837444</v>
      </c>
      <c r="CE17">
        <f t="shared" si="19"/>
        <v>-58911.998054837444</v>
      </c>
      <c r="CF17">
        <f t="shared" si="19"/>
        <v>-58911.998054837444</v>
      </c>
      <c r="CG17">
        <f t="shared" si="19"/>
        <v>-58911.998054837444</v>
      </c>
      <c r="CH17">
        <f t="shared" si="19"/>
        <v>-58911.998054837444</v>
      </c>
      <c r="CI17">
        <f t="shared" si="19"/>
        <v>-58911.998054837444</v>
      </c>
      <c r="CJ17">
        <f t="shared" si="19"/>
        <v>-58911.998054837444</v>
      </c>
      <c r="CK17">
        <f t="shared" si="19"/>
        <v>-58911.998054837444</v>
      </c>
      <c r="CL17" t="s">
        <v>275</v>
      </c>
    </row>
    <row r="18" spans="3:90">
      <c r="C18" t="s">
        <v>274</v>
      </c>
      <c r="E18">
        <f>E24</f>
        <v>0</v>
      </c>
      <c r="F18">
        <f t="shared" ref="F18:BQ18" si="20">F24</f>
        <v>0</v>
      </c>
      <c r="G18">
        <f t="shared" si="20"/>
        <v>0</v>
      </c>
      <c r="H18">
        <f t="shared" si="20"/>
        <v>0</v>
      </c>
      <c r="I18">
        <f t="shared" si="20"/>
        <v>0</v>
      </c>
      <c r="J18">
        <f t="shared" si="20"/>
        <v>0</v>
      </c>
      <c r="K18">
        <f t="shared" si="20"/>
        <v>0</v>
      </c>
      <c r="L18">
        <f t="shared" si="20"/>
        <v>0</v>
      </c>
      <c r="M18">
        <f t="shared" si="20"/>
        <v>80834.26522954728</v>
      </c>
      <c r="N18">
        <f t="shared" si="20"/>
        <v>81291.142681334546</v>
      </c>
      <c r="O18">
        <f t="shared" si="20"/>
        <v>81647.058835639997</v>
      </c>
      <c r="P18">
        <f t="shared" si="20"/>
        <v>81903.514340957074</v>
      </c>
      <c r="Q18">
        <f t="shared" si="20"/>
        <v>82062.202399992675</v>
      </c>
      <c r="R18">
        <f t="shared" si="20"/>
        <v>82125</v>
      </c>
      <c r="S18">
        <f t="shared" si="20"/>
        <v>82093.958705357145</v>
      </c>
      <c r="T18">
        <f t="shared" si="20"/>
        <v>81971.295057756681</v>
      </c>
      <c r="U18">
        <f t="shared" si="20"/>
        <v>81759.380630192594</v>
      </c>
      <c r="V18">
        <f t="shared" si="20"/>
        <v>81460.73178150176</v>
      </c>
      <c r="W18">
        <f t="shared" si="20"/>
        <v>81077.999158539213</v>
      </c>
      <c r="X18">
        <f t="shared" si="20"/>
        <v>80613.956993142478</v>
      </c>
      <c r="Y18">
        <f t="shared" si="20"/>
        <v>80071.492240876119</v>
      </c>
      <c r="Z18">
        <f t="shared" si="20"/>
        <v>0</v>
      </c>
      <c r="AA18">
        <f t="shared" si="20"/>
        <v>0</v>
      </c>
      <c r="AB18">
        <f t="shared" si="20"/>
        <v>0</v>
      </c>
      <c r="AC18">
        <f t="shared" si="20"/>
        <v>0</v>
      </c>
      <c r="AD18">
        <f t="shared" si="20"/>
        <v>0</v>
      </c>
      <c r="AE18">
        <f t="shared" si="20"/>
        <v>0</v>
      </c>
      <c r="AF18">
        <f t="shared" si="20"/>
        <v>0</v>
      </c>
      <c r="AG18">
        <f t="shared" si="20"/>
        <v>0</v>
      </c>
      <c r="AH18">
        <f t="shared" si="20"/>
        <v>0</v>
      </c>
      <c r="AI18">
        <f t="shared" si="20"/>
        <v>0</v>
      </c>
      <c r="AJ18">
        <f t="shared" si="20"/>
        <v>0</v>
      </c>
      <c r="AK18">
        <f t="shared" si="20"/>
        <v>0</v>
      </c>
      <c r="AL18">
        <f t="shared" si="20"/>
        <v>0</v>
      </c>
      <c r="AM18">
        <f t="shared" si="20"/>
        <v>0</v>
      </c>
      <c r="AN18">
        <f t="shared" si="20"/>
        <v>0</v>
      </c>
      <c r="AO18">
        <f t="shared" si="20"/>
        <v>0</v>
      </c>
      <c r="AP18">
        <f t="shared" si="20"/>
        <v>0</v>
      </c>
      <c r="AQ18">
        <f t="shared" si="20"/>
        <v>0</v>
      </c>
      <c r="AR18">
        <f t="shared" si="20"/>
        <v>0</v>
      </c>
      <c r="AS18">
        <f t="shared" si="20"/>
        <v>0</v>
      </c>
      <c r="AT18">
        <f t="shared" si="20"/>
        <v>0</v>
      </c>
      <c r="AU18">
        <f t="shared" si="20"/>
        <v>0</v>
      </c>
      <c r="AV18">
        <f t="shared" si="20"/>
        <v>0</v>
      </c>
      <c r="AW18">
        <f t="shared" si="20"/>
        <v>0</v>
      </c>
      <c r="AX18">
        <f t="shared" si="20"/>
        <v>0</v>
      </c>
      <c r="AY18">
        <f t="shared" si="20"/>
        <v>0</v>
      </c>
      <c r="AZ18">
        <f t="shared" si="20"/>
        <v>0</v>
      </c>
      <c r="BA18">
        <f t="shared" si="20"/>
        <v>0</v>
      </c>
      <c r="BB18">
        <f t="shared" si="20"/>
        <v>0</v>
      </c>
      <c r="BC18">
        <f t="shared" si="20"/>
        <v>0</v>
      </c>
      <c r="BD18">
        <f t="shared" si="20"/>
        <v>0</v>
      </c>
      <c r="BE18">
        <f t="shared" si="20"/>
        <v>0</v>
      </c>
      <c r="BF18">
        <f t="shared" si="20"/>
        <v>0</v>
      </c>
      <c r="BG18">
        <f t="shared" si="20"/>
        <v>0</v>
      </c>
      <c r="BH18">
        <f t="shared" si="20"/>
        <v>0</v>
      </c>
      <c r="BI18">
        <f t="shared" si="20"/>
        <v>0</v>
      </c>
      <c r="BJ18">
        <f t="shared" si="20"/>
        <v>0</v>
      </c>
      <c r="BK18">
        <f t="shared" si="20"/>
        <v>0</v>
      </c>
      <c r="BL18">
        <f t="shared" si="20"/>
        <v>0</v>
      </c>
      <c r="BM18">
        <f t="shared" si="20"/>
        <v>0</v>
      </c>
      <c r="BN18">
        <f t="shared" si="20"/>
        <v>0</v>
      </c>
      <c r="BO18">
        <f t="shared" si="20"/>
        <v>0</v>
      </c>
      <c r="BP18">
        <f t="shared" si="20"/>
        <v>0</v>
      </c>
      <c r="BQ18">
        <f t="shared" si="20"/>
        <v>0</v>
      </c>
      <c r="BR18">
        <f t="shared" ref="BR18:CK18" si="21">BR24</f>
        <v>0</v>
      </c>
      <c r="BS18">
        <f t="shared" si="21"/>
        <v>0</v>
      </c>
      <c r="BT18">
        <f t="shared" si="21"/>
        <v>0</v>
      </c>
      <c r="BU18">
        <f t="shared" si="21"/>
        <v>0</v>
      </c>
      <c r="BV18">
        <f t="shared" si="21"/>
        <v>0</v>
      </c>
      <c r="BW18">
        <f t="shared" si="21"/>
        <v>0</v>
      </c>
      <c r="BX18">
        <f t="shared" si="21"/>
        <v>0</v>
      </c>
      <c r="BY18">
        <f t="shared" si="21"/>
        <v>0</v>
      </c>
      <c r="BZ18">
        <f t="shared" si="21"/>
        <v>0</v>
      </c>
      <c r="CA18">
        <f t="shared" si="21"/>
        <v>0</v>
      </c>
      <c r="CB18">
        <f t="shared" si="21"/>
        <v>0</v>
      </c>
      <c r="CC18">
        <f t="shared" si="21"/>
        <v>0</v>
      </c>
      <c r="CD18">
        <f t="shared" si="21"/>
        <v>0</v>
      </c>
      <c r="CE18">
        <f t="shared" si="21"/>
        <v>0</v>
      </c>
      <c r="CF18">
        <f t="shared" si="21"/>
        <v>0</v>
      </c>
      <c r="CG18">
        <f t="shared" si="21"/>
        <v>0</v>
      </c>
      <c r="CH18">
        <f t="shared" si="21"/>
        <v>0</v>
      </c>
      <c r="CI18">
        <f t="shared" si="21"/>
        <v>0</v>
      </c>
      <c r="CJ18">
        <f t="shared" si="21"/>
        <v>0</v>
      </c>
      <c r="CK18">
        <f t="shared" si="21"/>
        <v>0</v>
      </c>
      <c r="CL18" t="s">
        <v>276</v>
      </c>
    </row>
    <row r="19" spans="3:90" ht="2.1" customHeight="1"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  <c r="AC19" s="95"/>
      <c r="AD19" s="95"/>
      <c r="AE19" s="95"/>
      <c r="AF19" s="95"/>
      <c r="AG19" s="95"/>
      <c r="AH19" s="95"/>
      <c r="AI19" s="95"/>
      <c r="AJ19" s="95"/>
      <c r="AK19" s="95"/>
      <c r="AL19" s="95"/>
      <c r="AM19" s="95"/>
      <c r="AN19" s="95"/>
      <c r="AO19" s="95"/>
      <c r="AP19" s="95"/>
      <c r="AQ19" s="95"/>
      <c r="AR19" s="95"/>
      <c r="AS19" s="95"/>
      <c r="AT19" s="95"/>
      <c r="AU19" s="95"/>
      <c r="AV19" s="95"/>
      <c r="AW19" s="95"/>
      <c r="AX19" s="95"/>
      <c r="AY19" s="95"/>
      <c r="AZ19" s="95"/>
      <c r="BA19" s="95"/>
      <c r="BB19" s="95"/>
      <c r="BC19" s="95"/>
      <c r="BD19" s="95"/>
      <c r="BE19" s="95"/>
      <c r="BF19" s="95"/>
      <c r="BG19" s="95"/>
      <c r="BH19" s="95"/>
      <c r="BI19" s="95"/>
      <c r="BJ19" s="95"/>
      <c r="BK19" s="95"/>
      <c r="BL19" s="95"/>
      <c r="BM19" s="95"/>
      <c r="BN19" s="95"/>
      <c r="BO19" s="95"/>
      <c r="BP19" s="95"/>
      <c r="BQ19" s="95"/>
      <c r="BR19" s="95"/>
      <c r="BS19" s="95"/>
      <c r="BT19" s="95"/>
      <c r="BU19" s="95"/>
      <c r="BV19" s="95"/>
      <c r="BW19" s="95"/>
      <c r="BX19" s="95"/>
      <c r="BY19" s="95"/>
      <c r="BZ19" s="95"/>
      <c r="CA19" s="95"/>
      <c r="CB19" s="95"/>
      <c r="CC19" s="95"/>
      <c r="CD19" s="95"/>
      <c r="CE19" s="95"/>
      <c r="CF19" s="95"/>
      <c r="CG19" s="95"/>
      <c r="CH19" s="95"/>
      <c r="CI19" s="95"/>
      <c r="CJ19" s="95"/>
      <c r="CK19" s="95"/>
    </row>
    <row r="20" spans="3:90">
      <c r="C20" t="s">
        <v>278</v>
      </c>
      <c r="E20">
        <f>E17-E18</f>
        <v>0</v>
      </c>
      <c r="F20">
        <f t="shared" ref="F20:BQ20" si="22">F17-F18</f>
        <v>0</v>
      </c>
      <c r="G20">
        <f t="shared" si="22"/>
        <v>0</v>
      </c>
      <c r="H20">
        <f t="shared" si="22"/>
        <v>0</v>
      </c>
      <c r="I20">
        <f t="shared" si="22"/>
        <v>0</v>
      </c>
      <c r="J20">
        <f t="shared" si="22"/>
        <v>0</v>
      </c>
      <c r="K20">
        <f t="shared" si="22"/>
        <v>0</v>
      </c>
      <c r="L20">
        <f t="shared" si="22"/>
        <v>1000000</v>
      </c>
      <c r="M20">
        <f t="shared" si="22"/>
        <v>919165.73477045272</v>
      </c>
      <c r="N20">
        <f t="shared" si="22"/>
        <v>837874.5920891182</v>
      </c>
      <c r="O20">
        <f t="shared" si="22"/>
        <v>756227.53325347824</v>
      </c>
      <c r="P20">
        <f t="shared" si="22"/>
        <v>674324.01891252119</v>
      </c>
      <c r="Q20">
        <f t="shared" si="22"/>
        <v>592261.81651252857</v>
      </c>
      <c r="R20">
        <f t="shared" si="22"/>
        <v>510136.81651252857</v>
      </c>
      <c r="S20">
        <f t="shared" si="22"/>
        <v>428042.85780717141</v>
      </c>
      <c r="T20">
        <f t="shared" si="22"/>
        <v>346071.5627494147</v>
      </c>
      <c r="U20">
        <f t="shared" si="22"/>
        <v>264312.18211922213</v>
      </c>
      <c r="V20">
        <f t="shared" si="22"/>
        <v>182851.45033772037</v>
      </c>
      <c r="W20">
        <f t="shared" si="22"/>
        <v>101773.45117918115</v>
      </c>
      <c r="X20">
        <f t="shared" si="22"/>
        <v>21159.494186038675</v>
      </c>
      <c r="Y20">
        <f t="shared" si="22"/>
        <v>-58911.998054837444</v>
      </c>
      <c r="Z20">
        <f t="shared" si="22"/>
        <v>-58911.998054837444</v>
      </c>
      <c r="AA20">
        <f t="shared" si="22"/>
        <v>-58911.998054837444</v>
      </c>
      <c r="AB20">
        <f t="shared" si="22"/>
        <v>-58911.998054837444</v>
      </c>
      <c r="AC20">
        <f t="shared" si="22"/>
        <v>-58911.998054837444</v>
      </c>
      <c r="AD20">
        <f t="shared" si="22"/>
        <v>-58911.998054837444</v>
      </c>
      <c r="AE20">
        <f t="shared" si="22"/>
        <v>-58911.998054837444</v>
      </c>
      <c r="AF20">
        <f t="shared" si="22"/>
        <v>-58911.998054837444</v>
      </c>
      <c r="AG20">
        <f t="shared" si="22"/>
        <v>-58911.998054837444</v>
      </c>
      <c r="AH20">
        <f t="shared" si="22"/>
        <v>-58911.998054837444</v>
      </c>
      <c r="AI20">
        <f t="shared" si="22"/>
        <v>-58911.998054837444</v>
      </c>
      <c r="AJ20">
        <f t="shared" si="22"/>
        <v>-58911.998054837444</v>
      </c>
      <c r="AK20">
        <f t="shared" si="22"/>
        <v>-58911.998054837444</v>
      </c>
      <c r="AL20">
        <f t="shared" si="22"/>
        <v>-58911.998054837444</v>
      </c>
      <c r="AM20">
        <f t="shared" si="22"/>
        <v>-58911.998054837444</v>
      </c>
      <c r="AN20">
        <f t="shared" si="22"/>
        <v>-58911.998054837444</v>
      </c>
      <c r="AO20">
        <f t="shared" si="22"/>
        <v>-58911.998054837444</v>
      </c>
      <c r="AP20">
        <f t="shared" si="22"/>
        <v>-58911.998054837444</v>
      </c>
      <c r="AQ20">
        <f t="shared" si="22"/>
        <v>-58911.998054837444</v>
      </c>
      <c r="AR20">
        <f t="shared" si="22"/>
        <v>-58911.998054837444</v>
      </c>
      <c r="AS20">
        <f t="shared" si="22"/>
        <v>-58911.998054837444</v>
      </c>
      <c r="AT20">
        <f t="shared" si="22"/>
        <v>-58911.998054837444</v>
      </c>
      <c r="AU20">
        <f t="shared" si="22"/>
        <v>-58911.998054837444</v>
      </c>
      <c r="AV20">
        <f t="shared" si="22"/>
        <v>-58911.998054837444</v>
      </c>
      <c r="AW20">
        <f t="shared" si="22"/>
        <v>-58911.998054837444</v>
      </c>
      <c r="AX20">
        <f t="shared" si="22"/>
        <v>-58911.998054837444</v>
      </c>
      <c r="AY20">
        <f t="shared" si="22"/>
        <v>-58911.998054837444</v>
      </c>
      <c r="AZ20">
        <f t="shared" si="22"/>
        <v>-58911.998054837444</v>
      </c>
      <c r="BA20">
        <f t="shared" si="22"/>
        <v>-58911.998054837444</v>
      </c>
      <c r="BB20">
        <f t="shared" si="22"/>
        <v>-58911.998054837444</v>
      </c>
      <c r="BC20">
        <f t="shared" si="22"/>
        <v>-58911.998054837444</v>
      </c>
      <c r="BD20">
        <f t="shared" si="22"/>
        <v>-58911.998054837444</v>
      </c>
      <c r="BE20">
        <f t="shared" si="22"/>
        <v>-58911.998054837444</v>
      </c>
      <c r="BF20">
        <f t="shared" si="22"/>
        <v>-58911.998054837444</v>
      </c>
      <c r="BG20">
        <f t="shared" si="22"/>
        <v>-58911.998054837444</v>
      </c>
      <c r="BH20">
        <f t="shared" si="22"/>
        <v>-58911.998054837444</v>
      </c>
      <c r="BI20">
        <f t="shared" si="22"/>
        <v>-58911.998054837444</v>
      </c>
      <c r="BJ20">
        <f t="shared" si="22"/>
        <v>-58911.998054837444</v>
      </c>
      <c r="BK20">
        <f t="shared" si="22"/>
        <v>-58911.998054837444</v>
      </c>
      <c r="BL20">
        <f t="shared" si="22"/>
        <v>-58911.998054837444</v>
      </c>
      <c r="BM20">
        <f t="shared" si="22"/>
        <v>-58911.998054837444</v>
      </c>
      <c r="BN20">
        <f t="shared" si="22"/>
        <v>-58911.998054837444</v>
      </c>
      <c r="BO20">
        <f t="shared" si="22"/>
        <v>-58911.998054837444</v>
      </c>
      <c r="BP20">
        <f t="shared" si="22"/>
        <v>-58911.998054837444</v>
      </c>
      <c r="BQ20">
        <f t="shared" si="22"/>
        <v>-58911.998054837444</v>
      </c>
      <c r="BR20">
        <f t="shared" ref="BR20:CK20" si="23">BR17-BR18</f>
        <v>-58911.998054837444</v>
      </c>
      <c r="BS20">
        <f t="shared" si="23"/>
        <v>-58911.998054837444</v>
      </c>
      <c r="BT20">
        <f t="shared" si="23"/>
        <v>-58911.998054837444</v>
      </c>
      <c r="BU20">
        <f t="shared" si="23"/>
        <v>-58911.998054837444</v>
      </c>
      <c r="BV20">
        <f t="shared" si="23"/>
        <v>-58911.998054837444</v>
      </c>
      <c r="BW20">
        <f t="shared" si="23"/>
        <v>-58911.998054837444</v>
      </c>
      <c r="BX20">
        <f t="shared" si="23"/>
        <v>-58911.998054837444</v>
      </c>
      <c r="BY20">
        <f t="shared" si="23"/>
        <v>-58911.998054837444</v>
      </c>
      <c r="BZ20">
        <f t="shared" si="23"/>
        <v>-58911.998054837444</v>
      </c>
      <c r="CA20">
        <f t="shared" si="23"/>
        <v>-58911.998054837444</v>
      </c>
      <c r="CB20">
        <f t="shared" si="23"/>
        <v>-58911.998054837444</v>
      </c>
      <c r="CC20">
        <f t="shared" si="23"/>
        <v>-58911.998054837444</v>
      </c>
      <c r="CD20">
        <f t="shared" si="23"/>
        <v>-58911.998054837444</v>
      </c>
      <c r="CE20">
        <f t="shared" si="23"/>
        <v>-58911.998054837444</v>
      </c>
      <c r="CF20">
        <f t="shared" si="23"/>
        <v>-58911.998054837444</v>
      </c>
      <c r="CG20">
        <f t="shared" si="23"/>
        <v>-58911.998054837444</v>
      </c>
      <c r="CH20">
        <f t="shared" si="23"/>
        <v>-58911.998054837444</v>
      </c>
      <c r="CI20">
        <f t="shared" si="23"/>
        <v>-58911.998054837444</v>
      </c>
      <c r="CJ20">
        <f t="shared" si="23"/>
        <v>-58911.998054837444</v>
      </c>
      <c r="CK20">
        <f t="shared" si="23"/>
        <v>-58911.998054837444</v>
      </c>
      <c r="CL20" t="s">
        <v>277</v>
      </c>
    </row>
    <row r="22" spans="3:90">
      <c r="C22" t="s">
        <v>245</v>
      </c>
      <c r="E22" s="97">
        <v>10406250</v>
      </c>
      <c r="F22" s="97">
        <v>10465066.40625</v>
      </c>
      <c r="G22" s="97">
        <v>10510885.496337891</v>
      </c>
      <c r="H22" s="97">
        <v>10543900.457191773</v>
      </c>
      <c r="I22" s="97">
        <v>10564329.264327582</v>
      </c>
      <c r="J22" s="97">
        <v>10572413.552880468</v>
      </c>
      <c r="K22" s="97">
        <v>10568417.432281611</v>
      </c>
      <c r="L22" s="97">
        <v>10552626.250420583</v>
      </c>
      <c r="M22" s="97">
        <v>10525345.313239099</v>
      </c>
      <c r="N22" s="97">
        <v>10486898.565775463</v>
      </c>
      <c r="O22" s="97">
        <v>10437627.240720501</v>
      </c>
      <c r="P22" s="97">
        <v>10377888.480555527</v>
      </c>
      <c r="Q22" s="97">
        <v>10308053.939321788</v>
      </c>
      <c r="R22" s="97">
        <v>10228508.370019622</v>
      </c>
      <c r="S22" s="97">
        <v>10139648.203555077</v>
      </c>
      <c r="T22" s="97">
        <v>10041880.125043347</v>
      </c>
      <c r="U22" s="97">
        <v>9935619.6531432495</v>
      </c>
      <c r="V22" s="97">
        <v>9821289.7279364448</v>
      </c>
      <c r="W22" s="97">
        <v>9699319.3126809373</v>
      </c>
      <c r="X22" s="97">
        <v>9570142.0145620499</v>
      </c>
      <c r="Y22" s="97">
        <v>9434194.7293373328</v>
      </c>
      <c r="Z22" s="97">
        <v>9291916.314526692</v>
      </c>
      <c r="AA22" s="97">
        <v>9143746.2955370732</v>
      </c>
      <c r="AB22" s="97">
        <v>8990123.6088345107</v>
      </c>
      <c r="AC22" s="97">
        <v>8831485.3859869502</v>
      </c>
      <c r="AD22" s="97">
        <v>8668265.7821012624</v>
      </c>
      <c r="AE22" s="97">
        <v>8500894.8518690355</v>
      </c>
      <c r="AF22" s="97">
        <v>8329797.4761203071</v>
      </c>
      <c r="AG22" s="97">
        <v>8155392.341464038</v>
      </c>
      <c r="AH22" s="97">
        <v>7978090.9752712473</v>
      </c>
      <c r="AI22" s="97">
        <v>7798296.8379327022</v>
      </c>
      <c r="AJ22" s="97">
        <v>7616404.4740001746</v>
      </c>
      <c r="AK22" s="97">
        <v>7432798.7235001018</v>
      </c>
      <c r="AL22" s="97">
        <v>7247853.994392721</v>
      </c>
      <c r="AM22" s="97">
        <v>7061933.5968401302</v>
      </c>
      <c r="AN22" s="97">
        <v>6875389.1396447252</v>
      </c>
      <c r="AO22" s="97">
        <v>6688559.9889264638</v>
      </c>
      <c r="AP22" s="97">
        <v>6501772.7888247482</v>
      </c>
      <c r="AQ22" s="97">
        <v>6315341.0437397817</v>
      </c>
      <c r="AR22" s="97">
        <v>6129564.7613697704</v>
      </c>
      <c r="AS22" s="97">
        <v>5944730.1555557018</v>
      </c>
      <c r="AT22" s="97">
        <v>5761109.4077151865</v>
      </c>
      <c r="AU22" s="97">
        <v>5578960.4854318313</v>
      </c>
      <c r="AV22" s="97">
        <v>5398527.0165675487</v>
      </c>
      <c r="AW22" s="97">
        <v>5220038.2170822853</v>
      </c>
      <c r="AX22" s="97">
        <v>5043708.8705796394</v>
      </c>
      <c r="AY22" s="97">
        <v>4869739.3574476186</v>
      </c>
      <c r="AZ22" s="97">
        <v>4698315.7313316837</v>
      </c>
      <c r="BA22" s="97">
        <v>4529609.8405622886</v>
      </c>
      <c r="BB22" s="97">
        <v>4363779.4920611149</v>
      </c>
      <c r="BC22" s="97">
        <v>4200968.6551690847</v>
      </c>
      <c r="BD22" s="97">
        <v>4041307.7027746416</v>
      </c>
      <c r="BE22" s="97">
        <v>3884913.68707238</v>
      </c>
      <c r="BF22" s="97">
        <v>3731890.647249423</v>
      </c>
      <c r="BG22" s="97">
        <v>3582329.9463794478</v>
      </c>
      <c r="BH22" s="97">
        <v>3436310.634801338</v>
      </c>
      <c r="BI22" s="97">
        <v>3293899.837270482</v>
      </c>
      <c r="BJ22" s="97">
        <v>3155153.1611949177</v>
      </c>
      <c r="BK22" s="97">
        <v>3020115.1233052122</v>
      </c>
      <c r="BL22" s="97">
        <v>2888819.5921552069</v>
      </c>
      <c r="BM22" s="97">
        <v>2761290.2439098549</v>
      </c>
      <c r="BN22" s="97">
        <v>2637541.0289453533</v>
      </c>
      <c r="BO22" s="97">
        <v>2517576.6468647886</v>
      </c>
      <c r="BP22" s="97">
        <v>2401393.0276186927</v>
      </c>
      <c r="BQ22" s="97">
        <v>2288977.816513293</v>
      </c>
      <c r="BR22" s="97">
        <v>2180310.8609889946</v>
      </c>
      <c r="BS22" s="97">
        <v>2075364.6971568072</v>
      </c>
      <c r="BT22" s="97">
        <v>1974105.03419019</v>
      </c>
      <c r="BU22" s="97">
        <v>1876491.2347832376</v>
      </c>
      <c r="BV22" s="97">
        <v>1782476.7900024608</v>
      </c>
      <c r="BW22" s="97">
        <v>1692009.7869777957</v>
      </c>
      <c r="BX22" s="97">
        <v>1605033.3679981267</v>
      </c>
      <c r="BY22" s="97">
        <v>1521486.1796967983</v>
      </c>
      <c r="BZ22" s="97">
        <v>1441302.8111326166</v>
      </c>
      <c r="CA22" s="97">
        <v>1364414.2196910018</v>
      </c>
      <c r="CB22" s="97">
        <v>1290748.1438476853</v>
      </c>
      <c r="CC22" s="97">
        <v>1220229.5019530067</v>
      </c>
      <c r="CD22" s="97">
        <v>1152780.7763079959</v>
      </c>
      <c r="CE22" s="97">
        <v>1088322.3819134494</v>
      </c>
      <c r="CF22" s="97">
        <v>1026773.019379801</v>
      </c>
      <c r="CG22" s="97">
        <v>968050.01158824528</v>
      </c>
      <c r="CH22" s="97">
        <v>912069.62379205215</v>
      </c>
      <c r="CI22" s="97">
        <v>919799.02738351002</v>
      </c>
      <c r="CJ22" s="97">
        <v>865963.7313690047</v>
      </c>
      <c r="CK22" s="97">
        <v>814240.43933077669</v>
      </c>
      <c r="CL22" t="s">
        <v>246</v>
      </c>
    </row>
    <row r="23" spans="3:90">
      <c r="C23" t="s">
        <v>108</v>
      </c>
      <c r="E23">
        <f t="shared" ref="E23:AJ23" si="24">IF(CalcRefQuarter&gt;=tlInputSched,tlInputProd*1000*365/4*tlInputRel,0)*INDEX(CalcProdProfile,CalcProdProfileRef+0)</f>
        <v>0</v>
      </c>
      <c r="F23">
        <f t="shared" si="24"/>
        <v>0</v>
      </c>
      <c r="G23">
        <f t="shared" si="24"/>
        <v>0</v>
      </c>
      <c r="H23">
        <f t="shared" si="24"/>
        <v>0</v>
      </c>
      <c r="I23">
        <f t="shared" si="24"/>
        <v>0</v>
      </c>
      <c r="J23">
        <f t="shared" si="24"/>
        <v>0</v>
      </c>
      <c r="K23">
        <f t="shared" si="24"/>
        <v>0</v>
      </c>
      <c r="L23">
        <f t="shared" si="24"/>
        <v>81971.295057756681</v>
      </c>
      <c r="M23">
        <f t="shared" si="24"/>
        <v>80834.26522954728</v>
      </c>
      <c r="N23">
        <f t="shared" si="24"/>
        <v>81291.142681334546</v>
      </c>
      <c r="O23">
        <f t="shared" si="24"/>
        <v>81647.058835639997</v>
      </c>
      <c r="P23">
        <f t="shared" si="24"/>
        <v>81903.514340957074</v>
      </c>
      <c r="Q23">
        <f t="shared" si="24"/>
        <v>82062.202399992675</v>
      </c>
      <c r="R23">
        <f t="shared" si="24"/>
        <v>82125</v>
      </c>
      <c r="S23">
        <f t="shared" si="24"/>
        <v>82093.958705357145</v>
      </c>
      <c r="T23">
        <f t="shared" si="24"/>
        <v>81971.295057756681</v>
      </c>
      <c r="U23">
        <f t="shared" si="24"/>
        <v>81759.380630192594</v>
      </c>
      <c r="V23">
        <f t="shared" si="24"/>
        <v>81460.73178150176</v>
      </c>
      <c r="W23">
        <f t="shared" si="24"/>
        <v>81077.999158539213</v>
      </c>
      <c r="X23">
        <f t="shared" si="24"/>
        <v>80613.956993142478</v>
      </c>
      <c r="Y23">
        <f t="shared" si="24"/>
        <v>80071.492240876119</v>
      </c>
      <c r="Z23">
        <f t="shared" si="24"/>
        <v>79453.593608149953</v>
      </c>
      <c r="AA23">
        <f t="shared" si="24"/>
        <v>78763.340513679155</v>
      </c>
      <c r="AB23">
        <f t="shared" si="24"/>
        <v>78003.892029412455</v>
      </c>
      <c r="AC23">
        <f t="shared" si="24"/>
        <v>77178.475845005058</v>
      </c>
      <c r="AD23">
        <f t="shared" si="24"/>
        <v>76290.377298665975</v>
      </c>
      <c r="AE23">
        <f t="shared" si="24"/>
        <v>75342.928515778607</v>
      </c>
      <c r="AF23">
        <f t="shared" si="24"/>
        <v>74339.497695091181</v>
      </c>
      <c r="AG23">
        <f t="shared" si="24"/>
        <v>73283.478580511801</v>
      </c>
      <c r="AH23">
        <f t="shared" si="24"/>
        <v>72178.280154638604</v>
      </c>
      <c r="AI23">
        <f t="shared" si="24"/>
        <v>71027.316588121001</v>
      </c>
      <c r="AJ23">
        <f t="shared" si="24"/>
        <v>69833.997476799384</v>
      </c>
      <c r="AK23">
        <f t="shared" ref="AK23:BP23" si="25">IF(CalcRefQuarter&gt;=tlInputSched,tlInputProd*1000*365/4*tlInputRel,0)*INDEX(CalcProdProfile,CalcProdProfileRef+0)</f>
        <v>68601.718396323355</v>
      </c>
      <c r="AL23">
        <f t="shared" si="25"/>
        <v>67333.851801617537</v>
      </c>
      <c r="AM23">
        <f t="shared" si="25"/>
        <v>66033.738296165728</v>
      </c>
      <c r="AN23">
        <f t="shared" si="25"/>
        <v>64704.678293633384</v>
      </c>
      <c r="AO23">
        <f t="shared" si="25"/>
        <v>63349.924091860434</v>
      </c>
      <c r="AP23">
        <f t="shared" si="25"/>
        <v>61972.672376747971</v>
      </c>
      <c r="AQ23">
        <f t="shared" si="25"/>
        <v>60576.057171045468</v>
      </c>
      <c r="AR23">
        <f t="shared" si="25"/>
        <v>59163.143240537232</v>
      </c>
      <c r="AS23">
        <f t="shared" si="25"/>
        <v>57736.91996763942</v>
      </c>
      <c r="AT23">
        <f t="shared" si="25"/>
        <v>56300.295699966351</v>
      </c>
      <c r="AU23">
        <f t="shared" si="25"/>
        <v>54856.092579019903</v>
      </c>
      <c r="AV23">
        <f t="shared" si="25"/>
        <v>53407.041851809307</v>
      </c>
      <c r="AW23">
        <f t="shared" si="25"/>
        <v>51955.779665933413</v>
      </c>
      <c r="AX23">
        <f t="shared" si="25"/>
        <v>50504.843346461312</v>
      </c>
      <c r="AY23">
        <f t="shared" si="25"/>
        <v>49056.668150842757</v>
      </c>
      <c r="AZ23">
        <f t="shared" si="25"/>
        <v>47613.584496072137</v>
      </c>
      <c r="BA23">
        <f t="shared" si="25"/>
        <v>46177.81565042906</v>
      </c>
      <c r="BB23">
        <f t="shared" si="25"/>
        <v>44751.475880330516</v>
      </c>
      <c r="BC23">
        <f t="shared" si="25"/>
        <v>43336.569041158968</v>
      </c>
      <c r="BD23">
        <f t="shared" si="25"/>
        <v>41934.987599384775</v>
      </c>
      <c r="BE23">
        <f t="shared" si="25"/>
        <v>40548.512071880126</v>
      </c>
      <c r="BF23">
        <f t="shared" si="25"/>
        <v>39178.810867032305</v>
      </c>
      <c r="BG23">
        <f t="shared" si="25"/>
        <v>37827.440511104956</v>
      </c>
      <c r="BH23">
        <f t="shared" si="25"/>
        <v>36495.846242269763</v>
      </c>
      <c r="BI23">
        <f t="shared" si="25"/>
        <v>35185.362953838259</v>
      </c>
      <c r="BJ23">
        <f t="shared" si="25"/>
        <v>33897.21646746208</v>
      </c>
      <c r="BK23">
        <f t="shared" si="25"/>
        <v>32632.525116439865</v>
      </c>
      <c r="BL23">
        <f t="shared" si="25"/>
        <v>31392.301618767353</v>
      </c>
      <c r="BM23">
        <f t="shared" si="25"/>
        <v>30177.455219191081</v>
      </c>
      <c r="BN23">
        <f t="shared" si="25"/>
        <v>28988.794079272237</v>
      </c>
      <c r="BO23">
        <f t="shared" si="25"/>
        <v>27827.027894331404</v>
      </c>
      <c r="BP23">
        <f t="shared" si="25"/>
        <v>26692.770716122071</v>
      </c>
      <c r="BQ23">
        <f t="shared" ref="BQ23:CK23" si="26">IF(CalcRefQuarter&gt;=tlInputSched,tlInputProd*1000*365/4*tlInputRel,0)*INDEX(CalcProdProfile,CalcProdProfileRef+0)</f>
        <v>25586.543960166706</v>
      </c>
      <c r="BR23">
        <f t="shared" si="26"/>
        <v>24508.77957687683</v>
      </c>
      <c r="BS23">
        <f t="shared" si="26"/>
        <v>23459.823365863824</v>
      </c>
      <c r="BT23">
        <f t="shared" si="26"/>
        <v>22439.938413221535</v>
      </c>
      <c r="BU23">
        <f t="shared" si="26"/>
        <v>21449.308632021191</v>
      </c>
      <c r="BV23">
        <f t="shared" si="26"/>
        <v>20488.042386794637</v>
      </c>
      <c r="BW23">
        <f t="shared" si="26"/>
        <v>19556.176183388117</v>
      </c>
      <c r="BX23">
        <f t="shared" si="26"/>
        <v>18653.678406238076</v>
      </c>
      <c r="BY23">
        <f t="shared" si="26"/>
        <v>17780.453085846057</v>
      </c>
      <c r="BZ23">
        <f t="shared" si="26"/>
        <v>16936.343680004513</v>
      </c>
      <c r="CA23">
        <f t="shared" si="26"/>
        <v>16121.136853142334</v>
      </c>
      <c r="CB23">
        <f t="shared" si="26"/>
        <v>15334.566239011585</v>
      </c>
      <c r="CC23">
        <f t="shared" si="26"/>
        <v>14576.316172818151</v>
      </c>
      <c r="CD23">
        <f t="shared" si="26"/>
        <v>13846.025379802615</v>
      </c>
      <c r="CE23">
        <f t="shared" si="26"/>
        <v>13143.290608197278</v>
      </c>
      <c r="CF23">
        <f t="shared" si="26"/>
        <v>12467.670195414692</v>
      </c>
      <c r="CG23">
        <f t="shared" si="26"/>
        <v>11818.687557256613</v>
      </c>
      <c r="CH23">
        <f t="shared" si="26"/>
        <v>11195.834590864721</v>
      </c>
      <c r="CI23">
        <f t="shared" si="26"/>
        <v>10598.574983060009</v>
      </c>
      <c r="CJ23">
        <f t="shared" si="26"/>
        <v>10026.347416632278</v>
      </c>
      <c r="CK23">
        <f t="shared" si="26"/>
        <v>9478.5686680396611</v>
      </c>
    </row>
    <row r="24" spans="3:90">
      <c r="C24" t="s">
        <v>279</v>
      </c>
      <c r="E24">
        <v>0</v>
      </c>
      <c r="F24">
        <f>IF(E20&gt;0,F23,0)</f>
        <v>0</v>
      </c>
      <c r="G24">
        <f t="shared" ref="G24:BR24" si="27">IF(F20&gt;0,G23,0)</f>
        <v>0</v>
      </c>
      <c r="H24">
        <f t="shared" si="27"/>
        <v>0</v>
      </c>
      <c r="I24">
        <f t="shared" si="27"/>
        <v>0</v>
      </c>
      <c r="J24">
        <f t="shared" si="27"/>
        <v>0</v>
      </c>
      <c r="K24">
        <f t="shared" si="27"/>
        <v>0</v>
      </c>
      <c r="L24">
        <f t="shared" si="27"/>
        <v>0</v>
      </c>
      <c r="M24">
        <f t="shared" si="27"/>
        <v>80834.26522954728</v>
      </c>
      <c r="N24">
        <f t="shared" si="27"/>
        <v>81291.142681334546</v>
      </c>
      <c r="O24">
        <f t="shared" si="27"/>
        <v>81647.058835639997</v>
      </c>
      <c r="P24">
        <f t="shared" si="27"/>
        <v>81903.514340957074</v>
      </c>
      <c r="Q24">
        <f t="shared" si="27"/>
        <v>82062.202399992675</v>
      </c>
      <c r="R24">
        <f t="shared" si="27"/>
        <v>82125</v>
      </c>
      <c r="S24">
        <f t="shared" si="27"/>
        <v>82093.958705357145</v>
      </c>
      <c r="T24">
        <f>IF(S20&gt;0,T23,0)</f>
        <v>81971.295057756681</v>
      </c>
      <c r="U24">
        <f t="shared" si="27"/>
        <v>81759.380630192594</v>
      </c>
      <c r="V24">
        <f t="shared" si="27"/>
        <v>81460.73178150176</v>
      </c>
      <c r="W24">
        <f t="shared" si="27"/>
        <v>81077.999158539213</v>
      </c>
      <c r="X24">
        <f t="shared" si="27"/>
        <v>80613.956993142478</v>
      </c>
      <c r="Y24">
        <f t="shared" si="27"/>
        <v>80071.492240876119</v>
      </c>
      <c r="Z24">
        <f t="shared" si="27"/>
        <v>0</v>
      </c>
      <c r="AA24">
        <f t="shared" si="27"/>
        <v>0</v>
      </c>
      <c r="AB24">
        <f t="shared" si="27"/>
        <v>0</v>
      </c>
      <c r="AC24">
        <f t="shared" si="27"/>
        <v>0</v>
      </c>
      <c r="AD24">
        <f t="shared" si="27"/>
        <v>0</v>
      </c>
      <c r="AE24">
        <f t="shared" si="27"/>
        <v>0</v>
      </c>
      <c r="AF24">
        <f t="shared" si="27"/>
        <v>0</v>
      </c>
      <c r="AG24">
        <f t="shared" si="27"/>
        <v>0</v>
      </c>
      <c r="AH24">
        <f t="shared" si="27"/>
        <v>0</v>
      </c>
      <c r="AI24">
        <f t="shared" si="27"/>
        <v>0</v>
      </c>
      <c r="AJ24">
        <f t="shared" si="27"/>
        <v>0</v>
      </c>
      <c r="AK24">
        <f t="shared" si="27"/>
        <v>0</v>
      </c>
      <c r="AL24">
        <f t="shared" si="27"/>
        <v>0</v>
      </c>
      <c r="AM24">
        <f t="shared" si="27"/>
        <v>0</v>
      </c>
      <c r="AN24">
        <f t="shared" si="27"/>
        <v>0</v>
      </c>
      <c r="AO24">
        <f t="shared" si="27"/>
        <v>0</v>
      </c>
      <c r="AP24">
        <f t="shared" si="27"/>
        <v>0</v>
      </c>
      <c r="AQ24">
        <f t="shared" si="27"/>
        <v>0</v>
      </c>
      <c r="AR24">
        <f t="shared" si="27"/>
        <v>0</v>
      </c>
      <c r="AS24">
        <f t="shared" si="27"/>
        <v>0</v>
      </c>
      <c r="AT24">
        <f t="shared" si="27"/>
        <v>0</v>
      </c>
      <c r="AU24">
        <f t="shared" si="27"/>
        <v>0</v>
      </c>
      <c r="AV24">
        <f t="shared" si="27"/>
        <v>0</v>
      </c>
      <c r="AW24">
        <f t="shared" si="27"/>
        <v>0</v>
      </c>
      <c r="AX24">
        <f t="shared" si="27"/>
        <v>0</v>
      </c>
      <c r="AY24">
        <f t="shared" si="27"/>
        <v>0</v>
      </c>
      <c r="AZ24">
        <f t="shared" si="27"/>
        <v>0</v>
      </c>
      <c r="BA24">
        <f t="shared" si="27"/>
        <v>0</v>
      </c>
      <c r="BB24">
        <f t="shared" si="27"/>
        <v>0</v>
      </c>
      <c r="BC24">
        <f t="shared" si="27"/>
        <v>0</v>
      </c>
      <c r="BD24">
        <f t="shared" si="27"/>
        <v>0</v>
      </c>
      <c r="BE24">
        <f t="shared" si="27"/>
        <v>0</v>
      </c>
      <c r="BF24">
        <f t="shared" si="27"/>
        <v>0</v>
      </c>
      <c r="BG24">
        <f t="shared" si="27"/>
        <v>0</v>
      </c>
      <c r="BH24">
        <f t="shared" si="27"/>
        <v>0</v>
      </c>
      <c r="BI24">
        <f t="shared" si="27"/>
        <v>0</v>
      </c>
      <c r="BJ24">
        <f t="shared" si="27"/>
        <v>0</v>
      </c>
      <c r="BK24">
        <f t="shared" si="27"/>
        <v>0</v>
      </c>
      <c r="BL24">
        <f t="shared" si="27"/>
        <v>0</v>
      </c>
      <c r="BM24">
        <f t="shared" si="27"/>
        <v>0</v>
      </c>
      <c r="BN24">
        <f t="shared" si="27"/>
        <v>0</v>
      </c>
      <c r="BO24">
        <f t="shared" si="27"/>
        <v>0</v>
      </c>
      <c r="BP24">
        <f t="shared" si="27"/>
        <v>0</v>
      </c>
      <c r="BQ24">
        <f t="shared" si="27"/>
        <v>0</v>
      </c>
      <c r="BR24">
        <f t="shared" si="27"/>
        <v>0</v>
      </c>
      <c r="BS24">
        <f t="shared" ref="BS24:CK24" si="28">IF(BR20&gt;0,BS23,0)</f>
        <v>0</v>
      </c>
      <c r="BT24">
        <f t="shared" si="28"/>
        <v>0</v>
      </c>
      <c r="BU24">
        <f t="shared" si="28"/>
        <v>0</v>
      </c>
      <c r="BV24">
        <f t="shared" si="28"/>
        <v>0</v>
      </c>
      <c r="BW24">
        <f t="shared" si="28"/>
        <v>0</v>
      </c>
      <c r="BX24">
        <f t="shared" si="28"/>
        <v>0</v>
      </c>
      <c r="BY24">
        <f t="shared" si="28"/>
        <v>0</v>
      </c>
      <c r="BZ24">
        <f t="shared" si="28"/>
        <v>0</v>
      </c>
      <c r="CA24">
        <f t="shared" si="28"/>
        <v>0</v>
      </c>
      <c r="CB24">
        <f t="shared" si="28"/>
        <v>0</v>
      </c>
      <c r="CC24">
        <f t="shared" si="28"/>
        <v>0</v>
      </c>
      <c r="CD24">
        <f t="shared" si="28"/>
        <v>0</v>
      </c>
      <c r="CE24">
        <f t="shared" si="28"/>
        <v>0</v>
      </c>
      <c r="CF24">
        <f t="shared" si="28"/>
        <v>0</v>
      </c>
      <c r="CG24">
        <f t="shared" si="28"/>
        <v>0</v>
      </c>
      <c r="CH24">
        <f t="shared" si="28"/>
        <v>0</v>
      </c>
      <c r="CI24">
        <f t="shared" si="28"/>
        <v>0</v>
      </c>
      <c r="CJ24">
        <f t="shared" si="28"/>
        <v>0</v>
      </c>
      <c r="CK24">
        <f t="shared" si="28"/>
        <v>0</v>
      </c>
      <c r="CL24" t="s">
        <v>126</v>
      </c>
    </row>
    <row r="25" spans="3:90" ht="2.1" customHeight="1">
      <c r="C25" s="95"/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  <c r="AB25" s="95"/>
      <c r="AC25" s="95"/>
      <c r="AD25" s="95"/>
      <c r="AE25" s="95"/>
      <c r="AF25" s="95"/>
      <c r="AG25" s="95"/>
      <c r="AH25" s="95"/>
      <c r="AI25" s="95"/>
      <c r="AJ25" s="95"/>
      <c r="AK25" s="95"/>
      <c r="AL25" s="95"/>
      <c r="AM25" s="95"/>
      <c r="AN25" s="95"/>
      <c r="AO25" s="95"/>
      <c r="AP25" s="95"/>
      <c r="AQ25" s="95"/>
      <c r="AR25" s="95"/>
      <c r="AS25" s="95"/>
      <c r="AT25" s="95"/>
      <c r="AU25" s="95"/>
      <c r="AV25" s="95"/>
      <c r="AW25" s="95"/>
      <c r="AX25" s="95"/>
      <c r="AY25" s="95"/>
      <c r="AZ25" s="95"/>
      <c r="BA25" s="95"/>
      <c r="BB25" s="95"/>
      <c r="BC25" s="95"/>
      <c r="BD25" s="95"/>
      <c r="BE25" s="95"/>
      <c r="BF25" s="95"/>
      <c r="BG25" s="95"/>
      <c r="BH25" s="95"/>
      <c r="BI25" s="95"/>
      <c r="BJ25" s="95"/>
      <c r="BK25" s="95"/>
      <c r="BL25" s="95"/>
      <c r="BM25" s="95"/>
      <c r="BN25" s="95"/>
      <c r="BO25" s="95"/>
      <c r="BP25" s="95"/>
      <c r="BQ25" s="95"/>
      <c r="BR25" s="95"/>
      <c r="BS25" s="95"/>
      <c r="BT25" s="95"/>
      <c r="BU25" s="95"/>
      <c r="BV25" s="95"/>
      <c r="BW25" s="95"/>
      <c r="BX25" s="95"/>
      <c r="BY25" s="95"/>
      <c r="BZ25" s="95"/>
      <c r="CA25" s="95"/>
      <c r="CB25" s="95"/>
      <c r="CC25" s="95"/>
      <c r="CD25" s="95"/>
      <c r="CE25" s="95"/>
      <c r="CF25" s="95"/>
      <c r="CG25" s="95"/>
      <c r="CH25" s="95"/>
      <c r="CI25" s="95"/>
      <c r="CJ25" s="95"/>
      <c r="CK25" s="95"/>
    </row>
    <row r="26" spans="3:90">
      <c r="C26" t="s">
        <v>109</v>
      </c>
      <c r="E26" s="97">
        <f>E22+E24</f>
        <v>10406250</v>
      </c>
      <c r="F26" s="97">
        <f t="shared" ref="F26:BQ26" si="29">F22+F24</f>
        <v>10465066.40625</v>
      </c>
      <c r="G26" s="97">
        <f t="shared" si="29"/>
        <v>10510885.496337891</v>
      </c>
      <c r="H26" s="97">
        <f t="shared" si="29"/>
        <v>10543900.457191773</v>
      </c>
      <c r="I26" s="97">
        <f t="shared" si="29"/>
        <v>10564329.264327582</v>
      </c>
      <c r="J26" s="97">
        <f t="shared" si="29"/>
        <v>10572413.552880468</v>
      </c>
      <c r="K26" s="97">
        <f t="shared" si="29"/>
        <v>10568417.432281611</v>
      </c>
      <c r="L26" s="97">
        <f t="shared" si="29"/>
        <v>10552626.250420583</v>
      </c>
      <c r="M26" s="97">
        <f t="shared" si="29"/>
        <v>10606179.578468647</v>
      </c>
      <c r="N26" s="97">
        <f t="shared" si="29"/>
        <v>10568189.708456798</v>
      </c>
      <c r="O26" s="97">
        <f t="shared" si="29"/>
        <v>10519274.299556142</v>
      </c>
      <c r="P26" s="97">
        <f t="shared" si="29"/>
        <v>10459791.994896485</v>
      </c>
      <c r="Q26" s="97">
        <f t="shared" si="29"/>
        <v>10390116.141721781</v>
      </c>
      <c r="R26" s="97">
        <f t="shared" si="29"/>
        <v>10310633.370019622</v>
      </c>
      <c r="S26" s="97">
        <f t="shared" si="29"/>
        <v>10221742.162260434</v>
      </c>
      <c r="T26" s="97">
        <f t="shared" si="29"/>
        <v>10123851.420101104</v>
      </c>
      <c r="U26" s="97">
        <f t="shared" si="29"/>
        <v>10017379.033773443</v>
      </c>
      <c r="V26" s="97">
        <f t="shared" si="29"/>
        <v>9902750.4597179461</v>
      </c>
      <c r="W26" s="97">
        <f t="shared" si="29"/>
        <v>9780397.3118394762</v>
      </c>
      <c r="X26" s="97">
        <f t="shared" si="29"/>
        <v>9650755.971555192</v>
      </c>
      <c r="Y26" s="97">
        <f t="shared" si="29"/>
        <v>9514266.2215782087</v>
      </c>
      <c r="Z26" s="97">
        <f t="shared" si="29"/>
        <v>9291916.314526692</v>
      </c>
      <c r="AA26" s="97">
        <f t="shared" si="29"/>
        <v>9143746.2955370732</v>
      </c>
      <c r="AB26" s="97">
        <f t="shared" si="29"/>
        <v>8990123.6088345107</v>
      </c>
      <c r="AC26" s="97">
        <f t="shared" si="29"/>
        <v>8831485.3859869502</v>
      </c>
      <c r="AD26" s="97">
        <f t="shared" si="29"/>
        <v>8668265.7821012624</v>
      </c>
      <c r="AE26" s="97">
        <f t="shared" si="29"/>
        <v>8500894.8518690355</v>
      </c>
      <c r="AF26" s="97">
        <f t="shared" si="29"/>
        <v>8329797.4761203071</v>
      </c>
      <c r="AG26" s="97">
        <f t="shared" si="29"/>
        <v>8155392.341464038</v>
      </c>
      <c r="AH26" s="97">
        <f t="shared" si="29"/>
        <v>7978090.9752712473</v>
      </c>
      <c r="AI26" s="97">
        <f t="shared" si="29"/>
        <v>7798296.8379327022</v>
      </c>
      <c r="AJ26" s="97">
        <f t="shared" si="29"/>
        <v>7616404.4740001746</v>
      </c>
      <c r="AK26" s="97">
        <f t="shared" si="29"/>
        <v>7432798.7235001018</v>
      </c>
      <c r="AL26" s="97">
        <f t="shared" si="29"/>
        <v>7247853.994392721</v>
      </c>
      <c r="AM26" s="97">
        <f t="shared" si="29"/>
        <v>7061933.5968401302</v>
      </c>
      <c r="AN26" s="97">
        <f t="shared" si="29"/>
        <v>6875389.1396447252</v>
      </c>
      <c r="AO26" s="97">
        <f t="shared" si="29"/>
        <v>6688559.9889264638</v>
      </c>
      <c r="AP26" s="97">
        <f t="shared" si="29"/>
        <v>6501772.7888247482</v>
      </c>
      <c r="AQ26" s="97">
        <f t="shared" si="29"/>
        <v>6315341.0437397817</v>
      </c>
      <c r="AR26" s="97">
        <f t="shared" si="29"/>
        <v>6129564.7613697704</v>
      </c>
      <c r="AS26" s="97">
        <f t="shared" si="29"/>
        <v>5944730.1555557018</v>
      </c>
      <c r="AT26" s="97">
        <f t="shared" si="29"/>
        <v>5761109.4077151865</v>
      </c>
      <c r="AU26" s="97">
        <f t="shared" si="29"/>
        <v>5578960.4854318313</v>
      </c>
      <c r="AV26" s="97">
        <f t="shared" si="29"/>
        <v>5398527.0165675487</v>
      </c>
      <c r="AW26" s="97">
        <f t="shared" si="29"/>
        <v>5220038.2170822853</v>
      </c>
      <c r="AX26" s="97">
        <f t="shared" si="29"/>
        <v>5043708.8705796394</v>
      </c>
      <c r="AY26" s="97">
        <f t="shared" si="29"/>
        <v>4869739.3574476186</v>
      </c>
      <c r="AZ26" s="97">
        <f t="shared" si="29"/>
        <v>4698315.7313316837</v>
      </c>
      <c r="BA26" s="97">
        <f t="shared" si="29"/>
        <v>4529609.8405622886</v>
      </c>
      <c r="BB26" s="97">
        <f t="shared" si="29"/>
        <v>4363779.4920611149</v>
      </c>
      <c r="BC26" s="97">
        <f t="shared" si="29"/>
        <v>4200968.6551690847</v>
      </c>
      <c r="BD26" s="97">
        <f t="shared" si="29"/>
        <v>4041307.7027746416</v>
      </c>
      <c r="BE26" s="97">
        <f t="shared" si="29"/>
        <v>3884913.68707238</v>
      </c>
      <c r="BF26" s="97">
        <f t="shared" si="29"/>
        <v>3731890.647249423</v>
      </c>
      <c r="BG26" s="97">
        <f t="shared" si="29"/>
        <v>3582329.9463794478</v>
      </c>
      <c r="BH26" s="97">
        <f t="shared" si="29"/>
        <v>3436310.634801338</v>
      </c>
      <c r="BI26" s="97">
        <f t="shared" si="29"/>
        <v>3293899.837270482</v>
      </c>
      <c r="BJ26" s="97">
        <f t="shared" si="29"/>
        <v>3155153.1611949177</v>
      </c>
      <c r="BK26" s="97">
        <f t="shared" si="29"/>
        <v>3020115.1233052122</v>
      </c>
      <c r="BL26" s="97">
        <f t="shared" si="29"/>
        <v>2888819.5921552069</v>
      </c>
      <c r="BM26" s="97">
        <f t="shared" si="29"/>
        <v>2761290.2439098549</v>
      </c>
      <c r="BN26" s="97">
        <f t="shared" si="29"/>
        <v>2637541.0289453533</v>
      </c>
      <c r="BO26" s="97">
        <f t="shared" si="29"/>
        <v>2517576.6468647886</v>
      </c>
      <c r="BP26" s="97">
        <f t="shared" si="29"/>
        <v>2401393.0276186927</v>
      </c>
      <c r="BQ26" s="97">
        <f t="shared" si="29"/>
        <v>2288977.816513293</v>
      </c>
      <c r="BR26" s="97">
        <f t="shared" ref="BR26:CK26" si="30">BR22+BR24</f>
        <v>2180310.8609889946</v>
      </c>
      <c r="BS26" s="97">
        <f t="shared" si="30"/>
        <v>2075364.6971568072</v>
      </c>
      <c r="BT26" s="97">
        <f t="shared" si="30"/>
        <v>1974105.03419019</v>
      </c>
      <c r="BU26" s="97">
        <f t="shared" si="30"/>
        <v>1876491.2347832376</v>
      </c>
      <c r="BV26" s="97">
        <f t="shared" si="30"/>
        <v>1782476.7900024608</v>
      </c>
      <c r="BW26" s="97">
        <f t="shared" si="30"/>
        <v>1692009.7869777957</v>
      </c>
      <c r="BX26" s="97">
        <f t="shared" si="30"/>
        <v>1605033.3679981267</v>
      </c>
      <c r="BY26" s="97">
        <f t="shared" si="30"/>
        <v>1521486.1796967983</v>
      </c>
      <c r="BZ26" s="97">
        <f t="shared" si="30"/>
        <v>1441302.8111326166</v>
      </c>
      <c r="CA26" s="97">
        <f t="shared" si="30"/>
        <v>1364414.2196910018</v>
      </c>
      <c r="CB26" s="97">
        <f t="shared" si="30"/>
        <v>1290748.1438476853</v>
      </c>
      <c r="CC26" s="97">
        <f t="shared" si="30"/>
        <v>1220229.5019530067</v>
      </c>
      <c r="CD26" s="97">
        <f t="shared" si="30"/>
        <v>1152780.7763079959</v>
      </c>
      <c r="CE26" s="97">
        <f t="shared" si="30"/>
        <v>1088322.3819134494</v>
      </c>
      <c r="CF26" s="97">
        <f t="shared" si="30"/>
        <v>1026773.019379801</v>
      </c>
      <c r="CG26" s="97">
        <f t="shared" si="30"/>
        <v>968050.01158824528</v>
      </c>
      <c r="CH26" s="97">
        <f t="shared" si="30"/>
        <v>912069.62379205215</v>
      </c>
      <c r="CI26" s="97">
        <f t="shared" si="30"/>
        <v>919799.02738351002</v>
      </c>
      <c r="CJ26" s="97">
        <f t="shared" si="30"/>
        <v>865963.7313690047</v>
      </c>
      <c r="CK26" s="97">
        <f t="shared" si="30"/>
        <v>814240.43933077669</v>
      </c>
      <c r="CL26" t="s">
        <v>127</v>
      </c>
    </row>
    <row r="28" spans="3:90">
      <c r="C28" t="s">
        <v>131</v>
      </c>
      <c r="E28" s="98">
        <f t="shared" ref="E28:AJ28" si="31">BaseProdRate</f>
        <v>2.5000000000000001E-2</v>
      </c>
      <c r="F28" s="98">
        <f t="shared" si="31"/>
        <v>2.5000000000000001E-2</v>
      </c>
      <c r="G28" s="98">
        <f t="shared" si="31"/>
        <v>2.5000000000000001E-2</v>
      </c>
      <c r="H28" s="98">
        <f t="shared" si="31"/>
        <v>2.5000000000000001E-2</v>
      </c>
      <c r="I28" s="98">
        <f t="shared" si="31"/>
        <v>2.5000000000000001E-2</v>
      </c>
      <c r="J28" s="98">
        <f t="shared" si="31"/>
        <v>2.5000000000000001E-2</v>
      </c>
      <c r="K28" s="98">
        <f t="shared" si="31"/>
        <v>2.5000000000000001E-2</v>
      </c>
      <c r="L28" s="98">
        <f t="shared" si="31"/>
        <v>2.5000000000000001E-2</v>
      </c>
      <c r="M28" s="98">
        <f t="shared" si="31"/>
        <v>2.5000000000000001E-2</v>
      </c>
      <c r="N28" s="98">
        <f t="shared" si="31"/>
        <v>2.5000000000000001E-2</v>
      </c>
      <c r="O28" s="98">
        <f t="shared" si="31"/>
        <v>2.5000000000000001E-2</v>
      </c>
      <c r="P28" s="98">
        <f t="shared" si="31"/>
        <v>2.5000000000000001E-2</v>
      </c>
      <c r="Q28" s="98">
        <f t="shared" si="31"/>
        <v>2.5000000000000001E-2</v>
      </c>
      <c r="R28" s="98">
        <f t="shared" si="31"/>
        <v>2.5000000000000001E-2</v>
      </c>
      <c r="S28" s="98">
        <f t="shared" si="31"/>
        <v>2.5000000000000001E-2</v>
      </c>
      <c r="T28" s="98">
        <f t="shared" si="31"/>
        <v>2.5000000000000001E-2</v>
      </c>
      <c r="U28" s="98">
        <f t="shared" si="31"/>
        <v>2.5000000000000001E-2</v>
      </c>
      <c r="V28" s="98">
        <f t="shared" si="31"/>
        <v>2.5000000000000001E-2</v>
      </c>
      <c r="W28" s="98">
        <f t="shared" si="31"/>
        <v>2.5000000000000001E-2</v>
      </c>
      <c r="X28" s="98">
        <f t="shared" si="31"/>
        <v>2.5000000000000001E-2</v>
      </c>
      <c r="Y28" s="98">
        <f t="shared" si="31"/>
        <v>2.5000000000000001E-2</v>
      </c>
      <c r="Z28" s="98">
        <f t="shared" si="31"/>
        <v>2.5000000000000001E-2</v>
      </c>
      <c r="AA28" s="98">
        <f t="shared" si="31"/>
        <v>2.5000000000000001E-2</v>
      </c>
      <c r="AB28" s="98">
        <f t="shared" si="31"/>
        <v>2.5000000000000001E-2</v>
      </c>
      <c r="AC28" s="98">
        <f t="shared" si="31"/>
        <v>2.5000000000000001E-2</v>
      </c>
      <c r="AD28" s="98">
        <f t="shared" si="31"/>
        <v>2.5000000000000001E-2</v>
      </c>
      <c r="AE28" s="98">
        <f t="shared" si="31"/>
        <v>2.5000000000000001E-2</v>
      </c>
      <c r="AF28" s="98">
        <f t="shared" si="31"/>
        <v>2.5000000000000001E-2</v>
      </c>
      <c r="AG28" s="98">
        <f t="shared" si="31"/>
        <v>2.5000000000000001E-2</v>
      </c>
      <c r="AH28" s="98">
        <f t="shared" si="31"/>
        <v>2.5000000000000001E-2</v>
      </c>
      <c r="AI28" s="98">
        <f t="shared" si="31"/>
        <v>2.5000000000000001E-2</v>
      </c>
      <c r="AJ28" s="98">
        <f t="shared" si="31"/>
        <v>2.5000000000000001E-2</v>
      </c>
      <c r="AK28" s="98">
        <f t="shared" ref="AK28:BP28" si="32">BaseProdRate</f>
        <v>2.5000000000000001E-2</v>
      </c>
      <c r="AL28" s="98">
        <f t="shared" si="32"/>
        <v>2.5000000000000001E-2</v>
      </c>
      <c r="AM28" s="98">
        <f t="shared" si="32"/>
        <v>2.5000000000000001E-2</v>
      </c>
      <c r="AN28" s="98">
        <f t="shared" si="32"/>
        <v>2.5000000000000001E-2</v>
      </c>
      <c r="AO28" s="98">
        <f t="shared" si="32"/>
        <v>2.5000000000000001E-2</v>
      </c>
      <c r="AP28" s="98">
        <f t="shared" si="32"/>
        <v>2.5000000000000001E-2</v>
      </c>
      <c r="AQ28" s="98">
        <f t="shared" si="32"/>
        <v>2.5000000000000001E-2</v>
      </c>
      <c r="AR28" s="98">
        <f t="shared" si="32"/>
        <v>2.5000000000000001E-2</v>
      </c>
      <c r="AS28" s="98">
        <f t="shared" si="32"/>
        <v>2.5000000000000001E-2</v>
      </c>
      <c r="AT28" s="98">
        <f t="shared" si="32"/>
        <v>2.5000000000000001E-2</v>
      </c>
      <c r="AU28" s="98">
        <f t="shared" si="32"/>
        <v>2.5000000000000001E-2</v>
      </c>
      <c r="AV28" s="98">
        <f t="shared" si="32"/>
        <v>2.5000000000000001E-2</v>
      </c>
      <c r="AW28" s="98">
        <f t="shared" si="32"/>
        <v>2.5000000000000001E-2</v>
      </c>
      <c r="AX28" s="98">
        <f t="shared" si="32"/>
        <v>2.5000000000000001E-2</v>
      </c>
      <c r="AY28" s="98">
        <f t="shared" si="32"/>
        <v>2.5000000000000001E-2</v>
      </c>
      <c r="AZ28" s="98">
        <f t="shared" si="32"/>
        <v>2.5000000000000001E-2</v>
      </c>
      <c r="BA28" s="98">
        <f t="shared" si="32"/>
        <v>2.5000000000000001E-2</v>
      </c>
      <c r="BB28" s="98">
        <f t="shared" si="32"/>
        <v>2.5000000000000001E-2</v>
      </c>
      <c r="BC28" s="98">
        <f t="shared" si="32"/>
        <v>2.5000000000000001E-2</v>
      </c>
      <c r="BD28" s="98">
        <f t="shared" si="32"/>
        <v>2.5000000000000001E-2</v>
      </c>
      <c r="BE28" s="98">
        <f t="shared" si="32"/>
        <v>2.5000000000000001E-2</v>
      </c>
      <c r="BF28" s="98">
        <f t="shared" si="32"/>
        <v>2.5000000000000001E-2</v>
      </c>
      <c r="BG28" s="98">
        <f t="shared" si="32"/>
        <v>2.5000000000000001E-2</v>
      </c>
      <c r="BH28" s="98">
        <f t="shared" si="32"/>
        <v>2.5000000000000001E-2</v>
      </c>
      <c r="BI28" s="98">
        <f t="shared" si="32"/>
        <v>2.5000000000000001E-2</v>
      </c>
      <c r="BJ28" s="98">
        <f t="shared" si="32"/>
        <v>2.5000000000000001E-2</v>
      </c>
      <c r="BK28" s="98">
        <f t="shared" si="32"/>
        <v>2.5000000000000001E-2</v>
      </c>
      <c r="BL28" s="98">
        <f t="shared" si="32"/>
        <v>2.5000000000000001E-2</v>
      </c>
      <c r="BM28" s="98">
        <f t="shared" si="32"/>
        <v>2.5000000000000001E-2</v>
      </c>
      <c r="BN28" s="98">
        <f t="shared" si="32"/>
        <v>2.5000000000000001E-2</v>
      </c>
      <c r="BO28" s="98">
        <f t="shared" si="32"/>
        <v>2.5000000000000001E-2</v>
      </c>
      <c r="BP28" s="98">
        <f t="shared" si="32"/>
        <v>2.5000000000000001E-2</v>
      </c>
      <c r="BQ28" s="98">
        <f t="shared" ref="BQ28:CK28" si="33">BaseProdRate</f>
        <v>2.5000000000000001E-2</v>
      </c>
      <c r="BR28" s="98">
        <f t="shared" si="33"/>
        <v>2.5000000000000001E-2</v>
      </c>
      <c r="BS28" s="98">
        <f t="shared" si="33"/>
        <v>2.5000000000000001E-2</v>
      </c>
      <c r="BT28" s="98">
        <f t="shared" si="33"/>
        <v>2.5000000000000001E-2</v>
      </c>
      <c r="BU28" s="98">
        <f t="shared" si="33"/>
        <v>2.5000000000000001E-2</v>
      </c>
      <c r="BV28" s="98">
        <f t="shared" si="33"/>
        <v>2.5000000000000001E-2</v>
      </c>
      <c r="BW28" s="98">
        <f t="shared" si="33"/>
        <v>2.5000000000000001E-2</v>
      </c>
      <c r="BX28" s="98">
        <f t="shared" si="33"/>
        <v>2.5000000000000001E-2</v>
      </c>
      <c r="BY28" s="98">
        <f t="shared" si="33"/>
        <v>2.5000000000000001E-2</v>
      </c>
      <c r="BZ28" s="98">
        <f t="shared" si="33"/>
        <v>2.5000000000000001E-2</v>
      </c>
      <c r="CA28" s="98">
        <f t="shared" si="33"/>
        <v>2.5000000000000001E-2</v>
      </c>
      <c r="CB28" s="98">
        <f t="shared" si="33"/>
        <v>2.5000000000000001E-2</v>
      </c>
      <c r="CC28" s="98">
        <f t="shared" si="33"/>
        <v>2.5000000000000001E-2</v>
      </c>
      <c r="CD28" s="98">
        <f t="shared" si="33"/>
        <v>2.5000000000000001E-2</v>
      </c>
      <c r="CE28" s="98">
        <f t="shared" si="33"/>
        <v>2.5000000000000001E-2</v>
      </c>
      <c r="CF28" s="98">
        <f t="shared" si="33"/>
        <v>2.5000000000000001E-2</v>
      </c>
      <c r="CG28" s="98">
        <f t="shared" si="33"/>
        <v>2.5000000000000001E-2</v>
      </c>
      <c r="CH28" s="98">
        <f t="shared" si="33"/>
        <v>2.5000000000000001E-2</v>
      </c>
      <c r="CI28" s="98">
        <f t="shared" si="33"/>
        <v>2.5000000000000001E-2</v>
      </c>
      <c r="CJ28" s="98">
        <f t="shared" si="33"/>
        <v>2.5000000000000001E-2</v>
      </c>
      <c r="CK28" s="98">
        <f t="shared" si="33"/>
        <v>2.5000000000000001E-2</v>
      </c>
      <c r="CL28" t="s">
        <v>175</v>
      </c>
    </row>
    <row r="29" spans="3:90">
      <c r="C29" t="s">
        <v>132</v>
      </c>
      <c r="E29" s="98">
        <f t="shared" ref="E29:AJ29" si="34">0.25%*CalcRefQuarter</f>
        <v>-1.8749999999999999E-3</v>
      </c>
      <c r="F29" s="98">
        <f t="shared" si="34"/>
        <v>-1.25E-3</v>
      </c>
      <c r="G29" s="98">
        <f t="shared" si="34"/>
        <v>-6.2500000000000001E-4</v>
      </c>
      <c r="H29" s="98">
        <f t="shared" si="34"/>
        <v>0</v>
      </c>
      <c r="I29" s="98">
        <f t="shared" si="34"/>
        <v>6.2500000000000001E-4</v>
      </c>
      <c r="J29" s="98">
        <f t="shared" si="34"/>
        <v>1.25E-3</v>
      </c>
      <c r="K29" s="98">
        <f t="shared" si="34"/>
        <v>1.8749999999999999E-3</v>
      </c>
      <c r="L29" s="98">
        <f t="shared" si="34"/>
        <v>2.5000000000000001E-3</v>
      </c>
      <c r="M29" s="98">
        <f t="shared" si="34"/>
        <v>3.1250000000000002E-3</v>
      </c>
      <c r="N29" s="98">
        <f t="shared" si="34"/>
        <v>3.7499999999999999E-3</v>
      </c>
      <c r="O29" s="98">
        <f t="shared" si="34"/>
        <v>4.3750000000000004E-3</v>
      </c>
      <c r="P29" s="98">
        <f t="shared" si="34"/>
        <v>5.0000000000000001E-3</v>
      </c>
      <c r="Q29" s="98">
        <f t="shared" si="34"/>
        <v>5.6249999999999998E-3</v>
      </c>
      <c r="R29" s="98">
        <f t="shared" si="34"/>
        <v>6.2500000000000003E-3</v>
      </c>
      <c r="S29" s="98">
        <f t="shared" si="34"/>
        <v>6.875E-3</v>
      </c>
      <c r="T29" s="98">
        <f t="shared" si="34"/>
        <v>7.4999999999999997E-3</v>
      </c>
      <c r="U29" s="98">
        <f t="shared" si="34"/>
        <v>8.1250000000000003E-3</v>
      </c>
      <c r="V29" s="98">
        <f t="shared" si="34"/>
        <v>8.7500000000000008E-3</v>
      </c>
      <c r="W29" s="98">
        <f t="shared" si="34"/>
        <v>9.3749999999999997E-3</v>
      </c>
      <c r="X29" s="98">
        <f t="shared" si="34"/>
        <v>0.01</v>
      </c>
      <c r="Y29" s="98">
        <f t="shared" si="34"/>
        <v>1.0625000000000001E-2</v>
      </c>
      <c r="Z29" s="98">
        <f t="shared" si="34"/>
        <v>1.125E-2</v>
      </c>
      <c r="AA29" s="98">
        <f t="shared" si="34"/>
        <v>1.1875E-2</v>
      </c>
      <c r="AB29" s="98">
        <f t="shared" si="34"/>
        <v>1.2500000000000001E-2</v>
      </c>
      <c r="AC29" s="98">
        <f t="shared" si="34"/>
        <v>1.3125E-2</v>
      </c>
      <c r="AD29" s="98">
        <f t="shared" si="34"/>
        <v>1.375E-2</v>
      </c>
      <c r="AE29" s="98">
        <f t="shared" si="34"/>
        <v>1.4375000000000001E-2</v>
      </c>
      <c r="AF29" s="98">
        <f t="shared" si="34"/>
        <v>1.4999999999999999E-2</v>
      </c>
      <c r="AG29" s="98">
        <f t="shared" si="34"/>
        <v>1.5625E-2</v>
      </c>
      <c r="AH29" s="98">
        <f t="shared" si="34"/>
        <v>1.6250000000000001E-2</v>
      </c>
      <c r="AI29" s="98">
        <f t="shared" si="34"/>
        <v>1.6875000000000001E-2</v>
      </c>
      <c r="AJ29" s="98">
        <f t="shared" si="34"/>
        <v>1.7500000000000002E-2</v>
      </c>
      <c r="AK29" s="98">
        <f t="shared" ref="AK29:BP29" si="35">0.25%*CalcRefQuarter</f>
        <v>1.8124999999999999E-2</v>
      </c>
      <c r="AL29" s="98">
        <f t="shared" si="35"/>
        <v>1.8749999999999999E-2</v>
      </c>
      <c r="AM29" s="98">
        <f t="shared" si="35"/>
        <v>1.9375E-2</v>
      </c>
      <c r="AN29" s="98">
        <f t="shared" si="35"/>
        <v>0.02</v>
      </c>
      <c r="AO29" s="98">
        <f t="shared" si="35"/>
        <v>2.0625000000000001E-2</v>
      </c>
      <c r="AP29" s="98">
        <f t="shared" si="35"/>
        <v>2.1250000000000002E-2</v>
      </c>
      <c r="AQ29" s="98">
        <f t="shared" si="35"/>
        <v>2.1875000000000002E-2</v>
      </c>
      <c r="AR29" s="98">
        <f t="shared" si="35"/>
        <v>2.2499999999999999E-2</v>
      </c>
      <c r="AS29" s="98">
        <f t="shared" si="35"/>
        <v>2.3125E-2</v>
      </c>
      <c r="AT29" s="98">
        <f t="shared" si="35"/>
        <v>2.375E-2</v>
      </c>
      <c r="AU29" s="98">
        <f t="shared" si="35"/>
        <v>2.4375000000000001E-2</v>
      </c>
      <c r="AV29" s="98">
        <f t="shared" si="35"/>
        <v>2.5000000000000001E-2</v>
      </c>
      <c r="AW29" s="98">
        <f t="shared" si="35"/>
        <v>2.5625000000000002E-2</v>
      </c>
      <c r="AX29" s="98">
        <f t="shared" si="35"/>
        <v>2.6249999999999999E-2</v>
      </c>
      <c r="AY29" s="98">
        <f t="shared" si="35"/>
        <v>2.6875E-2</v>
      </c>
      <c r="AZ29" s="98">
        <f t="shared" si="35"/>
        <v>2.75E-2</v>
      </c>
      <c r="BA29" s="98">
        <f t="shared" si="35"/>
        <v>2.8125000000000001E-2</v>
      </c>
      <c r="BB29" s="98">
        <f t="shared" si="35"/>
        <v>2.8750000000000001E-2</v>
      </c>
      <c r="BC29" s="98">
        <f t="shared" si="35"/>
        <v>2.9375000000000002E-2</v>
      </c>
      <c r="BD29" s="98">
        <f t="shared" si="35"/>
        <v>0.03</v>
      </c>
      <c r="BE29" s="98">
        <f t="shared" si="35"/>
        <v>3.0624999999999999E-2</v>
      </c>
      <c r="BF29" s="98">
        <f t="shared" si="35"/>
        <v>3.125E-2</v>
      </c>
      <c r="BG29" s="98">
        <f t="shared" si="35"/>
        <v>3.1875000000000001E-2</v>
      </c>
      <c r="BH29" s="98">
        <f t="shared" si="35"/>
        <v>3.2500000000000001E-2</v>
      </c>
      <c r="BI29" s="98">
        <f t="shared" si="35"/>
        <v>3.3125000000000002E-2</v>
      </c>
      <c r="BJ29" s="98">
        <f t="shared" si="35"/>
        <v>3.3750000000000002E-2</v>
      </c>
      <c r="BK29" s="98">
        <f t="shared" si="35"/>
        <v>3.4375000000000003E-2</v>
      </c>
      <c r="BL29" s="98">
        <f t="shared" si="35"/>
        <v>3.5000000000000003E-2</v>
      </c>
      <c r="BM29" s="98">
        <f t="shared" si="35"/>
        <v>3.5625000000000004E-2</v>
      </c>
      <c r="BN29" s="98">
        <f t="shared" si="35"/>
        <v>3.6249999999999998E-2</v>
      </c>
      <c r="BO29" s="98">
        <f t="shared" si="35"/>
        <v>3.6874999999999998E-2</v>
      </c>
      <c r="BP29" s="98">
        <f t="shared" si="35"/>
        <v>3.7499999999999999E-2</v>
      </c>
      <c r="BQ29" s="98">
        <f t="shared" ref="BQ29:CK29" si="36">0.25%*CalcRefQuarter</f>
        <v>3.8124999999999999E-2</v>
      </c>
      <c r="BR29" s="98">
        <f t="shared" si="36"/>
        <v>3.875E-2</v>
      </c>
      <c r="BS29" s="98">
        <f t="shared" si="36"/>
        <v>3.9375E-2</v>
      </c>
      <c r="BT29" s="98">
        <f t="shared" si="36"/>
        <v>0.04</v>
      </c>
      <c r="BU29" s="98">
        <f t="shared" si="36"/>
        <v>4.0625000000000001E-2</v>
      </c>
      <c r="BV29" s="98">
        <f t="shared" si="36"/>
        <v>4.1250000000000002E-2</v>
      </c>
      <c r="BW29" s="98">
        <f t="shared" si="36"/>
        <v>4.1875000000000002E-2</v>
      </c>
      <c r="BX29" s="98">
        <f t="shared" si="36"/>
        <v>4.2500000000000003E-2</v>
      </c>
      <c r="BY29" s="98">
        <f t="shared" si="36"/>
        <v>4.3125000000000004E-2</v>
      </c>
      <c r="BZ29" s="98">
        <f t="shared" si="36"/>
        <v>4.3750000000000004E-2</v>
      </c>
      <c r="CA29" s="98">
        <f t="shared" si="36"/>
        <v>4.4374999999999998E-2</v>
      </c>
      <c r="CB29" s="98">
        <f t="shared" si="36"/>
        <v>4.4999999999999998E-2</v>
      </c>
      <c r="CC29" s="98">
        <f t="shared" si="36"/>
        <v>4.5624999999999999E-2</v>
      </c>
      <c r="CD29" s="98">
        <f t="shared" si="36"/>
        <v>4.6249999999999999E-2</v>
      </c>
      <c r="CE29" s="98">
        <f t="shared" si="36"/>
        <v>4.6875E-2</v>
      </c>
      <c r="CF29" s="98">
        <f t="shared" si="36"/>
        <v>4.7500000000000001E-2</v>
      </c>
      <c r="CG29" s="98">
        <f t="shared" si="36"/>
        <v>4.8125000000000001E-2</v>
      </c>
      <c r="CH29" s="98">
        <f t="shared" si="36"/>
        <v>4.8750000000000002E-2</v>
      </c>
      <c r="CI29" s="98">
        <f t="shared" si="36"/>
        <v>4.9375000000000002E-2</v>
      </c>
      <c r="CJ29" s="98">
        <f t="shared" si="36"/>
        <v>0.05</v>
      </c>
      <c r="CK29" s="98">
        <f t="shared" si="36"/>
        <v>5.0625000000000003E-2</v>
      </c>
      <c r="CL29" t="s">
        <v>176</v>
      </c>
    </row>
    <row r="30" spans="3:90" ht="2.1" customHeight="1"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  <c r="AN30" s="95"/>
      <c r="AO30" s="95"/>
      <c r="AP30" s="95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  <c r="BF30" s="95"/>
      <c r="BG30" s="95"/>
      <c r="BH30" s="95"/>
      <c r="BI30" s="95"/>
      <c r="BJ30" s="95"/>
      <c r="BK30" s="95"/>
      <c r="BL30" s="95"/>
      <c r="BM30" s="95"/>
      <c r="BN30" s="95"/>
      <c r="BO30" s="95"/>
      <c r="BP30" s="95"/>
      <c r="BQ30" s="95"/>
      <c r="BR30" s="95"/>
      <c r="BS30" s="95"/>
      <c r="BT30" s="95"/>
      <c r="BU30" s="95"/>
      <c r="BV30" s="95"/>
      <c r="BW30" s="95"/>
      <c r="BX30" s="95"/>
      <c r="BY30" s="95"/>
      <c r="BZ30" s="95"/>
      <c r="CA30" s="95"/>
      <c r="CB30" s="95"/>
      <c r="CC30" s="95"/>
      <c r="CD30" s="95"/>
      <c r="CE30" s="95"/>
      <c r="CF30" s="95"/>
      <c r="CG30" s="95"/>
      <c r="CH30" s="95"/>
      <c r="CI30" s="95"/>
      <c r="CJ30" s="95"/>
      <c r="CK30" s="95"/>
    </row>
    <row r="31" spans="3:90">
      <c r="C31" t="s">
        <v>133</v>
      </c>
      <c r="E31" s="98">
        <f>SUM(E28:E30)</f>
        <v>2.3125E-2</v>
      </c>
      <c r="F31" s="98">
        <f>SUM(F28:F30)</f>
        <v>2.375E-2</v>
      </c>
      <c r="G31" s="98">
        <f t="shared" ref="G31:BR31" si="37">SUM(G28:G30)</f>
        <v>2.4375000000000001E-2</v>
      </c>
      <c r="H31" s="98">
        <f t="shared" si="37"/>
        <v>2.5000000000000001E-2</v>
      </c>
      <c r="I31" s="98">
        <f t="shared" si="37"/>
        <v>2.5625000000000002E-2</v>
      </c>
      <c r="J31" s="98">
        <f t="shared" si="37"/>
        <v>2.6250000000000002E-2</v>
      </c>
      <c r="K31" s="98">
        <f t="shared" si="37"/>
        <v>2.6875000000000003E-2</v>
      </c>
      <c r="L31" s="98">
        <f t="shared" si="37"/>
        <v>2.75E-2</v>
      </c>
      <c r="M31" s="98">
        <f t="shared" si="37"/>
        <v>2.8125000000000001E-2</v>
      </c>
      <c r="N31" s="98">
        <f t="shared" si="37"/>
        <v>2.8750000000000001E-2</v>
      </c>
      <c r="O31" s="98">
        <f t="shared" si="37"/>
        <v>2.9375000000000002E-2</v>
      </c>
      <c r="P31" s="98">
        <f t="shared" si="37"/>
        <v>3.0000000000000002E-2</v>
      </c>
      <c r="Q31" s="98">
        <f t="shared" si="37"/>
        <v>3.0624999999999999E-2</v>
      </c>
      <c r="R31" s="98">
        <f t="shared" si="37"/>
        <v>3.125E-2</v>
      </c>
      <c r="S31" s="98">
        <f t="shared" si="37"/>
        <v>3.1875000000000001E-2</v>
      </c>
      <c r="T31" s="98">
        <f t="shared" si="37"/>
        <v>3.2500000000000001E-2</v>
      </c>
      <c r="U31" s="98">
        <f t="shared" si="37"/>
        <v>3.3125000000000002E-2</v>
      </c>
      <c r="V31" s="98">
        <f t="shared" si="37"/>
        <v>3.3750000000000002E-2</v>
      </c>
      <c r="W31" s="98">
        <f t="shared" si="37"/>
        <v>3.4375000000000003E-2</v>
      </c>
      <c r="X31" s="98">
        <f t="shared" si="37"/>
        <v>3.5000000000000003E-2</v>
      </c>
      <c r="Y31" s="98">
        <f t="shared" si="37"/>
        <v>3.5625000000000004E-2</v>
      </c>
      <c r="Z31" s="98">
        <f t="shared" si="37"/>
        <v>3.6250000000000004E-2</v>
      </c>
      <c r="AA31" s="98">
        <f t="shared" si="37"/>
        <v>3.6875000000000005E-2</v>
      </c>
      <c r="AB31" s="98">
        <f t="shared" si="37"/>
        <v>3.7500000000000006E-2</v>
      </c>
      <c r="AC31" s="98">
        <f t="shared" si="37"/>
        <v>3.8124999999999999E-2</v>
      </c>
      <c r="AD31" s="98">
        <f t="shared" si="37"/>
        <v>3.875E-2</v>
      </c>
      <c r="AE31" s="98">
        <f t="shared" si="37"/>
        <v>3.9375E-2</v>
      </c>
      <c r="AF31" s="98">
        <f t="shared" si="37"/>
        <v>0.04</v>
      </c>
      <c r="AG31" s="98">
        <f t="shared" si="37"/>
        <v>4.0625000000000001E-2</v>
      </c>
      <c r="AH31" s="98">
        <f t="shared" si="37"/>
        <v>4.1250000000000002E-2</v>
      </c>
      <c r="AI31" s="98">
        <f t="shared" si="37"/>
        <v>4.1875000000000002E-2</v>
      </c>
      <c r="AJ31" s="98">
        <f t="shared" si="37"/>
        <v>4.2500000000000003E-2</v>
      </c>
      <c r="AK31" s="98">
        <f t="shared" si="37"/>
        <v>4.3124999999999997E-2</v>
      </c>
      <c r="AL31" s="98">
        <f t="shared" si="37"/>
        <v>4.3749999999999997E-2</v>
      </c>
      <c r="AM31" s="98">
        <f t="shared" si="37"/>
        <v>4.4374999999999998E-2</v>
      </c>
      <c r="AN31" s="98">
        <f t="shared" si="37"/>
        <v>4.4999999999999998E-2</v>
      </c>
      <c r="AO31" s="98">
        <f t="shared" si="37"/>
        <v>4.5624999999999999E-2</v>
      </c>
      <c r="AP31" s="98">
        <f t="shared" si="37"/>
        <v>4.6249999999999999E-2</v>
      </c>
      <c r="AQ31" s="98">
        <f t="shared" si="37"/>
        <v>4.6875E-2</v>
      </c>
      <c r="AR31" s="98">
        <f t="shared" si="37"/>
        <v>4.7500000000000001E-2</v>
      </c>
      <c r="AS31" s="98">
        <f t="shared" si="37"/>
        <v>4.8125000000000001E-2</v>
      </c>
      <c r="AT31" s="98">
        <f t="shared" si="37"/>
        <v>4.8750000000000002E-2</v>
      </c>
      <c r="AU31" s="98">
        <f t="shared" si="37"/>
        <v>4.9375000000000002E-2</v>
      </c>
      <c r="AV31" s="98">
        <f t="shared" si="37"/>
        <v>0.05</v>
      </c>
      <c r="AW31" s="98">
        <f t="shared" si="37"/>
        <v>5.0625000000000003E-2</v>
      </c>
      <c r="AX31" s="98">
        <f t="shared" si="37"/>
        <v>5.1250000000000004E-2</v>
      </c>
      <c r="AY31" s="98">
        <f t="shared" si="37"/>
        <v>5.1875000000000004E-2</v>
      </c>
      <c r="AZ31" s="98">
        <f t="shared" si="37"/>
        <v>5.2500000000000005E-2</v>
      </c>
      <c r="BA31" s="98">
        <f t="shared" si="37"/>
        <v>5.3125000000000006E-2</v>
      </c>
      <c r="BB31" s="98">
        <f t="shared" si="37"/>
        <v>5.3750000000000006E-2</v>
      </c>
      <c r="BC31" s="98">
        <f t="shared" si="37"/>
        <v>5.4375000000000007E-2</v>
      </c>
      <c r="BD31" s="98">
        <f t="shared" si="37"/>
        <v>5.5E-2</v>
      </c>
      <c r="BE31" s="98">
        <f t="shared" si="37"/>
        <v>5.5625000000000001E-2</v>
      </c>
      <c r="BF31" s="98">
        <f t="shared" si="37"/>
        <v>5.6250000000000001E-2</v>
      </c>
      <c r="BG31" s="98">
        <f t="shared" si="37"/>
        <v>5.6875000000000002E-2</v>
      </c>
      <c r="BH31" s="98">
        <f t="shared" si="37"/>
        <v>5.7500000000000002E-2</v>
      </c>
      <c r="BI31" s="98">
        <f t="shared" si="37"/>
        <v>5.8125000000000003E-2</v>
      </c>
      <c r="BJ31" s="98">
        <f t="shared" si="37"/>
        <v>5.8750000000000004E-2</v>
      </c>
      <c r="BK31" s="98">
        <f t="shared" si="37"/>
        <v>5.9375000000000004E-2</v>
      </c>
      <c r="BL31" s="98">
        <f t="shared" si="37"/>
        <v>6.0000000000000005E-2</v>
      </c>
      <c r="BM31" s="98">
        <f t="shared" si="37"/>
        <v>6.0625000000000005E-2</v>
      </c>
      <c r="BN31" s="98">
        <f t="shared" si="37"/>
        <v>6.1249999999999999E-2</v>
      </c>
      <c r="BO31" s="98">
        <f t="shared" si="37"/>
        <v>6.1874999999999999E-2</v>
      </c>
      <c r="BP31" s="98">
        <f t="shared" si="37"/>
        <v>6.25E-2</v>
      </c>
      <c r="BQ31" s="98">
        <f t="shared" si="37"/>
        <v>6.3125000000000001E-2</v>
      </c>
      <c r="BR31" s="98">
        <f t="shared" si="37"/>
        <v>6.3750000000000001E-2</v>
      </c>
      <c r="BS31" s="98">
        <f t="shared" ref="BS31:CK31" si="38">SUM(BS28:BS30)</f>
        <v>6.4375000000000002E-2</v>
      </c>
      <c r="BT31" s="98">
        <f t="shared" si="38"/>
        <v>6.5000000000000002E-2</v>
      </c>
      <c r="BU31" s="98">
        <f t="shared" si="38"/>
        <v>6.5625000000000003E-2</v>
      </c>
      <c r="BV31" s="98">
        <f t="shared" si="38"/>
        <v>6.6250000000000003E-2</v>
      </c>
      <c r="BW31" s="98">
        <f t="shared" si="38"/>
        <v>6.6875000000000004E-2</v>
      </c>
      <c r="BX31" s="98">
        <f t="shared" si="38"/>
        <v>6.7500000000000004E-2</v>
      </c>
      <c r="BY31" s="98">
        <f t="shared" si="38"/>
        <v>6.8125000000000005E-2</v>
      </c>
      <c r="BZ31" s="98">
        <f t="shared" si="38"/>
        <v>6.8750000000000006E-2</v>
      </c>
      <c r="CA31" s="98">
        <f t="shared" si="38"/>
        <v>6.9374999999999992E-2</v>
      </c>
      <c r="CB31" s="98">
        <f t="shared" si="38"/>
        <v>7.0000000000000007E-2</v>
      </c>
      <c r="CC31" s="98">
        <f t="shared" si="38"/>
        <v>7.0624999999999993E-2</v>
      </c>
      <c r="CD31" s="98">
        <f t="shared" si="38"/>
        <v>7.1250000000000008E-2</v>
      </c>
      <c r="CE31" s="98">
        <f t="shared" si="38"/>
        <v>7.1874999999999994E-2</v>
      </c>
      <c r="CF31" s="98">
        <f t="shared" si="38"/>
        <v>7.2500000000000009E-2</v>
      </c>
      <c r="CG31" s="98">
        <f t="shared" si="38"/>
        <v>7.3124999999999996E-2</v>
      </c>
      <c r="CH31" s="98">
        <f t="shared" si="38"/>
        <v>7.375000000000001E-2</v>
      </c>
      <c r="CI31" s="98">
        <f t="shared" ref="CI31" si="39">SUM(CI28:CI30)</f>
        <v>7.4374999999999997E-2</v>
      </c>
      <c r="CJ31" s="98">
        <f t="shared" si="38"/>
        <v>7.5000000000000011E-2</v>
      </c>
      <c r="CK31" s="98">
        <f t="shared" si="38"/>
        <v>7.5624999999999998E-2</v>
      </c>
      <c r="CL31" t="s">
        <v>177</v>
      </c>
    </row>
    <row r="33" spans="3:90">
      <c r="C33" t="s">
        <v>110</v>
      </c>
      <c r="E33" s="154">
        <v>0</v>
      </c>
      <c r="F33" s="154">
        <v>0</v>
      </c>
      <c r="G33" s="154">
        <v>0</v>
      </c>
      <c r="H33" s="154">
        <v>0</v>
      </c>
      <c r="I33" s="116">
        <f t="shared" ref="I33:AN33" si="40">IF(CalcRefQuarter&lt;=tlInputSched,CalcSched,0)*1000000</f>
        <v>2500000</v>
      </c>
      <c r="J33" s="116">
        <f t="shared" si="40"/>
        <v>2500000</v>
      </c>
      <c r="K33" s="116">
        <f t="shared" si="40"/>
        <v>2500000</v>
      </c>
      <c r="L33" s="116">
        <f t="shared" si="40"/>
        <v>2500000</v>
      </c>
      <c r="M33" s="116">
        <f t="shared" si="40"/>
        <v>0</v>
      </c>
      <c r="N33" s="116">
        <f t="shared" si="40"/>
        <v>0</v>
      </c>
      <c r="O33" s="116">
        <f t="shared" si="40"/>
        <v>0</v>
      </c>
      <c r="P33" s="116">
        <f t="shared" si="40"/>
        <v>0</v>
      </c>
      <c r="Q33" s="116">
        <f t="shared" si="40"/>
        <v>0</v>
      </c>
      <c r="R33" s="116">
        <f t="shared" si="40"/>
        <v>0</v>
      </c>
      <c r="S33" s="116">
        <f t="shared" si="40"/>
        <v>0</v>
      </c>
      <c r="T33" s="116">
        <f t="shared" si="40"/>
        <v>0</v>
      </c>
      <c r="U33" s="116">
        <f t="shared" si="40"/>
        <v>0</v>
      </c>
      <c r="V33" s="116">
        <f t="shared" si="40"/>
        <v>0</v>
      </c>
      <c r="W33" s="116">
        <f t="shared" si="40"/>
        <v>0</v>
      </c>
      <c r="X33" s="116">
        <f t="shared" si="40"/>
        <v>0</v>
      </c>
      <c r="Y33" s="116">
        <f t="shared" si="40"/>
        <v>0</v>
      </c>
      <c r="Z33" s="116">
        <f t="shared" si="40"/>
        <v>0</v>
      </c>
      <c r="AA33" s="116">
        <f t="shared" si="40"/>
        <v>0</v>
      </c>
      <c r="AB33" s="116">
        <f t="shared" si="40"/>
        <v>0</v>
      </c>
      <c r="AC33" s="116">
        <f t="shared" si="40"/>
        <v>0</v>
      </c>
      <c r="AD33" s="116">
        <f t="shared" si="40"/>
        <v>0</v>
      </c>
      <c r="AE33" s="116">
        <f t="shared" si="40"/>
        <v>0</v>
      </c>
      <c r="AF33" s="116">
        <f t="shared" si="40"/>
        <v>0</v>
      </c>
      <c r="AG33" s="116">
        <f t="shared" si="40"/>
        <v>0</v>
      </c>
      <c r="AH33" s="116">
        <f t="shared" si="40"/>
        <v>0</v>
      </c>
      <c r="AI33" s="116">
        <f t="shared" si="40"/>
        <v>0</v>
      </c>
      <c r="AJ33" s="116">
        <f t="shared" si="40"/>
        <v>0</v>
      </c>
      <c r="AK33" s="116">
        <f t="shared" si="40"/>
        <v>0</v>
      </c>
      <c r="AL33" s="116">
        <f t="shared" si="40"/>
        <v>0</v>
      </c>
      <c r="AM33" s="116">
        <f t="shared" si="40"/>
        <v>0</v>
      </c>
      <c r="AN33" s="116">
        <f t="shared" si="40"/>
        <v>0</v>
      </c>
      <c r="AO33" s="116">
        <f t="shared" ref="AO33:BT33" si="41">IF(CalcRefQuarter&lt;=tlInputSched,CalcSched,0)*1000000</f>
        <v>0</v>
      </c>
      <c r="AP33" s="116">
        <f t="shared" si="41"/>
        <v>0</v>
      </c>
      <c r="AQ33" s="116">
        <f t="shared" si="41"/>
        <v>0</v>
      </c>
      <c r="AR33" s="116">
        <f t="shared" si="41"/>
        <v>0</v>
      </c>
      <c r="AS33" s="116">
        <f t="shared" si="41"/>
        <v>0</v>
      </c>
      <c r="AT33" s="116">
        <f t="shared" si="41"/>
        <v>0</v>
      </c>
      <c r="AU33" s="116">
        <f t="shared" si="41"/>
        <v>0</v>
      </c>
      <c r="AV33" s="116">
        <f t="shared" si="41"/>
        <v>0</v>
      </c>
      <c r="AW33" s="116">
        <f t="shared" si="41"/>
        <v>0</v>
      </c>
      <c r="AX33" s="116">
        <f t="shared" si="41"/>
        <v>0</v>
      </c>
      <c r="AY33" s="116">
        <f t="shared" si="41"/>
        <v>0</v>
      </c>
      <c r="AZ33" s="116">
        <f t="shared" si="41"/>
        <v>0</v>
      </c>
      <c r="BA33" s="116">
        <f t="shared" si="41"/>
        <v>0</v>
      </c>
      <c r="BB33" s="116">
        <f t="shared" si="41"/>
        <v>0</v>
      </c>
      <c r="BC33" s="116">
        <f t="shared" si="41"/>
        <v>0</v>
      </c>
      <c r="BD33" s="116">
        <f t="shared" si="41"/>
        <v>0</v>
      </c>
      <c r="BE33" s="116">
        <f t="shared" si="41"/>
        <v>0</v>
      </c>
      <c r="BF33" s="116">
        <f t="shared" si="41"/>
        <v>0</v>
      </c>
      <c r="BG33" s="116">
        <f t="shared" si="41"/>
        <v>0</v>
      </c>
      <c r="BH33" s="116">
        <f t="shared" si="41"/>
        <v>0</v>
      </c>
      <c r="BI33" s="116">
        <f t="shared" si="41"/>
        <v>0</v>
      </c>
      <c r="BJ33" s="116">
        <f t="shared" si="41"/>
        <v>0</v>
      </c>
      <c r="BK33" s="116">
        <f t="shared" si="41"/>
        <v>0</v>
      </c>
      <c r="BL33" s="116">
        <f t="shared" si="41"/>
        <v>0</v>
      </c>
      <c r="BM33" s="116">
        <f t="shared" si="41"/>
        <v>0</v>
      </c>
      <c r="BN33" s="116">
        <f t="shared" si="41"/>
        <v>0</v>
      </c>
      <c r="BO33" s="116">
        <f t="shared" si="41"/>
        <v>0</v>
      </c>
      <c r="BP33" s="116">
        <f t="shared" si="41"/>
        <v>0</v>
      </c>
      <c r="BQ33" s="116">
        <f t="shared" si="41"/>
        <v>0</v>
      </c>
      <c r="BR33" s="116">
        <f t="shared" si="41"/>
        <v>0</v>
      </c>
      <c r="BS33" s="116">
        <f t="shared" si="41"/>
        <v>0</v>
      </c>
      <c r="BT33" s="116">
        <f t="shared" si="41"/>
        <v>0</v>
      </c>
      <c r="BU33" s="116">
        <f t="shared" ref="BU33:CK33" si="42">IF(CalcRefQuarter&lt;=tlInputSched,CalcSched,0)*1000000</f>
        <v>0</v>
      </c>
      <c r="BV33" s="116">
        <f t="shared" si="42"/>
        <v>0</v>
      </c>
      <c r="BW33" s="116">
        <f t="shared" si="42"/>
        <v>0</v>
      </c>
      <c r="BX33" s="116">
        <f t="shared" si="42"/>
        <v>0</v>
      </c>
      <c r="BY33" s="116">
        <f t="shared" si="42"/>
        <v>0</v>
      </c>
      <c r="BZ33" s="116">
        <f t="shared" si="42"/>
        <v>0</v>
      </c>
      <c r="CA33" s="116">
        <f t="shared" si="42"/>
        <v>0</v>
      </c>
      <c r="CB33" s="116">
        <f t="shared" si="42"/>
        <v>0</v>
      </c>
      <c r="CC33" s="116">
        <f t="shared" si="42"/>
        <v>0</v>
      </c>
      <c r="CD33" s="116">
        <f t="shared" si="42"/>
        <v>0</v>
      </c>
      <c r="CE33" s="116">
        <f t="shared" si="42"/>
        <v>0</v>
      </c>
      <c r="CF33" s="116">
        <f t="shared" si="42"/>
        <v>0</v>
      </c>
      <c r="CG33" s="116">
        <f t="shared" si="42"/>
        <v>0</v>
      </c>
      <c r="CH33" s="116">
        <f t="shared" si="42"/>
        <v>0</v>
      </c>
      <c r="CI33" s="116">
        <f t="shared" si="42"/>
        <v>0</v>
      </c>
      <c r="CJ33" s="116">
        <f t="shared" si="42"/>
        <v>0</v>
      </c>
      <c r="CK33" s="116">
        <f t="shared" si="42"/>
        <v>0</v>
      </c>
      <c r="CL33" t="s">
        <v>198</v>
      </c>
    </row>
    <row r="35" spans="3:90">
      <c r="C35" t="s">
        <v>119</v>
      </c>
      <c r="E35" s="115">
        <f t="shared" ref="E35:AJ35" si="43">IF(CalcRefQuarter&gt;=tlInputSched,tlInputOpEx,BaseOpEx)</f>
        <v>15</v>
      </c>
      <c r="F35" s="115">
        <f t="shared" si="43"/>
        <v>15</v>
      </c>
      <c r="G35" s="115">
        <f t="shared" si="43"/>
        <v>15</v>
      </c>
      <c r="H35" s="115">
        <f t="shared" si="43"/>
        <v>15</v>
      </c>
      <c r="I35" s="115">
        <f t="shared" si="43"/>
        <v>15</v>
      </c>
      <c r="J35" s="115">
        <f t="shared" si="43"/>
        <v>15</v>
      </c>
      <c r="K35" s="115">
        <f t="shared" si="43"/>
        <v>15</v>
      </c>
      <c r="L35" s="115">
        <f t="shared" si="43"/>
        <v>15</v>
      </c>
      <c r="M35" s="115">
        <f t="shared" si="43"/>
        <v>15</v>
      </c>
      <c r="N35" s="115">
        <f t="shared" si="43"/>
        <v>15</v>
      </c>
      <c r="O35" s="115">
        <f t="shared" si="43"/>
        <v>15</v>
      </c>
      <c r="P35" s="115">
        <f t="shared" si="43"/>
        <v>15</v>
      </c>
      <c r="Q35" s="115">
        <f t="shared" si="43"/>
        <v>15</v>
      </c>
      <c r="R35" s="115">
        <f t="shared" si="43"/>
        <v>15</v>
      </c>
      <c r="S35" s="115">
        <f t="shared" si="43"/>
        <v>15</v>
      </c>
      <c r="T35" s="115">
        <f t="shared" si="43"/>
        <v>15</v>
      </c>
      <c r="U35" s="115">
        <f t="shared" si="43"/>
        <v>15</v>
      </c>
      <c r="V35" s="115">
        <f t="shared" si="43"/>
        <v>15</v>
      </c>
      <c r="W35" s="115">
        <f t="shared" si="43"/>
        <v>15</v>
      </c>
      <c r="X35" s="115">
        <f t="shared" si="43"/>
        <v>15</v>
      </c>
      <c r="Y35" s="115">
        <f t="shared" si="43"/>
        <v>15</v>
      </c>
      <c r="Z35" s="115">
        <f t="shared" si="43"/>
        <v>15</v>
      </c>
      <c r="AA35" s="115">
        <f t="shared" si="43"/>
        <v>15</v>
      </c>
      <c r="AB35" s="115">
        <f t="shared" si="43"/>
        <v>15</v>
      </c>
      <c r="AC35" s="115">
        <f t="shared" si="43"/>
        <v>15</v>
      </c>
      <c r="AD35" s="115">
        <f t="shared" si="43"/>
        <v>15</v>
      </c>
      <c r="AE35" s="115">
        <f t="shared" si="43"/>
        <v>15</v>
      </c>
      <c r="AF35" s="115">
        <f t="shared" si="43"/>
        <v>15</v>
      </c>
      <c r="AG35" s="115">
        <f t="shared" si="43"/>
        <v>15</v>
      </c>
      <c r="AH35" s="115">
        <f t="shared" si="43"/>
        <v>15</v>
      </c>
      <c r="AI35" s="115">
        <f t="shared" si="43"/>
        <v>15</v>
      </c>
      <c r="AJ35" s="115">
        <f t="shared" si="43"/>
        <v>15</v>
      </c>
      <c r="AK35" s="115">
        <f t="shared" ref="AK35:BP35" si="44">IF(CalcRefQuarter&gt;=tlInputSched,tlInputOpEx,BaseOpEx)</f>
        <v>15</v>
      </c>
      <c r="AL35" s="115">
        <f t="shared" si="44"/>
        <v>15</v>
      </c>
      <c r="AM35" s="115">
        <f t="shared" si="44"/>
        <v>15</v>
      </c>
      <c r="AN35" s="115">
        <f t="shared" si="44"/>
        <v>15</v>
      </c>
      <c r="AO35" s="115">
        <f t="shared" si="44"/>
        <v>15</v>
      </c>
      <c r="AP35" s="115">
        <f t="shared" si="44"/>
        <v>15</v>
      </c>
      <c r="AQ35" s="115">
        <f t="shared" si="44"/>
        <v>15</v>
      </c>
      <c r="AR35" s="115">
        <f t="shared" si="44"/>
        <v>15</v>
      </c>
      <c r="AS35" s="115">
        <f t="shared" si="44"/>
        <v>15</v>
      </c>
      <c r="AT35" s="115">
        <f t="shared" si="44"/>
        <v>15</v>
      </c>
      <c r="AU35" s="115">
        <f t="shared" si="44"/>
        <v>15</v>
      </c>
      <c r="AV35" s="115">
        <f t="shared" si="44"/>
        <v>15</v>
      </c>
      <c r="AW35" s="115">
        <f t="shared" si="44"/>
        <v>15</v>
      </c>
      <c r="AX35" s="115">
        <f t="shared" si="44"/>
        <v>15</v>
      </c>
      <c r="AY35" s="115">
        <f t="shared" si="44"/>
        <v>15</v>
      </c>
      <c r="AZ35" s="115">
        <f t="shared" si="44"/>
        <v>15</v>
      </c>
      <c r="BA35" s="115">
        <f t="shared" si="44"/>
        <v>15</v>
      </c>
      <c r="BB35" s="115">
        <f t="shared" si="44"/>
        <v>15</v>
      </c>
      <c r="BC35" s="115">
        <f t="shared" si="44"/>
        <v>15</v>
      </c>
      <c r="BD35" s="115">
        <f t="shared" si="44"/>
        <v>15</v>
      </c>
      <c r="BE35" s="115">
        <f t="shared" si="44"/>
        <v>15</v>
      </c>
      <c r="BF35" s="115">
        <f t="shared" si="44"/>
        <v>15</v>
      </c>
      <c r="BG35" s="115">
        <f t="shared" si="44"/>
        <v>15</v>
      </c>
      <c r="BH35" s="115">
        <f t="shared" si="44"/>
        <v>15</v>
      </c>
      <c r="BI35" s="115">
        <f t="shared" si="44"/>
        <v>15</v>
      </c>
      <c r="BJ35" s="115">
        <f t="shared" si="44"/>
        <v>15</v>
      </c>
      <c r="BK35" s="115">
        <f t="shared" si="44"/>
        <v>15</v>
      </c>
      <c r="BL35" s="115">
        <f t="shared" si="44"/>
        <v>15</v>
      </c>
      <c r="BM35" s="115">
        <f t="shared" si="44"/>
        <v>15</v>
      </c>
      <c r="BN35" s="115">
        <f t="shared" si="44"/>
        <v>15</v>
      </c>
      <c r="BO35" s="115">
        <f t="shared" si="44"/>
        <v>15</v>
      </c>
      <c r="BP35" s="115">
        <f t="shared" si="44"/>
        <v>15</v>
      </c>
      <c r="BQ35" s="115">
        <f t="shared" ref="BQ35:CK35" si="45">IF(CalcRefQuarter&gt;=tlInputSched,tlInputOpEx,BaseOpEx)</f>
        <v>15</v>
      </c>
      <c r="BR35" s="115">
        <f t="shared" si="45"/>
        <v>15</v>
      </c>
      <c r="BS35" s="115">
        <f t="shared" si="45"/>
        <v>15</v>
      </c>
      <c r="BT35" s="115">
        <f t="shared" si="45"/>
        <v>15</v>
      </c>
      <c r="BU35" s="115">
        <f t="shared" si="45"/>
        <v>15</v>
      </c>
      <c r="BV35" s="115">
        <f t="shared" si="45"/>
        <v>15</v>
      </c>
      <c r="BW35" s="115">
        <f t="shared" si="45"/>
        <v>15</v>
      </c>
      <c r="BX35" s="115">
        <f t="shared" si="45"/>
        <v>15</v>
      </c>
      <c r="BY35" s="115">
        <f t="shared" si="45"/>
        <v>15</v>
      </c>
      <c r="BZ35" s="115">
        <f t="shared" si="45"/>
        <v>15</v>
      </c>
      <c r="CA35" s="115">
        <f t="shared" si="45"/>
        <v>15</v>
      </c>
      <c r="CB35" s="115">
        <f t="shared" si="45"/>
        <v>15</v>
      </c>
      <c r="CC35" s="115">
        <f t="shared" si="45"/>
        <v>15</v>
      </c>
      <c r="CD35" s="115">
        <f t="shared" si="45"/>
        <v>15</v>
      </c>
      <c r="CE35" s="115">
        <f t="shared" si="45"/>
        <v>15</v>
      </c>
      <c r="CF35" s="115">
        <f t="shared" si="45"/>
        <v>15</v>
      </c>
      <c r="CG35" s="115">
        <f t="shared" si="45"/>
        <v>15</v>
      </c>
      <c r="CH35" s="115">
        <f t="shared" si="45"/>
        <v>15</v>
      </c>
      <c r="CI35" s="115">
        <f t="shared" si="45"/>
        <v>15</v>
      </c>
      <c r="CJ35" s="115">
        <f t="shared" si="45"/>
        <v>15</v>
      </c>
      <c r="CK35" s="115">
        <f t="shared" si="45"/>
        <v>15</v>
      </c>
      <c r="CL35" t="s">
        <v>234</v>
      </c>
    </row>
    <row r="36" spans="3:90">
      <c r="C36" t="s">
        <v>103</v>
      </c>
      <c r="E36" s="116">
        <f t="shared" ref="E36:AJ36" si="46">(CalcProdClosing-CalcProdBase)*CalcOpExBBL+CalcProdClosing*BaseOpEx</f>
        <v>156093750</v>
      </c>
      <c r="F36" s="116">
        <f t="shared" si="46"/>
        <v>156975996.09375</v>
      </c>
      <c r="G36" s="116">
        <f t="shared" si="46"/>
        <v>157663282.44506836</v>
      </c>
      <c r="H36" s="116">
        <f t="shared" si="46"/>
        <v>158158506.8578766</v>
      </c>
      <c r="I36" s="116">
        <f t="shared" si="46"/>
        <v>158464938.96491373</v>
      </c>
      <c r="J36" s="116">
        <f t="shared" si="46"/>
        <v>158586203.29320702</v>
      </c>
      <c r="K36" s="116">
        <f t="shared" si="46"/>
        <v>158526261.48422417</v>
      </c>
      <c r="L36" s="116">
        <f t="shared" si="46"/>
        <v>158289393.75630876</v>
      </c>
      <c r="M36" s="116">
        <f t="shared" si="46"/>
        <v>160305207.6554729</v>
      </c>
      <c r="N36" s="116">
        <f t="shared" si="46"/>
        <v>159742212.76707199</v>
      </c>
      <c r="O36" s="116">
        <f t="shared" si="46"/>
        <v>159013820.37587672</v>
      </c>
      <c r="P36" s="116">
        <f t="shared" si="46"/>
        <v>158125432.63856164</v>
      </c>
      <c r="Q36" s="116">
        <f t="shared" si="46"/>
        <v>157082675.16182661</v>
      </c>
      <c r="R36" s="116">
        <f t="shared" si="46"/>
        <v>155891375.55029434</v>
      </c>
      <c r="S36" s="116">
        <f t="shared" si="46"/>
        <v>154557541.81448683</v>
      </c>
      <c r="T36" s="116">
        <f t="shared" si="46"/>
        <v>153087340.72738293</v>
      </c>
      <c r="U36" s="116">
        <f t="shared" si="46"/>
        <v>151487076.21605453</v>
      </c>
      <c r="V36" s="116">
        <f t="shared" si="46"/>
        <v>149763167.87249169</v>
      </c>
      <c r="W36" s="116">
        <f t="shared" si="46"/>
        <v>147922129.66497025</v>
      </c>
      <c r="X36" s="116">
        <f t="shared" si="46"/>
        <v>145970548.92822501</v>
      </c>
      <c r="Y36" s="116">
        <f t="shared" si="46"/>
        <v>143915065.70728627</v>
      </c>
      <c r="Z36" s="116">
        <f t="shared" si="46"/>
        <v>139378744.7179004</v>
      </c>
      <c r="AA36" s="116">
        <f t="shared" si="46"/>
        <v>137156194.43305609</v>
      </c>
      <c r="AB36" s="116">
        <f t="shared" si="46"/>
        <v>134851854.13251767</v>
      </c>
      <c r="AC36" s="116">
        <f t="shared" si="46"/>
        <v>132472280.78980425</v>
      </c>
      <c r="AD36" s="116">
        <f t="shared" si="46"/>
        <v>130023986.73151894</v>
      </c>
      <c r="AE36" s="116">
        <f t="shared" si="46"/>
        <v>127513422.77803554</v>
      </c>
      <c r="AF36" s="116">
        <f t="shared" si="46"/>
        <v>124946962.14180461</v>
      </c>
      <c r="AG36" s="116">
        <f t="shared" si="46"/>
        <v>122330885.12196057</v>
      </c>
      <c r="AH36" s="116">
        <f t="shared" si="46"/>
        <v>119671364.6290687</v>
      </c>
      <c r="AI36" s="116">
        <f t="shared" si="46"/>
        <v>116974452.56899053</v>
      </c>
      <c r="AJ36" s="116">
        <f t="shared" si="46"/>
        <v>114246067.11000262</v>
      </c>
      <c r="AK36" s="116">
        <f t="shared" ref="AK36:BP36" si="47">(CalcProdClosing-CalcProdBase)*CalcOpExBBL+CalcProdClosing*BaseOpEx</f>
        <v>111491980.85250153</v>
      </c>
      <c r="AL36" s="116">
        <f t="shared" si="47"/>
        <v>108717809.91589081</v>
      </c>
      <c r="AM36" s="116">
        <f t="shared" si="47"/>
        <v>105929003.95260195</v>
      </c>
      <c r="AN36" s="116">
        <f t="shared" si="47"/>
        <v>103130837.09467088</v>
      </c>
      <c r="AO36" s="116">
        <f t="shared" si="47"/>
        <v>100328399.83389695</v>
      </c>
      <c r="AP36" s="116">
        <f t="shared" si="47"/>
        <v>97526591.83237122</v>
      </c>
      <c r="AQ36" s="116">
        <f t="shared" si="47"/>
        <v>94730115.656096727</v>
      </c>
      <c r="AR36" s="116">
        <f t="shared" si="47"/>
        <v>91943471.420546561</v>
      </c>
      <c r="AS36" s="116">
        <f t="shared" si="47"/>
        <v>89170952.333335534</v>
      </c>
      <c r="AT36" s="116">
        <f t="shared" si="47"/>
        <v>86416641.115727797</v>
      </c>
      <c r="AU36" s="116">
        <f t="shared" si="47"/>
        <v>83684407.281477466</v>
      </c>
      <c r="AV36" s="116">
        <f t="shared" si="47"/>
        <v>80977905.248513237</v>
      </c>
      <c r="AW36" s="116">
        <f t="shared" si="47"/>
        <v>78300573.256234273</v>
      </c>
      <c r="AX36" s="116">
        <f t="shared" si="47"/>
        <v>75655633.058694586</v>
      </c>
      <c r="AY36" s="116">
        <f t="shared" si="47"/>
        <v>73046090.361714274</v>
      </c>
      <c r="AZ36" s="116">
        <f t="shared" si="47"/>
        <v>70474735.969975263</v>
      </c>
      <c r="BA36" s="116">
        <f t="shared" si="47"/>
        <v>67944147.608434334</v>
      </c>
      <c r="BB36" s="116">
        <f t="shared" si="47"/>
        <v>65456692.380916722</v>
      </c>
      <c r="BC36" s="116">
        <f t="shared" si="47"/>
        <v>63014529.82753627</v>
      </c>
      <c r="BD36" s="116">
        <f t="shared" si="47"/>
        <v>60619615.541619621</v>
      </c>
      <c r="BE36" s="116">
        <f t="shared" si="47"/>
        <v>58273705.306085698</v>
      </c>
      <c r="BF36" s="116">
        <f t="shared" si="47"/>
        <v>55978359.708741345</v>
      </c>
      <c r="BG36" s="116">
        <f t="shared" si="47"/>
        <v>53734949.19569172</v>
      </c>
      <c r="BH36" s="116">
        <f t="shared" si="47"/>
        <v>51544659.522020072</v>
      </c>
      <c r="BI36" s="116">
        <f t="shared" si="47"/>
        <v>49408497.559057228</v>
      </c>
      <c r="BJ36" s="116">
        <f t="shared" si="47"/>
        <v>47327297.417923763</v>
      </c>
      <c r="BK36" s="116">
        <f t="shared" si="47"/>
        <v>45301726.849578187</v>
      </c>
      <c r="BL36" s="116">
        <f t="shared" si="47"/>
        <v>43332293.882328108</v>
      </c>
      <c r="BM36" s="116">
        <f t="shared" si="47"/>
        <v>41419353.65864782</v>
      </c>
      <c r="BN36" s="116">
        <f t="shared" si="47"/>
        <v>39563115.434180297</v>
      </c>
      <c r="BO36" s="116">
        <f t="shared" si="47"/>
        <v>37763649.702971831</v>
      </c>
      <c r="BP36" s="116">
        <f t="shared" si="47"/>
        <v>36020895.414280392</v>
      </c>
      <c r="BQ36" s="116">
        <f t="shared" ref="BQ36:CK36" si="48">(CalcProdClosing-CalcProdBase)*CalcOpExBBL+CalcProdClosing*BaseOpEx</f>
        <v>34334667.247699395</v>
      </c>
      <c r="BR36" s="116">
        <f t="shared" si="48"/>
        <v>32704662.91483492</v>
      </c>
      <c r="BS36" s="116">
        <f t="shared" si="48"/>
        <v>31130470.457352109</v>
      </c>
      <c r="BT36" s="116">
        <f t="shared" si="48"/>
        <v>29611575.512852851</v>
      </c>
      <c r="BU36" s="116">
        <f t="shared" si="48"/>
        <v>28147368.521748565</v>
      </c>
      <c r="BV36" s="116">
        <f t="shared" si="48"/>
        <v>26737151.850036912</v>
      </c>
      <c r="BW36" s="116">
        <f t="shared" si="48"/>
        <v>25380146.804666936</v>
      </c>
      <c r="BX36" s="116">
        <f t="shared" si="48"/>
        <v>24075500.5199719</v>
      </c>
      <c r="BY36" s="116">
        <f t="shared" si="48"/>
        <v>22822292.695451975</v>
      </c>
      <c r="BZ36" s="116">
        <f t="shared" si="48"/>
        <v>21619542.166989248</v>
      </c>
      <c r="CA36" s="116">
        <f t="shared" si="48"/>
        <v>20466213.295365028</v>
      </c>
      <c r="CB36" s="116">
        <f t="shared" si="48"/>
        <v>19361222.15771528</v>
      </c>
      <c r="CC36" s="116">
        <f t="shared" si="48"/>
        <v>18303442.529295102</v>
      </c>
      <c r="CD36" s="116">
        <f t="shared" si="48"/>
        <v>17291711.644619938</v>
      </c>
      <c r="CE36" s="116">
        <f t="shared" si="48"/>
        <v>16324835.728701741</v>
      </c>
      <c r="CF36" s="116">
        <f t="shared" si="48"/>
        <v>15401595.290697016</v>
      </c>
      <c r="CG36" s="116">
        <f t="shared" si="48"/>
        <v>14520750.173823679</v>
      </c>
      <c r="CH36" s="116">
        <f t="shared" si="48"/>
        <v>13681044.356880782</v>
      </c>
      <c r="CI36" s="116">
        <f t="shared" si="48"/>
        <v>13796985.41075265</v>
      </c>
      <c r="CJ36" s="116">
        <f t="shared" si="48"/>
        <v>12989455.97053507</v>
      </c>
      <c r="CK36" s="116">
        <f t="shared" si="48"/>
        <v>12213606.58996165</v>
      </c>
      <c r="CL36" t="s">
        <v>235</v>
      </c>
    </row>
    <row r="38" spans="3:90">
      <c r="C38" t="s">
        <v>240</v>
      </c>
      <c r="E38" s="156">
        <f t="shared" ref="E38:AJ38" si="49">IF(CalcRefQuarter&gt;=tlInputSched,tlInputWorkingCap/365,BaseInv)</f>
        <v>0.1095890410958904</v>
      </c>
      <c r="F38" s="156">
        <f t="shared" si="49"/>
        <v>0.1095890410958904</v>
      </c>
      <c r="G38" s="156">
        <f t="shared" si="49"/>
        <v>0.1095890410958904</v>
      </c>
      <c r="H38" s="156">
        <f t="shared" si="49"/>
        <v>0.1095890410958904</v>
      </c>
      <c r="I38" s="156">
        <f t="shared" si="49"/>
        <v>0.1095890410958904</v>
      </c>
      <c r="J38" s="156">
        <f t="shared" si="49"/>
        <v>0.1095890410958904</v>
      </c>
      <c r="K38" s="156">
        <f t="shared" si="49"/>
        <v>0.1095890410958904</v>
      </c>
      <c r="L38" s="156">
        <f t="shared" si="49"/>
        <v>0.1095890410958904</v>
      </c>
      <c r="M38" s="156">
        <f t="shared" si="49"/>
        <v>0.1095890410958904</v>
      </c>
      <c r="N38" s="156">
        <f t="shared" si="49"/>
        <v>0.1095890410958904</v>
      </c>
      <c r="O38" s="156">
        <f t="shared" si="49"/>
        <v>0.1095890410958904</v>
      </c>
      <c r="P38" s="156">
        <f t="shared" si="49"/>
        <v>0.1095890410958904</v>
      </c>
      <c r="Q38" s="156">
        <f t="shared" si="49"/>
        <v>0.1095890410958904</v>
      </c>
      <c r="R38" s="156">
        <f t="shared" si="49"/>
        <v>0.1095890410958904</v>
      </c>
      <c r="S38" s="156">
        <f t="shared" si="49"/>
        <v>0.1095890410958904</v>
      </c>
      <c r="T38" s="156">
        <f t="shared" si="49"/>
        <v>0.1095890410958904</v>
      </c>
      <c r="U38" s="156">
        <f t="shared" si="49"/>
        <v>0.1095890410958904</v>
      </c>
      <c r="V38" s="156">
        <f t="shared" si="49"/>
        <v>0.1095890410958904</v>
      </c>
      <c r="W38" s="156">
        <f t="shared" si="49"/>
        <v>0.1095890410958904</v>
      </c>
      <c r="X38" s="156">
        <f t="shared" si="49"/>
        <v>0.1095890410958904</v>
      </c>
      <c r="Y38" s="156">
        <f t="shared" si="49"/>
        <v>0.1095890410958904</v>
      </c>
      <c r="Z38" s="156">
        <f t="shared" si="49"/>
        <v>0.1095890410958904</v>
      </c>
      <c r="AA38" s="156">
        <f t="shared" si="49"/>
        <v>0.1095890410958904</v>
      </c>
      <c r="AB38" s="156">
        <f t="shared" si="49"/>
        <v>0.1095890410958904</v>
      </c>
      <c r="AC38" s="156">
        <f t="shared" si="49"/>
        <v>0.1095890410958904</v>
      </c>
      <c r="AD38" s="156">
        <f t="shared" si="49"/>
        <v>0.1095890410958904</v>
      </c>
      <c r="AE38" s="156">
        <f t="shared" si="49"/>
        <v>0.1095890410958904</v>
      </c>
      <c r="AF38" s="156">
        <f t="shared" si="49"/>
        <v>0.1095890410958904</v>
      </c>
      <c r="AG38" s="156">
        <f t="shared" si="49"/>
        <v>0.1095890410958904</v>
      </c>
      <c r="AH38" s="156">
        <f t="shared" si="49"/>
        <v>0.1095890410958904</v>
      </c>
      <c r="AI38" s="156">
        <f t="shared" si="49"/>
        <v>0.1095890410958904</v>
      </c>
      <c r="AJ38" s="156">
        <f t="shared" si="49"/>
        <v>0.1095890410958904</v>
      </c>
      <c r="AK38" s="156">
        <f t="shared" ref="AK38:BP38" si="50">IF(CalcRefQuarter&gt;=tlInputSched,tlInputWorkingCap/365,BaseInv)</f>
        <v>0.1095890410958904</v>
      </c>
      <c r="AL38" s="156">
        <f t="shared" si="50"/>
        <v>0.1095890410958904</v>
      </c>
      <c r="AM38" s="156">
        <f t="shared" si="50"/>
        <v>0.1095890410958904</v>
      </c>
      <c r="AN38" s="156">
        <f t="shared" si="50"/>
        <v>0.1095890410958904</v>
      </c>
      <c r="AO38" s="156">
        <f t="shared" si="50"/>
        <v>0.1095890410958904</v>
      </c>
      <c r="AP38" s="156">
        <f t="shared" si="50"/>
        <v>0.1095890410958904</v>
      </c>
      <c r="AQ38" s="156">
        <f t="shared" si="50"/>
        <v>0.1095890410958904</v>
      </c>
      <c r="AR38" s="156">
        <f t="shared" si="50"/>
        <v>0.1095890410958904</v>
      </c>
      <c r="AS38" s="156">
        <f t="shared" si="50"/>
        <v>0.1095890410958904</v>
      </c>
      <c r="AT38" s="156">
        <f t="shared" si="50"/>
        <v>0.1095890410958904</v>
      </c>
      <c r="AU38" s="156">
        <f t="shared" si="50"/>
        <v>0.1095890410958904</v>
      </c>
      <c r="AV38" s="156">
        <f t="shared" si="50"/>
        <v>0.1095890410958904</v>
      </c>
      <c r="AW38" s="156">
        <f t="shared" si="50"/>
        <v>0.1095890410958904</v>
      </c>
      <c r="AX38" s="156">
        <f t="shared" si="50"/>
        <v>0.1095890410958904</v>
      </c>
      <c r="AY38" s="156">
        <f t="shared" si="50"/>
        <v>0.1095890410958904</v>
      </c>
      <c r="AZ38" s="156">
        <f t="shared" si="50"/>
        <v>0.1095890410958904</v>
      </c>
      <c r="BA38" s="156">
        <f t="shared" si="50"/>
        <v>0.1095890410958904</v>
      </c>
      <c r="BB38" s="156">
        <f t="shared" si="50"/>
        <v>0.1095890410958904</v>
      </c>
      <c r="BC38" s="156">
        <f t="shared" si="50"/>
        <v>0.1095890410958904</v>
      </c>
      <c r="BD38" s="156">
        <f t="shared" si="50"/>
        <v>0.1095890410958904</v>
      </c>
      <c r="BE38" s="156">
        <f t="shared" si="50"/>
        <v>0.1095890410958904</v>
      </c>
      <c r="BF38" s="156">
        <f t="shared" si="50"/>
        <v>0.1095890410958904</v>
      </c>
      <c r="BG38" s="156">
        <f t="shared" si="50"/>
        <v>0.1095890410958904</v>
      </c>
      <c r="BH38" s="156">
        <f t="shared" si="50"/>
        <v>0.1095890410958904</v>
      </c>
      <c r="BI38" s="156">
        <f t="shared" si="50"/>
        <v>0.1095890410958904</v>
      </c>
      <c r="BJ38" s="156">
        <f t="shared" si="50"/>
        <v>0.1095890410958904</v>
      </c>
      <c r="BK38" s="156">
        <f t="shared" si="50"/>
        <v>0.1095890410958904</v>
      </c>
      <c r="BL38" s="156">
        <f t="shared" si="50"/>
        <v>0.1095890410958904</v>
      </c>
      <c r="BM38" s="156">
        <f t="shared" si="50"/>
        <v>0.1095890410958904</v>
      </c>
      <c r="BN38" s="156">
        <f t="shared" si="50"/>
        <v>0.1095890410958904</v>
      </c>
      <c r="BO38" s="156">
        <f t="shared" si="50"/>
        <v>0.1095890410958904</v>
      </c>
      <c r="BP38" s="156">
        <f t="shared" si="50"/>
        <v>0.1095890410958904</v>
      </c>
      <c r="BQ38" s="156">
        <f t="shared" ref="BQ38:CK38" si="51">IF(CalcRefQuarter&gt;=tlInputSched,tlInputWorkingCap/365,BaseInv)</f>
        <v>0.1095890410958904</v>
      </c>
      <c r="BR38" s="156">
        <f t="shared" si="51"/>
        <v>0.1095890410958904</v>
      </c>
      <c r="BS38" s="156">
        <f t="shared" si="51"/>
        <v>0.1095890410958904</v>
      </c>
      <c r="BT38" s="156">
        <f t="shared" si="51"/>
        <v>0.1095890410958904</v>
      </c>
      <c r="BU38" s="156">
        <f t="shared" si="51"/>
        <v>0.1095890410958904</v>
      </c>
      <c r="BV38" s="156">
        <f t="shared" si="51"/>
        <v>0.1095890410958904</v>
      </c>
      <c r="BW38" s="156">
        <f t="shared" si="51"/>
        <v>0.1095890410958904</v>
      </c>
      <c r="BX38" s="156">
        <f t="shared" si="51"/>
        <v>0.1095890410958904</v>
      </c>
      <c r="BY38" s="156">
        <f t="shared" si="51"/>
        <v>0.1095890410958904</v>
      </c>
      <c r="BZ38" s="156">
        <f t="shared" si="51"/>
        <v>0.1095890410958904</v>
      </c>
      <c r="CA38" s="156">
        <f t="shared" si="51"/>
        <v>0.1095890410958904</v>
      </c>
      <c r="CB38" s="156">
        <f t="shared" si="51"/>
        <v>0.1095890410958904</v>
      </c>
      <c r="CC38" s="156">
        <f t="shared" si="51"/>
        <v>0.1095890410958904</v>
      </c>
      <c r="CD38" s="156">
        <f t="shared" si="51"/>
        <v>0.1095890410958904</v>
      </c>
      <c r="CE38" s="156">
        <f t="shared" si="51"/>
        <v>0.1095890410958904</v>
      </c>
      <c r="CF38" s="156">
        <f t="shared" si="51"/>
        <v>0.1095890410958904</v>
      </c>
      <c r="CG38" s="156">
        <f t="shared" si="51"/>
        <v>0.1095890410958904</v>
      </c>
      <c r="CH38" s="156">
        <f t="shared" si="51"/>
        <v>0.1095890410958904</v>
      </c>
      <c r="CI38" s="156">
        <f t="shared" si="51"/>
        <v>0.1095890410958904</v>
      </c>
      <c r="CJ38" s="156">
        <f t="shared" si="51"/>
        <v>0.1095890410958904</v>
      </c>
      <c r="CK38" s="156">
        <f t="shared" si="51"/>
        <v>0.1095890410958904</v>
      </c>
      <c r="CL38" t="s">
        <v>242</v>
      </c>
    </row>
    <row r="39" spans="3:90">
      <c r="C39" t="s">
        <v>230</v>
      </c>
      <c r="E39" s="116">
        <f t="shared" ref="E39:AJ39" si="52">CalcProdClosing*CalcWorkingCapPerc*tlInputNetback*50%+CalcProdClosing*CalcWorkingCapPerc*50*50%</f>
        <v>57020547.945205472</v>
      </c>
      <c r="F39" s="116">
        <f t="shared" si="52"/>
        <v>57342829.62328767</v>
      </c>
      <c r="G39" s="116">
        <f t="shared" si="52"/>
        <v>57593893.13061858</v>
      </c>
      <c r="H39" s="116">
        <f t="shared" si="52"/>
        <v>57774797.02570834</v>
      </c>
      <c r="I39" s="116">
        <f t="shared" si="52"/>
        <v>57886735.694945648</v>
      </c>
      <c r="J39" s="116">
        <f t="shared" si="52"/>
        <v>57931033.166468315</v>
      </c>
      <c r="K39" s="116">
        <f t="shared" si="52"/>
        <v>57909136.615241706</v>
      </c>
      <c r="L39" s="116">
        <f t="shared" si="52"/>
        <v>57822609.59134566</v>
      </c>
      <c r="M39" s="116">
        <f t="shared" si="52"/>
        <v>58116052.484759703</v>
      </c>
      <c r="N39" s="116">
        <f t="shared" si="52"/>
        <v>57907888.8134619</v>
      </c>
      <c r="O39" s="116">
        <f t="shared" si="52"/>
        <v>57639859.17565009</v>
      </c>
      <c r="P39" s="116">
        <f t="shared" si="52"/>
        <v>57313928.739158824</v>
      </c>
      <c r="Q39" s="116">
        <f t="shared" si="52"/>
        <v>56932143.242311127</v>
      </c>
      <c r="R39" s="116">
        <f t="shared" si="52"/>
        <v>56496621.205586962</v>
      </c>
      <c r="S39" s="116">
        <f t="shared" si="52"/>
        <v>56009546.094577715</v>
      </c>
      <c r="T39" s="116">
        <f t="shared" si="52"/>
        <v>55473158.466307424</v>
      </c>
      <c r="U39" s="116">
        <f t="shared" si="52"/>
        <v>54889748.130265437</v>
      </c>
      <c r="V39" s="116">
        <f t="shared" si="52"/>
        <v>54261646.354618877</v>
      </c>
      <c r="W39" s="116">
        <f t="shared" si="52"/>
        <v>53591218.147065617</v>
      </c>
      <c r="X39" s="116">
        <f t="shared" si="52"/>
        <v>52880854.638658583</v>
      </c>
      <c r="Y39" s="116">
        <f t="shared" si="52"/>
        <v>52132965.597688816</v>
      </c>
      <c r="Z39" s="116">
        <f t="shared" si="52"/>
        <v>50914609.942612015</v>
      </c>
      <c r="AA39" s="116">
        <f t="shared" si="52"/>
        <v>50102719.427600399</v>
      </c>
      <c r="AB39" s="116">
        <f t="shared" si="52"/>
        <v>49260951.281284988</v>
      </c>
      <c r="AC39" s="116">
        <f t="shared" si="52"/>
        <v>48391700.745133974</v>
      </c>
      <c r="AD39" s="116">
        <f t="shared" si="52"/>
        <v>47497346.751239792</v>
      </c>
      <c r="AE39" s="116">
        <f t="shared" si="52"/>
        <v>46580245.763665944</v>
      </c>
      <c r="AF39" s="116">
        <f t="shared" si="52"/>
        <v>45642725.896549627</v>
      </c>
      <c r="AG39" s="116">
        <f t="shared" si="52"/>
        <v>44687081.323090613</v>
      </c>
      <c r="AH39" s="116">
        <f t="shared" si="52"/>
        <v>43715566.987787649</v>
      </c>
      <c r="AI39" s="116">
        <f t="shared" si="52"/>
        <v>42730393.63250795</v>
      </c>
      <c r="AJ39" s="116">
        <f t="shared" si="52"/>
        <v>41733723.145206437</v>
      </c>
      <c r="AK39" s="116">
        <f t="shared" ref="AK39:BP39" si="53">CalcProdClosing*CalcWorkingCapPerc*tlInputNetback*50%+CalcProdClosing*CalcWorkingCapPerc*50*50%</f>
        <v>40727664.238356717</v>
      </c>
      <c r="AL39" s="116">
        <f t="shared" si="53"/>
        <v>39714268.462425865</v>
      </c>
      <c r="AM39" s="116">
        <f t="shared" si="53"/>
        <v>38695526.558028109</v>
      </c>
      <c r="AN39" s="116">
        <f t="shared" si="53"/>
        <v>37673365.14873822</v>
      </c>
      <c r="AO39" s="116">
        <f t="shared" si="53"/>
        <v>36649643.77493953</v>
      </c>
      <c r="AP39" s="116">
        <f t="shared" si="53"/>
        <v>35626152.267532863</v>
      </c>
      <c r="AQ39" s="116">
        <f t="shared" si="53"/>
        <v>34604608.458848119</v>
      </c>
      <c r="AR39" s="116">
        <f t="shared" si="53"/>
        <v>33586656.226683669</v>
      </c>
      <c r="AS39" s="116">
        <f t="shared" si="53"/>
        <v>32573863.866058636</v>
      </c>
      <c r="AT39" s="116">
        <f t="shared" si="53"/>
        <v>31567722.782001022</v>
      </c>
      <c r="AU39" s="116">
        <f t="shared" si="53"/>
        <v>30569646.495516885</v>
      </c>
      <c r="AV39" s="116">
        <f t="shared" si="53"/>
        <v>29580969.953794785</v>
      </c>
      <c r="AW39" s="116">
        <f t="shared" si="53"/>
        <v>28602949.134697452</v>
      </c>
      <c r="AX39" s="116">
        <f t="shared" si="53"/>
        <v>27636760.934682954</v>
      </c>
      <c r="AY39" s="116">
        <f t="shared" si="53"/>
        <v>26683503.328480098</v>
      </c>
      <c r="AZ39" s="116">
        <f t="shared" si="53"/>
        <v>25744195.788118813</v>
      </c>
      <c r="BA39" s="116">
        <f t="shared" si="53"/>
        <v>24819779.948286511</v>
      </c>
      <c r="BB39" s="116">
        <f t="shared" si="53"/>
        <v>23911120.504444465</v>
      </c>
      <c r="BC39" s="116">
        <f t="shared" si="53"/>
        <v>23019006.329693612</v>
      </c>
      <c r="BD39" s="116">
        <f t="shared" si="53"/>
        <v>22144151.796025429</v>
      </c>
      <c r="BE39" s="116">
        <f t="shared" si="53"/>
        <v>21287198.285328109</v>
      </c>
      <c r="BF39" s="116">
        <f t="shared" si="53"/>
        <v>20448715.875339303</v>
      </c>
      <c r="BG39" s="116">
        <f t="shared" si="53"/>
        <v>19629205.185640808</v>
      </c>
      <c r="BH39" s="116">
        <f t="shared" si="53"/>
        <v>18829099.368774455</v>
      </c>
      <c r="BI39" s="116">
        <f t="shared" si="53"/>
        <v>18048766.231619079</v>
      </c>
      <c r="BJ39" s="116">
        <f t="shared" si="53"/>
        <v>17288510.472300921</v>
      </c>
      <c r="BK39" s="116">
        <f t="shared" si="53"/>
        <v>16548576.01811075</v>
      </c>
      <c r="BL39" s="116">
        <f t="shared" si="53"/>
        <v>15829148.450165516</v>
      </c>
      <c r="BM39" s="116">
        <f t="shared" si="53"/>
        <v>15130357.500875916</v>
      </c>
      <c r="BN39" s="116">
        <f t="shared" si="53"/>
        <v>14452279.610659471</v>
      </c>
      <c r="BO39" s="116">
        <f t="shared" si="53"/>
        <v>13794940.530765966</v>
      </c>
      <c r="BP39" s="116">
        <f t="shared" si="53"/>
        <v>13158317.959554479</v>
      </c>
      <c r="BQ39" s="116">
        <f t="shared" ref="BQ39:CK39" si="54">CalcProdClosing*CalcWorkingCapPerc*tlInputNetback*50%+CalcProdClosing*CalcWorkingCapPerc*50*50%</f>
        <v>12542344.200072838</v>
      </c>
      <c r="BR39" s="116">
        <f t="shared" si="54"/>
        <v>11946908.827336956</v>
      </c>
      <c r="BS39" s="116">
        <f t="shared" si="54"/>
        <v>11371861.354283875</v>
      </c>
      <c r="BT39" s="116">
        <f t="shared" si="54"/>
        <v>10817013.885973644</v>
      </c>
      <c r="BU39" s="116">
        <f t="shared" si="54"/>
        <v>10282143.752236918</v>
      </c>
      <c r="BV39" s="116">
        <f t="shared" si="54"/>
        <v>9766996.109602524</v>
      </c>
      <c r="BW39" s="116">
        <f t="shared" si="54"/>
        <v>9271286.5039879214</v>
      </c>
      <c r="BX39" s="116">
        <f t="shared" si="54"/>
        <v>8794703.3862911053</v>
      </c>
      <c r="BY39" s="116">
        <f t="shared" si="54"/>
        <v>8336910.5736810863</v>
      </c>
      <c r="BZ39" s="116">
        <f t="shared" si="54"/>
        <v>7897549.6500417339</v>
      </c>
      <c r="CA39" s="116">
        <f t="shared" si="54"/>
        <v>7476242.2996767219</v>
      </c>
      <c r="CB39" s="116">
        <f t="shared" si="54"/>
        <v>7072592.5690284111</v>
      </c>
      <c r="CC39" s="116">
        <f t="shared" si="54"/>
        <v>6686189.0517972959</v>
      </c>
      <c r="CD39" s="116">
        <f t="shared" si="54"/>
        <v>6316606.9934684699</v>
      </c>
      <c r="CE39" s="116">
        <f t="shared" si="54"/>
        <v>5963410.3118545162</v>
      </c>
      <c r="CF39" s="116">
        <f t="shared" si="54"/>
        <v>5626153.5308482237</v>
      </c>
      <c r="CG39" s="116">
        <f t="shared" si="54"/>
        <v>5304383.6251410702</v>
      </c>
      <c r="CH39" s="116">
        <f t="shared" si="54"/>
        <v>4997641.7742030248</v>
      </c>
      <c r="CI39" s="116">
        <f t="shared" si="54"/>
        <v>5039994.6705945749</v>
      </c>
      <c r="CJ39" s="116">
        <f t="shared" si="54"/>
        <v>4745006.7472274229</v>
      </c>
      <c r="CK39" s="116">
        <f t="shared" si="54"/>
        <v>4461591.4483878175</v>
      </c>
      <c r="CL39" t="s">
        <v>241</v>
      </c>
    </row>
    <row r="40" spans="3:90">
      <c r="C40" t="s">
        <v>244</v>
      </c>
      <c r="E40" s="116">
        <f t="shared" ref="E40:AJ40" si="55">CalcProdBase*40/365*tlInputNetback*50%+CalcProdBase*40/365*50*50%</f>
        <v>57020547.94520548</v>
      </c>
      <c r="F40" s="116">
        <f t="shared" si="55"/>
        <v>57342829.62328767</v>
      </c>
      <c r="G40" s="116">
        <f t="shared" si="55"/>
        <v>57593893.13061858</v>
      </c>
      <c r="H40" s="116">
        <f t="shared" si="55"/>
        <v>57774797.02570834</v>
      </c>
      <c r="I40" s="116">
        <f t="shared" si="55"/>
        <v>57886735.694945663</v>
      </c>
      <c r="J40" s="116">
        <f t="shared" si="55"/>
        <v>57931033.166468315</v>
      </c>
      <c r="K40" s="116">
        <f t="shared" si="55"/>
        <v>57909136.615241706</v>
      </c>
      <c r="L40" s="116">
        <f t="shared" si="55"/>
        <v>57822609.59134566</v>
      </c>
      <c r="M40" s="116">
        <f t="shared" si="55"/>
        <v>57673125.004049852</v>
      </c>
      <c r="N40" s="116">
        <f t="shared" si="55"/>
        <v>57462457.894660071</v>
      </c>
      <c r="O40" s="116">
        <f t="shared" si="55"/>
        <v>57192478.031345211</v>
      </c>
      <c r="P40" s="116">
        <f t="shared" si="55"/>
        <v>56865142.35920836</v>
      </c>
      <c r="Q40" s="116">
        <f t="shared" si="55"/>
        <v>56482487.33874952</v>
      </c>
      <c r="R40" s="116">
        <f t="shared" si="55"/>
        <v>56046621.205586977</v>
      </c>
      <c r="S40" s="116">
        <f t="shared" si="55"/>
        <v>55559716.183863439</v>
      </c>
      <c r="T40" s="116">
        <f t="shared" si="55"/>
        <v>55024000.685169026</v>
      </c>
      <c r="U40" s="116">
        <f t="shared" si="55"/>
        <v>54441751.524072595</v>
      </c>
      <c r="V40" s="116">
        <f t="shared" si="55"/>
        <v>53815286.180473678</v>
      </c>
      <c r="W40" s="116">
        <f t="shared" si="55"/>
        <v>53146955.137977734</v>
      </c>
      <c r="X40" s="116">
        <f t="shared" si="55"/>
        <v>52439134.326367393</v>
      </c>
      <c r="Y40" s="116">
        <f t="shared" si="55"/>
        <v>51694217.694999084</v>
      </c>
      <c r="Z40" s="116">
        <f t="shared" si="55"/>
        <v>50914609.942612015</v>
      </c>
      <c r="AA40" s="116">
        <f t="shared" si="55"/>
        <v>50102719.427600399</v>
      </c>
      <c r="AB40" s="116">
        <f t="shared" si="55"/>
        <v>49260951.281284995</v>
      </c>
      <c r="AC40" s="116">
        <f t="shared" si="55"/>
        <v>48391700.745133981</v>
      </c>
      <c r="AD40" s="116">
        <f t="shared" si="55"/>
        <v>47497346.751239792</v>
      </c>
      <c r="AE40" s="116">
        <f t="shared" si="55"/>
        <v>46580245.763665944</v>
      </c>
      <c r="AF40" s="116">
        <f t="shared" si="55"/>
        <v>45642725.896549627</v>
      </c>
      <c r="AG40" s="116">
        <f t="shared" si="55"/>
        <v>44687081.32309062</v>
      </c>
      <c r="AH40" s="116">
        <f t="shared" si="55"/>
        <v>43715566.987787656</v>
      </c>
      <c r="AI40" s="116">
        <f t="shared" si="55"/>
        <v>42730393.632507958</v>
      </c>
      <c r="AJ40" s="116">
        <f t="shared" si="55"/>
        <v>41733723.145206429</v>
      </c>
      <c r="AK40" s="116">
        <f t="shared" ref="AK40:BP40" si="56">CalcProdBase*40/365*tlInputNetback*50%+CalcProdBase*40/365*50*50%</f>
        <v>40727664.238356717</v>
      </c>
      <c r="AL40" s="116">
        <f t="shared" si="56"/>
        <v>39714268.462425873</v>
      </c>
      <c r="AM40" s="116">
        <f t="shared" si="56"/>
        <v>38695526.558028109</v>
      </c>
      <c r="AN40" s="116">
        <f t="shared" si="56"/>
        <v>37673365.148738228</v>
      </c>
      <c r="AO40" s="116">
        <f t="shared" si="56"/>
        <v>36649643.77493953</v>
      </c>
      <c r="AP40" s="116">
        <f t="shared" si="56"/>
        <v>35626152.267532863</v>
      </c>
      <c r="AQ40" s="116">
        <f t="shared" si="56"/>
        <v>34604608.458848119</v>
      </c>
      <c r="AR40" s="116">
        <f t="shared" si="56"/>
        <v>33586656.226683676</v>
      </c>
      <c r="AS40" s="116">
        <f t="shared" si="56"/>
        <v>32573863.866058644</v>
      </c>
      <c r="AT40" s="116">
        <f t="shared" si="56"/>
        <v>31567722.782001022</v>
      </c>
      <c r="AU40" s="116">
        <f t="shared" si="56"/>
        <v>30569646.495516885</v>
      </c>
      <c r="AV40" s="116">
        <f t="shared" si="56"/>
        <v>29580969.953794789</v>
      </c>
      <c r="AW40" s="116">
        <f t="shared" si="56"/>
        <v>28602949.134697452</v>
      </c>
      <c r="AX40" s="116">
        <f t="shared" si="56"/>
        <v>27636760.934682954</v>
      </c>
      <c r="AY40" s="116">
        <f t="shared" si="56"/>
        <v>26683503.328480098</v>
      </c>
      <c r="AZ40" s="116">
        <f t="shared" si="56"/>
        <v>25744195.788118813</v>
      </c>
      <c r="BA40" s="116">
        <f t="shared" si="56"/>
        <v>24819779.948286511</v>
      </c>
      <c r="BB40" s="116">
        <f t="shared" si="56"/>
        <v>23911120.504444465</v>
      </c>
      <c r="BC40" s="116">
        <f t="shared" si="56"/>
        <v>23019006.329693612</v>
      </c>
      <c r="BD40" s="116">
        <f t="shared" si="56"/>
        <v>22144151.796025433</v>
      </c>
      <c r="BE40" s="116">
        <f t="shared" si="56"/>
        <v>21287198.285328109</v>
      </c>
      <c r="BF40" s="116">
        <f t="shared" si="56"/>
        <v>20448715.875339303</v>
      </c>
      <c r="BG40" s="116">
        <f t="shared" si="56"/>
        <v>19629205.185640808</v>
      </c>
      <c r="BH40" s="116">
        <f t="shared" si="56"/>
        <v>18829099.368774455</v>
      </c>
      <c r="BI40" s="116">
        <f t="shared" si="56"/>
        <v>18048766.231619079</v>
      </c>
      <c r="BJ40" s="116">
        <f t="shared" si="56"/>
        <v>17288510.472300921</v>
      </c>
      <c r="BK40" s="116">
        <f t="shared" si="56"/>
        <v>16548576.018110752</v>
      </c>
      <c r="BL40" s="116">
        <f t="shared" si="56"/>
        <v>15829148.450165518</v>
      </c>
      <c r="BM40" s="116">
        <f t="shared" si="56"/>
        <v>15130357.500875916</v>
      </c>
      <c r="BN40" s="116">
        <f t="shared" si="56"/>
        <v>14452279.610659471</v>
      </c>
      <c r="BO40" s="116">
        <f t="shared" si="56"/>
        <v>13794940.530765966</v>
      </c>
      <c r="BP40" s="116">
        <f t="shared" si="56"/>
        <v>13158317.959554482</v>
      </c>
      <c r="BQ40" s="116">
        <f t="shared" ref="BQ40:CK40" si="57">CalcProdBase*40/365*tlInputNetback*50%+CalcProdBase*40/365*50*50%</f>
        <v>12542344.200072838</v>
      </c>
      <c r="BR40" s="116">
        <f t="shared" si="57"/>
        <v>11946908.827336958</v>
      </c>
      <c r="BS40" s="116">
        <f t="shared" si="57"/>
        <v>11371861.354283873</v>
      </c>
      <c r="BT40" s="116">
        <f t="shared" si="57"/>
        <v>10817013.885973644</v>
      </c>
      <c r="BU40" s="116">
        <f t="shared" si="57"/>
        <v>10282143.752236918</v>
      </c>
      <c r="BV40" s="116">
        <f t="shared" si="57"/>
        <v>9766996.109602524</v>
      </c>
      <c r="BW40" s="116">
        <f t="shared" si="57"/>
        <v>9271286.5039879214</v>
      </c>
      <c r="BX40" s="116">
        <f t="shared" si="57"/>
        <v>8794703.3862911053</v>
      </c>
      <c r="BY40" s="116">
        <f t="shared" si="57"/>
        <v>8336910.5736810872</v>
      </c>
      <c r="BZ40" s="116">
        <f t="shared" si="57"/>
        <v>7897549.6500417339</v>
      </c>
      <c r="CA40" s="116">
        <f t="shared" si="57"/>
        <v>7476242.2996767228</v>
      </c>
      <c r="CB40" s="116">
        <f t="shared" si="57"/>
        <v>7072592.5690284129</v>
      </c>
      <c r="CC40" s="116">
        <f t="shared" si="57"/>
        <v>6686189.0517972978</v>
      </c>
      <c r="CD40" s="116">
        <f t="shared" si="57"/>
        <v>6316606.9934684709</v>
      </c>
      <c r="CE40" s="116">
        <f t="shared" si="57"/>
        <v>5963410.3118545171</v>
      </c>
      <c r="CF40" s="116">
        <f t="shared" si="57"/>
        <v>5626153.5308482237</v>
      </c>
      <c r="CG40" s="116">
        <f t="shared" si="57"/>
        <v>5304383.6251410702</v>
      </c>
      <c r="CH40" s="116">
        <f t="shared" si="57"/>
        <v>4997641.7742030248</v>
      </c>
      <c r="CI40" s="116">
        <f t="shared" si="57"/>
        <v>5039994.6705945749</v>
      </c>
      <c r="CJ40" s="116">
        <f t="shared" si="57"/>
        <v>4745006.7472274229</v>
      </c>
      <c r="CK40" s="116">
        <f t="shared" si="57"/>
        <v>4461591.4483878175</v>
      </c>
      <c r="CL40" t="s">
        <v>247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B130"/>
  <sheetViews>
    <sheetView topLeftCell="Q94" workbookViewId="0">
      <selection activeCell="Z99" sqref="E99:Z99"/>
    </sheetView>
  </sheetViews>
  <sheetFormatPr defaultColWidth="8.796875" defaultRowHeight="12.75"/>
  <cols>
    <col min="1" max="1" width="15.19921875" style="103" bestFit="1" customWidth="1"/>
    <col min="2" max="2" width="11.296875" style="103" bestFit="1" customWidth="1"/>
    <col min="3" max="3" width="8.796875" style="103"/>
    <col min="4" max="4" width="10.296875" style="103" bestFit="1" customWidth="1"/>
    <col min="5" max="25" width="12.69921875" style="103" customWidth="1"/>
    <col min="26" max="16384" width="8.796875" style="103"/>
  </cols>
  <sheetData>
    <row r="1" spans="1:26" s="102" customFormat="1">
      <c r="A1" s="102" t="s">
        <v>161</v>
      </c>
      <c r="E1" s="102">
        <v>0</v>
      </c>
      <c r="F1" s="102">
        <f>E1+1</f>
        <v>1</v>
      </c>
      <c r="G1" s="102">
        <f>F1+1</f>
        <v>2</v>
      </c>
      <c r="H1" s="102">
        <f t="shared" ref="H1:Y1" si="0">G1+1</f>
        <v>3</v>
      </c>
      <c r="I1" s="102">
        <f t="shared" si="0"/>
        <v>4</v>
      </c>
      <c r="J1" s="102">
        <f t="shared" si="0"/>
        <v>5</v>
      </c>
      <c r="K1" s="102">
        <f t="shared" si="0"/>
        <v>6</v>
      </c>
      <c r="L1" s="102">
        <f t="shared" si="0"/>
        <v>7</v>
      </c>
      <c r="M1" s="102">
        <f t="shared" si="0"/>
        <v>8</v>
      </c>
      <c r="N1" s="102">
        <f t="shared" si="0"/>
        <v>9</v>
      </c>
      <c r="O1" s="102">
        <f t="shared" si="0"/>
        <v>10</v>
      </c>
      <c r="P1" s="102">
        <f t="shared" si="0"/>
        <v>11</v>
      </c>
      <c r="Q1" s="102">
        <f t="shared" si="0"/>
        <v>12</v>
      </c>
      <c r="R1" s="102">
        <f t="shared" si="0"/>
        <v>13</v>
      </c>
      <c r="S1" s="102">
        <f t="shared" si="0"/>
        <v>14</v>
      </c>
      <c r="T1" s="102">
        <f t="shared" si="0"/>
        <v>15</v>
      </c>
      <c r="U1" s="102">
        <f t="shared" si="0"/>
        <v>16</v>
      </c>
      <c r="V1" s="102">
        <f t="shared" si="0"/>
        <v>17</v>
      </c>
      <c r="W1" s="102">
        <f t="shared" si="0"/>
        <v>18</v>
      </c>
      <c r="X1" s="102">
        <f t="shared" si="0"/>
        <v>19</v>
      </c>
      <c r="Y1" s="102">
        <f t="shared" si="0"/>
        <v>20</v>
      </c>
      <c r="Z1" s="102" t="s">
        <v>153</v>
      </c>
    </row>
    <row r="3" spans="1:26">
      <c r="C3" s="103" t="s">
        <v>120</v>
      </c>
      <c r="E3" s="103">
        <f>(E1)*4+1</f>
        <v>1</v>
      </c>
      <c r="F3" s="103">
        <f t="shared" ref="F3:Y3" si="1">(F1)*4+1</f>
        <v>5</v>
      </c>
      <c r="G3" s="103">
        <f t="shared" si="1"/>
        <v>9</v>
      </c>
      <c r="H3" s="103">
        <f t="shared" si="1"/>
        <v>13</v>
      </c>
      <c r="I3" s="103">
        <f t="shared" si="1"/>
        <v>17</v>
      </c>
      <c r="J3" s="103">
        <f t="shared" si="1"/>
        <v>21</v>
      </c>
      <c r="K3" s="103">
        <f t="shared" si="1"/>
        <v>25</v>
      </c>
      <c r="L3" s="103">
        <f t="shared" si="1"/>
        <v>29</v>
      </c>
      <c r="M3" s="103">
        <f t="shared" si="1"/>
        <v>33</v>
      </c>
      <c r="N3" s="103">
        <f t="shared" si="1"/>
        <v>37</v>
      </c>
      <c r="O3" s="103">
        <f t="shared" si="1"/>
        <v>41</v>
      </c>
      <c r="P3" s="103">
        <f t="shared" si="1"/>
        <v>45</v>
      </c>
      <c r="Q3" s="103">
        <f t="shared" si="1"/>
        <v>49</v>
      </c>
      <c r="R3" s="103">
        <f t="shared" si="1"/>
        <v>53</v>
      </c>
      <c r="S3" s="103">
        <f t="shared" si="1"/>
        <v>57</v>
      </c>
      <c r="T3" s="103">
        <f t="shared" si="1"/>
        <v>61</v>
      </c>
      <c r="U3" s="103">
        <f t="shared" si="1"/>
        <v>65</v>
      </c>
      <c r="V3" s="103">
        <f t="shared" si="1"/>
        <v>69</v>
      </c>
      <c r="W3" s="103">
        <f t="shared" si="1"/>
        <v>73</v>
      </c>
      <c r="X3" s="103">
        <f t="shared" si="1"/>
        <v>77</v>
      </c>
      <c r="Y3" s="103">
        <f t="shared" si="1"/>
        <v>81</v>
      </c>
      <c r="Z3" s="103" t="s">
        <v>128</v>
      </c>
    </row>
    <row r="4" spans="1:26">
      <c r="E4" s="103">
        <f>E3+1</f>
        <v>2</v>
      </c>
      <c r="F4" s="103">
        <f t="shared" ref="F4:Y6" si="2">F3+1</f>
        <v>6</v>
      </c>
      <c r="G4" s="103">
        <f t="shared" si="2"/>
        <v>10</v>
      </c>
      <c r="H4" s="103">
        <f t="shared" si="2"/>
        <v>14</v>
      </c>
      <c r="I4" s="103">
        <f t="shared" si="2"/>
        <v>18</v>
      </c>
      <c r="J4" s="103">
        <f t="shared" si="2"/>
        <v>22</v>
      </c>
      <c r="K4" s="103">
        <f t="shared" si="2"/>
        <v>26</v>
      </c>
      <c r="L4" s="103">
        <f t="shared" si="2"/>
        <v>30</v>
      </c>
      <c r="M4" s="103">
        <f t="shared" si="2"/>
        <v>34</v>
      </c>
      <c r="N4" s="103">
        <f t="shared" si="2"/>
        <v>38</v>
      </c>
      <c r="O4" s="103">
        <f t="shared" si="2"/>
        <v>42</v>
      </c>
      <c r="P4" s="103">
        <f t="shared" si="2"/>
        <v>46</v>
      </c>
      <c r="Q4" s="103">
        <f t="shared" si="2"/>
        <v>50</v>
      </c>
      <c r="R4" s="103">
        <f t="shared" si="2"/>
        <v>54</v>
      </c>
      <c r="S4" s="103">
        <f t="shared" si="2"/>
        <v>58</v>
      </c>
      <c r="T4" s="103">
        <f t="shared" si="2"/>
        <v>62</v>
      </c>
      <c r="U4" s="103">
        <f t="shared" si="2"/>
        <v>66</v>
      </c>
      <c r="V4" s="103">
        <f t="shared" si="2"/>
        <v>70</v>
      </c>
      <c r="W4" s="103">
        <f t="shared" si="2"/>
        <v>74</v>
      </c>
      <c r="X4" s="103">
        <f t="shared" si="2"/>
        <v>78</v>
      </c>
      <c r="Y4" s="103">
        <f t="shared" si="2"/>
        <v>82</v>
      </c>
      <c r="Z4" s="103" t="s">
        <v>173</v>
      </c>
    </row>
    <row r="5" spans="1:26">
      <c r="E5" s="103">
        <f>E4+1</f>
        <v>3</v>
      </c>
      <c r="F5" s="103">
        <f t="shared" si="2"/>
        <v>7</v>
      </c>
      <c r="G5" s="103">
        <f t="shared" si="2"/>
        <v>11</v>
      </c>
      <c r="H5" s="103">
        <f t="shared" si="2"/>
        <v>15</v>
      </c>
      <c r="I5" s="103">
        <f t="shared" si="2"/>
        <v>19</v>
      </c>
      <c r="J5" s="103">
        <f t="shared" si="2"/>
        <v>23</v>
      </c>
      <c r="K5" s="103">
        <f t="shared" si="2"/>
        <v>27</v>
      </c>
      <c r="L5" s="103">
        <f t="shared" si="2"/>
        <v>31</v>
      </c>
      <c r="M5" s="103">
        <f t="shared" si="2"/>
        <v>35</v>
      </c>
      <c r="N5" s="103">
        <f t="shared" si="2"/>
        <v>39</v>
      </c>
      <c r="O5" s="103">
        <f t="shared" si="2"/>
        <v>43</v>
      </c>
      <c r="P5" s="103">
        <f t="shared" si="2"/>
        <v>47</v>
      </c>
      <c r="Q5" s="103">
        <f t="shared" si="2"/>
        <v>51</v>
      </c>
      <c r="R5" s="103">
        <f t="shared" si="2"/>
        <v>55</v>
      </c>
      <c r="S5" s="103">
        <f t="shared" si="2"/>
        <v>59</v>
      </c>
      <c r="T5" s="103">
        <f t="shared" si="2"/>
        <v>63</v>
      </c>
      <c r="U5" s="103">
        <f t="shared" si="2"/>
        <v>67</v>
      </c>
      <c r="V5" s="103">
        <f t="shared" si="2"/>
        <v>71</v>
      </c>
      <c r="W5" s="103">
        <f t="shared" si="2"/>
        <v>75</v>
      </c>
      <c r="X5" s="103">
        <f t="shared" si="2"/>
        <v>79</v>
      </c>
      <c r="Y5" s="103">
        <f t="shared" si="2"/>
        <v>83</v>
      </c>
      <c r="Z5" s="103" t="s">
        <v>174</v>
      </c>
    </row>
    <row r="6" spans="1:26">
      <c r="C6" s="103" t="s">
        <v>121</v>
      </c>
      <c r="E6" s="103">
        <f>E5+1</f>
        <v>4</v>
      </c>
      <c r="F6" s="103">
        <f t="shared" si="2"/>
        <v>8</v>
      </c>
      <c r="G6" s="103">
        <f t="shared" si="2"/>
        <v>12</v>
      </c>
      <c r="H6" s="103">
        <f t="shared" si="2"/>
        <v>16</v>
      </c>
      <c r="I6" s="103">
        <f t="shared" si="2"/>
        <v>20</v>
      </c>
      <c r="J6" s="103">
        <f t="shared" si="2"/>
        <v>24</v>
      </c>
      <c r="K6" s="103">
        <f t="shared" si="2"/>
        <v>28</v>
      </c>
      <c r="L6" s="103">
        <f t="shared" si="2"/>
        <v>32</v>
      </c>
      <c r="M6" s="103">
        <f t="shared" si="2"/>
        <v>36</v>
      </c>
      <c r="N6" s="103">
        <f t="shared" si="2"/>
        <v>40</v>
      </c>
      <c r="O6" s="103">
        <f t="shared" si="2"/>
        <v>44</v>
      </c>
      <c r="P6" s="103">
        <f t="shared" si="2"/>
        <v>48</v>
      </c>
      <c r="Q6" s="103">
        <f t="shared" si="2"/>
        <v>52</v>
      </c>
      <c r="R6" s="103">
        <f t="shared" si="2"/>
        <v>56</v>
      </c>
      <c r="S6" s="103">
        <f t="shared" si="2"/>
        <v>60</v>
      </c>
      <c r="T6" s="103">
        <f t="shared" si="2"/>
        <v>64</v>
      </c>
      <c r="U6" s="103">
        <f t="shared" si="2"/>
        <v>68</v>
      </c>
      <c r="V6" s="103">
        <f t="shared" si="2"/>
        <v>72</v>
      </c>
      <c r="W6" s="103">
        <f t="shared" si="2"/>
        <v>76</v>
      </c>
      <c r="X6" s="103">
        <f t="shared" si="2"/>
        <v>80</v>
      </c>
      <c r="Y6" s="103">
        <f t="shared" si="2"/>
        <v>84</v>
      </c>
      <c r="Z6" s="103" t="s">
        <v>129</v>
      </c>
    </row>
    <row r="7" spans="1:26" ht="13.5" thickBot="1"/>
    <row r="8" spans="1:26">
      <c r="A8" s="104">
        <v>500000000</v>
      </c>
      <c r="B8" s="103" t="s">
        <v>156</v>
      </c>
      <c r="C8" s="103" t="s">
        <v>104</v>
      </c>
      <c r="E8" s="130">
        <f t="shared" ref="E8:Y8" si="3">INDEX(CalcResOpening,E3)</f>
        <v>500000000</v>
      </c>
      <c r="F8" s="118">
        <f t="shared" si="3"/>
        <v>458073897.64022034</v>
      </c>
      <c r="G8" s="118">
        <f t="shared" si="3"/>
        <v>416816111.14031011</v>
      </c>
      <c r="H8" s="118">
        <f t="shared" si="3"/>
        <v>374662675.55893207</v>
      </c>
      <c r="I8" s="118">
        <f t="shared" si="3"/>
        <v>333616332.46482915</v>
      </c>
      <c r="J8" s="118">
        <f t="shared" si="3"/>
        <v>294265049.68794316</v>
      </c>
      <c r="K8" s="118">
        <f t="shared" si="3"/>
        <v>257324997.24746671</v>
      </c>
      <c r="L8" s="118">
        <f t="shared" si="3"/>
        <v>222994553.75138915</v>
      </c>
      <c r="M8" s="118">
        <f t="shared" si="3"/>
        <v>191446369.12272096</v>
      </c>
      <c r="N8" s="118">
        <f t="shared" si="3"/>
        <v>162828393.66834328</v>
      </c>
      <c r="O8" s="118">
        <f t="shared" si="3"/>
        <v>137193155.08548251</v>
      </c>
      <c r="P8" s="118">
        <f t="shared" si="3"/>
        <v>114509828.02021225</v>
      </c>
      <c r="Q8" s="118">
        <f t="shared" si="3"/>
        <v>94678025.843771011</v>
      </c>
      <c r="R8" s="118">
        <f t="shared" si="3"/>
        <v>77542360.15320389</v>
      </c>
      <c r="S8" s="118">
        <f t="shared" si="3"/>
        <v>62906915.237701297</v>
      </c>
      <c r="T8" s="118">
        <f t="shared" si="3"/>
        <v>50548927.523775473</v>
      </c>
      <c r="U8" s="118">
        <f t="shared" si="3"/>
        <v>40231126.57643678</v>
      </c>
      <c r="V8" s="118">
        <f t="shared" si="3"/>
        <v>31712368.167587493</v>
      </c>
      <c r="W8" s="118">
        <f t="shared" ref="W8" si="4">INDEX(CalcResOpening,W3)</f>
        <v>24756356.987825874</v>
      </c>
      <c r="X8" s="118">
        <f t="shared" si="3"/>
        <v>19138405.633457772</v>
      </c>
      <c r="Y8" s="131">
        <f t="shared" si="3"/>
        <v>14650299.95390352</v>
      </c>
      <c r="Z8" s="103" t="s">
        <v>135</v>
      </c>
    </row>
    <row r="9" spans="1:26">
      <c r="C9" s="103" t="s">
        <v>105</v>
      </c>
      <c r="E9" s="132">
        <f t="shared" ref="E9:Y9" si="5">INDEX(CalcResAdded,finStartRef)+INDEX(CalcResAdded,finStart2Ref)+INDEX(CalcResAdded,finStart3Ref)+INDEX(CalcResAdded,finEndRef)</f>
        <v>0</v>
      </c>
      <c r="F9" s="121">
        <f t="shared" si="5"/>
        <v>1000000</v>
      </c>
      <c r="G9" s="121">
        <f t="shared" si="5"/>
        <v>0</v>
      </c>
      <c r="H9" s="121">
        <f t="shared" si="5"/>
        <v>0</v>
      </c>
      <c r="I9" s="121">
        <f t="shared" si="5"/>
        <v>0</v>
      </c>
      <c r="J9" s="121">
        <f t="shared" si="5"/>
        <v>0</v>
      </c>
      <c r="K9" s="121">
        <f t="shared" si="5"/>
        <v>0</v>
      </c>
      <c r="L9" s="121">
        <f t="shared" si="5"/>
        <v>0</v>
      </c>
      <c r="M9" s="121">
        <f t="shared" si="5"/>
        <v>0</v>
      </c>
      <c r="N9" s="121">
        <f t="shared" si="5"/>
        <v>0</v>
      </c>
      <c r="O9" s="121">
        <f t="shared" si="5"/>
        <v>0</v>
      </c>
      <c r="P9" s="121">
        <f t="shared" si="5"/>
        <v>0</v>
      </c>
      <c r="Q9" s="121">
        <f t="shared" si="5"/>
        <v>0</v>
      </c>
      <c r="R9" s="121">
        <f t="shared" si="5"/>
        <v>0</v>
      </c>
      <c r="S9" s="121">
        <f t="shared" si="5"/>
        <v>0</v>
      </c>
      <c r="T9" s="121">
        <f t="shared" si="5"/>
        <v>0</v>
      </c>
      <c r="U9" s="121">
        <f t="shared" si="5"/>
        <v>0</v>
      </c>
      <c r="V9" s="121">
        <f t="shared" si="5"/>
        <v>0</v>
      </c>
      <c r="W9" s="121">
        <f t="shared" si="5"/>
        <v>0</v>
      </c>
      <c r="X9" s="121">
        <f t="shared" si="5"/>
        <v>0</v>
      </c>
      <c r="Y9" s="133">
        <f t="shared" si="5"/>
        <v>0</v>
      </c>
      <c r="Z9" s="103" t="s">
        <v>136</v>
      </c>
    </row>
    <row r="10" spans="1:26">
      <c r="C10" s="103" t="s">
        <v>107</v>
      </c>
      <c r="E10" s="132">
        <f>INDEX(CalcResProduced,finStartRef)+INDEX(CalcResProduced,finStart2Ref)+INDEX(CalcResProduced,finStart3Reft)+INDEX(CalcResProduced,finEndRef)</f>
        <v>-41926102.359779663</v>
      </c>
      <c r="F10" s="121">
        <f>SUM(INDEX(CalcResProduced,finStartRef):INDEX(CalcResProduced,finEndRef))</f>
        <v>-42257786.49991025</v>
      </c>
      <c r="G10" s="121">
        <f>SUM(INDEX(CalcResProduced,finStartRef):INDEX(CalcResProduced,finEndRef))</f>
        <v>-42153435.581378073</v>
      </c>
      <c r="H10" s="121">
        <f>SUM(INDEX(CalcResProduced,finStartRef):INDEX(CalcResProduced,finEndRef))</f>
        <v>-41046343.094102941</v>
      </c>
      <c r="I10" s="121">
        <f>SUM(INDEX(CalcResProduced,finStartRef):INDEX(CalcResProduced,finEndRef))</f>
        <v>-39351282.776886061</v>
      </c>
      <c r="J10" s="121">
        <f>SUM(INDEX(CalcResProduced,finStartRef):INDEX(CalcResProduced,finEndRef))</f>
        <v>-36940052.440476485</v>
      </c>
      <c r="K10" s="121">
        <f>SUM(INDEX(CalcResProduced,finStartRef):INDEX(CalcResProduced,finEndRef))</f>
        <v>-34330443.496077552</v>
      </c>
      <c r="L10" s="121">
        <f>SUM(INDEX(CalcResProduced,finStartRef):INDEX(CalcResProduced,finEndRef))</f>
        <v>-31548184.628668163</v>
      </c>
      <c r="M10" s="121">
        <f>SUM(INDEX(CalcResProduced,finStartRef):INDEX(CalcResProduced,finEndRef))</f>
        <v>-28617975.454377681</v>
      </c>
      <c r="N10" s="121">
        <f>SUM(INDEX(CalcResProduced,finStartRef):INDEX(CalcResProduced,finEndRef))</f>
        <v>-25635238.58286076</v>
      </c>
      <c r="O10" s="121">
        <f>SUM(INDEX(CalcResProduced,finStartRef):INDEX(CalcResProduced,finEndRef))</f>
        <v>-22683327.065270267</v>
      </c>
      <c r="P10" s="121">
        <f>SUM(INDEX(CalcResProduced,finStartRef):INDEX(CalcResProduced,finEndRef))</f>
        <v>-19831802.17644123</v>
      </c>
      <c r="Q10" s="121">
        <f>SUM(INDEX(CalcResProduced,finStartRef):INDEX(CalcResProduced,finEndRef))</f>
        <v>-17135665.690567128</v>
      </c>
      <c r="R10" s="121">
        <f>SUM(INDEX(CalcResProduced,finStartRef):INDEX(CalcResProduced,finEndRef))</f>
        <v>-14635444.915502587</v>
      </c>
      <c r="S10" s="121">
        <f>SUM(INDEX(CalcResProduced,finStartRef):INDEX(CalcResProduced,finEndRef))</f>
        <v>-12357987.71392582</v>
      </c>
      <c r="T10" s="121">
        <f>SUM(INDEX(CalcResProduced,finStartRef):INDEX(CalcResProduced,finEndRef))</f>
        <v>-10317800.947338689</v>
      </c>
      <c r="U10" s="121">
        <f>SUM(INDEX(CalcResProduced,finStartRef):INDEX(CalcResProduced,finEndRef))</f>
        <v>-8518758.4088492841</v>
      </c>
      <c r="V10" s="121">
        <f>SUM(INDEX(CalcResProduced,finStartRef):INDEX(CalcResProduced,finEndRef))</f>
        <v>-6956011.1797616212</v>
      </c>
      <c r="W10" s="121">
        <f>SUM(INDEX(CalcResProduced,finStartRef):INDEX(CalcResProduced,finEndRef))</f>
        <v>-5617951.3543681018</v>
      </c>
      <c r="X10" s="121">
        <f>SUM(INDEX(CalcResProduced,finStartRef):INDEX(CalcResProduced,finEndRef))</f>
        <v>-4488105.6795542529</v>
      </c>
      <c r="Y10" s="133">
        <f>SUM(INDEX(CalcResProduced,finStartRef):INDEX(CalcResProduced,finEndRef))</f>
        <v>-3665882.394132812</v>
      </c>
      <c r="Z10" s="103" t="s">
        <v>137</v>
      </c>
    </row>
    <row r="11" spans="1:26" ht="2.1" customHeight="1">
      <c r="C11" s="106"/>
      <c r="D11" s="106"/>
      <c r="E11" s="123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34"/>
    </row>
    <row r="12" spans="1:26">
      <c r="C12" s="103" t="s">
        <v>106</v>
      </c>
      <c r="E12" s="132">
        <f>SUM(E8:E11)</f>
        <v>458073897.64022034</v>
      </c>
      <c r="F12" s="121">
        <f>SUM(F8:F11)</f>
        <v>416816111.14031011</v>
      </c>
      <c r="G12" s="121">
        <f>SUM(G8:G11)</f>
        <v>374662675.55893207</v>
      </c>
      <c r="H12" s="121">
        <f>SUM(H8:H11)</f>
        <v>333616332.46482915</v>
      </c>
      <c r="I12" s="121">
        <f>SUM(I8:I11)</f>
        <v>294265049.6879431</v>
      </c>
      <c r="J12" s="121">
        <f t="shared" ref="J12:Y12" si="6">SUM(J8:J11)</f>
        <v>257324997.24746668</v>
      </c>
      <c r="K12" s="121">
        <f t="shared" si="6"/>
        <v>222994553.75138915</v>
      </c>
      <c r="L12" s="121">
        <f t="shared" si="6"/>
        <v>191446369.12272099</v>
      </c>
      <c r="M12" s="121">
        <f t="shared" si="6"/>
        <v>162828393.66834328</v>
      </c>
      <c r="N12" s="121">
        <f t="shared" si="6"/>
        <v>137193155.08548251</v>
      </c>
      <c r="O12" s="121">
        <f t="shared" si="6"/>
        <v>114509828.02021223</v>
      </c>
      <c r="P12" s="121">
        <f t="shared" si="6"/>
        <v>94678025.843771011</v>
      </c>
      <c r="Q12" s="121">
        <f t="shared" si="6"/>
        <v>77542360.153203875</v>
      </c>
      <c r="R12" s="121">
        <f t="shared" si="6"/>
        <v>62906915.237701304</v>
      </c>
      <c r="S12" s="121">
        <f t="shared" si="6"/>
        <v>50548927.523775473</v>
      </c>
      <c r="T12" s="121">
        <f t="shared" si="6"/>
        <v>40231126.576436788</v>
      </c>
      <c r="U12" s="121">
        <f t="shared" si="6"/>
        <v>31712368.167587496</v>
      </c>
      <c r="V12" s="121">
        <f t="shared" si="6"/>
        <v>24756356.987825871</v>
      </c>
      <c r="W12" s="121">
        <f t="shared" ref="W12" si="7">SUM(W8:W11)</f>
        <v>19138405.633457772</v>
      </c>
      <c r="X12" s="121">
        <f t="shared" si="6"/>
        <v>14650299.953903519</v>
      </c>
      <c r="Y12" s="133">
        <f t="shared" si="6"/>
        <v>10984417.559770709</v>
      </c>
      <c r="Z12" s="103" t="s">
        <v>138</v>
      </c>
    </row>
    <row r="13" spans="1:26">
      <c r="E13" s="119"/>
      <c r="F13" s="120"/>
      <c r="G13" s="120"/>
      <c r="H13" s="120"/>
      <c r="I13" s="120"/>
      <c r="J13" s="120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2"/>
    </row>
    <row r="14" spans="1:26">
      <c r="A14" s="107">
        <v>2.5000000000000001E-2</v>
      </c>
      <c r="B14" s="103" t="s">
        <v>157</v>
      </c>
      <c r="C14" s="103" t="s">
        <v>102</v>
      </c>
      <c r="E14" s="132">
        <f t="shared" ref="E14:Y14" si="8">INDEX(CalcProdBase,finStartRef)+INDEX(CalcProdBase,finStart2Ref)+INDEX(CalcProdBase,finStart3Ref)+INDEX(CalcProdBase,finEndRef)</f>
        <v>41926102.359779663</v>
      </c>
      <c r="F14" s="121">
        <f t="shared" si="8"/>
        <v>42257786.49991025</v>
      </c>
      <c r="G14" s="121">
        <f t="shared" si="8"/>
        <v>41827759.600290589</v>
      </c>
      <c r="H14" s="121">
        <f t="shared" si="8"/>
        <v>40718090.637939833</v>
      </c>
      <c r="I14" s="121">
        <f t="shared" si="8"/>
        <v>39026370.708322681</v>
      </c>
      <c r="J14" s="121">
        <f t="shared" si="8"/>
        <v>36859980.948235609</v>
      </c>
      <c r="K14" s="121">
        <f t="shared" si="8"/>
        <v>34330443.496077552</v>
      </c>
      <c r="L14" s="121">
        <f t="shared" si="8"/>
        <v>31548184.628668163</v>
      </c>
      <c r="M14" s="121">
        <f t="shared" si="8"/>
        <v>28617975.454377681</v>
      </c>
      <c r="N14" s="121">
        <f t="shared" si="8"/>
        <v>25635238.58286076</v>
      </c>
      <c r="O14" s="121">
        <f t="shared" si="8"/>
        <v>22683327.065270267</v>
      </c>
      <c r="P14" s="121">
        <f t="shared" si="8"/>
        <v>19831802.17644123</v>
      </c>
      <c r="Q14" s="121">
        <f t="shared" si="8"/>
        <v>17135665.690567128</v>
      </c>
      <c r="R14" s="121">
        <f t="shared" si="8"/>
        <v>14635444.915502587</v>
      </c>
      <c r="S14" s="121">
        <f t="shared" si="8"/>
        <v>12357987.71392582</v>
      </c>
      <c r="T14" s="121">
        <f t="shared" si="8"/>
        <v>10317800.947338689</v>
      </c>
      <c r="U14" s="121">
        <f t="shared" si="8"/>
        <v>8518758.4088492841</v>
      </c>
      <c r="V14" s="121">
        <f t="shared" si="8"/>
        <v>6956011.1797616212</v>
      </c>
      <c r="W14" s="121">
        <f t="shared" si="8"/>
        <v>5617951.3543681018</v>
      </c>
      <c r="X14" s="121">
        <f t="shared" si="8"/>
        <v>4488105.6795542529</v>
      </c>
      <c r="Y14" s="133">
        <f t="shared" si="8"/>
        <v>3665882.394132812</v>
      </c>
      <c r="Z14" s="103" t="s">
        <v>139</v>
      </c>
    </row>
    <row r="15" spans="1:26">
      <c r="A15" s="107">
        <v>0.9</v>
      </c>
      <c r="B15" s="103" t="s">
        <v>182</v>
      </c>
      <c r="C15" s="103" t="s">
        <v>108</v>
      </c>
      <c r="E15" s="132">
        <f t="shared" ref="E15:Y15" si="9">INDEX(CalcProdAdded,finStartRef)+INDEX(CalcProdAdded,finStart2Ref)+INDEX(CalcProdAdded,finStart3Ref)+INDEX(CalcProdAdded,finEndRef)</f>
        <v>0</v>
      </c>
      <c r="F15" s="121">
        <f t="shared" si="9"/>
        <v>0</v>
      </c>
      <c r="G15" s="121">
        <f t="shared" si="9"/>
        <v>325675.98108747893</v>
      </c>
      <c r="H15" s="121">
        <f t="shared" si="9"/>
        <v>328252.45616310649</v>
      </c>
      <c r="I15" s="121">
        <f t="shared" si="9"/>
        <v>324912.06856337609</v>
      </c>
      <c r="J15" s="121">
        <f t="shared" si="9"/>
        <v>80071.492240876119</v>
      </c>
      <c r="K15" s="121">
        <f t="shared" si="9"/>
        <v>0</v>
      </c>
      <c r="L15" s="121">
        <f t="shared" si="9"/>
        <v>0</v>
      </c>
      <c r="M15" s="121">
        <f t="shared" si="9"/>
        <v>0</v>
      </c>
      <c r="N15" s="121">
        <f t="shared" si="9"/>
        <v>0</v>
      </c>
      <c r="O15" s="121">
        <f t="shared" si="9"/>
        <v>0</v>
      </c>
      <c r="P15" s="121">
        <f t="shared" si="9"/>
        <v>0</v>
      </c>
      <c r="Q15" s="121">
        <f t="shared" si="9"/>
        <v>0</v>
      </c>
      <c r="R15" s="121">
        <f t="shared" si="9"/>
        <v>0</v>
      </c>
      <c r="S15" s="121">
        <f t="shared" si="9"/>
        <v>0</v>
      </c>
      <c r="T15" s="121">
        <f t="shared" si="9"/>
        <v>0</v>
      </c>
      <c r="U15" s="121">
        <f t="shared" si="9"/>
        <v>0</v>
      </c>
      <c r="V15" s="121">
        <f t="shared" si="9"/>
        <v>0</v>
      </c>
      <c r="W15" s="121">
        <f t="shared" si="9"/>
        <v>0</v>
      </c>
      <c r="X15" s="121">
        <f t="shared" si="9"/>
        <v>0</v>
      </c>
      <c r="Y15" s="133">
        <f t="shared" si="9"/>
        <v>0</v>
      </c>
      <c r="Z15" s="103" t="s">
        <v>140</v>
      </c>
    </row>
    <row r="16" spans="1:26" ht="2.1" customHeight="1">
      <c r="C16" s="106"/>
      <c r="D16" s="106"/>
      <c r="E16" s="123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34"/>
    </row>
    <row r="17" spans="1:26">
      <c r="C17" s="103" t="s">
        <v>109</v>
      </c>
      <c r="E17" s="132">
        <f>SUM(E14:E16)</f>
        <v>41926102.359779663</v>
      </c>
      <c r="F17" s="121">
        <f t="shared" ref="F17:Y17" si="10">SUM(F14:F16)</f>
        <v>42257786.49991025</v>
      </c>
      <c r="G17" s="121">
        <f t="shared" si="10"/>
        <v>42153435.581378065</v>
      </c>
      <c r="H17" s="121">
        <f t="shared" si="10"/>
        <v>41046343.094102941</v>
      </c>
      <c r="I17" s="121">
        <f t="shared" si="10"/>
        <v>39351282.776886061</v>
      </c>
      <c r="J17" s="121">
        <f t="shared" si="10"/>
        <v>36940052.440476485</v>
      </c>
      <c r="K17" s="121">
        <f t="shared" si="10"/>
        <v>34330443.496077552</v>
      </c>
      <c r="L17" s="121">
        <f t="shared" si="10"/>
        <v>31548184.628668163</v>
      </c>
      <c r="M17" s="121">
        <f t="shared" si="10"/>
        <v>28617975.454377681</v>
      </c>
      <c r="N17" s="121">
        <f t="shared" si="10"/>
        <v>25635238.58286076</v>
      </c>
      <c r="O17" s="121">
        <f t="shared" si="10"/>
        <v>22683327.065270267</v>
      </c>
      <c r="P17" s="121">
        <f t="shared" si="10"/>
        <v>19831802.17644123</v>
      </c>
      <c r="Q17" s="121">
        <f t="shared" si="10"/>
        <v>17135665.690567128</v>
      </c>
      <c r="R17" s="121">
        <f t="shared" si="10"/>
        <v>14635444.915502587</v>
      </c>
      <c r="S17" s="121">
        <f t="shared" si="10"/>
        <v>12357987.71392582</v>
      </c>
      <c r="T17" s="121">
        <f t="shared" si="10"/>
        <v>10317800.947338689</v>
      </c>
      <c r="U17" s="121">
        <f t="shared" si="10"/>
        <v>8518758.4088492841</v>
      </c>
      <c r="V17" s="121">
        <f t="shared" si="10"/>
        <v>6956011.1797616212</v>
      </c>
      <c r="W17" s="121">
        <f t="shared" ref="W17" si="11">SUM(W14:W16)</f>
        <v>5617951.3543681018</v>
      </c>
      <c r="X17" s="121">
        <f t="shared" si="10"/>
        <v>4488105.6795542529</v>
      </c>
      <c r="Y17" s="133">
        <f t="shared" si="10"/>
        <v>3665882.394132812</v>
      </c>
      <c r="Z17" s="103" t="s">
        <v>141</v>
      </c>
    </row>
    <row r="18" spans="1:26">
      <c r="C18" s="103" t="s">
        <v>102</v>
      </c>
      <c r="E18" s="135">
        <f>E17/365</f>
        <v>114866.03386241004</v>
      </c>
      <c r="F18" s="125">
        <f t="shared" ref="F18:Y18" si="12">F17/365</f>
        <v>115774.75753400069</v>
      </c>
      <c r="G18" s="125">
        <f t="shared" si="12"/>
        <v>115488.86460651524</v>
      </c>
      <c r="H18" s="125">
        <f t="shared" si="12"/>
        <v>112455.73450439161</v>
      </c>
      <c r="I18" s="125">
        <f t="shared" si="12"/>
        <v>107811.73363530428</v>
      </c>
      <c r="J18" s="125">
        <f t="shared" si="12"/>
        <v>101205.62312459311</v>
      </c>
      <c r="K18" s="125">
        <f t="shared" si="12"/>
        <v>94056.009578294659</v>
      </c>
      <c r="L18" s="125">
        <f t="shared" si="12"/>
        <v>86433.382544296343</v>
      </c>
      <c r="M18" s="125">
        <f t="shared" si="12"/>
        <v>78405.412203774467</v>
      </c>
      <c r="N18" s="125">
        <f t="shared" si="12"/>
        <v>70233.530364002087</v>
      </c>
      <c r="O18" s="125">
        <f t="shared" si="12"/>
        <v>62146.101548685663</v>
      </c>
      <c r="P18" s="125">
        <f t="shared" si="12"/>
        <v>54333.70459298967</v>
      </c>
      <c r="Q18" s="125">
        <f t="shared" si="12"/>
        <v>46947.029289225007</v>
      </c>
      <c r="R18" s="125">
        <f t="shared" si="12"/>
        <v>40097.109357541332</v>
      </c>
      <c r="S18" s="125">
        <f t="shared" si="12"/>
        <v>33857.50058609814</v>
      </c>
      <c r="T18" s="125">
        <f t="shared" si="12"/>
        <v>28267.947800927916</v>
      </c>
      <c r="U18" s="125">
        <f t="shared" si="12"/>
        <v>23339.064133833654</v>
      </c>
      <c r="V18" s="125">
        <f t="shared" si="12"/>
        <v>19057.564876059238</v>
      </c>
      <c r="W18" s="125">
        <f t="shared" ref="W18" si="13">W17/365</f>
        <v>15391.647546213977</v>
      </c>
      <c r="X18" s="125">
        <f t="shared" si="12"/>
        <v>12296.179943984254</v>
      </c>
      <c r="Y18" s="136">
        <f t="shared" si="12"/>
        <v>10043.513408583047</v>
      </c>
      <c r="Z18" s="103" t="s">
        <v>199</v>
      </c>
    </row>
    <row r="19" spans="1:26"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0"/>
      <c r="X19" s="120"/>
      <c r="Y19" s="122"/>
    </row>
    <row r="20" spans="1:26">
      <c r="A20" s="109">
        <v>7500000000</v>
      </c>
      <c r="B20" s="103" t="s">
        <v>158</v>
      </c>
      <c r="C20" s="103" t="s">
        <v>130</v>
      </c>
      <c r="E20" s="137">
        <f>BaseCapEmp</f>
        <v>7500000000</v>
      </c>
      <c r="F20" s="126">
        <f>E24</f>
        <v>7312500000</v>
      </c>
      <c r="G20" s="126">
        <f t="shared" ref="G20:Y20" si="14">F24</f>
        <v>7139687500</v>
      </c>
      <c r="H20" s="126">
        <f t="shared" si="14"/>
        <v>6961195312.5</v>
      </c>
      <c r="I20" s="126">
        <f t="shared" si="14"/>
        <v>6787165429.6875</v>
      </c>
      <c r="J20" s="126">
        <f t="shared" si="14"/>
        <v>6617486293.9453125</v>
      </c>
      <c r="K20" s="126">
        <f t="shared" si="14"/>
        <v>6452049136.5966797</v>
      </c>
      <c r="L20" s="126">
        <f t="shared" si="14"/>
        <v>6290747908.1817627</v>
      </c>
      <c r="M20" s="126">
        <f t="shared" si="14"/>
        <v>6133479210.4772186</v>
      </c>
      <c r="N20" s="126">
        <f t="shared" si="14"/>
        <v>5980142230.2152882</v>
      </c>
      <c r="O20" s="126">
        <f t="shared" si="14"/>
        <v>5830638674.4599056</v>
      </c>
      <c r="P20" s="126">
        <f t="shared" si="14"/>
        <v>5684872707.5984077</v>
      </c>
      <c r="Q20" s="126">
        <f t="shared" si="14"/>
        <v>5542750889.9084473</v>
      </c>
      <c r="R20" s="126">
        <f t="shared" si="14"/>
        <v>5404182117.6607361</v>
      </c>
      <c r="S20" s="126">
        <f t="shared" si="14"/>
        <v>5269077564.7192173</v>
      </c>
      <c r="T20" s="126">
        <f t="shared" si="14"/>
        <v>5137350625.6012373</v>
      </c>
      <c r="U20" s="126">
        <f t="shared" si="14"/>
        <v>5008916859.9612064</v>
      </c>
      <c r="V20" s="126">
        <f t="shared" si="14"/>
        <v>4883693938.4621763</v>
      </c>
      <c r="W20" s="126">
        <f>U24</f>
        <v>4883693938.4621763</v>
      </c>
      <c r="X20" s="126">
        <f>V24</f>
        <v>4761601590.0006218</v>
      </c>
      <c r="Y20" s="138">
        <f t="shared" si="14"/>
        <v>4642561550.2506065</v>
      </c>
      <c r="Z20" s="103" t="s">
        <v>163</v>
      </c>
    </row>
    <row r="21" spans="1:26">
      <c r="C21" s="103" t="s">
        <v>110</v>
      </c>
      <c r="E21" s="137">
        <f t="shared" ref="E21:Y21" si="15">INDEX(CalcCapExClosing,finStartRef)+INDEX(CalcCapExClosing,finStart2Ref)+INDEX(CalcCapExClosing,finStart3Ref)+INDEX(CalcCapExClosing,finEndRef)</f>
        <v>0</v>
      </c>
      <c r="F21" s="126">
        <f t="shared" si="15"/>
        <v>10000000</v>
      </c>
      <c r="G21" s="126">
        <f t="shared" si="15"/>
        <v>0</v>
      </c>
      <c r="H21" s="126">
        <f t="shared" si="15"/>
        <v>0</v>
      </c>
      <c r="I21" s="126">
        <f t="shared" si="15"/>
        <v>0</v>
      </c>
      <c r="J21" s="126">
        <f t="shared" si="15"/>
        <v>0</v>
      </c>
      <c r="K21" s="126">
        <f t="shared" si="15"/>
        <v>0</v>
      </c>
      <c r="L21" s="126">
        <f t="shared" si="15"/>
        <v>0</v>
      </c>
      <c r="M21" s="126">
        <f t="shared" si="15"/>
        <v>0</v>
      </c>
      <c r="N21" s="126">
        <f t="shared" si="15"/>
        <v>0</v>
      </c>
      <c r="O21" s="126">
        <f t="shared" si="15"/>
        <v>0</v>
      </c>
      <c r="P21" s="126">
        <f t="shared" si="15"/>
        <v>0</v>
      </c>
      <c r="Q21" s="126">
        <f t="shared" si="15"/>
        <v>0</v>
      </c>
      <c r="R21" s="126">
        <f t="shared" si="15"/>
        <v>0</v>
      </c>
      <c r="S21" s="126">
        <f t="shared" si="15"/>
        <v>0</v>
      </c>
      <c r="T21" s="126">
        <f t="shared" si="15"/>
        <v>0</v>
      </c>
      <c r="U21" s="126">
        <f t="shared" si="15"/>
        <v>0</v>
      </c>
      <c r="V21" s="126">
        <f t="shared" si="15"/>
        <v>0</v>
      </c>
      <c r="W21" s="126">
        <f t="shared" si="15"/>
        <v>0</v>
      </c>
      <c r="X21" s="126">
        <f t="shared" si="15"/>
        <v>0</v>
      </c>
      <c r="Y21" s="138">
        <f t="shared" si="15"/>
        <v>0</v>
      </c>
      <c r="Z21" s="103" t="s">
        <v>155</v>
      </c>
    </row>
    <row r="22" spans="1:26">
      <c r="A22" s="114">
        <v>2.5000000000000001E-2</v>
      </c>
      <c r="B22" s="103" t="s">
        <v>160</v>
      </c>
      <c r="C22" s="103" t="s">
        <v>111</v>
      </c>
      <c r="E22" s="137">
        <f t="shared" ref="E22:Y22" si="16">-E20*BaseDD_A</f>
        <v>-187500000</v>
      </c>
      <c r="F22" s="126">
        <f t="shared" si="16"/>
        <v>-182812500</v>
      </c>
      <c r="G22" s="126">
        <f t="shared" si="16"/>
        <v>-178492187.5</v>
      </c>
      <c r="H22" s="126">
        <f t="shared" si="16"/>
        <v>-174029882.8125</v>
      </c>
      <c r="I22" s="126">
        <f t="shared" si="16"/>
        <v>-169679135.7421875</v>
      </c>
      <c r="J22" s="126">
        <f t="shared" si="16"/>
        <v>-165437157.34863281</v>
      </c>
      <c r="K22" s="126">
        <f t="shared" si="16"/>
        <v>-161301228.41491699</v>
      </c>
      <c r="L22" s="126">
        <f t="shared" si="16"/>
        <v>-157268697.70454407</v>
      </c>
      <c r="M22" s="126">
        <f t="shared" si="16"/>
        <v>-153336980.26193047</v>
      </c>
      <c r="N22" s="126">
        <f t="shared" si="16"/>
        <v>-149503555.75538221</v>
      </c>
      <c r="O22" s="126">
        <f t="shared" si="16"/>
        <v>-145765966.86149764</v>
      </c>
      <c r="P22" s="126">
        <f t="shared" si="16"/>
        <v>-142121817.68996021</v>
      </c>
      <c r="Q22" s="126">
        <f t="shared" si="16"/>
        <v>-138568772.24771118</v>
      </c>
      <c r="R22" s="126">
        <f t="shared" si="16"/>
        <v>-135104552.9415184</v>
      </c>
      <c r="S22" s="126">
        <f t="shared" si="16"/>
        <v>-131726939.11798044</v>
      </c>
      <c r="T22" s="126">
        <f t="shared" si="16"/>
        <v>-128433765.64003094</v>
      </c>
      <c r="U22" s="126">
        <f t="shared" si="16"/>
        <v>-125222921.49903017</v>
      </c>
      <c r="V22" s="126">
        <f t="shared" si="16"/>
        <v>-122092348.46155441</v>
      </c>
      <c r="W22" s="126">
        <f t="shared" ref="W22" si="17">-W20*BaseDD_A</f>
        <v>-122092348.46155441</v>
      </c>
      <c r="X22" s="126">
        <f t="shared" si="16"/>
        <v>-119040039.75001556</v>
      </c>
      <c r="Y22" s="138">
        <f t="shared" si="16"/>
        <v>-116064038.75626516</v>
      </c>
      <c r="Z22" s="103" t="s">
        <v>164</v>
      </c>
    </row>
    <row r="23" spans="1:26" ht="2.1" customHeight="1">
      <c r="C23" s="106"/>
      <c r="D23" s="106"/>
      <c r="E23" s="123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34"/>
    </row>
    <row r="24" spans="1:26">
      <c r="C24" s="103" t="s">
        <v>130</v>
      </c>
      <c r="E24" s="137">
        <f>SUM(E20:E23)</f>
        <v>7312500000</v>
      </c>
      <c r="F24" s="126">
        <f t="shared" ref="F24:Y24" si="18">SUM(F20:F23)</f>
        <v>7139687500</v>
      </c>
      <c r="G24" s="126">
        <f t="shared" si="18"/>
        <v>6961195312.5</v>
      </c>
      <c r="H24" s="126">
        <f t="shared" si="18"/>
        <v>6787165429.6875</v>
      </c>
      <c r="I24" s="126">
        <f t="shared" si="18"/>
        <v>6617486293.9453125</v>
      </c>
      <c r="J24" s="126">
        <f t="shared" si="18"/>
        <v>6452049136.5966797</v>
      </c>
      <c r="K24" s="126">
        <f t="shared" si="18"/>
        <v>6290747908.1817627</v>
      </c>
      <c r="L24" s="126">
        <f t="shared" si="18"/>
        <v>6133479210.4772186</v>
      </c>
      <c r="M24" s="126">
        <f t="shared" si="18"/>
        <v>5980142230.2152882</v>
      </c>
      <c r="N24" s="126">
        <f t="shared" si="18"/>
        <v>5830638674.4599056</v>
      </c>
      <c r="O24" s="126">
        <f t="shared" si="18"/>
        <v>5684872707.5984077</v>
      </c>
      <c r="P24" s="126">
        <f t="shared" si="18"/>
        <v>5542750889.9084473</v>
      </c>
      <c r="Q24" s="126">
        <f t="shared" si="18"/>
        <v>5404182117.6607361</v>
      </c>
      <c r="R24" s="126">
        <f t="shared" si="18"/>
        <v>5269077564.7192173</v>
      </c>
      <c r="S24" s="126">
        <f t="shared" si="18"/>
        <v>5137350625.6012373</v>
      </c>
      <c r="T24" s="126">
        <f t="shared" si="18"/>
        <v>5008916859.9612064</v>
      </c>
      <c r="U24" s="126">
        <f t="shared" si="18"/>
        <v>4883693938.4621763</v>
      </c>
      <c r="V24" s="126">
        <f t="shared" si="18"/>
        <v>4761601590.0006218</v>
      </c>
      <c r="W24" s="126">
        <f t="shared" ref="W24" si="19">SUM(W20:W23)</f>
        <v>4761601590.0006218</v>
      </c>
      <c r="X24" s="126">
        <f t="shared" si="18"/>
        <v>4642561550.2506065</v>
      </c>
      <c r="Y24" s="138">
        <f t="shared" si="18"/>
        <v>4526497511.4943409</v>
      </c>
      <c r="Z24" s="103" t="s">
        <v>162</v>
      </c>
    </row>
    <row r="25" spans="1:26">
      <c r="E25" s="119"/>
      <c r="F25" s="120"/>
      <c r="G25" s="120"/>
      <c r="H25" s="120"/>
      <c r="I25" s="120"/>
      <c r="J25" s="120"/>
      <c r="K25" s="120"/>
      <c r="L25" s="120"/>
      <c r="M25" s="120"/>
      <c r="N25" s="120"/>
      <c r="O25" s="120"/>
      <c r="P25" s="120"/>
      <c r="Q25" s="120"/>
      <c r="R25" s="120"/>
      <c r="S25" s="120"/>
      <c r="T25" s="120"/>
      <c r="U25" s="120"/>
      <c r="V25" s="120"/>
      <c r="W25" s="120"/>
      <c r="X25" s="120"/>
      <c r="Y25" s="122"/>
    </row>
    <row r="26" spans="1:26">
      <c r="C26" s="103" t="s">
        <v>27</v>
      </c>
      <c r="E26" s="137">
        <f t="shared" ref="E26:Y26" si="20">FinProdClosing*tlInputNetback</f>
        <v>2096305117.9889832</v>
      </c>
      <c r="F26" s="126">
        <f t="shared" si="20"/>
        <v>2112889324.9955125</v>
      </c>
      <c r="G26" s="126">
        <f t="shared" si="20"/>
        <v>2107671779.0689032</v>
      </c>
      <c r="H26" s="126">
        <f t="shared" si="20"/>
        <v>2052317154.705147</v>
      </c>
      <c r="I26" s="126">
        <f t="shared" si="20"/>
        <v>1967564138.8443031</v>
      </c>
      <c r="J26" s="126">
        <f t="shared" si="20"/>
        <v>1847002622.0238242</v>
      </c>
      <c r="K26" s="126">
        <f t="shared" si="20"/>
        <v>1716522174.8038776</v>
      </c>
      <c r="L26" s="126">
        <f t="shared" si="20"/>
        <v>1577409231.4334083</v>
      </c>
      <c r="M26" s="126">
        <f t="shared" si="20"/>
        <v>1430898772.718884</v>
      </c>
      <c r="N26" s="126">
        <f t="shared" si="20"/>
        <v>1281761929.143038</v>
      </c>
      <c r="O26" s="126">
        <f t="shared" si="20"/>
        <v>1134166353.2635133</v>
      </c>
      <c r="P26" s="126">
        <f t="shared" si="20"/>
        <v>991590108.82206154</v>
      </c>
      <c r="Q26" s="126">
        <f t="shared" si="20"/>
        <v>856783284.52835643</v>
      </c>
      <c r="R26" s="126">
        <f t="shared" si="20"/>
        <v>731772245.77512932</v>
      </c>
      <c r="S26" s="126">
        <f t="shared" si="20"/>
        <v>617899385.69629097</v>
      </c>
      <c r="T26" s="126">
        <f t="shared" si="20"/>
        <v>515890047.36693448</v>
      </c>
      <c r="U26" s="126">
        <f t="shared" si="20"/>
        <v>425937920.44246423</v>
      </c>
      <c r="V26" s="126">
        <f t="shared" si="20"/>
        <v>347800558.98808104</v>
      </c>
      <c r="W26" s="126">
        <f t="shared" si="20"/>
        <v>280897567.71840507</v>
      </c>
      <c r="X26" s="126">
        <f t="shared" si="20"/>
        <v>224405283.97771263</v>
      </c>
      <c r="Y26" s="138">
        <f t="shared" si="20"/>
        <v>183294119.7066406</v>
      </c>
      <c r="Z26" s="103" t="s">
        <v>183</v>
      </c>
    </row>
    <row r="27" spans="1:26">
      <c r="E27" s="119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2"/>
    </row>
    <row r="28" spans="1:26">
      <c r="A28" s="111">
        <v>0.15</v>
      </c>
      <c r="B28" s="103" t="s">
        <v>189</v>
      </c>
      <c r="C28" s="103" t="s">
        <v>187</v>
      </c>
      <c r="E28" s="137">
        <f t="shared" ref="E28:Y28" si="21">FinRev*BaseRoyalty</f>
        <v>314445767.69834745</v>
      </c>
      <c r="F28" s="126">
        <f t="shared" si="21"/>
        <v>316933398.74932688</v>
      </c>
      <c r="G28" s="126">
        <f t="shared" si="21"/>
        <v>316150766.86033547</v>
      </c>
      <c r="H28" s="126">
        <f t="shared" si="21"/>
        <v>307847573.20577204</v>
      </c>
      <c r="I28" s="126">
        <f t="shared" si="21"/>
        <v>295134620.82664543</v>
      </c>
      <c r="J28" s="126">
        <f t="shared" si="21"/>
        <v>277050393.30357361</v>
      </c>
      <c r="K28" s="126">
        <f t="shared" si="21"/>
        <v>257478326.22058162</v>
      </c>
      <c r="L28" s="126">
        <f t="shared" si="21"/>
        <v>236611384.71501124</v>
      </c>
      <c r="M28" s="126">
        <f t="shared" si="21"/>
        <v>214634815.90783259</v>
      </c>
      <c r="N28" s="126">
        <f t="shared" si="21"/>
        <v>192264289.3714557</v>
      </c>
      <c r="O28" s="126">
        <f t="shared" si="21"/>
        <v>170124952.98952699</v>
      </c>
      <c r="P28" s="126">
        <f t="shared" si="21"/>
        <v>148738516.32330921</v>
      </c>
      <c r="Q28" s="126">
        <f t="shared" si="21"/>
        <v>128517492.67925346</v>
      </c>
      <c r="R28" s="126">
        <f t="shared" si="21"/>
        <v>109765836.86626939</v>
      </c>
      <c r="S28" s="126">
        <f t="shared" si="21"/>
        <v>92684907.85444364</v>
      </c>
      <c r="T28" s="126">
        <f t="shared" si="21"/>
        <v>77383507.105040163</v>
      </c>
      <c r="U28" s="126">
        <f t="shared" si="21"/>
        <v>63890688.06636963</v>
      </c>
      <c r="V28" s="126">
        <f t="shared" si="21"/>
        <v>52170083.848212153</v>
      </c>
      <c r="W28" s="126">
        <f t="shared" si="21"/>
        <v>42134635.157760762</v>
      </c>
      <c r="X28" s="126">
        <f t="shared" si="21"/>
        <v>33660792.596656896</v>
      </c>
      <c r="Y28" s="138">
        <f t="shared" si="21"/>
        <v>27494117.955996089</v>
      </c>
      <c r="Z28" s="103" t="s">
        <v>190</v>
      </c>
    </row>
    <row r="29" spans="1:26">
      <c r="E29" s="119"/>
      <c r="F29" s="120"/>
      <c r="G29" s="120"/>
      <c r="H29" s="120"/>
      <c r="I29" s="120"/>
      <c r="J29" s="120"/>
      <c r="K29" s="120"/>
      <c r="L29" s="120"/>
      <c r="M29" s="120"/>
      <c r="N29" s="120"/>
      <c r="O29" s="120"/>
      <c r="P29" s="120"/>
      <c r="Q29" s="120"/>
      <c r="R29" s="120"/>
      <c r="S29" s="120"/>
      <c r="T29" s="120"/>
      <c r="U29" s="120"/>
      <c r="V29" s="120"/>
      <c r="W29" s="120"/>
      <c r="X29" s="120"/>
      <c r="Y29" s="122"/>
    </row>
    <row r="30" spans="1:26">
      <c r="A30" s="113">
        <v>15</v>
      </c>
      <c r="B30" s="103" t="s">
        <v>159</v>
      </c>
      <c r="C30" s="103" t="s">
        <v>119</v>
      </c>
      <c r="E30" s="139">
        <f>FinOpEx/FinProdClosing</f>
        <v>14.999999999999998</v>
      </c>
      <c r="F30" s="127">
        <f t="shared" ref="F30:Y30" si="22">tlInputOpEx</f>
        <v>15</v>
      </c>
      <c r="G30" s="127">
        <f t="shared" si="22"/>
        <v>15</v>
      </c>
      <c r="H30" s="127">
        <f t="shared" si="22"/>
        <v>15</v>
      </c>
      <c r="I30" s="127">
        <f t="shared" si="22"/>
        <v>15</v>
      </c>
      <c r="J30" s="127">
        <f t="shared" si="22"/>
        <v>15</v>
      </c>
      <c r="K30" s="127">
        <f t="shared" si="22"/>
        <v>15</v>
      </c>
      <c r="L30" s="127">
        <f t="shared" si="22"/>
        <v>15</v>
      </c>
      <c r="M30" s="127">
        <f t="shared" si="22"/>
        <v>15</v>
      </c>
      <c r="N30" s="127">
        <f t="shared" si="22"/>
        <v>15</v>
      </c>
      <c r="O30" s="127">
        <f t="shared" si="22"/>
        <v>15</v>
      </c>
      <c r="P30" s="127">
        <f t="shared" si="22"/>
        <v>15</v>
      </c>
      <c r="Q30" s="127">
        <f t="shared" si="22"/>
        <v>15</v>
      </c>
      <c r="R30" s="127">
        <f t="shared" si="22"/>
        <v>15</v>
      </c>
      <c r="S30" s="127">
        <f t="shared" si="22"/>
        <v>15</v>
      </c>
      <c r="T30" s="127">
        <f t="shared" si="22"/>
        <v>15</v>
      </c>
      <c r="U30" s="127">
        <f t="shared" si="22"/>
        <v>15</v>
      </c>
      <c r="V30" s="127">
        <f t="shared" si="22"/>
        <v>15</v>
      </c>
      <c r="W30" s="127">
        <f t="shared" si="22"/>
        <v>15</v>
      </c>
      <c r="X30" s="127">
        <f t="shared" si="22"/>
        <v>15</v>
      </c>
      <c r="Y30" s="140">
        <f t="shared" si="22"/>
        <v>15</v>
      </c>
      <c r="Z30" s="103" t="s">
        <v>180</v>
      </c>
    </row>
    <row r="31" spans="1:26">
      <c r="C31" s="103" t="s">
        <v>103</v>
      </c>
      <c r="E31" s="137">
        <f t="shared" ref="E31:Y31" si="23">INDEX(CalcOpEx,finStartRef)+INDEX(CalcOpEx,finStart2Ref)+INDEX(CalcOpEx,finStart3Ref)+INDEX(CalcOpEx,finEndRef)</f>
        <v>628891535.3966949</v>
      </c>
      <c r="F31" s="126">
        <f t="shared" si="23"/>
        <v>633866797.49865377</v>
      </c>
      <c r="G31" s="126">
        <f t="shared" si="23"/>
        <v>637186673.43698323</v>
      </c>
      <c r="H31" s="126">
        <f t="shared" si="23"/>
        <v>620618933.25399065</v>
      </c>
      <c r="I31" s="126">
        <f t="shared" si="23"/>
        <v>595142922.68174148</v>
      </c>
      <c r="J31" s="126">
        <f t="shared" si="23"/>
        <v>555301858.99076045</v>
      </c>
      <c r="K31" s="126">
        <f t="shared" si="23"/>
        <v>514956652.4411633</v>
      </c>
      <c r="L31" s="126">
        <f t="shared" si="23"/>
        <v>473222769.43002242</v>
      </c>
      <c r="M31" s="126">
        <f t="shared" si="23"/>
        <v>429269631.81566519</v>
      </c>
      <c r="N31" s="126">
        <f t="shared" si="23"/>
        <v>384528578.74291146</v>
      </c>
      <c r="O31" s="126">
        <f t="shared" si="23"/>
        <v>340249905.97905403</v>
      </c>
      <c r="P31" s="126">
        <f t="shared" si="23"/>
        <v>297477032.64661837</v>
      </c>
      <c r="Q31" s="126">
        <f t="shared" si="23"/>
        <v>257034985.35850695</v>
      </c>
      <c r="R31" s="126">
        <f t="shared" si="23"/>
        <v>219531673.73253885</v>
      </c>
      <c r="S31" s="126">
        <f t="shared" si="23"/>
        <v>185369815.70888728</v>
      </c>
      <c r="T31" s="126">
        <f t="shared" si="23"/>
        <v>154767014.21008036</v>
      </c>
      <c r="U31" s="126">
        <f t="shared" si="23"/>
        <v>127781376.13273928</v>
      </c>
      <c r="V31" s="126">
        <f t="shared" si="23"/>
        <v>104340167.69642431</v>
      </c>
      <c r="W31" s="126">
        <f t="shared" si="23"/>
        <v>84269270.315521538</v>
      </c>
      <c r="X31" s="126">
        <f t="shared" si="23"/>
        <v>67321585.193313807</v>
      </c>
      <c r="Y31" s="138">
        <f t="shared" si="23"/>
        <v>54988235.911992177</v>
      </c>
      <c r="Z31" s="103" t="s">
        <v>181</v>
      </c>
    </row>
    <row r="32" spans="1:26">
      <c r="E32" s="119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20"/>
      <c r="Q32" s="120"/>
      <c r="R32" s="120"/>
      <c r="S32" s="120"/>
      <c r="T32" s="120"/>
      <c r="U32" s="120"/>
      <c r="V32" s="120"/>
      <c r="W32" s="120"/>
      <c r="X32" s="120"/>
      <c r="Y32" s="122"/>
    </row>
    <row r="33" spans="1:26">
      <c r="C33" s="103" t="s">
        <v>112</v>
      </c>
      <c r="E33" s="137">
        <f t="shared" ref="E33:Y33" si="24">FinRev-FinOpEx-FinRoyalty</f>
        <v>1152967814.8939409</v>
      </c>
      <c r="F33" s="126">
        <f t="shared" si="24"/>
        <v>1162089128.7475317</v>
      </c>
      <c r="G33" s="126">
        <f t="shared" si="24"/>
        <v>1154334338.7715845</v>
      </c>
      <c r="H33" s="126">
        <f t="shared" si="24"/>
        <v>1123850648.2453842</v>
      </c>
      <c r="I33" s="126">
        <f t="shared" si="24"/>
        <v>1077286595.3359163</v>
      </c>
      <c r="J33" s="126">
        <f t="shared" si="24"/>
        <v>1014650369.7294903</v>
      </c>
      <c r="K33" s="126">
        <f t="shared" si="24"/>
        <v>944087196.14213264</v>
      </c>
      <c r="L33" s="126">
        <f t="shared" si="24"/>
        <v>867575077.28837454</v>
      </c>
      <c r="M33" s="126">
        <f t="shared" si="24"/>
        <v>786994324.99538612</v>
      </c>
      <c r="N33" s="126">
        <f t="shared" si="24"/>
        <v>704969061.02867091</v>
      </c>
      <c r="O33" s="126">
        <f t="shared" si="24"/>
        <v>623791494.29493237</v>
      </c>
      <c r="P33" s="126">
        <f t="shared" si="24"/>
        <v>545374559.85213399</v>
      </c>
      <c r="Q33" s="126">
        <f t="shared" si="24"/>
        <v>471230806.49059606</v>
      </c>
      <c r="R33" s="126">
        <f t="shared" si="24"/>
        <v>402474735.17632109</v>
      </c>
      <c r="S33" s="126">
        <f t="shared" si="24"/>
        <v>339844662.13296008</v>
      </c>
      <c r="T33" s="126">
        <f t="shared" si="24"/>
        <v>283739526.05181396</v>
      </c>
      <c r="U33" s="126">
        <f t="shared" si="24"/>
        <v>234265856.2433553</v>
      </c>
      <c r="V33" s="126">
        <f t="shared" si="24"/>
        <v>191290307.44344458</v>
      </c>
      <c r="W33" s="126">
        <f t="shared" si="24"/>
        <v>154493662.24512276</v>
      </c>
      <c r="X33" s="126">
        <f t="shared" si="24"/>
        <v>123422906.18774194</v>
      </c>
      <c r="Y33" s="138">
        <f t="shared" si="24"/>
        <v>100811765.83865234</v>
      </c>
      <c r="Z33" s="103" t="s">
        <v>184</v>
      </c>
    </row>
    <row r="34" spans="1:26">
      <c r="E34" s="119"/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20"/>
      <c r="R34" s="120"/>
      <c r="S34" s="120"/>
      <c r="T34" s="120"/>
      <c r="U34" s="120"/>
      <c r="V34" s="120"/>
      <c r="W34" s="120"/>
      <c r="X34" s="120"/>
      <c r="Y34" s="122"/>
    </row>
    <row r="35" spans="1:26">
      <c r="A35" s="111">
        <v>0.3</v>
      </c>
      <c r="B35" s="103" t="s">
        <v>188</v>
      </c>
      <c r="C35" s="103" t="s">
        <v>113</v>
      </c>
      <c r="E35" s="137">
        <f t="shared" ref="E35:Y35" si="25">FinOpEarn*BaseTax</f>
        <v>345890344.46818227</v>
      </c>
      <c r="F35" s="126">
        <f t="shared" si="25"/>
        <v>348626738.62425947</v>
      </c>
      <c r="G35" s="126">
        <f t="shared" si="25"/>
        <v>346300301.63147533</v>
      </c>
      <c r="H35" s="126">
        <f t="shared" si="25"/>
        <v>337155194.47361523</v>
      </c>
      <c r="I35" s="126">
        <f t="shared" si="25"/>
        <v>323185978.60077488</v>
      </c>
      <c r="J35" s="126">
        <f t="shared" si="25"/>
        <v>304395110.91884708</v>
      </c>
      <c r="K35" s="126">
        <f t="shared" si="25"/>
        <v>283226158.8426398</v>
      </c>
      <c r="L35" s="126">
        <f t="shared" si="25"/>
        <v>260272523.18651235</v>
      </c>
      <c r="M35" s="126">
        <f t="shared" si="25"/>
        <v>236098297.49861583</v>
      </c>
      <c r="N35" s="126">
        <f t="shared" si="25"/>
        <v>211490718.30860126</v>
      </c>
      <c r="O35" s="126">
        <f t="shared" si="25"/>
        <v>187137448.28847972</v>
      </c>
      <c r="P35" s="126">
        <f t="shared" si="25"/>
        <v>163612367.9556402</v>
      </c>
      <c r="Q35" s="126">
        <f t="shared" si="25"/>
        <v>141369241.94717881</v>
      </c>
      <c r="R35" s="126">
        <f t="shared" si="25"/>
        <v>120742420.55289632</v>
      </c>
      <c r="S35" s="126">
        <f t="shared" si="25"/>
        <v>101953398.63988802</v>
      </c>
      <c r="T35" s="126">
        <f t="shared" si="25"/>
        <v>85121857.815544188</v>
      </c>
      <c r="U35" s="126">
        <f t="shared" si="25"/>
        <v>70279756.873006582</v>
      </c>
      <c r="V35" s="126">
        <f t="shared" si="25"/>
        <v>57387092.233033374</v>
      </c>
      <c r="W35" s="126">
        <f t="shared" si="25"/>
        <v>46348098.67353683</v>
      </c>
      <c r="X35" s="126">
        <f t="shared" si="25"/>
        <v>37026871.856322579</v>
      </c>
      <c r="Y35" s="138">
        <f t="shared" si="25"/>
        <v>30243529.751595702</v>
      </c>
      <c r="Z35" s="103" t="s">
        <v>185</v>
      </c>
    </row>
    <row r="36" spans="1:26">
      <c r="E36" s="119"/>
      <c r="F36" s="120"/>
      <c r="G36" s="120"/>
      <c r="H36" s="120"/>
      <c r="I36" s="120"/>
      <c r="J36" s="120"/>
      <c r="K36" s="120"/>
      <c r="L36" s="120"/>
      <c r="M36" s="120"/>
      <c r="N36" s="120"/>
      <c r="O36" s="120"/>
      <c r="P36" s="120"/>
      <c r="Q36" s="120"/>
      <c r="R36" s="120"/>
      <c r="S36" s="120"/>
      <c r="T36" s="120"/>
      <c r="U36" s="120"/>
      <c r="V36" s="120"/>
      <c r="W36" s="120"/>
      <c r="X36" s="120"/>
      <c r="Y36" s="122"/>
    </row>
    <row r="37" spans="1:26">
      <c r="C37" s="103" t="s">
        <v>114</v>
      </c>
      <c r="E37" s="137">
        <f t="shared" ref="E37:Y37" si="26">FinOpEarn-FinTax+FinDDAClosing</f>
        <v>619577470.4257586</v>
      </c>
      <c r="F37" s="126">
        <f t="shared" si="26"/>
        <v>630649890.12327218</v>
      </c>
      <c r="G37" s="126">
        <f t="shared" si="26"/>
        <v>629541849.64010918</v>
      </c>
      <c r="H37" s="126">
        <f t="shared" si="26"/>
        <v>612665570.95926905</v>
      </c>
      <c r="I37" s="126">
        <f t="shared" si="26"/>
        <v>584421480.9929539</v>
      </c>
      <c r="J37" s="126">
        <f t="shared" si="26"/>
        <v>544818101.46201038</v>
      </c>
      <c r="K37" s="126">
        <f t="shared" si="26"/>
        <v>499559808.88457584</v>
      </c>
      <c r="L37" s="126">
        <f t="shared" si="26"/>
        <v>450033856.39731812</v>
      </c>
      <c r="M37" s="126">
        <f t="shared" si="26"/>
        <v>397559047.2348398</v>
      </c>
      <c r="N37" s="126">
        <f t="shared" si="26"/>
        <v>343974786.96468747</v>
      </c>
      <c r="O37" s="126">
        <f t="shared" si="26"/>
        <v>290888079.14495504</v>
      </c>
      <c r="P37" s="126">
        <f t="shared" si="26"/>
        <v>239640374.20653358</v>
      </c>
      <c r="Q37" s="126">
        <f t="shared" si="26"/>
        <v>191292792.29570603</v>
      </c>
      <c r="R37" s="126">
        <f t="shared" si="26"/>
        <v>146627761.68190637</v>
      </c>
      <c r="S37" s="126">
        <f t="shared" si="26"/>
        <v>106164324.37509163</v>
      </c>
      <c r="T37" s="126">
        <f t="shared" si="26"/>
        <v>70183902.596238837</v>
      </c>
      <c r="U37" s="126">
        <f t="shared" si="26"/>
        <v>38763177.871318549</v>
      </c>
      <c r="V37" s="126">
        <f t="shared" si="26"/>
        <v>11810866.748856798</v>
      </c>
      <c r="W37" s="126">
        <f t="shared" si="26"/>
        <v>-13946784.889968485</v>
      </c>
      <c r="X37" s="126">
        <f t="shared" si="26"/>
        <v>-32644005.418596208</v>
      </c>
      <c r="Y37" s="138">
        <f t="shared" si="26"/>
        <v>-45495802.669208527</v>
      </c>
      <c r="Z37" s="103" t="s">
        <v>186</v>
      </c>
    </row>
    <row r="38" spans="1:26">
      <c r="C38" s="103" t="s">
        <v>114</v>
      </c>
      <c r="E38" s="139">
        <f t="shared" ref="E38:Y38" si="27">FinNetEarn/FinProdClosing</f>
        <v>14.77784567496855</v>
      </c>
      <c r="F38" s="127">
        <f t="shared" si="27"/>
        <v>14.923874210131938</v>
      </c>
      <c r="G38" s="127">
        <f t="shared" si="27"/>
        <v>14.934532404239409</v>
      </c>
      <c r="H38" s="127">
        <f t="shared" si="27"/>
        <v>14.926191343152556</v>
      </c>
      <c r="I38" s="127">
        <f t="shared" si="27"/>
        <v>14.851395933050197</v>
      </c>
      <c r="J38" s="127">
        <f t="shared" si="27"/>
        <v>14.74870947570812</v>
      </c>
      <c r="K38" s="127">
        <f t="shared" si="27"/>
        <v>14.551510496555437</v>
      </c>
      <c r="L38" s="127">
        <f t="shared" si="27"/>
        <v>14.264968387067436</v>
      </c>
      <c r="M38" s="127">
        <f t="shared" si="27"/>
        <v>13.891934734119193</v>
      </c>
      <c r="N38" s="127">
        <f t="shared" si="27"/>
        <v>13.418045080909158</v>
      </c>
      <c r="O38" s="127">
        <f t="shared" si="27"/>
        <v>12.823871838021711</v>
      </c>
      <c r="P38" s="127">
        <f t="shared" si="27"/>
        <v>12.083640814610852</v>
      </c>
      <c r="Q38" s="127">
        <f t="shared" si="27"/>
        <v>11.163429291282755</v>
      </c>
      <c r="R38" s="127">
        <f t="shared" si="27"/>
        <v>10.018674698887425</v>
      </c>
      <c r="S38" s="127">
        <f t="shared" si="27"/>
        <v>8.590745259882274</v>
      </c>
      <c r="T38" s="127">
        <f t="shared" si="27"/>
        <v>6.8022152156697349</v>
      </c>
      <c r="U38" s="127">
        <f t="shared" si="27"/>
        <v>4.5503318689084278</v>
      </c>
      <c r="V38" s="127">
        <f t="shared" si="27"/>
        <v>1.6979367116631847</v>
      </c>
      <c r="W38" s="127">
        <f t="shared" si="27"/>
        <v>-2.4825392763724272</v>
      </c>
      <c r="X38" s="127">
        <f t="shared" si="27"/>
        <v>-7.2734484767832663</v>
      </c>
      <c r="Y38" s="140">
        <f t="shared" si="27"/>
        <v>-12.410600717039873</v>
      </c>
      <c r="Z38" s="103" t="s">
        <v>191</v>
      </c>
    </row>
    <row r="39" spans="1:26">
      <c r="E39" s="119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20"/>
      <c r="U39" s="120"/>
      <c r="V39" s="120"/>
      <c r="W39" s="120"/>
      <c r="X39" s="120"/>
      <c r="Y39" s="122"/>
    </row>
    <row r="40" spans="1:26">
      <c r="A40" s="111">
        <f>40/365</f>
        <v>0.1095890410958904</v>
      </c>
      <c r="B40" s="103" t="s">
        <v>193</v>
      </c>
      <c r="C40" s="103" t="s">
        <v>192</v>
      </c>
      <c r="D40" s="110">
        <f>E40+F42</f>
        <v>227914620.72482008</v>
      </c>
      <c r="E40" s="137">
        <f t="shared" ref="E40:Y40" si="28">INDEX(CalcWorkingCap,finStartRef)+INDEX(CalcWorkingCap,finStart2Ref)+INDEX(CalcWorkingCap,finStart3Ref)+INDEX(CalcWorkingCap,finEndRef)</f>
        <v>229732067.72482008</v>
      </c>
      <c r="F40" s="126">
        <f t="shared" si="28"/>
        <v>231549515.06800133</v>
      </c>
      <c r="G40" s="126">
        <f t="shared" si="28"/>
        <v>230977729.21303052</v>
      </c>
      <c r="H40" s="126">
        <f t="shared" si="28"/>
        <v>224911469.00878325</v>
      </c>
      <c r="I40" s="126">
        <f t="shared" si="28"/>
        <v>215623467.27060851</v>
      </c>
      <c r="J40" s="126">
        <f t="shared" si="28"/>
        <v>202411246.24918622</v>
      </c>
      <c r="K40" s="126">
        <f t="shared" si="28"/>
        <v>188112019.15658933</v>
      </c>
      <c r="L40" s="126">
        <f t="shared" si="28"/>
        <v>172866765.08859265</v>
      </c>
      <c r="M40" s="126">
        <f t="shared" si="28"/>
        <v>156810824.4075489</v>
      </c>
      <c r="N40" s="126">
        <f t="shared" si="28"/>
        <v>140467060.72800419</v>
      </c>
      <c r="O40" s="126">
        <f t="shared" si="28"/>
        <v>124292203.09737134</v>
      </c>
      <c r="P40" s="126">
        <f t="shared" si="28"/>
        <v>108667409.18597931</v>
      </c>
      <c r="Q40" s="126">
        <f t="shared" si="28"/>
        <v>93894058.578450009</v>
      </c>
      <c r="R40" s="126">
        <f t="shared" si="28"/>
        <v>80194218.715082675</v>
      </c>
      <c r="S40" s="126">
        <f t="shared" si="28"/>
        <v>67715001.172196269</v>
      </c>
      <c r="T40" s="126">
        <f t="shared" si="28"/>
        <v>56535895.601855829</v>
      </c>
      <c r="U40" s="126">
        <f t="shared" si="28"/>
        <v>46678128.267667308</v>
      </c>
      <c r="V40" s="126">
        <f t="shared" si="28"/>
        <v>38115129.752118468</v>
      </c>
      <c r="W40" s="126">
        <f t="shared" si="28"/>
        <v>30783295.09242795</v>
      </c>
      <c r="X40" s="126">
        <f t="shared" si="28"/>
        <v>24592359.887968507</v>
      </c>
      <c r="Y40" s="138">
        <f t="shared" si="28"/>
        <v>20087026.81716609</v>
      </c>
      <c r="Z40" s="103" t="s">
        <v>194</v>
      </c>
    </row>
    <row r="41" spans="1:26">
      <c r="E41" s="119"/>
      <c r="F41" s="120"/>
      <c r="G41" s="120"/>
      <c r="H41" s="120"/>
      <c r="I41" s="120"/>
      <c r="J41" s="120"/>
      <c r="K41" s="120"/>
      <c r="L41" s="120"/>
      <c r="M41" s="120"/>
      <c r="N41" s="120"/>
      <c r="O41" s="120"/>
      <c r="P41" s="120"/>
      <c r="Q41" s="120"/>
      <c r="R41" s="120"/>
      <c r="S41" s="120"/>
      <c r="T41" s="120"/>
      <c r="U41" s="120"/>
      <c r="V41" s="120"/>
      <c r="W41" s="120"/>
      <c r="X41" s="120"/>
      <c r="Y41" s="122"/>
    </row>
    <row r="42" spans="1:26">
      <c r="C42" s="103" t="s">
        <v>134</v>
      </c>
      <c r="E42" s="137">
        <f>ROUND(D40-E40,0)</f>
        <v>-1817447</v>
      </c>
      <c r="F42" s="126">
        <f t="shared" ref="F42:Y42" si="29">ROUND(E40-F40,0)</f>
        <v>-1817447</v>
      </c>
      <c r="G42" s="126">
        <f t="shared" si="29"/>
        <v>571786</v>
      </c>
      <c r="H42" s="126">
        <f t="shared" si="29"/>
        <v>6066260</v>
      </c>
      <c r="I42" s="126">
        <f t="shared" si="29"/>
        <v>9288002</v>
      </c>
      <c r="J42" s="126">
        <f t="shared" si="29"/>
        <v>13212221</v>
      </c>
      <c r="K42" s="126">
        <f t="shared" si="29"/>
        <v>14299227</v>
      </c>
      <c r="L42" s="126">
        <f t="shared" si="29"/>
        <v>15245254</v>
      </c>
      <c r="M42" s="126">
        <f t="shared" si="29"/>
        <v>16055941</v>
      </c>
      <c r="N42" s="126">
        <f t="shared" si="29"/>
        <v>16343764</v>
      </c>
      <c r="O42" s="126">
        <f t="shared" si="29"/>
        <v>16174858</v>
      </c>
      <c r="P42" s="126">
        <f t="shared" si="29"/>
        <v>15624794</v>
      </c>
      <c r="Q42" s="126">
        <f t="shared" si="29"/>
        <v>14773351</v>
      </c>
      <c r="R42" s="126">
        <f t="shared" si="29"/>
        <v>13699840</v>
      </c>
      <c r="S42" s="126">
        <f t="shared" si="29"/>
        <v>12479218</v>
      </c>
      <c r="T42" s="126">
        <f t="shared" si="29"/>
        <v>11179106</v>
      </c>
      <c r="U42" s="126">
        <f t="shared" si="29"/>
        <v>9857767</v>
      </c>
      <c r="V42" s="126">
        <f t="shared" si="29"/>
        <v>8562999</v>
      </c>
      <c r="W42" s="126">
        <f t="shared" si="29"/>
        <v>7331835</v>
      </c>
      <c r="X42" s="126">
        <f t="shared" si="29"/>
        <v>6190935</v>
      </c>
      <c r="Y42" s="138">
        <f t="shared" si="29"/>
        <v>4505333</v>
      </c>
      <c r="Z42" s="103" t="s">
        <v>195</v>
      </c>
    </row>
    <row r="43" spans="1:26">
      <c r="E43" s="119"/>
      <c r="F43" s="120"/>
      <c r="G43" s="120"/>
      <c r="H43" s="120"/>
      <c r="I43" s="120"/>
      <c r="J43" s="120"/>
      <c r="K43" s="120"/>
      <c r="L43" s="120"/>
      <c r="M43" s="120"/>
      <c r="N43" s="120"/>
      <c r="O43" s="120"/>
      <c r="P43" s="120"/>
      <c r="Q43" s="120"/>
      <c r="R43" s="120"/>
      <c r="S43" s="120"/>
      <c r="T43" s="120"/>
      <c r="U43" s="120"/>
      <c r="V43" s="120"/>
      <c r="W43" s="120"/>
      <c r="X43" s="120"/>
      <c r="Y43" s="122"/>
    </row>
    <row r="44" spans="1:26">
      <c r="C44" s="103" t="s">
        <v>116</v>
      </c>
      <c r="E44" s="137">
        <f>FinNetEarn-FinDDAClosing-FinCapExClosing+FinWorkingCapDelta</f>
        <v>805260023.4257586</v>
      </c>
      <c r="F44" s="126">
        <f t="shared" ref="F44:Y44" si="30">FinNetEarn-FinDDAClosing-FinCapExClosing+FinWorkingCapDelta</f>
        <v>801644943.12327218</v>
      </c>
      <c r="G44" s="126">
        <f t="shared" si="30"/>
        <v>808605823.14010918</v>
      </c>
      <c r="H44" s="126">
        <f t="shared" si="30"/>
        <v>792761713.77176905</v>
      </c>
      <c r="I44" s="126">
        <f t="shared" si="30"/>
        <v>763388618.7351414</v>
      </c>
      <c r="J44" s="126">
        <f t="shared" si="30"/>
        <v>723467479.8106432</v>
      </c>
      <c r="K44" s="126">
        <f t="shared" si="30"/>
        <v>675160264.29949284</v>
      </c>
      <c r="L44" s="126">
        <f t="shared" si="30"/>
        <v>622547808.10186219</v>
      </c>
      <c r="M44" s="126">
        <f t="shared" si="30"/>
        <v>566951968.49677026</v>
      </c>
      <c r="N44" s="126">
        <f t="shared" si="30"/>
        <v>509822106.72006965</v>
      </c>
      <c r="O44" s="126">
        <f t="shared" si="30"/>
        <v>452828904.00645268</v>
      </c>
      <c r="P44" s="126">
        <f t="shared" si="30"/>
        <v>397386985.89649379</v>
      </c>
      <c r="Q44" s="126">
        <f t="shared" si="30"/>
        <v>344634915.54341722</v>
      </c>
      <c r="R44" s="126">
        <f t="shared" si="30"/>
        <v>295432154.62342477</v>
      </c>
      <c r="S44" s="126">
        <f t="shared" si="30"/>
        <v>250370481.49307206</v>
      </c>
      <c r="T44" s="126">
        <f t="shared" si="30"/>
        <v>209796774.23626977</v>
      </c>
      <c r="U44" s="126">
        <f t="shared" si="30"/>
        <v>173843866.37034872</v>
      </c>
      <c r="V44" s="126">
        <f t="shared" si="30"/>
        <v>142466214.21041119</v>
      </c>
      <c r="W44" s="126">
        <f t="shared" si="30"/>
        <v>115477398.57158592</v>
      </c>
      <c r="X44" s="126">
        <f t="shared" si="30"/>
        <v>92586969.331419349</v>
      </c>
      <c r="Y44" s="138">
        <f t="shared" si="30"/>
        <v>75073569.087056637</v>
      </c>
      <c r="Z44" s="103" t="s">
        <v>196</v>
      </c>
    </row>
    <row r="45" spans="1:26">
      <c r="E45" s="119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20"/>
      <c r="R45" s="120"/>
      <c r="S45" s="120"/>
      <c r="T45" s="120"/>
      <c r="U45" s="120"/>
      <c r="V45" s="120"/>
      <c r="W45" s="120"/>
      <c r="X45" s="120"/>
      <c r="Y45" s="122"/>
    </row>
    <row r="46" spans="1:26">
      <c r="C46" s="103" t="s">
        <v>115</v>
      </c>
      <c r="E46" s="139">
        <f t="shared" ref="E46:Y46" si="31">FinCashFlow/FinProdClosing</f>
        <v>19.206651181538319</v>
      </c>
      <c r="F46" s="127">
        <f t="shared" si="31"/>
        <v>18.970348651010738</v>
      </c>
      <c r="G46" s="127">
        <f t="shared" si="31"/>
        <v>19.182441762761641</v>
      </c>
      <c r="H46" s="127">
        <f t="shared" si="31"/>
        <v>19.313820769715871</v>
      </c>
      <c r="I46" s="127">
        <f t="shared" si="31"/>
        <v>19.399332496056175</v>
      </c>
      <c r="J46" s="127">
        <f t="shared" si="31"/>
        <v>19.584906680260016</v>
      </c>
      <c r="K46" s="127">
        <f t="shared" si="31"/>
        <v>19.666517398082366</v>
      </c>
      <c r="L46" s="127">
        <f t="shared" si="31"/>
        <v>19.733237123766116</v>
      </c>
      <c r="M46" s="127">
        <f t="shared" si="31"/>
        <v>19.811043915408902</v>
      </c>
      <c r="N46" s="127">
        <f t="shared" si="31"/>
        <v>19.887550688173707</v>
      </c>
      <c r="O46" s="127">
        <f t="shared" si="31"/>
        <v>19.963072555602519</v>
      </c>
      <c r="P46" s="127">
        <f t="shared" si="31"/>
        <v>20.037865563653174</v>
      </c>
      <c r="Q46" s="127">
        <f t="shared" si="31"/>
        <v>20.112140477456471</v>
      </c>
      <c r="R46" s="127">
        <f t="shared" si="31"/>
        <v>20.186072670089342</v>
      </c>
      <c r="S46" s="127">
        <f t="shared" si="31"/>
        <v>20.259809872681586</v>
      </c>
      <c r="T46" s="127">
        <f t="shared" si="31"/>
        <v>20.333477579869719</v>
      </c>
      <c r="U46" s="127">
        <f t="shared" si="31"/>
        <v>20.407183538596396</v>
      </c>
      <c r="V46" s="127">
        <f t="shared" si="31"/>
        <v>20.481021454495913</v>
      </c>
      <c r="W46" s="127">
        <f t="shared" si="31"/>
        <v>20.555072710232579</v>
      </c>
      <c r="X46" s="127">
        <f t="shared" si="31"/>
        <v>20.629409363777469</v>
      </c>
      <c r="Y46" s="140">
        <f t="shared" si="31"/>
        <v>20.478990053584567</v>
      </c>
      <c r="Z46" s="103" t="s">
        <v>197</v>
      </c>
    </row>
    <row r="47" spans="1:26">
      <c r="E47" s="119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2"/>
    </row>
    <row r="48" spans="1:26" ht="13.5" thickBot="1">
      <c r="C48" s="103" t="s">
        <v>152</v>
      </c>
      <c r="E48" s="141">
        <f t="shared" ref="E48:Y48" si="32">FinNetEarn/FinCapEmpClosing</f>
        <v>8.4728542964206302E-2</v>
      </c>
      <c r="F48" s="128">
        <f t="shared" si="32"/>
        <v>8.8330181135136826E-2</v>
      </c>
      <c r="G48" s="128">
        <f t="shared" si="32"/>
        <v>9.043588369222462E-2</v>
      </c>
      <c r="H48" s="128">
        <f t="shared" si="32"/>
        <v>9.0268253707126433E-2</v>
      </c>
      <c r="I48" s="128">
        <f t="shared" si="32"/>
        <v>8.831472481139431E-2</v>
      </c>
      <c r="J48" s="128">
        <f t="shared" si="32"/>
        <v>8.4441096142889957E-2</v>
      </c>
      <c r="K48" s="128">
        <f t="shared" si="32"/>
        <v>7.9411830862725727E-2</v>
      </c>
      <c r="L48" s="128">
        <f t="shared" si="32"/>
        <v>7.3373340147394578E-2</v>
      </c>
      <c r="M48" s="128">
        <f t="shared" si="32"/>
        <v>6.6479864847717424E-2</v>
      </c>
      <c r="N48" s="128">
        <f t="shared" si="32"/>
        <v>5.8994358280407416E-2</v>
      </c>
      <c r="O48" s="128">
        <f t="shared" si="32"/>
        <v>5.116879376316618E-2</v>
      </c>
      <c r="P48" s="128">
        <f t="shared" si="32"/>
        <v>4.323491691514425E-2</v>
      </c>
      <c r="Q48" s="128">
        <f t="shared" si="32"/>
        <v>3.5397177247333288E-2</v>
      </c>
      <c r="R48" s="128">
        <f t="shared" si="32"/>
        <v>2.7827975557562321E-2</v>
      </c>
      <c r="S48" s="128">
        <f t="shared" si="32"/>
        <v>2.0665189532915507E-2</v>
      </c>
      <c r="T48" s="128">
        <f t="shared" si="32"/>
        <v>1.4011792281332137E-2</v>
      </c>
      <c r="U48" s="128">
        <f t="shared" si="32"/>
        <v>7.937266003922569E-3</v>
      </c>
      <c r="V48" s="128">
        <f t="shared" si="32"/>
        <v>2.4804399371966893E-3</v>
      </c>
      <c r="W48" s="128">
        <f t="shared" si="32"/>
        <v>-2.9290113056196841E-3</v>
      </c>
      <c r="X48" s="128">
        <f t="shared" si="32"/>
        <v>-7.0314642176007502E-3</v>
      </c>
      <c r="Y48" s="129">
        <f t="shared" si="32"/>
        <v>-1.0050994737913578E-2</v>
      </c>
      <c r="Z48" s="117" t="s">
        <v>200</v>
      </c>
    </row>
    <row r="50" spans="1:26" s="102" customFormat="1">
      <c r="A50" s="102" t="s">
        <v>179</v>
      </c>
    </row>
    <row r="52" spans="1:26">
      <c r="C52" s="103" t="s">
        <v>104</v>
      </c>
      <c r="E52" s="105">
        <v>500000000</v>
      </c>
      <c r="F52" s="105">
        <v>458073897.64022034</v>
      </c>
      <c r="G52" s="105">
        <v>415816111.14031011</v>
      </c>
      <c r="H52" s="105">
        <v>373988351.54001951</v>
      </c>
      <c r="I52" s="105">
        <v>333270260.90207964</v>
      </c>
      <c r="J52" s="105">
        <v>294243890.19375694</v>
      </c>
      <c r="K52" s="105">
        <v>257383909.24552134</v>
      </c>
      <c r="L52" s="105">
        <v>223053465.74944377</v>
      </c>
      <c r="M52" s="105">
        <v>191505281.12077558</v>
      </c>
      <c r="N52" s="105">
        <v>162887305.6663979</v>
      </c>
      <c r="O52" s="105">
        <v>137252067.08353713</v>
      </c>
      <c r="P52" s="105">
        <v>114568740.01826687</v>
      </c>
      <c r="Q52" s="105">
        <v>94736937.841825634</v>
      </c>
      <c r="R52" s="105">
        <v>77601272.151258513</v>
      </c>
      <c r="S52" s="105">
        <v>62965827.23575592</v>
      </c>
      <c r="T52" s="105">
        <v>50607839.521830097</v>
      </c>
      <c r="U52" s="105">
        <v>40290038.574491404</v>
      </c>
      <c r="V52" s="105">
        <v>31771280.165642116</v>
      </c>
      <c r="W52" s="105">
        <v>24815268.985880498</v>
      </c>
      <c r="X52" s="105">
        <v>19197317.631512396</v>
      </c>
      <c r="Y52" s="105">
        <v>14709211.951958144</v>
      </c>
      <c r="Z52" s="103" t="s">
        <v>202</v>
      </c>
    </row>
    <row r="53" spans="1:26">
      <c r="C53" s="103" t="s">
        <v>105</v>
      </c>
      <c r="E53" s="105">
        <v>0</v>
      </c>
      <c r="F53" s="105">
        <v>0</v>
      </c>
      <c r="G53" s="105">
        <v>0</v>
      </c>
      <c r="H53" s="105">
        <v>0</v>
      </c>
      <c r="I53" s="105">
        <v>0</v>
      </c>
      <c r="J53" s="105">
        <v>0</v>
      </c>
      <c r="K53" s="105">
        <v>0</v>
      </c>
      <c r="L53" s="105">
        <v>0</v>
      </c>
      <c r="M53" s="105">
        <v>0</v>
      </c>
      <c r="N53" s="105">
        <v>0</v>
      </c>
      <c r="O53" s="105">
        <v>0</v>
      </c>
      <c r="P53" s="105">
        <v>0</v>
      </c>
      <c r="Q53" s="105">
        <v>0</v>
      </c>
      <c r="R53" s="105">
        <v>0</v>
      </c>
      <c r="S53" s="105">
        <v>0</v>
      </c>
      <c r="T53" s="105">
        <v>0</v>
      </c>
      <c r="U53" s="105">
        <v>0</v>
      </c>
      <c r="V53" s="105">
        <v>0</v>
      </c>
      <c r="W53" s="105">
        <v>0</v>
      </c>
      <c r="X53" s="105">
        <v>0</v>
      </c>
      <c r="Y53" s="105">
        <v>0</v>
      </c>
      <c r="Z53" s="103" t="s">
        <v>203</v>
      </c>
    </row>
    <row r="54" spans="1:26">
      <c r="C54" s="103" t="s">
        <v>107</v>
      </c>
      <c r="E54" s="105">
        <v>-41926102.359779663</v>
      </c>
      <c r="F54" s="105">
        <v>-42257786.49991025</v>
      </c>
      <c r="G54" s="105">
        <v>-41827759.600290589</v>
      </c>
      <c r="H54" s="105">
        <v>-40718090.637939833</v>
      </c>
      <c r="I54" s="105">
        <v>-39026370.708322681</v>
      </c>
      <c r="J54" s="105">
        <v>-36859980.948235609</v>
      </c>
      <c r="K54" s="105">
        <v>-34330443.496077552</v>
      </c>
      <c r="L54" s="105">
        <v>-31548184.628668163</v>
      </c>
      <c r="M54" s="105">
        <v>-28617975.454377681</v>
      </c>
      <c r="N54" s="105">
        <v>-25635238.58286076</v>
      </c>
      <c r="O54" s="105">
        <v>-22683327.065270267</v>
      </c>
      <c r="P54" s="105">
        <v>-19831802.17644123</v>
      </c>
      <c r="Q54" s="105">
        <v>-17135665.690567128</v>
      </c>
      <c r="R54" s="105">
        <v>-14635444.915502587</v>
      </c>
      <c r="S54" s="105">
        <v>-12357987.71392582</v>
      </c>
      <c r="T54" s="105">
        <v>-10317800.947338689</v>
      </c>
      <c r="U54" s="105">
        <v>-8518758.4088492841</v>
      </c>
      <c r="V54" s="105">
        <v>-6956011.1797616212</v>
      </c>
      <c r="W54" s="105">
        <v>-5617951.3543681018</v>
      </c>
      <c r="X54" s="105">
        <v>-4488105.6795542529</v>
      </c>
      <c r="Y54" s="105">
        <v>-3665882.394132812</v>
      </c>
      <c r="Z54" s="103" t="s">
        <v>204</v>
      </c>
    </row>
    <row r="56" spans="1:26">
      <c r="C56" s="103" t="s">
        <v>106</v>
      </c>
      <c r="E56" s="105">
        <v>458073897.64022034</v>
      </c>
      <c r="F56" s="105">
        <v>415816111.14031011</v>
      </c>
      <c r="G56" s="105">
        <v>373988351.54001951</v>
      </c>
      <c r="H56" s="105">
        <v>333270260.9020797</v>
      </c>
      <c r="I56" s="105">
        <v>294243890.19375694</v>
      </c>
      <c r="J56" s="105">
        <v>257383909.24552134</v>
      </c>
      <c r="K56" s="105">
        <v>223053465.74944377</v>
      </c>
      <c r="L56" s="105">
        <v>191505281.12077561</v>
      </c>
      <c r="M56" s="105">
        <v>162887305.6663979</v>
      </c>
      <c r="N56" s="105">
        <v>137252067.08353713</v>
      </c>
      <c r="O56" s="105">
        <v>114568740.01826686</v>
      </c>
      <c r="P56" s="105">
        <v>94736937.841825634</v>
      </c>
      <c r="Q56" s="105">
        <v>77601272.151258498</v>
      </c>
      <c r="R56" s="105">
        <v>62965827.235755928</v>
      </c>
      <c r="S56" s="105">
        <v>50607839.521830097</v>
      </c>
      <c r="T56" s="105">
        <v>40290038.574491411</v>
      </c>
      <c r="U56" s="105">
        <v>31771280.16564212</v>
      </c>
      <c r="V56" s="105">
        <v>24815268.985880494</v>
      </c>
      <c r="W56" s="105">
        <v>19197317.631512396</v>
      </c>
      <c r="X56" s="105">
        <v>14709211.951958142</v>
      </c>
      <c r="Y56" s="105">
        <v>11043329.557825333</v>
      </c>
      <c r="Z56" s="103" t="s">
        <v>205</v>
      </c>
    </row>
    <row r="57" spans="1:26">
      <c r="F57" s="120"/>
    </row>
    <row r="58" spans="1:26">
      <c r="C58" s="103" t="s">
        <v>102</v>
      </c>
      <c r="E58" s="105">
        <v>41926102.359779663</v>
      </c>
      <c r="F58" s="105">
        <v>42257786.49991025</v>
      </c>
      <c r="G58" s="105">
        <v>41827759.600290589</v>
      </c>
      <c r="H58" s="105">
        <v>40718090.637939833</v>
      </c>
      <c r="I58" s="105">
        <v>39026370.708322681</v>
      </c>
      <c r="J58" s="105">
        <v>36859980.948235609</v>
      </c>
      <c r="K58" s="105">
        <v>34330443.496077552</v>
      </c>
      <c r="L58" s="105">
        <v>31548184.628668163</v>
      </c>
      <c r="M58" s="105">
        <v>28617975.454377681</v>
      </c>
      <c r="N58" s="105">
        <v>25635238.58286076</v>
      </c>
      <c r="O58" s="105">
        <v>22683327.065270267</v>
      </c>
      <c r="P58" s="105">
        <v>19831802.17644123</v>
      </c>
      <c r="Q58" s="105">
        <v>17135665.690567128</v>
      </c>
      <c r="R58" s="105">
        <v>14635444.915502587</v>
      </c>
      <c r="S58" s="105">
        <v>12357987.71392582</v>
      </c>
      <c r="T58" s="105">
        <v>10317800.947338689</v>
      </c>
      <c r="U58" s="105">
        <v>8518758.4088492841</v>
      </c>
      <c r="V58" s="105">
        <v>6956011.1797616212</v>
      </c>
      <c r="W58" s="105">
        <v>5617951.3543681018</v>
      </c>
      <c r="X58" s="105">
        <v>4488105.6795542529</v>
      </c>
      <c r="Y58" s="105">
        <v>3665882.394132812</v>
      </c>
      <c r="Z58" s="103" t="s">
        <v>206</v>
      </c>
    </row>
    <row r="59" spans="1:26">
      <c r="C59" s="103" t="s">
        <v>108</v>
      </c>
      <c r="E59" s="105">
        <v>0</v>
      </c>
      <c r="F59" s="105">
        <v>0</v>
      </c>
      <c r="G59" s="105">
        <v>0</v>
      </c>
      <c r="H59" s="105">
        <v>0</v>
      </c>
      <c r="I59" s="105">
        <v>0</v>
      </c>
      <c r="J59" s="105">
        <v>0</v>
      </c>
      <c r="K59" s="105">
        <v>0</v>
      </c>
      <c r="L59" s="105">
        <v>0</v>
      </c>
      <c r="M59" s="105">
        <v>0</v>
      </c>
      <c r="N59" s="105">
        <v>0</v>
      </c>
      <c r="O59" s="105">
        <v>0</v>
      </c>
      <c r="P59" s="105">
        <v>0</v>
      </c>
      <c r="Q59" s="105">
        <v>0</v>
      </c>
      <c r="R59" s="105">
        <v>0</v>
      </c>
      <c r="S59" s="105">
        <v>0</v>
      </c>
      <c r="T59" s="105">
        <v>0</v>
      </c>
      <c r="U59" s="105">
        <v>0</v>
      </c>
      <c r="V59" s="105">
        <v>0</v>
      </c>
      <c r="W59" s="105">
        <v>0</v>
      </c>
      <c r="X59" s="105">
        <v>0</v>
      </c>
      <c r="Y59" s="105">
        <v>0</v>
      </c>
      <c r="Z59" s="103" t="s">
        <v>207</v>
      </c>
    </row>
    <row r="61" spans="1:26">
      <c r="C61" s="103" t="s">
        <v>109</v>
      </c>
      <c r="E61" s="105">
        <v>41926102.359779663</v>
      </c>
      <c r="F61" s="105">
        <v>42257786.49991025</v>
      </c>
      <c r="G61" s="105">
        <v>41827759.600290589</v>
      </c>
      <c r="H61" s="105">
        <v>40718090.637939833</v>
      </c>
      <c r="I61" s="105">
        <v>39026370.708322681</v>
      </c>
      <c r="J61" s="105">
        <v>36859980.948235609</v>
      </c>
      <c r="K61" s="105">
        <v>34330443.496077552</v>
      </c>
      <c r="L61" s="105">
        <v>31548184.628668163</v>
      </c>
      <c r="M61" s="105">
        <v>28617975.454377681</v>
      </c>
      <c r="N61" s="105">
        <v>25635238.58286076</v>
      </c>
      <c r="O61" s="105">
        <v>22683327.065270267</v>
      </c>
      <c r="P61" s="105">
        <v>19831802.17644123</v>
      </c>
      <c r="Q61" s="105">
        <v>17135665.690567128</v>
      </c>
      <c r="R61" s="105">
        <v>14635444.915502587</v>
      </c>
      <c r="S61" s="105">
        <v>12357987.71392582</v>
      </c>
      <c r="T61" s="105">
        <v>10317800.947338689</v>
      </c>
      <c r="U61" s="105">
        <v>8518758.4088492841</v>
      </c>
      <c r="V61" s="105">
        <v>6956011.1797616212</v>
      </c>
      <c r="W61" s="105">
        <v>5617951.3543681018</v>
      </c>
      <c r="X61" s="105">
        <v>4488105.6795542529</v>
      </c>
      <c r="Y61" s="105">
        <v>3665882.394132812</v>
      </c>
      <c r="Z61" s="103" t="s">
        <v>208</v>
      </c>
    </row>
    <row r="62" spans="1:26">
      <c r="C62" s="103" t="s">
        <v>102</v>
      </c>
      <c r="E62" s="108">
        <v>114866.03386241004</v>
      </c>
      <c r="F62" s="108">
        <v>115774.75753400069</v>
      </c>
      <c r="G62" s="108">
        <v>114596.60164463175</v>
      </c>
      <c r="H62" s="108">
        <v>111556.41270668448</v>
      </c>
      <c r="I62" s="108">
        <v>106921.5635844457</v>
      </c>
      <c r="J62" s="108">
        <v>100986.24917324824</v>
      </c>
      <c r="K62" s="108">
        <v>94056.009578294659</v>
      </c>
      <c r="L62" s="108">
        <v>86433.382544296343</v>
      </c>
      <c r="M62" s="108">
        <v>78405.412203774467</v>
      </c>
      <c r="N62" s="108">
        <v>70233.530364002087</v>
      </c>
      <c r="O62" s="108">
        <v>62146.101548685663</v>
      </c>
      <c r="P62" s="108">
        <v>54333.70459298967</v>
      </c>
      <c r="Q62" s="108">
        <v>46947.029289225007</v>
      </c>
      <c r="R62" s="108">
        <v>40097.109357541332</v>
      </c>
      <c r="S62" s="108">
        <v>33857.50058609814</v>
      </c>
      <c r="T62" s="108">
        <v>28267.947800927916</v>
      </c>
      <c r="U62" s="108">
        <v>23339.064133833654</v>
      </c>
      <c r="V62" s="108">
        <v>19057.564876059238</v>
      </c>
      <c r="W62" s="108">
        <v>15391.647546213977</v>
      </c>
      <c r="X62" s="108">
        <v>12296.179943984254</v>
      </c>
      <c r="Y62" s="108">
        <v>10043.513408583047</v>
      </c>
      <c r="Z62" s="103" t="s">
        <v>209</v>
      </c>
    </row>
    <row r="64" spans="1:26">
      <c r="C64" s="103" t="s">
        <v>130</v>
      </c>
      <c r="E64" s="110">
        <v>7500000000</v>
      </c>
      <c r="F64" s="110">
        <v>7312500000</v>
      </c>
      <c r="G64" s="110">
        <v>7129687500</v>
      </c>
      <c r="H64" s="110">
        <v>6951445312.5</v>
      </c>
      <c r="I64" s="110">
        <v>6777659179.6875</v>
      </c>
      <c r="J64" s="110">
        <v>6608217700.1953125</v>
      </c>
      <c r="K64" s="110">
        <v>6443012257.6904297</v>
      </c>
      <c r="L64" s="110">
        <v>6281936951.2481689</v>
      </c>
      <c r="M64" s="110">
        <v>6124888527.4669647</v>
      </c>
      <c r="N64" s="110">
        <v>5971766314.2802906</v>
      </c>
      <c r="O64" s="110">
        <v>5822472156.4232836</v>
      </c>
      <c r="P64" s="110">
        <v>5676910352.512701</v>
      </c>
      <c r="Q64" s="110">
        <v>5534987593.6998835</v>
      </c>
      <c r="R64" s="110">
        <v>5396612903.8573866</v>
      </c>
      <c r="S64" s="110">
        <v>5261697581.260952</v>
      </c>
      <c r="T64" s="110">
        <v>5130155141.7294283</v>
      </c>
      <c r="U64" s="110">
        <v>5001901263.1861925</v>
      </c>
      <c r="V64" s="110">
        <v>4876853731.6065378</v>
      </c>
      <c r="W64" s="110">
        <v>4876853731.6065378</v>
      </c>
      <c r="X64" s="110">
        <v>4754932388.3163748</v>
      </c>
      <c r="Y64" s="110">
        <v>4636059078.6084652</v>
      </c>
      <c r="Z64" s="103" t="s">
        <v>210</v>
      </c>
    </row>
    <row r="65" spans="3:28">
      <c r="C65" s="103" t="s">
        <v>110</v>
      </c>
      <c r="E65" s="110">
        <v>0</v>
      </c>
      <c r="F65" s="110">
        <v>0</v>
      </c>
      <c r="G65" s="110">
        <v>0</v>
      </c>
      <c r="H65" s="110">
        <v>0</v>
      </c>
      <c r="I65" s="110">
        <v>0</v>
      </c>
      <c r="J65" s="110">
        <v>0</v>
      </c>
      <c r="K65" s="110">
        <v>0</v>
      </c>
      <c r="L65" s="110">
        <v>0</v>
      </c>
      <c r="M65" s="110">
        <v>0</v>
      </c>
      <c r="N65" s="110">
        <v>0</v>
      </c>
      <c r="O65" s="110">
        <v>0</v>
      </c>
      <c r="P65" s="110">
        <v>0</v>
      </c>
      <c r="Q65" s="110">
        <v>0</v>
      </c>
      <c r="R65" s="110">
        <v>0</v>
      </c>
      <c r="S65" s="110">
        <v>0</v>
      </c>
      <c r="T65" s="110">
        <v>0</v>
      </c>
      <c r="U65" s="110">
        <v>0</v>
      </c>
      <c r="V65" s="110">
        <v>0</v>
      </c>
      <c r="W65" s="110">
        <v>0</v>
      </c>
      <c r="X65" s="110">
        <v>0</v>
      </c>
      <c r="Y65" s="110">
        <v>0</v>
      </c>
      <c r="Z65" s="103" t="s">
        <v>211</v>
      </c>
    </row>
    <row r="66" spans="3:28">
      <c r="C66" s="103" t="s">
        <v>111</v>
      </c>
      <c r="E66" s="110">
        <v>-187500000</v>
      </c>
      <c r="F66" s="110">
        <v>-182812500</v>
      </c>
      <c r="G66" s="110">
        <v>-178242187.5</v>
      </c>
      <c r="H66" s="110">
        <v>-173786132.8125</v>
      </c>
      <c r="I66" s="110">
        <v>-169441479.4921875</v>
      </c>
      <c r="J66" s="110">
        <v>-165205442.50488281</v>
      </c>
      <c r="K66" s="110">
        <v>-161075306.44226074</v>
      </c>
      <c r="L66" s="110">
        <v>-157048423.78120422</v>
      </c>
      <c r="M66" s="110">
        <v>-153122213.18667412</v>
      </c>
      <c r="N66" s="110">
        <v>-149294157.85700727</v>
      </c>
      <c r="O66" s="110">
        <v>-145561803.9105821</v>
      </c>
      <c r="P66" s="110">
        <v>-141922758.81281754</v>
      </c>
      <c r="Q66" s="110">
        <v>-138374689.84249708</v>
      </c>
      <c r="R66" s="110">
        <v>-134915322.59643468</v>
      </c>
      <c r="S66" s="110">
        <v>-131542439.53152381</v>
      </c>
      <c r="T66" s="110">
        <v>-128253878.54323572</v>
      </c>
      <c r="U66" s="110">
        <v>-125047531.57965481</v>
      </c>
      <c r="V66" s="110">
        <v>-121921343.29016346</v>
      </c>
      <c r="W66" s="110">
        <v>-121921343.29016346</v>
      </c>
      <c r="X66" s="110">
        <v>-118873309.70790938</v>
      </c>
      <c r="Y66" s="110">
        <v>-115901476.96521163</v>
      </c>
      <c r="Z66" s="103" t="s">
        <v>212</v>
      </c>
    </row>
    <row r="68" spans="3:28">
      <c r="C68" s="103" t="s">
        <v>130</v>
      </c>
      <c r="E68" s="110">
        <v>7312500000</v>
      </c>
      <c r="F68" s="110">
        <v>7129687500</v>
      </c>
      <c r="G68" s="110">
        <v>6951445312.5</v>
      </c>
      <c r="H68" s="110">
        <v>6777659179.6875</v>
      </c>
      <c r="I68" s="110">
        <v>6608217700.1953125</v>
      </c>
      <c r="J68" s="110">
        <v>6443012257.6904297</v>
      </c>
      <c r="K68" s="110">
        <v>6281936951.2481689</v>
      </c>
      <c r="L68" s="110">
        <v>6124888527.4669647</v>
      </c>
      <c r="M68" s="110">
        <v>5971766314.2802906</v>
      </c>
      <c r="N68" s="110">
        <v>5822472156.4232836</v>
      </c>
      <c r="O68" s="110">
        <v>5676910352.512701</v>
      </c>
      <c r="P68" s="110">
        <v>5534987593.6998835</v>
      </c>
      <c r="Q68" s="110">
        <v>5396612903.8573866</v>
      </c>
      <c r="R68" s="110">
        <v>5261697581.260952</v>
      </c>
      <c r="S68" s="110">
        <v>5130155141.7294283</v>
      </c>
      <c r="T68" s="110">
        <v>5001901263.1861925</v>
      </c>
      <c r="U68" s="110">
        <v>4876853731.6065378</v>
      </c>
      <c r="V68" s="110">
        <v>4754932388.3163748</v>
      </c>
      <c r="W68" s="110">
        <v>4754932388.3163748</v>
      </c>
      <c r="X68" s="110">
        <v>4636059078.6084652</v>
      </c>
      <c r="Y68" s="110">
        <v>4520157601.6432533</v>
      </c>
      <c r="Z68" s="103" t="s">
        <v>213</v>
      </c>
    </row>
    <row r="70" spans="3:28">
      <c r="C70" s="103" t="s">
        <v>27</v>
      </c>
      <c r="E70" s="110">
        <f t="shared" ref="E70:Y70" si="33">FinBaseProdClosing*tlInputNetback</f>
        <v>2096305117.9889832</v>
      </c>
      <c r="F70" s="110">
        <f t="shared" si="33"/>
        <v>2112889324.9955125</v>
      </c>
      <c r="G70" s="110">
        <f t="shared" si="33"/>
        <v>2091387980.0145295</v>
      </c>
      <c r="H70" s="110">
        <f t="shared" si="33"/>
        <v>2035904531.8969917</v>
      </c>
      <c r="I70" s="110">
        <f t="shared" si="33"/>
        <v>1951318535.4161341</v>
      </c>
      <c r="J70" s="110">
        <f t="shared" si="33"/>
        <v>1842999047.4117804</v>
      </c>
      <c r="K70" s="110">
        <f t="shared" si="33"/>
        <v>1716522174.8038776</v>
      </c>
      <c r="L70" s="110">
        <f t="shared" si="33"/>
        <v>1577409231.4334083</v>
      </c>
      <c r="M70" s="110">
        <f t="shared" si="33"/>
        <v>1430898772.718884</v>
      </c>
      <c r="N70" s="110">
        <f t="shared" si="33"/>
        <v>1281761929.143038</v>
      </c>
      <c r="O70" s="110">
        <f t="shared" si="33"/>
        <v>1134166353.2635133</v>
      </c>
      <c r="P70" s="110">
        <f t="shared" si="33"/>
        <v>991590108.82206154</v>
      </c>
      <c r="Q70" s="110">
        <f t="shared" si="33"/>
        <v>856783284.52835643</v>
      </c>
      <c r="R70" s="110">
        <f t="shared" si="33"/>
        <v>731772245.77512932</v>
      </c>
      <c r="S70" s="110">
        <f t="shared" si="33"/>
        <v>617899385.69629097</v>
      </c>
      <c r="T70" s="110">
        <f t="shared" si="33"/>
        <v>515890047.36693448</v>
      </c>
      <c r="U70" s="110">
        <f t="shared" si="33"/>
        <v>425937920.44246423</v>
      </c>
      <c r="V70" s="110">
        <f t="shared" si="33"/>
        <v>347800558.98808104</v>
      </c>
      <c r="W70" s="110">
        <f t="shared" si="33"/>
        <v>280897567.71840507</v>
      </c>
      <c r="X70" s="110">
        <f t="shared" si="33"/>
        <v>224405283.97771263</v>
      </c>
      <c r="Y70" s="110">
        <f t="shared" si="33"/>
        <v>183294119.7066406</v>
      </c>
      <c r="Z70" s="103" t="s">
        <v>214</v>
      </c>
      <c r="AB70" s="103" t="b">
        <f>G70=G26</f>
        <v>0</v>
      </c>
    </row>
    <row r="72" spans="3:28">
      <c r="C72" s="103" t="s">
        <v>187</v>
      </c>
      <c r="E72" s="110">
        <f t="shared" ref="E72:Y72" si="34">FinBaseRev*BaseRoyalty</f>
        <v>314445767.69834745</v>
      </c>
      <c r="F72" s="110">
        <f t="shared" si="34"/>
        <v>316933398.74932688</v>
      </c>
      <c r="G72" s="110">
        <f t="shared" si="34"/>
        <v>313708197.00217938</v>
      </c>
      <c r="H72" s="110">
        <f t="shared" si="34"/>
        <v>305385679.78454876</v>
      </c>
      <c r="I72" s="110">
        <f t="shared" si="34"/>
        <v>292697780.31242013</v>
      </c>
      <c r="J72" s="110">
        <f t="shared" si="34"/>
        <v>276449857.11176705</v>
      </c>
      <c r="K72" s="110">
        <f t="shared" si="34"/>
        <v>257478326.22058162</v>
      </c>
      <c r="L72" s="110">
        <f t="shared" si="34"/>
        <v>236611384.71501124</v>
      </c>
      <c r="M72" s="110">
        <f t="shared" si="34"/>
        <v>214634815.90783259</v>
      </c>
      <c r="N72" s="110">
        <f t="shared" si="34"/>
        <v>192264289.3714557</v>
      </c>
      <c r="O72" s="110">
        <f t="shared" si="34"/>
        <v>170124952.98952699</v>
      </c>
      <c r="P72" s="110">
        <f t="shared" si="34"/>
        <v>148738516.32330921</v>
      </c>
      <c r="Q72" s="110">
        <f t="shared" si="34"/>
        <v>128517492.67925346</v>
      </c>
      <c r="R72" s="110">
        <f t="shared" si="34"/>
        <v>109765836.86626939</v>
      </c>
      <c r="S72" s="110">
        <f t="shared" si="34"/>
        <v>92684907.85444364</v>
      </c>
      <c r="T72" s="110">
        <f t="shared" si="34"/>
        <v>77383507.105040163</v>
      </c>
      <c r="U72" s="110">
        <f t="shared" si="34"/>
        <v>63890688.06636963</v>
      </c>
      <c r="V72" s="110">
        <f t="shared" si="34"/>
        <v>52170083.848212153</v>
      </c>
      <c r="W72" s="110">
        <f t="shared" si="34"/>
        <v>42134635.157760762</v>
      </c>
      <c r="X72" s="110">
        <f t="shared" si="34"/>
        <v>33660792.596656896</v>
      </c>
      <c r="Y72" s="110">
        <f t="shared" si="34"/>
        <v>27494117.955996089</v>
      </c>
      <c r="Z72" s="103" t="s">
        <v>215</v>
      </c>
      <c r="AB72" s="103" t="b">
        <f>G72=G28</f>
        <v>0</v>
      </c>
    </row>
    <row r="74" spans="3:28">
      <c r="C74" s="103" t="s">
        <v>119</v>
      </c>
      <c r="E74" s="112">
        <v>14.999999999999998</v>
      </c>
      <c r="F74" s="112">
        <v>15</v>
      </c>
      <c r="G74" s="112">
        <v>15</v>
      </c>
      <c r="H74" s="112">
        <v>15</v>
      </c>
      <c r="I74" s="112">
        <v>15</v>
      </c>
      <c r="J74" s="112">
        <v>15</v>
      </c>
      <c r="K74" s="112">
        <v>15</v>
      </c>
      <c r="L74" s="112">
        <v>15</v>
      </c>
      <c r="M74" s="112">
        <v>15</v>
      </c>
      <c r="N74" s="112">
        <v>15</v>
      </c>
      <c r="O74" s="112">
        <v>15</v>
      </c>
      <c r="P74" s="112">
        <v>15</v>
      </c>
      <c r="Q74" s="112">
        <v>15</v>
      </c>
      <c r="R74" s="112">
        <v>15</v>
      </c>
      <c r="S74" s="112">
        <v>15</v>
      </c>
      <c r="T74" s="112">
        <v>15</v>
      </c>
      <c r="U74" s="112">
        <v>15</v>
      </c>
      <c r="V74" s="112">
        <v>15</v>
      </c>
      <c r="W74" s="112">
        <v>15</v>
      </c>
      <c r="X74" s="112">
        <v>15</v>
      </c>
      <c r="Y74" s="112">
        <v>15</v>
      </c>
      <c r="Z74" s="103" t="s">
        <v>216</v>
      </c>
      <c r="AB74" s="103" t="b">
        <f>G74=G30</f>
        <v>1</v>
      </c>
    </row>
    <row r="75" spans="3:28">
      <c r="C75" s="103" t="s">
        <v>103</v>
      </c>
      <c r="E75" s="110">
        <f t="shared" ref="E75:Y75" si="35">FinBaseOpExBBL*FinBaseProdClosing</f>
        <v>628891535.3966949</v>
      </c>
      <c r="F75" s="110">
        <f t="shared" si="35"/>
        <v>633866797.49865377</v>
      </c>
      <c r="G75" s="110">
        <f t="shared" si="35"/>
        <v>627416394.00435889</v>
      </c>
      <c r="H75" s="110">
        <f t="shared" si="35"/>
        <v>610771359.56909752</v>
      </c>
      <c r="I75" s="110">
        <f t="shared" si="35"/>
        <v>585395560.62484026</v>
      </c>
      <c r="J75" s="110">
        <f t="shared" si="35"/>
        <v>552899714.22353411</v>
      </c>
      <c r="K75" s="110">
        <f t="shared" si="35"/>
        <v>514956652.4411633</v>
      </c>
      <c r="L75" s="110">
        <f t="shared" si="35"/>
        <v>473222769.43002242</v>
      </c>
      <c r="M75" s="110">
        <f t="shared" si="35"/>
        <v>429269631.81566525</v>
      </c>
      <c r="N75" s="110">
        <f t="shared" si="35"/>
        <v>384528578.7429114</v>
      </c>
      <c r="O75" s="110">
        <f t="shared" si="35"/>
        <v>340249905.97905403</v>
      </c>
      <c r="P75" s="110">
        <f t="shared" si="35"/>
        <v>297477032.64661843</v>
      </c>
      <c r="Q75" s="110">
        <f t="shared" si="35"/>
        <v>257034985.35850692</v>
      </c>
      <c r="R75" s="110">
        <f t="shared" si="35"/>
        <v>219531673.73253882</v>
      </c>
      <c r="S75" s="110">
        <f t="shared" si="35"/>
        <v>185369815.70888731</v>
      </c>
      <c r="T75" s="110">
        <f t="shared" si="35"/>
        <v>154767014.21008033</v>
      </c>
      <c r="U75" s="110">
        <f t="shared" si="35"/>
        <v>127781376.13273926</v>
      </c>
      <c r="V75" s="110">
        <f t="shared" si="35"/>
        <v>104340167.69642432</v>
      </c>
      <c r="W75" s="110">
        <f t="shared" si="35"/>
        <v>84269270.315521523</v>
      </c>
      <c r="X75" s="110">
        <f t="shared" si="35"/>
        <v>67321585.193313792</v>
      </c>
      <c r="Y75" s="110">
        <f t="shared" si="35"/>
        <v>54988235.911992177</v>
      </c>
      <c r="Z75" s="103" t="s">
        <v>217</v>
      </c>
      <c r="AB75" s="103" t="b">
        <f>G75=G31</f>
        <v>0</v>
      </c>
    </row>
    <row r="77" spans="3:28">
      <c r="C77" s="103" t="s">
        <v>112</v>
      </c>
      <c r="E77" s="110">
        <f t="shared" ref="E77:Y77" si="36">FinBaseRev-FinBaseOpEx-FinBaseRoyalty</f>
        <v>1152967814.8939409</v>
      </c>
      <c r="F77" s="110">
        <f t="shared" si="36"/>
        <v>1162089128.7475317</v>
      </c>
      <c r="G77" s="110">
        <f t="shared" si="36"/>
        <v>1150263389.0079911</v>
      </c>
      <c r="H77" s="110">
        <f t="shared" si="36"/>
        <v>1119747492.5433455</v>
      </c>
      <c r="I77" s="110">
        <f t="shared" si="36"/>
        <v>1073225194.4788737</v>
      </c>
      <c r="J77" s="110">
        <f t="shared" si="36"/>
        <v>1013649476.0764792</v>
      </c>
      <c r="K77" s="110">
        <f t="shared" si="36"/>
        <v>944087196.14213264</v>
      </c>
      <c r="L77" s="110">
        <f t="shared" si="36"/>
        <v>867575077.28837454</v>
      </c>
      <c r="M77" s="110">
        <f t="shared" si="36"/>
        <v>786994324.99538612</v>
      </c>
      <c r="N77" s="110">
        <f t="shared" si="36"/>
        <v>704969061.02867103</v>
      </c>
      <c r="O77" s="110">
        <f t="shared" si="36"/>
        <v>623791494.29493237</v>
      </c>
      <c r="P77" s="110">
        <f t="shared" si="36"/>
        <v>545374559.85213399</v>
      </c>
      <c r="Q77" s="110">
        <f t="shared" si="36"/>
        <v>471230806.49059606</v>
      </c>
      <c r="R77" s="110">
        <f t="shared" si="36"/>
        <v>402474735.17632109</v>
      </c>
      <c r="S77" s="110">
        <f t="shared" si="36"/>
        <v>339844662.13295996</v>
      </c>
      <c r="T77" s="110">
        <f t="shared" si="36"/>
        <v>283739526.05181396</v>
      </c>
      <c r="U77" s="110">
        <f t="shared" si="36"/>
        <v>234265856.24335536</v>
      </c>
      <c r="V77" s="110">
        <f t="shared" si="36"/>
        <v>191290307.44344458</v>
      </c>
      <c r="W77" s="110">
        <f t="shared" si="36"/>
        <v>154493662.24512276</v>
      </c>
      <c r="X77" s="110">
        <f t="shared" si="36"/>
        <v>123422906.18774197</v>
      </c>
      <c r="Y77" s="110">
        <f t="shared" si="36"/>
        <v>100811765.83865234</v>
      </c>
      <c r="Z77" s="103" t="s">
        <v>218</v>
      </c>
      <c r="AB77" s="103" t="b">
        <f>G77=G33</f>
        <v>0</v>
      </c>
    </row>
    <row r="79" spans="3:28">
      <c r="C79" s="103" t="s">
        <v>113</v>
      </c>
      <c r="E79" s="110">
        <f t="shared" ref="E79:Y79" si="37">FinBaseOpEarn*BaseTax</f>
        <v>345890344.46818227</v>
      </c>
      <c r="F79" s="110">
        <f t="shared" si="37"/>
        <v>348626738.62425947</v>
      </c>
      <c r="G79" s="110">
        <f t="shared" si="37"/>
        <v>345079016.70239729</v>
      </c>
      <c r="H79" s="110">
        <f t="shared" si="37"/>
        <v>335924247.76300365</v>
      </c>
      <c r="I79" s="110">
        <f t="shared" si="37"/>
        <v>321967558.34366208</v>
      </c>
      <c r="J79" s="110">
        <f t="shared" si="37"/>
        <v>304094842.82294375</v>
      </c>
      <c r="K79" s="110">
        <f t="shared" si="37"/>
        <v>283226158.8426398</v>
      </c>
      <c r="L79" s="110">
        <f t="shared" si="37"/>
        <v>260272523.18651235</v>
      </c>
      <c r="M79" s="110">
        <f t="shared" si="37"/>
        <v>236098297.49861583</v>
      </c>
      <c r="N79" s="110">
        <f t="shared" si="37"/>
        <v>211490718.30860129</v>
      </c>
      <c r="O79" s="110">
        <f t="shared" si="37"/>
        <v>187137448.28847972</v>
      </c>
      <c r="P79" s="110">
        <f t="shared" si="37"/>
        <v>163612367.9556402</v>
      </c>
      <c r="Q79" s="110">
        <f t="shared" si="37"/>
        <v>141369241.94717881</v>
      </c>
      <c r="R79" s="110">
        <f t="shared" si="37"/>
        <v>120742420.55289632</v>
      </c>
      <c r="S79" s="110">
        <f t="shared" si="37"/>
        <v>101953398.63988799</v>
      </c>
      <c r="T79" s="110">
        <f t="shared" si="37"/>
        <v>85121857.815544188</v>
      </c>
      <c r="U79" s="110">
        <f t="shared" si="37"/>
        <v>70279756.873006612</v>
      </c>
      <c r="V79" s="110">
        <f t="shared" si="37"/>
        <v>57387092.233033374</v>
      </c>
      <c r="W79" s="110">
        <f t="shared" si="37"/>
        <v>46348098.67353683</v>
      </c>
      <c r="X79" s="110">
        <f t="shared" si="37"/>
        <v>37026871.856322587</v>
      </c>
      <c r="Y79" s="110">
        <f t="shared" si="37"/>
        <v>30243529.751595702</v>
      </c>
      <c r="Z79" s="103" t="s">
        <v>219</v>
      </c>
    </row>
    <row r="81" spans="1:26">
      <c r="C81" s="103" t="s">
        <v>114</v>
      </c>
      <c r="E81" s="110">
        <f t="shared" ref="E81:Y81" si="38">FinBaseOpEarn-FinBaseTax+FinBaseDDAClosing</f>
        <v>619577470.4257586</v>
      </c>
      <c r="F81" s="110">
        <f t="shared" si="38"/>
        <v>630649890.12327218</v>
      </c>
      <c r="G81" s="110">
        <f t="shared" si="38"/>
        <v>626942184.80559373</v>
      </c>
      <c r="H81" s="110">
        <f t="shared" si="38"/>
        <v>610037111.96784186</v>
      </c>
      <c r="I81" s="110">
        <f t="shared" si="38"/>
        <v>581816156.64302421</v>
      </c>
      <c r="J81" s="110">
        <f t="shared" si="38"/>
        <v>544349190.7486527</v>
      </c>
      <c r="K81" s="110">
        <f t="shared" si="38"/>
        <v>499785730.85723209</v>
      </c>
      <c r="L81" s="110">
        <f t="shared" si="38"/>
        <v>450254130.32065797</v>
      </c>
      <c r="M81" s="110">
        <f t="shared" si="38"/>
        <v>397773814.31009614</v>
      </c>
      <c r="N81" s="110">
        <f t="shared" si="38"/>
        <v>344184184.8630625</v>
      </c>
      <c r="O81" s="110">
        <f t="shared" si="38"/>
        <v>291092242.09587061</v>
      </c>
      <c r="P81" s="110">
        <f t="shared" si="38"/>
        <v>239839433.08367625</v>
      </c>
      <c r="Q81" s="110">
        <f t="shared" si="38"/>
        <v>191486874.70092013</v>
      </c>
      <c r="R81" s="110">
        <f t="shared" si="38"/>
        <v>146816992.02699009</v>
      </c>
      <c r="S81" s="110">
        <f t="shared" si="38"/>
        <v>106348823.96154816</v>
      </c>
      <c r="T81" s="110">
        <f t="shared" si="38"/>
        <v>70363789.693034053</v>
      </c>
      <c r="U81" s="110">
        <f t="shared" si="38"/>
        <v>38938567.790693939</v>
      </c>
      <c r="V81" s="110">
        <f t="shared" si="38"/>
        <v>11981871.920247748</v>
      </c>
      <c r="W81" s="110">
        <f t="shared" si="38"/>
        <v>-13775779.718577534</v>
      </c>
      <c r="X81" s="110">
        <f t="shared" si="38"/>
        <v>-32477275.376489997</v>
      </c>
      <c r="Y81" s="110">
        <f t="shared" si="38"/>
        <v>-45333240.878154993</v>
      </c>
      <c r="Z81" s="103" t="s">
        <v>220</v>
      </c>
    </row>
    <row r="82" spans="1:26">
      <c r="C82" s="103" t="s">
        <v>114</v>
      </c>
      <c r="E82" s="112">
        <f t="shared" ref="E82:Y82" si="39">FinBaseNetEarn/FinBaseProdClosing</f>
        <v>14.77784567496855</v>
      </c>
      <c r="F82" s="112">
        <f t="shared" si="39"/>
        <v>14.923874210131938</v>
      </c>
      <c r="G82" s="112">
        <f t="shared" si="39"/>
        <v>14.988662811412883</v>
      </c>
      <c r="H82" s="112">
        <f t="shared" si="39"/>
        <v>14.981967533601109</v>
      </c>
      <c r="I82" s="112">
        <f t="shared" si="39"/>
        <v>14.908282427577806</v>
      </c>
      <c r="J82" s="112">
        <f t="shared" si="39"/>
        <v>14.768026915507923</v>
      </c>
      <c r="K82" s="112">
        <f t="shared" si="39"/>
        <v>14.558091302092716</v>
      </c>
      <c r="L82" s="112">
        <f t="shared" si="39"/>
        <v>14.271950529651312</v>
      </c>
      <c r="M82" s="112">
        <f t="shared" si="39"/>
        <v>13.899439355667237</v>
      </c>
      <c r="N82" s="112">
        <f t="shared" si="39"/>
        <v>13.426213442506347</v>
      </c>
      <c r="O82" s="112">
        <f t="shared" si="39"/>
        <v>12.832872411452941</v>
      </c>
      <c r="P82" s="112">
        <f t="shared" si="39"/>
        <v>12.093678171547538</v>
      </c>
      <c r="Q82" s="112">
        <f t="shared" si="39"/>
        <v>11.174755516287306</v>
      </c>
      <c r="R82" s="112">
        <f t="shared" si="39"/>
        <v>10.031604291815841</v>
      </c>
      <c r="S82" s="112">
        <f t="shared" si="39"/>
        <v>8.6056748415202815</v>
      </c>
      <c r="T82" s="112">
        <f t="shared" si="39"/>
        <v>6.8196498509872168</v>
      </c>
      <c r="U82" s="112">
        <f t="shared" si="39"/>
        <v>4.5709205405149849</v>
      </c>
      <c r="V82" s="112">
        <f t="shared" si="39"/>
        <v>1.7225205093270655</v>
      </c>
      <c r="W82" s="112">
        <f t="shared" si="39"/>
        <v>-2.4521002140516064</v>
      </c>
      <c r="X82" s="112">
        <f t="shared" si="39"/>
        <v>-7.2362991639081802</v>
      </c>
      <c r="Y82" s="112">
        <f t="shared" si="39"/>
        <v>-12.366256198155767</v>
      </c>
      <c r="Z82" s="103" t="s">
        <v>221</v>
      </c>
    </row>
    <row r="84" spans="1:26">
      <c r="C84" s="103" t="s">
        <v>192</v>
      </c>
      <c r="D84" s="110">
        <f>E84+F86</f>
        <v>227914620.72482008</v>
      </c>
      <c r="E84" s="110">
        <f t="shared" ref="E84:Y84" si="40">INDEX(CalcWorkingCapBase,finStartRef)+INDEX(CalcWorkingCapBase,finStart2Ref)+INDEX(CalcWorkingCapBase,finStart3Ref)+INDEX(CalcWorkingCapBase,finEndRef)</f>
        <v>229732067.72482008</v>
      </c>
      <c r="F84" s="110">
        <f t="shared" si="40"/>
        <v>231549515.06800136</v>
      </c>
      <c r="G84" s="110">
        <f t="shared" si="40"/>
        <v>229193203.28926349</v>
      </c>
      <c r="H84" s="110">
        <f t="shared" si="40"/>
        <v>223112825.41336894</v>
      </c>
      <c r="I84" s="110">
        <f t="shared" si="40"/>
        <v>213843127.16889137</v>
      </c>
      <c r="J84" s="110">
        <f t="shared" si="40"/>
        <v>201972498.34649646</v>
      </c>
      <c r="K84" s="110">
        <f t="shared" si="40"/>
        <v>188112019.15658933</v>
      </c>
      <c r="L84" s="110">
        <f t="shared" si="40"/>
        <v>172866765.08859265</v>
      </c>
      <c r="M84" s="110">
        <f t="shared" si="40"/>
        <v>156810824.40754893</v>
      </c>
      <c r="N84" s="110">
        <f t="shared" si="40"/>
        <v>140467060.72800419</v>
      </c>
      <c r="O84" s="110">
        <f t="shared" si="40"/>
        <v>124292203.09737134</v>
      </c>
      <c r="P84" s="110">
        <f t="shared" si="40"/>
        <v>108667409.18597931</v>
      </c>
      <c r="Q84" s="110">
        <f t="shared" si="40"/>
        <v>93894058.578450024</v>
      </c>
      <c r="R84" s="110">
        <f t="shared" si="40"/>
        <v>80194218.715082675</v>
      </c>
      <c r="S84" s="110">
        <f t="shared" si="40"/>
        <v>67715001.172196269</v>
      </c>
      <c r="T84" s="110">
        <f t="shared" si="40"/>
        <v>56535895.601855829</v>
      </c>
      <c r="U84" s="110">
        <f t="shared" si="40"/>
        <v>46678128.267667308</v>
      </c>
      <c r="V84" s="110">
        <f t="shared" si="40"/>
        <v>38115129.752118468</v>
      </c>
      <c r="W84" s="110">
        <f t="shared" si="40"/>
        <v>30783295.092427954</v>
      </c>
      <c r="X84" s="110">
        <f t="shared" si="40"/>
        <v>24592359.887968507</v>
      </c>
      <c r="Y84" s="110">
        <f t="shared" si="40"/>
        <v>20087026.81716609</v>
      </c>
      <c r="Z84" s="103" t="s">
        <v>222</v>
      </c>
    </row>
    <row r="86" spans="1:26">
      <c r="C86" s="103" t="s">
        <v>134</v>
      </c>
      <c r="E86" s="110">
        <f>ROUND(D84-E84,0)</f>
        <v>-1817447</v>
      </c>
      <c r="F86" s="110">
        <f t="shared" ref="F86:Y86" si="41">ROUND(E84-F84,0)</f>
        <v>-1817447</v>
      </c>
      <c r="G86" s="110">
        <f t="shared" si="41"/>
        <v>2356312</v>
      </c>
      <c r="H86" s="110">
        <f t="shared" si="41"/>
        <v>6080378</v>
      </c>
      <c r="I86" s="110">
        <f t="shared" si="41"/>
        <v>9269698</v>
      </c>
      <c r="J86" s="110">
        <f t="shared" si="41"/>
        <v>11870629</v>
      </c>
      <c r="K86" s="110">
        <f t="shared" si="41"/>
        <v>13860479</v>
      </c>
      <c r="L86" s="110">
        <f t="shared" si="41"/>
        <v>15245254</v>
      </c>
      <c r="M86" s="110">
        <f t="shared" si="41"/>
        <v>16055941</v>
      </c>
      <c r="N86" s="110">
        <f t="shared" si="41"/>
        <v>16343764</v>
      </c>
      <c r="O86" s="110">
        <f t="shared" si="41"/>
        <v>16174858</v>
      </c>
      <c r="P86" s="110">
        <f t="shared" si="41"/>
        <v>15624794</v>
      </c>
      <c r="Q86" s="110">
        <f t="shared" si="41"/>
        <v>14773351</v>
      </c>
      <c r="R86" s="110">
        <f t="shared" si="41"/>
        <v>13699840</v>
      </c>
      <c r="S86" s="110">
        <f t="shared" si="41"/>
        <v>12479218</v>
      </c>
      <c r="T86" s="110">
        <f t="shared" si="41"/>
        <v>11179106</v>
      </c>
      <c r="U86" s="110">
        <f t="shared" si="41"/>
        <v>9857767</v>
      </c>
      <c r="V86" s="110">
        <f t="shared" si="41"/>
        <v>8562999</v>
      </c>
      <c r="W86" s="110">
        <f t="shared" si="41"/>
        <v>7331835</v>
      </c>
      <c r="X86" s="110">
        <f t="shared" si="41"/>
        <v>6190935</v>
      </c>
      <c r="Y86" s="110">
        <f t="shared" si="41"/>
        <v>4505333</v>
      </c>
      <c r="Z86" s="103" t="s">
        <v>223</v>
      </c>
    </row>
    <row r="88" spans="1:26">
      <c r="C88" s="103" t="s">
        <v>116</v>
      </c>
      <c r="E88" s="110">
        <f t="shared" ref="E88:Y88" si="42">FinBaseNetEarn-FinBaseDDAClosing-FinBaseCapExClosing+FinBaseWorkingCapDelta</f>
        <v>805260023.4257586</v>
      </c>
      <c r="F88" s="110">
        <f t="shared" si="42"/>
        <v>811644943.12327218</v>
      </c>
      <c r="G88" s="110">
        <f t="shared" si="42"/>
        <v>807540684.30559373</v>
      </c>
      <c r="H88" s="110">
        <f t="shared" si="42"/>
        <v>789903622.78034186</v>
      </c>
      <c r="I88" s="110">
        <f t="shared" si="42"/>
        <v>760527334.13521171</v>
      </c>
      <c r="J88" s="110">
        <f t="shared" si="42"/>
        <v>721425262.25353551</v>
      </c>
      <c r="K88" s="110">
        <f t="shared" si="42"/>
        <v>674721516.29949284</v>
      </c>
      <c r="L88" s="110">
        <f t="shared" si="42"/>
        <v>622547808.10186219</v>
      </c>
      <c r="M88" s="110">
        <f t="shared" si="42"/>
        <v>566951968.49677026</v>
      </c>
      <c r="N88" s="110">
        <f t="shared" si="42"/>
        <v>509822106.72006977</v>
      </c>
      <c r="O88" s="110">
        <f t="shared" si="42"/>
        <v>452828904.00645268</v>
      </c>
      <c r="P88" s="110">
        <f t="shared" si="42"/>
        <v>397386985.89649379</v>
      </c>
      <c r="Q88" s="110">
        <f t="shared" si="42"/>
        <v>344634915.54341722</v>
      </c>
      <c r="R88" s="110">
        <f t="shared" si="42"/>
        <v>295432154.62342477</v>
      </c>
      <c r="S88" s="110">
        <f t="shared" si="42"/>
        <v>250370481.49307197</v>
      </c>
      <c r="T88" s="110">
        <f t="shared" si="42"/>
        <v>209796774.23626977</v>
      </c>
      <c r="U88" s="110">
        <f t="shared" si="42"/>
        <v>173843866.37034875</v>
      </c>
      <c r="V88" s="110">
        <f t="shared" si="42"/>
        <v>142466214.21041119</v>
      </c>
      <c r="W88" s="110">
        <f t="shared" si="42"/>
        <v>115477398.57158592</v>
      </c>
      <c r="X88" s="110">
        <f t="shared" si="42"/>
        <v>92586969.331419379</v>
      </c>
      <c r="Y88" s="110">
        <f t="shared" si="42"/>
        <v>75073569.087056637</v>
      </c>
      <c r="Z88" s="103" t="s">
        <v>224</v>
      </c>
    </row>
    <row r="90" spans="1:26">
      <c r="C90" s="103" t="s">
        <v>115</v>
      </c>
      <c r="E90" s="112">
        <f t="shared" ref="E90:Y90" si="43">FinBaseCashFlow/FinBaseProdClosing</f>
        <v>19.206651181538319</v>
      </c>
      <c r="F90" s="112">
        <f t="shared" si="43"/>
        <v>19.206991429259929</v>
      </c>
      <c r="G90" s="112">
        <f t="shared" si="43"/>
        <v>19.306333688978732</v>
      </c>
      <c r="H90" s="112">
        <f t="shared" si="43"/>
        <v>19.399328662143468</v>
      </c>
      <c r="I90" s="112">
        <f t="shared" si="43"/>
        <v>19.487523957051515</v>
      </c>
      <c r="J90" s="112">
        <f t="shared" si="43"/>
        <v>19.572046531078531</v>
      </c>
      <c r="K90" s="112">
        <f t="shared" si="43"/>
        <v>19.653737254416292</v>
      </c>
      <c r="L90" s="112">
        <f t="shared" si="43"/>
        <v>19.733237123766116</v>
      </c>
      <c r="M90" s="112">
        <f t="shared" si="43"/>
        <v>19.811043915408902</v>
      </c>
      <c r="N90" s="112">
        <f t="shared" si="43"/>
        <v>19.887550688173711</v>
      </c>
      <c r="O90" s="112">
        <f t="shared" si="43"/>
        <v>19.963072555602519</v>
      </c>
      <c r="P90" s="112">
        <f t="shared" si="43"/>
        <v>20.037865563653174</v>
      </c>
      <c r="Q90" s="112">
        <f t="shared" si="43"/>
        <v>20.112140477456471</v>
      </c>
      <c r="R90" s="112">
        <f t="shared" si="43"/>
        <v>20.186072670089342</v>
      </c>
      <c r="S90" s="112">
        <f t="shared" si="43"/>
        <v>20.259809872681579</v>
      </c>
      <c r="T90" s="112">
        <f t="shared" si="43"/>
        <v>20.333477579869719</v>
      </c>
      <c r="U90" s="112">
        <f t="shared" si="43"/>
        <v>20.407183538596399</v>
      </c>
      <c r="V90" s="112">
        <f t="shared" si="43"/>
        <v>20.481021454495913</v>
      </c>
      <c r="W90" s="112">
        <f t="shared" si="43"/>
        <v>20.555072710232579</v>
      </c>
      <c r="X90" s="112">
        <f t="shared" si="43"/>
        <v>20.629409363777476</v>
      </c>
      <c r="Y90" s="112">
        <f t="shared" si="43"/>
        <v>20.478990053584567</v>
      </c>
      <c r="Z90" s="103" t="s">
        <v>225</v>
      </c>
    </row>
    <row r="92" spans="1:26">
      <c r="C92" s="103" t="s">
        <v>152</v>
      </c>
      <c r="E92" s="117">
        <f t="shared" ref="E92:Y92" si="44">FinBaseNetEarn/FinBaseCapEmpClosing</f>
        <v>8.4728542964206302E-2</v>
      </c>
      <c r="F92" s="117">
        <f t="shared" si="44"/>
        <v>8.8454071812161777E-2</v>
      </c>
      <c r="G92" s="117">
        <f t="shared" si="44"/>
        <v>9.0188753075311448E-2</v>
      </c>
      <c r="H92" s="117">
        <f t="shared" si="44"/>
        <v>9.0007050486709345E-2</v>
      </c>
      <c r="I92" s="117">
        <f t="shared" si="44"/>
        <v>8.8044338585550538E-2</v>
      </c>
      <c r="J92" s="117">
        <f t="shared" si="44"/>
        <v>8.4486753862514113E-2</v>
      </c>
      <c r="K92" s="117">
        <f t="shared" si="44"/>
        <v>7.955917653040577E-2</v>
      </c>
      <c r="L92" s="117">
        <f t="shared" si="44"/>
        <v>7.3512216312427645E-2</v>
      </c>
      <c r="M92" s="117">
        <f t="shared" si="44"/>
        <v>6.6609072320679932E-2</v>
      </c>
      <c r="N92" s="117">
        <f t="shared" si="44"/>
        <v>5.9113066686521207E-2</v>
      </c>
      <c r="O92" s="117">
        <f t="shared" si="44"/>
        <v>5.1276526141905344E-2</v>
      </c>
      <c r="P92" s="117">
        <f t="shared" si="44"/>
        <v>4.3331521349148076E-2</v>
      </c>
      <c r="Q92" s="117">
        <f t="shared" si="44"/>
        <v>3.5482788577266548E-2</v>
      </c>
      <c r="R92" s="117">
        <f t="shared" si="44"/>
        <v>2.7902970431038301E-2</v>
      </c>
      <c r="S92" s="117">
        <f t="shared" si="44"/>
        <v>2.0730137982863588E-2</v>
      </c>
      <c r="T92" s="117">
        <f t="shared" si="44"/>
        <v>1.4067408769323164E-2</v>
      </c>
      <c r="U92" s="117">
        <f t="shared" si="44"/>
        <v>7.984362446291117E-3</v>
      </c>
      <c r="V92" s="117">
        <f t="shared" si="44"/>
        <v>2.5198827116215392E-3</v>
      </c>
      <c r="W92" s="117">
        <f t="shared" si="44"/>
        <v>-2.8971557518729005E-3</v>
      </c>
      <c r="X92" s="117">
        <f t="shared" si="44"/>
        <v>-7.0053627069476872E-3</v>
      </c>
      <c r="Y92" s="117">
        <f t="shared" si="44"/>
        <v>-1.0029128378549145E-2</v>
      </c>
      <c r="Z92" s="117" t="s">
        <v>226</v>
      </c>
    </row>
    <row r="94" spans="1:26" s="102" customFormat="1">
      <c r="A94" s="102" t="s">
        <v>227</v>
      </c>
    </row>
    <row r="96" spans="1:26">
      <c r="C96" s="103" t="s">
        <v>102</v>
      </c>
      <c r="E96" s="103">
        <f t="shared" ref="E96:Y96" si="45">FinProdClosing-FinBaseProdClosing</f>
        <v>0</v>
      </c>
      <c r="F96" s="103">
        <f t="shared" si="45"/>
        <v>0</v>
      </c>
      <c r="G96" s="103">
        <f t="shared" si="45"/>
        <v>325675.98108747602</v>
      </c>
      <c r="H96" s="103">
        <f t="shared" si="45"/>
        <v>328252.45616310835</v>
      </c>
      <c r="I96" s="103">
        <f t="shared" si="45"/>
        <v>324912.06856337935</v>
      </c>
      <c r="J96" s="103">
        <f t="shared" si="45"/>
        <v>80071.492240875959</v>
      </c>
      <c r="K96" s="103">
        <f t="shared" si="45"/>
        <v>0</v>
      </c>
      <c r="L96" s="103">
        <f t="shared" si="45"/>
        <v>0</v>
      </c>
      <c r="M96" s="103">
        <f t="shared" si="45"/>
        <v>0</v>
      </c>
      <c r="N96" s="103">
        <f t="shared" si="45"/>
        <v>0</v>
      </c>
      <c r="O96" s="103">
        <f t="shared" si="45"/>
        <v>0</v>
      </c>
      <c r="P96" s="103">
        <f t="shared" si="45"/>
        <v>0</v>
      </c>
      <c r="Q96" s="103">
        <f t="shared" si="45"/>
        <v>0</v>
      </c>
      <c r="R96" s="103">
        <f t="shared" si="45"/>
        <v>0</v>
      </c>
      <c r="S96" s="103">
        <f t="shared" si="45"/>
        <v>0</v>
      </c>
      <c r="T96" s="103">
        <f t="shared" si="45"/>
        <v>0</v>
      </c>
      <c r="U96" s="103">
        <f t="shared" si="45"/>
        <v>0</v>
      </c>
      <c r="V96" s="103">
        <f t="shared" si="45"/>
        <v>0</v>
      </c>
      <c r="W96" s="103">
        <f t="shared" si="45"/>
        <v>0</v>
      </c>
      <c r="X96" s="103">
        <f t="shared" si="45"/>
        <v>0</v>
      </c>
      <c r="Y96" s="103">
        <f t="shared" si="45"/>
        <v>0</v>
      </c>
      <c r="Z96" s="103" t="s">
        <v>251</v>
      </c>
    </row>
    <row r="97" spans="3:26">
      <c r="C97" s="103" t="s">
        <v>102</v>
      </c>
      <c r="E97" s="187">
        <f t="shared" ref="E97:Y97" si="46">ROUND(finDeltaProd/365,1)</f>
        <v>0</v>
      </c>
      <c r="F97" s="187">
        <f t="shared" si="46"/>
        <v>0</v>
      </c>
      <c r="G97" s="187">
        <f t="shared" si="46"/>
        <v>892.3</v>
      </c>
      <c r="H97" s="187">
        <f t="shared" si="46"/>
        <v>899.3</v>
      </c>
      <c r="I97" s="187">
        <f t="shared" si="46"/>
        <v>890.2</v>
      </c>
      <c r="J97" s="187">
        <f t="shared" si="46"/>
        <v>219.4</v>
      </c>
      <c r="K97" s="187">
        <f t="shared" si="46"/>
        <v>0</v>
      </c>
      <c r="L97" s="187">
        <f t="shared" si="46"/>
        <v>0</v>
      </c>
      <c r="M97" s="187">
        <f t="shared" si="46"/>
        <v>0</v>
      </c>
      <c r="N97" s="187">
        <f t="shared" si="46"/>
        <v>0</v>
      </c>
      <c r="O97" s="187">
        <f t="shared" si="46"/>
        <v>0</v>
      </c>
      <c r="P97" s="187">
        <f t="shared" si="46"/>
        <v>0</v>
      </c>
      <c r="Q97" s="187">
        <f t="shared" si="46"/>
        <v>0</v>
      </c>
      <c r="R97" s="187">
        <f t="shared" si="46"/>
        <v>0</v>
      </c>
      <c r="S97" s="187">
        <f t="shared" si="46"/>
        <v>0</v>
      </c>
      <c r="T97" s="187">
        <f t="shared" si="46"/>
        <v>0</v>
      </c>
      <c r="U97" s="187">
        <f t="shared" si="46"/>
        <v>0</v>
      </c>
      <c r="V97" s="187">
        <f t="shared" si="46"/>
        <v>0</v>
      </c>
      <c r="W97" s="187">
        <f t="shared" si="46"/>
        <v>0</v>
      </c>
      <c r="X97" s="187">
        <f t="shared" si="46"/>
        <v>0</v>
      </c>
      <c r="Y97" s="187">
        <f t="shared" si="46"/>
        <v>0</v>
      </c>
      <c r="Z97" s="103" t="s">
        <v>253</v>
      </c>
    </row>
    <row r="98" spans="3:26">
      <c r="C98" s="103" t="s">
        <v>27</v>
      </c>
      <c r="E98" s="103">
        <f t="shared" ref="E98:Y98" si="47">ROUND(FinRev-FinBaseRev,0)</f>
        <v>0</v>
      </c>
      <c r="F98" s="103">
        <f t="shared" si="47"/>
        <v>0</v>
      </c>
      <c r="G98" s="103">
        <f t="shared" si="47"/>
        <v>16283799</v>
      </c>
      <c r="H98" s="103">
        <f t="shared" si="47"/>
        <v>16412623</v>
      </c>
      <c r="I98" s="103">
        <f t="shared" si="47"/>
        <v>16245603</v>
      </c>
      <c r="J98" s="103">
        <f t="shared" si="47"/>
        <v>4003575</v>
      </c>
      <c r="K98" s="103">
        <f t="shared" si="47"/>
        <v>0</v>
      </c>
      <c r="L98" s="103">
        <f t="shared" si="47"/>
        <v>0</v>
      </c>
      <c r="M98" s="103">
        <f t="shared" si="47"/>
        <v>0</v>
      </c>
      <c r="N98" s="103">
        <f t="shared" si="47"/>
        <v>0</v>
      </c>
      <c r="O98" s="103">
        <f t="shared" si="47"/>
        <v>0</v>
      </c>
      <c r="P98" s="103">
        <f t="shared" si="47"/>
        <v>0</v>
      </c>
      <c r="Q98" s="103">
        <f t="shared" si="47"/>
        <v>0</v>
      </c>
      <c r="R98" s="103">
        <f t="shared" si="47"/>
        <v>0</v>
      </c>
      <c r="S98" s="103">
        <f t="shared" si="47"/>
        <v>0</v>
      </c>
      <c r="T98" s="103">
        <f t="shared" si="47"/>
        <v>0</v>
      </c>
      <c r="U98" s="103">
        <f t="shared" si="47"/>
        <v>0</v>
      </c>
      <c r="V98" s="103">
        <f t="shared" si="47"/>
        <v>0</v>
      </c>
      <c r="W98" s="103">
        <f t="shared" si="47"/>
        <v>0</v>
      </c>
      <c r="X98" s="103">
        <f t="shared" si="47"/>
        <v>0</v>
      </c>
      <c r="Y98" s="103">
        <f t="shared" si="47"/>
        <v>0</v>
      </c>
      <c r="Z98" s="103" t="s">
        <v>252</v>
      </c>
    </row>
    <row r="99" spans="3:26">
      <c r="C99" s="103" t="s">
        <v>187</v>
      </c>
      <c r="E99" s="103">
        <f t="shared" ref="E99:Y99" si="48">ROUND(FinRoyalty-FinBaseRoyalty,0)</f>
        <v>0</v>
      </c>
      <c r="F99" s="103">
        <f t="shared" si="48"/>
        <v>0</v>
      </c>
      <c r="G99" s="103">
        <f t="shared" si="48"/>
        <v>2442570</v>
      </c>
      <c r="H99" s="103">
        <f t="shared" si="48"/>
        <v>2461893</v>
      </c>
      <c r="I99" s="103">
        <f t="shared" si="48"/>
        <v>2436841</v>
      </c>
      <c r="J99" s="103">
        <f t="shared" si="48"/>
        <v>600536</v>
      </c>
      <c r="K99" s="103">
        <f t="shared" si="48"/>
        <v>0</v>
      </c>
      <c r="L99" s="103">
        <f t="shared" si="48"/>
        <v>0</v>
      </c>
      <c r="M99" s="103">
        <f t="shared" si="48"/>
        <v>0</v>
      </c>
      <c r="N99" s="103">
        <f t="shared" si="48"/>
        <v>0</v>
      </c>
      <c r="O99" s="103">
        <f t="shared" si="48"/>
        <v>0</v>
      </c>
      <c r="P99" s="103">
        <f t="shared" si="48"/>
        <v>0</v>
      </c>
      <c r="Q99" s="103">
        <f t="shared" si="48"/>
        <v>0</v>
      </c>
      <c r="R99" s="103">
        <f t="shared" si="48"/>
        <v>0</v>
      </c>
      <c r="S99" s="103">
        <f t="shared" si="48"/>
        <v>0</v>
      </c>
      <c r="T99" s="103">
        <f t="shared" si="48"/>
        <v>0</v>
      </c>
      <c r="U99" s="103">
        <f t="shared" si="48"/>
        <v>0</v>
      </c>
      <c r="V99" s="103">
        <f t="shared" si="48"/>
        <v>0</v>
      </c>
      <c r="W99" s="103">
        <f t="shared" si="48"/>
        <v>0</v>
      </c>
      <c r="X99" s="103">
        <f t="shared" si="48"/>
        <v>0</v>
      </c>
      <c r="Y99" s="103">
        <f t="shared" si="48"/>
        <v>0</v>
      </c>
      <c r="Z99" s="103" t="s">
        <v>332</v>
      </c>
    </row>
    <row r="101" spans="3:26">
      <c r="C101" s="103" t="s">
        <v>170</v>
      </c>
      <c r="E101" s="103">
        <f t="shared" ref="E101:Y101" si="49">ROUND(FinOpEx-FinBaseOpEx,0)</f>
        <v>0</v>
      </c>
      <c r="F101" s="103">
        <f t="shared" si="49"/>
        <v>0</v>
      </c>
      <c r="G101" s="103">
        <f t="shared" si="49"/>
        <v>9770279</v>
      </c>
      <c r="H101" s="103">
        <f t="shared" si="49"/>
        <v>9847574</v>
      </c>
      <c r="I101" s="103">
        <f t="shared" si="49"/>
        <v>9747362</v>
      </c>
      <c r="J101" s="103">
        <f t="shared" si="49"/>
        <v>2402145</v>
      </c>
      <c r="K101" s="103">
        <f t="shared" si="49"/>
        <v>0</v>
      </c>
      <c r="L101" s="103">
        <f t="shared" si="49"/>
        <v>0</v>
      </c>
      <c r="M101" s="103">
        <f t="shared" si="49"/>
        <v>0</v>
      </c>
      <c r="N101" s="103">
        <f t="shared" si="49"/>
        <v>0</v>
      </c>
      <c r="O101" s="103">
        <f t="shared" si="49"/>
        <v>0</v>
      </c>
      <c r="P101" s="103">
        <f t="shared" si="49"/>
        <v>0</v>
      </c>
      <c r="Q101" s="103">
        <f t="shared" si="49"/>
        <v>0</v>
      </c>
      <c r="R101" s="103">
        <f t="shared" si="49"/>
        <v>0</v>
      </c>
      <c r="S101" s="103">
        <f t="shared" si="49"/>
        <v>0</v>
      </c>
      <c r="T101" s="103">
        <f t="shared" si="49"/>
        <v>0</v>
      </c>
      <c r="U101" s="103">
        <f t="shared" si="49"/>
        <v>0</v>
      </c>
      <c r="V101" s="103">
        <f t="shared" si="49"/>
        <v>0</v>
      </c>
      <c r="W101" s="103">
        <f t="shared" si="49"/>
        <v>0</v>
      </c>
      <c r="X101" s="103">
        <f t="shared" si="49"/>
        <v>0</v>
      </c>
      <c r="Y101" s="103">
        <f t="shared" si="49"/>
        <v>0</v>
      </c>
      <c r="Z101" s="103" t="s">
        <v>254</v>
      </c>
    </row>
    <row r="102" spans="3:26">
      <c r="C102" s="103" t="s">
        <v>113</v>
      </c>
      <c r="E102" s="103">
        <f t="shared" ref="E102:Y102" si="50">ROUND(FinTax-FinBaseTax,0)</f>
        <v>0</v>
      </c>
      <c r="F102" s="103">
        <f t="shared" si="50"/>
        <v>0</v>
      </c>
      <c r="G102" s="103">
        <f t="shared" si="50"/>
        <v>1221285</v>
      </c>
      <c r="H102" s="103">
        <f t="shared" si="50"/>
        <v>1230947</v>
      </c>
      <c r="I102" s="103">
        <f t="shared" si="50"/>
        <v>1218420</v>
      </c>
      <c r="J102" s="103">
        <f t="shared" si="50"/>
        <v>300268</v>
      </c>
      <c r="K102" s="103">
        <f t="shared" si="50"/>
        <v>0</v>
      </c>
      <c r="L102" s="103">
        <f t="shared" si="50"/>
        <v>0</v>
      </c>
      <c r="M102" s="103">
        <f t="shared" si="50"/>
        <v>0</v>
      </c>
      <c r="N102" s="103">
        <f t="shared" si="50"/>
        <v>0</v>
      </c>
      <c r="O102" s="103">
        <f t="shared" si="50"/>
        <v>0</v>
      </c>
      <c r="P102" s="103">
        <f t="shared" si="50"/>
        <v>0</v>
      </c>
      <c r="Q102" s="103">
        <f t="shared" si="50"/>
        <v>0</v>
      </c>
      <c r="R102" s="103">
        <f t="shared" si="50"/>
        <v>0</v>
      </c>
      <c r="S102" s="103">
        <f t="shared" si="50"/>
        <v>0</v>
      </c>
      <c r="T102" s="103">
        <f t="shared" si="50"/>
        <v>0</v>
      </c>
      <c r="U102" s="103">
        <f t="shared" si="50"/>
        <v>0</v>
      </c>
      <c r="V102" s="103">
        <f t="shared" si="50"/>
        <v>0</v>
      </c>
      <c r="W102" s="103">
        <f t="shared" si="50"/>
        <v>0</v>
      </c>
      <c r="X102" s="103">
        <f t="shared" si="50"/>
        <v>0</v>
      </c>
      <c r="Y102" s="103">
        <f t="shared" si="50"/>
        <v>0</v>
      </c>
      <c r="Z102" s="103" t="s">
        <v>255</v>
      </c>
    </row>
    <row r="103" spans="3:26">
      <c r="C103" s="103" t="s">
        <v>111</v>
      </c>
      <c r="E103" s="103">
        <f t="shared" ref="E103:Y103" si="51">ROUND(FinDDAClosing-FinBaseDDAClosing,0)</f>
        <v>0</v>
      </c>
      <c r="F103" s="103">
        <f t="shared" si="51"/>
        <v>0</v>
      </c>
      <c r="G103" s="103">
        <f t="shared" si="51"/>
        <v>-250000</v>
      </c>
      <c r="H103" s="103">
        <f t="shared" si="51"/>
        <v>-243750</v>
      </c>
      <c r="I103" s="103">
        <f t="shared" si="51"/>
        <v>-237656</v>
      </c>
      <c r="J103" s="103">
        <f t="shared" si="51"/>
        <v>-231715</v>
      </c>
      <c r="K103" s="103">
        <f t="shared" si="51"/>
        <v>-225922</v>
      </c>
      <c r="L103" s="103">
        <f t="shared" si="51"/>
        <v>-220274</v>
      </c>
      <c r="M103" s="103">
        <f t="shared" si="51"/>
        <v>-214767</v>
      </c>
      <c r="N103" s="103">
        <f t="shared" si="51"/>
        <v>-209398</v>
      </c>
      <c r="O103" s="103">
        <f t="shared" si="51"/>
        <v>-204163</v>
      </c>
      <c r="P103" s="103">
        <f t="shared" si="51"/>
        <v>-199059</v>
      </c>
      <c r="Q103" s="103">
        <f t="shared" si="51"/>
        <v>-194082</v>
      </c>
      <c r="R103" s="103">
        <f t="shared" si="51"/>
        <v>-189230</v>
      </c>
      <c r="S103" s="103">
        <f t="shared" si="51"/>
        <v>-184500</v>
      </c>
      <c r="T103" s="103">
        <f t="shared" si="51"/>
        <v>-179887</v>
      </c>
      <c r="U103" s="103">
        <f t="shared" si="51"/>
        <v>-175390</v>
      </c>
      <c r="V103" s="103">
        <f t="shared" si="51"/>
        <v>-171005</v>
      </c>
      <c r="W103" s="103">
        <f t="shared" si="51"/>
        <v>-171005</v>
      </c>
      <c r="X103" s="103">
        <f t="shared" si="51"/>
        <v>-166730</v>
      </c>
      <c r="Y103" s="103">
        <f t="shared" si="51"/>
        <v>-162562</v>
      </c>
      <c r="Z103" s="103" t="s">
        <v>256</v>
      </c>
    </row>
    <row r="105" spans="3:26">
      <c r="C105" s="103" t="s">
        <v>114</v>
      </c>
      <c r="E105" s="103">
        <f t="shared" ref="E105:Y105" si="52">ROUND(FinNetEarn-FinBaseNetEarn,0)</f>
        <v>0</v>
      </c>
      <c r="F105" s="103">
        <f t="shared" si="52"/>
        <v>0</v>
      </c>
      <c r="G105" s="103">
        <f t="shared" si="52"/>
        <v>2599665</v>
      </c>
      <c r="H105" s="103">
        <f t="shared" si="52"/>
        <v>2628459</v>
      </c>
      <c r="I105" s="103">
        <f t="shared" si="52"/>
        <v>2605324</v>
      </c>
      <c r="J105" s="103">
        <f t="shared" si="52"/>
        <v>468911</v>
      </c>
      <c r="K105" s="103">
        <f t="shared" si="52"/>
        <v>-225922</v>
      </c>
      <c r="L105" s="103">
        <f t="shared" si="52"/>
        <v>-220274</v>
      </c>
      <c r="M105" s="103">
        <f t="shared" si="52"/>
        <v>-214767</v>
      </c>
      <c r="N105" s="103">
        <f t="shared" si="52"/>
        <v>-209398</v>
      </c>
      <c r="O105" s="103">
        <f t="shared" si="52"/>
        <v>-204163</v>
      </c>
      <c r="P105" s="103">
        <f t="shared" si="52"/>
        <v>-199059</v>
      </c>
      <c r="Q105" s="103">
        <f t="shared" si="52"/>
        <v>-194082</v>
      </c>
      <c r="R105" s="103">
        <f t="shared" si="52"/>
        <v>-189230</v>
      </c>
      <c r="S105" s="103">
        <f t="shared" si="52"/>
        <v>-184500</v>
      </c>
      <c r="T105" s="103">
        <f t="shared" si="52"/>
        <v>-179887</v>
      </c>
      <c r="U105" s="103">
        <f t="shared" si="52"/>
        <v>-175390</v>
      </c>
      <c r="V105" s="103">
        <f t="shared" si="52"/>
        <v>-171005</v>
      </c>
      <c r="W105" s="103">
        <f t="shared" si="52"/>
        <v>-171005</v>
      </c>
      <c r="X105" s="103">
        <f t="shared" si="52"/>
        <v>-166730</v>
      </c>
      <c r="Y105" s="103">
        <f t="shared" si="52"/>
        <v>-162562</v>
      </c>
      <c r="Z105" s="103" t="s">
        <v>257</v>
      </c>
    </row>
    <row r="106" spans="3:26">
      <c r="C106" s="103" t="s">
        <v>258</v>
      </c>
      <c r="E106" s="112">
        <f t="shared" ref="E106:Y106" si="53">IF(finDeltaProd=0,0,finDeltaNetEarn/finDeltaProd)</f>
        <v>0</v>
      </c>
      <c r="F106" s="112">
        <f t="shared" si="53"/>
        <v>0</v>
      </c>
      <c r="G106" s="112">
        <f t="shared" si="53"/>
        <v>7.9823663732258305</v>
      </c>
      <c r="H106" s="112">
        <f t="shared" si="53"/>
        <v>8.0074313250345366</v>
      </c>
      <c r="I106" s="112">
        <f t="shared" si="53"/>
        <v>8.0185510237265607</v>
      </c>
      <c r="J106" s="112">
        <f t="shared" si="53"/>
        <v>5.8561541302289362</v>
      </c>
      <c r="K106" s="112">
        <f t="shared" si="53"/>
        <v>0</v>
      </c>
      <c r="L106" s="112">
        <f t="shared" si="53"/>
        <v>0</v>
      </c>
      <c r="M106" s="112">
        <f t="shared" si="53"/>
        <v>0</v>
      </c>
      <c r="N106" s="112">
        <f t="shared" si="53"/>
        <v>0</v>
      </c>
      <c r="O106" s="112">
        <f t="shared" si="53"/>
        <v>0</v>
      </c>
      <c r="P106" s="112">
        <f t="shared" si="53"/>
        <v>0</v>
      </c>
      <c r="Q106" s="112">
        <f t="shared" si="53"/>
        <v>0</v>
      </c>
      <c r="R106" s="112">
        <f t="shared" si="53"/>
        <v>0</v>
      </c>
      <c r="S106" s="112">
        <f t="shared" si="53"/>
        <v>0</v>
      </c>
      <c r="T106" s="112">
        <f t="shared" si="53"/>
        <v>0</v>
      </c>
      <c r="U106" s="112">
        <f t="shared" si="53"/>
        <v>0</v>
      </c>
      <c r="V106" s="112">
        <f t="shared" si="53"/>
        <v>0</v>
      </c>
      <c r="W106" s="112">
        <f t="shared" si="53"/>
        <v>0</v>
      </c>
      <c r="X106" s="112">
        <f t="shared" si="53"/>
        <v>0</v>
      </c>
      <c r="Y106" s="112">
        <f t="shared" si="53"/>
        <v>0</v>
      </c>
      <c r="Z106" s="103" t="s">
        <v>259</v>
      </c>
    </row>
    <row r="108" spans="3:26">
      <c r="C108" s="103" t="s">
        <v>264</v>
      </c>
      <c r="E108" s="103">
        <f t="shared" ref="E108:Y108" si="54">FinWorkingCapDelta-FinBaseWorkingCapDelta</f>
        <v>0</v>
      </c>
      <c r="F108" s="103">
        <f t="shared" si="54"/>
        <v>0</v>
      </c>
      <c r="G108" s="103">
        <f t="shared" si="54"/>
        <v>-1784526</v>
      </c>
      <c r="H108" s="103">
        <f t="shared" si="54"/>
        <v>-14118</v>
      </c>
      <c r="I108" s="103">
        <f t="shared" si="54"/>
        <v>18304</v>
      </c>
      <c r="J108" s="103">
        <f t="shared" si="54"/>
        <v>1341592</v>
      </c>
      <c r="K108" s="103">
        <f t="shared" si="54"/>
        <v>438748</v>
      </c>
      <c r="L108" s="103">
        <f t="shared" si="54"/>
        <v>0</v>
      </c>
      <c r="M108" s="103">
        <f t="shared" si="54"/>
        <v>0</v>
      </c>
      <c r="N108" s="103">
        <f t="shared" si="54"/>
        <v>0</v>
      </c>
      <c r="O108" s="103">
        <f t="shared" si="54"/>
        <v>0</v>
      </c>
      <c r="P108" s="103">
        <f t="shared" si="54"/>
        <v>0</v>
      </c>
      <c r="Q108" s="103">
        <f t="shared" si="54"/>
        <v>0</v>
      </c>
      <c r="R108" s="103">
        <f t="shared" si="54"/>
        <v>0</v>
      </c>
      <c r="S108" s="103">
        <f t="shared" si="54"/>
        <v>0</v>
      </c>
      <c r="T108" s="103">
        <f t="shared" si="54"/>
        <v>0</v>
      </c>
      <c r="U108" s="103">
        <f t="shared" si="54"/>
        <v>0</v>
      </c>
      <c r="V108" s="103">
        <f t="shared" si="54"/>
        <v>0</v>
      </c>
      <c r="W108" s="103">
        <f t="shared" si="54"/>
        <v>0</v>
      </c>
      <c r="X108" s="103">
        <f t="shared" si="54"/>
        <v>0</v>
      </c>
      <c r="Y108" s="103">
        <f t="shared" si="54"/>
        <v>0</v>
      </c>
      <c r="Z108" s="103" t="s">
        <v>265</v>
      </c>
    </row>
    <row r="110" spans="3:26">
      <c r="C110" s="103" t="s">
        <v>116</v>
      </c>
      <c r="E110" s="110">
        <v>0</v>
      </c>
      <c r="F110" s="110">
        <f t="shared" ref="F110:Y110" si="55">FinCashFlow-FinBaseCashFlow</f>
        <v>-10000000</v>
      </c>
      <c r="G110" s="110">
        <f t="shared" si="55"/>
        <v>1065138.8345154524</v>
      </c>
      <c r="H110" s="110">
        <f t="shared" si="55"/>
        <v>2858090.9914271832</v>
      </c>
      <c r="I110" s="110">
        <f t="shared" si="55"/>
        <v>2861284.5999296904</v>
      </c>
      <c r="J110" s="110">
        <f t="shared" si="55"/>
        <v>2042217.557107687</v>
      </c>
      <c r="K110" s="110">
        <f t="shared" si="55"/>
        <v>438748</v>
      </c>
      <c r="L110" s="110">
        <f t="shared" si="55"/>
        <v>0</v>
      </c>
      <c r="M110" s="110">
        <f t="shared" si="55"/>
        <v>0</v>
      </c>
      <c r="N110" s="110">
        <f t="shared" si="55"/>
        <v>0</v>
      </c>
      <c r="O110" s="110">
        <f t="shared" si="55"/>
        <v>0</v>
      </c>
      <c r="P110" s="110">
        <f t="shared" si="55"/>
        <v>0</v>
      </c>
      <c r="Q110" s="110">
        <f t="shared" si="55"/>
        <v>0</v>
      </c>
      <c r="R110" s="110">
        <f t="shared" si="55"/>
        <v>0</v>
      </c>
      <c r="S110" s="110">
        <f t="shared" si="55"/>
        <v>0</v>
      </c>
      <c r="T110" s="110">
        <f t="shared" si="55"/>
        <v>0</v>
      </c>
      <c r="U110" s="110">
        <f t="shared" si="55"/>
        <v>0</v>
      </c>
      <c r="V110" s="110">
        <f t="shared" si="55"/>
        <v>0</v>
      </c>
      <c r="W110" s="110">
        <f t="shared" si="55"/>
        <v>0</v>
      </c>
      <c r="X110" s="110">
        <f t="shared" si="55"/>
        <v>0</v>
      </c>
      <c r="Y110" s="110">
        <f t="shared" si="55"/>
        <v>0</v>
      </c>
      <c r="Z110" s="103" t="s">
        <v>228</v>
      </c>
    </row>
    <row r="111" spans="3:26">
      <c r="C111" s="103" t="s">
        <v>296</v>
      </c>
      <c r="E111" s="110">
        <f>SUM($E$110:E110)</f>
        <v>0</v>
      </c>
      <c r="F111" s="110">
        <f>SUM($E$110:F110)</f>
        <v>-10000000</v>
      </c>
      <c r="G111" s="110">
        <f>SUM($E$110:G110)</f>
        <v>-8934861.1654845476</v>
      </c>
      <c r="H111" s="110">
        <f>SUM($E$110:H110)</f>
        <v>-6076770.1740573645</v>
      </c>
      <c r="I111" s="110">
        <f>SUM($E$110:I110)</f>
        <v>-3215485.5741276741</v>
      </c>
      <c r="J111" s="110">
        <f>SUM($E$110:J110)</f>
        <v>-1173268.0170199871</v>
      </c>
      <c r="K111" s="110">
        <f>SUM($E$110:K110)</f>
        <v>-734520.01701998711</v>
      </c>
      <c r="L111" s="110">
        <f>SUM($E$110:L110)</f>
        <v>-734520.01701998711</v>
      </c>
      <c r="M111" s="110">
        <f>SUM($E$110:M110)</f>
        <v>-734520.01701998711</v>
      </c>
      <c r="N111" s="110">
        <f>SUM($E$110:N110)</f>
        <v>-734520.01701998711</v>
      </c>
      <c r="O111" s="110">
        <f>SUM($E$110:O110)</f>
        <v>-734520.01701998711</v>
      </c>
      <c r="P111" s="110">
        <f>SUM($E$110:P110)</f>
        <v>-734520.01701998711</v>
      </c>
      <c r="Q111" s="110">
        <f>SUM($E$110:Q110)</f>
        <v>-734520.01701998711</v>
      </c>
      <c r="R111" s="110">
        <f>SUM($E$110:R110)</f>
        <v>-734520.01701998711</v>
      </c>
      <c r="S111" s="110">
        <f>SUM($E$110:S110)</f>
        <v>-734520.01701998711</v>
      </c>
      <c r="T111" s="110">
        <f>SUM($E$110:T110)</f>
        <v>-734520.01701998711</v>
      </c>
      <c r="U111" s="110">
        <f>SUM($E$110:U110)</f>
        <v>-734520.01701998711</v>
      </c>
      <c r="V111" s="110">
        <f>SUM($E$110:V110)</f>
        <v>-734520.01701998711</v>
      </c>
      <c r="W111" s="110">
        <f>SUM($E$110:W110)</f>
        <v>-734520.01701998711</v>
      </c>
      <c r="X111" s="110">
        <f>SUM($E$110:X110)</f>
        <v>-734520.01701998711</v>
      </c>
      <c r="Y111" s="110">
        <f>SUM($E$110:Y110)</f>
        <v>-734520.01701998711</v>
      </c>
      <c r="Z111" s="103" t="s">
        <v>297</v>
      </c>
    </row>
    <row r="112" spans="3:26">
      <c r="C112" s="103" t="s">
        <v>298</v>
      </c>
      <c r="E112" s="110"/>
      <c r="F112" s="206">
        <f>(F111&gt;=0)*1</f>
        <v>0</v>
      </c>
      <c r="G112" s="206">
        <f t="shared" ref="G112:Y112" si="56">(G111&gt;=0)*1</f>
        <v>0</v>
      </c>
      <c r="H112" s="206">
        <f t="shared" si="56"/>
        <v>0</v>
      </c>
      <c r="I112" s="206">
        <f t="shared" si="56"/>
        <v>0</v>
      </c>
      <c r="J112" s="206">
        <f t="shared" si="56"/>
        <v>0</v>
      </c>
      <c r="K112" s="206">
        <f t="shared" si="56"/>
        <v>0</v>
      </c>
      <c r="L112" s="206">
        <f t="shared" si="56"/>
        <v>0</v>
      </c>
      <c r="M112" s="206">
        <f t="shared" si="56"/>
        <v>0</v>
      </c>
      <c r="N112" s="206">
        <f t="shared" si="56"/>
        <v>0</v>
      </c>
      <c r="O112" s="206">
        <f t="shared" si="56"/>
        <v>0</v>
      </c>
      <c r="P112" s="206">
        <f t="shared" si="56"/>
        <v>0</v>
      </c>
      <c r="Q112" s="206">
        <f t="shared" si="56"/>
        <v>0</v>
      </c>
      <c r="R112" s="206">
        <f t="shared" si="56"/>
        <v>0</v>
      </c>
      <c r="S112" s="206">
        <f t="shared" si="56"/>
        <v>0</v>
      </c>
      <c r="T112" s="206">
        <f t="shared" si="56"/>
        <v>0</v>
      </c>
      <c r="U112" s="206">
        <f t="shared" si="56"/>
        <v>0</v>
      </c>
      <c r="V112" s="206">
        <f t="shared" si="56"/>
        <v>0</v>
      </c>
      <c r="W112" s="206">
        <f t="shared" si="56"/>
        <v>0</v>
      </c>
      <c r="X112" s="206">
        <f t="shared" si="56"/>
        <v>0</v>
      </c>
      <c r="Y112" s="206">
        <f t="shared" si="56"/>
        <v>0</v>
      </c>
      <c r="Z112" s="103" t="s">
        <v>299</v>
      </c>
    </row>
    <row r="113" spans="1:26">
      <c r="C113" s="103" t="s">
        <v>300</v>
      </c>
      <c r="E113" s="105">
        <f>20-SUM(finDeltaPaybackYearMark)</f>
        <v>20</v>
      </c>
      <c r="F113" s="110" t="s">
        <v>301</v>
      </c>
      <c r="G113" s="206"/>
      <c r="H113" s="206"/>
      <c r="I113" s="206"/>
      <c r="J113" s="206"/>
      <c r="K113" s="206"/>
      <c r="L113" s="206"/>
      <c r="M113" s="206"/>
      <c r="N113" s="206"/>
      <c r="O113" s="206"/>
      <c r="P113" s="206"/>
      <c r="Q113" s="206"/>
      <c r="R113" s="206"/>
      <c r="S113" s="206"/>
      <c r="T113" s="206"/>
      <c r="U113" s="206"/>
      <c r="V113" s="206"/>
      <c r="W113" s="206"/>
      <c r="X113" s="206"/>
      <c r="Y113" s="206"/>
    </row>
    <row r="114" spans="1:26">
      <c r="C114" s="103" t="s">
        <v>302</v>
      </c>
      <c r="E114" s="105">
        <f>IF(E113=20,0,E113)</f>
        <v>0</v>
      </c>
      <c r="F114" s="110" t="s">
        <v>303</v>
      </c>
      <c r="G114" s="206"/>
      <c r="H114" s="206"/>
      <c r="I114" s="206"/>
      <c r="J114" s="206"/>
      <c r="K114" s="206"/>
      <c r="L114" s="206"/>
      <c r="M114" s="206"/>
      <c r="N114" s="206"/>
      <c r="O114" s="206"/>
      <c r="P114" s="206"/>
      <c r="Q114" s="206"/>
      <c r="R114" s="206"/>
      <c r="S114" s="206"/>
      <c r="T114" s="206"/>
      <c r="U114" s="206"/>
      <c r="V114" s="206"/>
      <c r="W114" s="206"/>
      <c r="X114" s="206"/>
      <c r="Y114" s="206"/>
    </row>
    <row r="115" spans="1:26"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</row>
    <row r="116" spans="1:26">
      <c r="C116" s="103" t="s">
        <v>117</v>
      </c>
      <c r="E116" s="110">
        <f>NPV(10%,finDeltaCumCashFlow)</f>
        <v>-24940327.721630108</v>
      </c>
      <c r="F116" s="110" t="s">
        <v>238</v>
      </c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</row>
    <row r="117" spans="1:26"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</row>
    <row r="118" spans="1:26">
      <c r="C118" s="103" t="s">
        <v>236</v>
      </c>
      <c r="E118" s="110">
        <f t="shared" ref="E118:Y118" si="57">FinCapExClosing-FinBaseCapExClosing</f>
        <v>0</v>
      </c>
      <c r="F118" s="110">
        <f t="shared" si="57"/>
        <v>10000000</v>
      </c>
      <c r="G118" s="110">
        <f t="shared" si="57"/>
        <v>0</v>
      </c>
      <c r="H118" s="110">
        <f t="shared" si="57"/>
        <v>0</v>
      </c>
      <c r="I118" s="110">
        <f t="shared" si="57"/>
        <v>0</v>
      </c>
      <c r="J118" s="110">
        <f t="shared" si="57"/>
        <v>0</v>
      </c>
      <c r="K118" s="110">
        <f t="shared" si="57"/>
        <v>0</v>
      </c>
      <c r="L118" s="110">
        <f t="shared" si="57"/>
        <v>0</v>
      </c>
      <c r="M118" s="110">
        <f t="shared" si="57"/>
        <v>0</v>
      </c>
      <c r="N118" s="110">
        <f t="shared" si="57"/>
        <v>0</v>
      </c>
      <c r="O118" s="110">
        <f t="shared" si="57"/>
        <v>0</v>
      </c>
      <c r="P118" s="110">
        <f t="shared" si="57"/>
        <v>0</v>
      </c>
      <c r="Q118" s="110">
        <f t="shared" si="57"/>
        <v>0</v>
      </c>
      <c r="R118" s="110">
        <f t="shared" si="57"/>
        <v>0</v>
      </c>
      <c r="S118" s="110">
        <f t="shared" si="57"/>
        <v>0</v>
      </c>
      <c r="T118" s="110">
        <f t="shared" si="57"/>
        <v>0</v>
      </c>
      <c r="U118" s="110">
        <f t="shared" si="57"/>
        <v>0</v>
      </c>
      <c r="V118" s="110">
        <f t="shared" si="57"/>
        <v>0</v>
      </c>
      <c r="W118" s="110">
        <f t="shared" si="57"/>
        <v>0</v>
      </c>
      <c r="X118" s="110">
        <f t="shared" si="57"/>
        <v>0</v>
      </c>
      <c r="Y118" s="110">
        <f t="shared" si="57"/>
        <v>0</v>
      </c>
      <c r="Z118" s="103" t="s">
        <v>237</v>
      </c>
    </row>
    <row r="119" spans="1:26">
      <c r="C119" s="103" t="s">
        <v>229</v>
      </c>
      <c r="E119" s="110"/>
      <c r="F119" s="110">
        <f>NPV(10%,$F21:F$21)</f>
        <v>9090909.0909090899</v>
      </c>
      <c r="G119" s="110">
        <f>NPV(10%,$F21:G$21)-SUM(F118:$F$118)</f>
        <v>-909090.90909091011</v>
      </c>
      <c r="H119" s="110">
        <f>NPV(10%,$F21:H$21)-SUM($F118:G$118)</f>
        <v>-909090.90909091011</v>
      </c>
      <c r="I119" s="110">
        <f>NPV(10%,$F21:I$21)-SUM($F118:H$118)</f>
        <v>-909090.90909091011</v>
      </c>
      <c r="J119" s="110">
        <f>NPV(10%,$F21:J$21)-SUM($F118:I$118)</f>
        <v>-909090.90909091011</v>
      </c>
      <c r="K119" s="110">
        <f>NPV(10%,$F21:K$21)-SUM($F118:J$118)</f>
        <v>-909090.90909091011</v>
      </c>
      <c r="L119" s="110">
        <f>NPV(10%,$F21:L$21)-SUM($F118:K$118)</f>
        <v>-909090.90909091011</v>
      </c>
      <c r="M119" s="110">
        <f>NPV(10%,$F21:M$21)-SUM($F118:L$118)</f>
        <v>-909090.90909091011</v>
      </c>
      <c r="N119" s="110">
        <f>NPV(10%,$F21:N$21)-SUM($F118:M$118)</f>
        <v>-909090.90909091011</v>
      </c>
      <c r="O119" s="110">
        <f>NPV(10%,$F21:O$21)-SUM($F118:N$118)</f>
        <v>-909090.90909091011</v>
      </c>
      <c r="P119" s="110">
        <f>NPV(10%,$F21:P$21)-SUM($F118:O$118)</f>
        <v>-909090.90909091011</v>
      </c>
      <c r="Q119" s="110">
        <f>NPV(10%,$F21:Q$21)-SUM($F118:P$118)</f>
        <v>-909090.90909091011</v>
      </c>
      <c r="R119" s="110">
        <f>NPV(10%,$F21:R$21)-SUM($F118:Q$118)</f>
        <v>-909090.90909091011</v>
      </c>
      <c r="S119" s="110">
        <f>NPV(10%,$F21:S$21)-SUM($F118:R$118)</f>
        <v>-909090.90909091011</v>
      </c>
      <c r="T119" s="110">
        <f>NPV(10%,$F21:T$21)-SUM($F118:S$118)</f>
        <v>-909090.90909091011</v>
      </c>
      <c r="U119" s="110">
        <f>NPV(10%,$F21:U$21)-SUM($F118:T$118)</f>
        <v>-909090.90909091011</v>
      </c>
      <c r="V119" s="110">
        <f>NPV(10%,$F21:V$21)-SUM($F118:U$118)</f>
        <v>-909090.90909091011</v>
      </c>
      <c r="W119" s="110">
        <f>NPV(10%,$F21:W$21)-SUM($F118:V$118)</f>
        <v>-909090.90909091011</v>
      </c>
      <c r="X119" s="110">
        <f>NPV(10%,$F21:X$21)-SUM($F118:W$118)</f>
        <v>-909090.90909091011</v>
      </c>
      <c r="Y119" s="110">
        <f>NPV(10%,$F21:Y$21)-SUM($F118:X$118)</f>
        <v>-909090.90909091011</v>
      </c>
    </row>
    <row r="120" spans="1:26">
      <c r="C120" s="103" t="s">
        <v>118</v>
      </c>
      <c r="E120" s="110">
        <f>NPV(10%,finDeltaCapEx)</f>
        <v>8264462.809917354</v>
      </c>
      <c r="F120" s="103" t="s">
        <v>239</v>
      </c>
    </row>
    <row r="122" spans="1:26" s="199" customFormat="1">
      <c r="C122" s="199" t="s">
        <v>280</v>
      </c>
      <c r="E122" s="200">
        <f>IRR(F110:Y110)</f>
        <v>-2.6952787764973563E-2</v>
      </c>
    </row>
    <row r="123" spans="1:26" s="199" customFormat="1">
      <c r="C123" s="199" t="s">
        <v>320</v>
      </c>
      <c r="E123" s="200" t="b">
        <f>IF(E122&gt;1000%,TRUE)</f>
        <v>0</v>
      </c>
    </row>
    <row r="124" spans="1:26" s="199" customFormat="1">
      <c r="C124" s="199" t="s">
        <v>319</v>
      </c>
      <c r="E124" s="200" t="b">
        <f>ISERROR(E122)</f>
        <v>0</v>
      </c>
    </row>
    <row r="125" spans="1:26" s="199" customFormat="1">
      <c r="C125" s="199" t="s">
        <v>294</v>
      </c>
      <c r="E125" s="200" t="b">
        <f>IF(E124,TRUE,IF(E123,TRUE,FALSE))</f>
        <v>0</v>
      </c>
    </row>
    <row r="126" spans="1:26">
      <c r="C126" s="103" t="s">
        <v>280</v>
      </c>
      <c r="E126" s="200">
        <f>IF(E125,"NA",E122)</f>
        <v>-2.6952787764973563E-2</v>
      </c>
      <c r="F126" s="103" t="s">
        <v>281</v>
      </c>
    </row>
    <row r="128" spans="1:26" s="102" customFormat="1">
      <c r="A128" s="102" t="s">
        <v>314</v>
      </c>
    </row>
    <row r="130" spans="6:6">
      <c r="F130" s="11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1:Q16"/>
  <sheetViews>
    <sheetView workbookViewId="0">
      <selection activeCell="J21" sqref="J21"/>
    </sheetView>
  </sheetViews>
  <sheetFormatPr defaultRowHeight="14.25"/>
  <cols>
    <col min="5" max="13" width="12.19921875" bestFit="1" customWidth="1"/>
    <col min="14" max="24" width="13.296875" bestFit="1" customWidth="1"/>
  </cols>
  <sheetData>
    <row r="1" spans="3:17">
      <c r="P1" t="s">
        <v>291</v>
      </c>
      <c r="Q1" t="s">
        <v>290</v>
      </c>
    </row>
    <row r="2" spans="3:17">
      <c r="C2" t="s">
        <v>116</v>
      </c>
      <c r="E2" s="21" t="s">
        <v>142</v>
      </c>
      <c r="F2" s="21" t="s">
        <v>143</v>
      </c>
      <c r="G2" s="21" t="s">
        <v>144</v>
      </c>
      <c r="H2" s="21" t="s">
        <v>145</v>
      </c>
      <c r="I2" s="21" t="s">
        <v>146</v>
      </c>
      <c r="J2" s="21" t="s">
        <v>147</v>
      </c>
      <c r="K2" s="21" t="s">
        <v>148</v>
      </c>
      <c r="L2" s="21" t="s">
        <v>149</v>
      </c>
      <c r="M2" s="21" t="s">
        <v>150</v>
      </c>
      <c r="N2" s="21" t="s">
        <v>151</v>
      </c>
      <c r="O2" s="21"/>
    </row>
    <row r="3" spans="3:17">
      <c r="D3" t="s">
        <v>27</v>
      </c>
      <c r="E3" s="198">
        <f t="shared" ref="E3:N3" si="0">FinBaseRev</f>
        <v>2096305117.9889832</v>
      </c>
      <c r="F3" s="198">
        <f t="shared" si="0"/>
        <v>2112889324.9955125</v>
      </c>
      <c r="G3" s="198">
        <f t="shared" si="0"/>
        <v>2091387980.0145295</v>
      </c>
      <c r="H3" s="198">
        <f t="shared" si="0"/>
        <v>2035904531.8969917</v>
      </c>
      <c r="I3" s="198">
        <f t="shared" si="0"/>
        <v>1951318535.4161341</v>
      </c>
      <c r="J3" s="198">
        <f t="shared" si="0"/>
        <v>1842999047.4117804</v>
      </c>
      <c r="K3" s="198">
        <f t="shared" si="0"/>
        <v>1716522174.8038776</v>
      </c>
      <c r="L3" s="198">
        <f t="shared" si="0"/>
        <v>1577409231.4334083</v>
      </c>
      <c r="M3" s="198">
        <f t="shared" si="0"/>
        <v>1430898772.718884</v>
      </c>
      <c r="N3" s="198">
        <f t="shared" si="0"/>
        <v>1281761929.143038</v>
      </c>
      <c r="O3" s="21"/>
    </row>
    <row r="4" spans="3:17">
      <c r="D4" t="s">
        <v>326</v>
      </c>
      <c r="E4" s="198">
        <f t="shared" ref="E4:N4" si="1">-FinRoyalty</f>
        <v>-314445767.69834745</v>
      </c>
      <c r="F4" s="198">
        <f t="shared" si="1"/>
        <v>-316933398.74932688</v>
      </c>
      <c r="G4" s="198">
        <f t="shared" si="1"/>
        <v>-316150766.86033547</v>
      </c>
      <c r="H4" s="198">
        <f t="shared" si="1"/>
        <v>-307847573.20577204</v>
      </c>
      <c r="I4" s="198">
        <f t="shared" si="1"/>
        <v>-295134620.82664543</v>
      </c>
      <c r="J4" s="198">
        <f t="shared" si="1"/>
        <v>-277050393.30357361</v>
      </c>
      <c r="K4" s="198">
        <f t="shared" si="1"/>
        <v>-257478326.22058162</v>
      </c>
      <c r="L4" s="198">
        <f t="shared" si="1"/>
        <v>-236611384.71501124</v>
      </c>
      <c r="M4" s="198">
        <f t="shared" si="1"/>
        <v>-214634815.90783259</v>
      </c>
      <c r="N4" s="198">
        <f t="shared" si="1"/>
        <v>-192264289.3714557</v>
      </c>
      <c r="O4" s="21"/>
    </row>
    <row r="5" spans="3:17">
      <c r="D5" t="s">
        <v>103</v>
      </c>
      <c r="E5" s="198">
        <f t="shared" ref="E5:N5" si="2">-FinOpEx</f>
        <v>-628891535.3966949</v>
      </c>
      <c r="F5" s="198">
        <f t="shared" si="2"/>
        <v>-633866797.49865377</v>
      </c>
      <c r="G5" s="198">
        <f t="shared" si="2"/>
        <v>-637186673.43698323</v>
      </c>
      <c r="H5" s="198">
        <f t="shared" si="2"/>
        <v>-620618933.25399065</v>
      </c>
      <c r="I5" s="198">
        <f t="shared" si="2"/>
        <v>-595142922.68174148</v>
      </c>
      <c r="J5" s="198">
        <f t="shared" si="2"/>
        <v>-555301858.99076045</v>
      </c>
      <c r="K5" s="198">
        <f t="shared" si="2"/>
        <v>-514956652.4411633</v>
      </c>
      <c r="L5" s="198">
        <f t="shared" si="2"/>
        <v>-473222769.43002242</v>
      </c>
      <c r="M5" s="198">
        <f t="shared" si="2"/>
        <v>-429269631.81566519</v>
      </c>
      <c r="N5" s="198">
        <f t="shared" si="2"/>
        <v>-384528578.74291146</v>
      </c>
      <c r="O5" s="21"/>
    </row>
    <row r="6" spans="3:17">
      <c r="D6" t="s">
        <v>327</v>
      </c>
      <c r="E6" s="198">
        <f t="shared" ref="E6:N6" si="3">-FinTax</f>
        <v>-345890344.46818227</v>
      </c>
      <c r="F6" s="198">
        <f t="shared" si="3"/>
        <v>-348626738.62425947</v>
      </c>
      <c r="G6" s="198">
        <f t="shared" si="3"/>
        <v>-346300301.63147533</v>
      </c>
      <c r="H6" s="198">
        <f t="shared" si="3"/>
        <v>-337155194.47361523</v>
      </c>
      <c r="I6" s="198">
        <f t="shared" si="3"/>
        <v>-323185978.60077488</v>
      </c>
      <c r="J6" s="198">
        <f t="shared" si="3"/>
        <v>-304395110.91884708</v>
      </c>
      <c r="K6" s="198">
        <f t="shared" si="3"/>
        <v>-283226158.8426398</v>
      </c>
      <c r="L6" s="198">
        <f t="shared" si="3"/>
        <v>-260272523.18651235</v>
      </c>
      <c r="M6" s="198">
        <f t="shared" si="3"/>
        <v>-236098297.49861583</v>
      </c>
      <c r="N6" s="198">
        <f t="shared" si="3"/>
        <v>-211490718.30860126</v>
      </c>
      <c r="O6" s="21"/>
    </row>
    <row r="7" spans="3:17">
      <c r="D7" t="s">
        <v>328</v>
      </c>
      <c r="E7" s="198">
        <f t="shared" ref="E7:N7" si="4">-FinCapExClosing</f>
        <v>0</v>
      </c>
      <c r="F7" s="198">
        <f t="shared" si="4"/>
        <v>-10000000</v>
      </c>
      <c r="G7" s="198">
        <f t="shared" si="4"/>
        <v>0</v>
      </c>
      <c r="H7" s="198">
        <f t="shared" si="4"/>
        <v>0</v>
      </c>
      <c r="I7" s="198">
        <f t="shared" si="4"/>
        <v>0</v>
      </c>
      <c r="J7" s="198">
        <f t="shared" si="4"/>
        <v>0</v>
      </c>
      <c r="K7" s="198">
        <f t="shared" si="4"/>
        <v>0</v>
      </c>
      <c r="L7" s="198">
        <f t="shared" si="4"/>
        <v>0</v>
      </c>
      <c r="M7" s="198">
        <f t="shared" si="4"/>
        <v>0</v>
      </c>
      <c r="N7" s="198">
        <f t="shared" si="4"/>
        <v>0</v>
      </c>
      <c r="O7" s="21"/>
    </row>
    <row r="8" spans="3:17">
      <c r="D8" t="s">
        <v>230</v>
      </c>
      <c r="E8" s="198">
        <f t="shared" ref="E8:N8" si="5">FinWorkingCapDelta</f>
        <v>-1817447</v>
      </c>
      <c r="F8" s="198">
        <f t="shared" si="5"/>
        <v>-1817447</v>
      </c>
      <c r="G8" s="198">
        <f t="shared" si="5"/>
        <v>571786</v>
      </c>
      <c r="H8" s="198">
        <f t="shared" si="5"/>
        <v>6066260</v>
      </c>
      <c r="I8" s="198">
        <f t="shared" si="5"/>
        <v>9288002</v>
      </c>
      <c r="J8" s="198">
        <f t="shared" si="5"/>
        <v>13212221</v>
      </c>
      <c r="K8" s="198">
        <f t="shared" si="5"/>
        <v>14299227</v>
      </c>
      <c r="L8" s="198">
        <f t="shared" si="5"/>
        <v>15245254</v>
      </c>
      <c r="M8" s="198">
        <f t="shared" si="5"/>
        <v>16055941</v>
      </c>
      <c r="N8" s="198">
        <f t="shared" si="5"/>
        <v>16343764</v>
      </c>
      <c r="O8" s="21"/>
    </row>
    <row r="9" spans="3:17">
      <c r="D9" t="s">
        <v>329</v>
      </c>
      <c r="E9" s="198">
        <f t="shared" ref="E9:N9" si="6">FinCashFlow</f>
        <v>805260023.4257586</v>
      </c>
      <c r="F9" s="198">
        <f t="shared" si="6"/>
        <v>801644943.12327218</v>
      </c>
      <c r="G9" s="198">
        <f t="shared" si="6"/>
        <v>808605823.14010918</v>
      </c>
      <c r="H9" s="198">
        <f t="shared" si="6"/>
        <v>792761713.77176905</v>
      </c>
      <c r="I9" s="198">
        <f t="shared" si="6"/>
        <v>763388618.7351414</v>
      </c>
      <c r="J9" s="198">
        <f t="shared" si="6"/>
        <v>723467479.8106432</v>
      </c>
      <c r="K9" s="198">
        <f t="shared" si="6"/>
        <v>675160264.29949284</v>
      </c>
      <c r="L9" s="198">
        <f t="shared" si="6"/>
        <v>622547808.10186219</v>
      </c>
      <c r="M9" s="198">
        <f t="shared" si="6"/>
        <v>566951968.49677026</v>
      </c>
      <c r="N9" s="198">
        <f t="shared" si="6"/>
        <v>509822106.72006965</v>
      </c>
      <c r="O9" s="21"/>
    </row>
    <row r="10" spans="3:17"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</row>
    <row r="11" spans="3:17">
      <c r="C11" t="s">
        <v>178</v>
      </c>
      <c r="E11" s="21" t="s">
        <v>248</v>
      </c>
      <c r="F11" s="21" t="s">
        <v>248</v>
      </c>
      <c r="G11" s="21" t="s">
        <v>249</v>
      </c>
      <c r="H11" s="21" t="s">
        <v>249</v>
      </c>
      <c r="I11" s="21" t="s">
        <v>283</v>
      </c>
      <c r="J11" s="21" t="s">
        <v>284</v>
      </c>
      <c r="K11" s="21" t="s">
        <v>315</v>
      </c>
      <c r="L11" s="21" t="s">
        <v>316</v>
      </c>
      <c r="M11" s="21"/>
      <c r="N11" s="21"/>
      <c r="O11" s="21"/>
    </row>
    <row r="12" spans="3:17">
      <c r="D12" t="s">
        <v>117</v>
      </c>
      <c r="E12" s="197">
        <v>0.3</v>
      </c>
      <c r="F12" s="197">
        <f>F13*0.3</f>
        <v>75</v>
      </c>
      <c r="G12" s="197">
        <v>0.5</v>
      </c>
      <c r="H12" s="197">
        <f>H13*0.5</f>
        <v>125</v>
      </c>
      <c r="I12" s="197">
        <f>tlOutput_tlInputFinancials_K6/1000000</f>
        <v>26.436109649999999</v>
      </c>
      <c r="J12" s="197">
        <f>tlOutput_tlInputFinancials_L6/1000000</f>
        <v>26.436109649999999</v>
      </c>
      <c r="K12" s="197">
        <f>tlOutput_tlInputFinancials_M6/1000000</f>
        <v>26.436109649999999</v>
      </c>
      <c r="L12" s="197">
        <f>tlOutput_tlInputFinancials_N6/1000000</f>
        <v>26.436109649999999</v>
      </c>
      <c r="M12" s="21"/>
      <c r="N12" s="21"/>
      <c r="O12" s="21"/>
    </row>
    <row r="13" spans="3:17">
      <c r="D13" t="s">
        <v>118</v>
      </c>
      <c r="E13" s="197">
        <v>1</v>
      </c>
      <c r="F13" s="197">
        <v>250</v>
      </c>
      <c r="G13" s="197">
        <v>1</v>
      </c>
      <c r="H13" s="197">
        <v>250</v>
      </c>
      <c r="I13" s="197">
        <f>tlOutput_tlInputFinancials_K7/1000000</f>
        <v>55.555555560000002</v>
      </c>
      <c r="J13" s="197">
        <f>tlOutput_tlInputFinancials_L7/1000000</f>
        <v>55.555555560000002</v>
      </c>
      <c r="K13" s="197">
        <f>tlOutput_tlInputFinancials_M7/1000000</f>
        <v>55.555555560000002</v>
      </c>
      <c r="L13" s="197">
        <f>tlOutput_tlInputFinancials_N7/1000000</f>
        <v>55.555555560000002</v>
      </c>
      <c r="M13" s="21"/>
      <c r="N13" s="21"/>
      <c r="O13" s="21"/>
    </row>
    <row r="14" spans="3:17"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</row>
    <row r="15" spans="3:17"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</row>
    <row r="16" spans="3:17"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/>
  </sheetPr>
  <dimension ref="A1:P47"/>
  <sheetViews>
    <sheetView workbookViewId="0">
      <selection activeCell="E25" sqref="E25"/>
    </sheetView>
  </sheetViews>
  <sheetFormatPr defaultRowHeight="14.25"/>
  <cols>
    <col min="1" max="2" width="2.69921875" customWidth="1"/>
    <col min="3" max="3" width="24.69921875" customWidth="1"/>
    <col min="4" max="8" width="14.69921875" customWidth="1"/>
  </cols>
  <sheetData>
    <row r="1" spans="1:16" s="1" customFormat="1">
      <c r="A1" s="1" t="s">
        <v>58</v>
      </c>
    </row>
    <row r="2" spans="1:16" s="19" customFormat="1">
      <c r="C2" s="20"/>
      <c r="D2" s="20"/>
      <c r="E2" s="20"/>
      <c r="F2" s="20"/>
      <c r="G2" s="20"/>
      <c r="I2" s="20"/>
      <c r="J2" s="20"/>
      <c r="K2" s="20"/>
      <c r="L2" s="20"/>
      <c r="M2" s="20"/>
      <c r="N2" s="20"/>
      <c r="O2" s="20"/>
    </row>
    <row r="3" spans="1:16" s="19" customFormat="1">
      <c r="C3" s="19" t="s">
        <v>11</v>
      </c>
      <c r="E3" s="13" t="s">
        <v>4</v>
      </c>
      <c r="F3" s="13"/>
      <c r="G3" s="12"/>
      <c r="I3" s="12"/>
      <c r="J3" s="12"/>
      <c r="K3" s="12"/>
      <c r="L3" s="12"/>
      <c r="M3" s="12"/>
      <c r="N3" s="12"/>
      <c r="O3" s="12"/>
    </row>
    <row r="4" spans="1:16" s="5" customFormat="1"/>
    <row r="5" spans="1:16" s="2" customFormat="1">
      <c r="A5" s="6"/>
      <c r="C5" s="2" t="s">
        <v>10</v>
      </c>
      <c r="G5" s="3"/>
      <c r="H5" s="3"/>
      <c r="I5" s="3"/>
      <c r="J5" s="3"/>
      <c r="K5" s="3"/>
      <c r="L5" s="3"/>
      <c r="M5" s="3"/>
      <c r="N5" s="3"/>
      <c r="O5" s="3"/>
      <c r="P5" s="3"/>
    </row>
    <row r="6" spans="1:16" s="5" customFormat="1"/>
    <row r="7" spans="1:16" s="5" customFormat="1">
      <c r="D7" s="4" t="s">
        <v>9</v>
      </c>
      <c r="E7" s="4"/>
      <c r="F7" s="4"/>
      <c r="H7" s="18" t="s">
        <v>8</v>
      </c>
    </row>
    <row r="8" spans="1:16" s="5" customFormat="1">
      <c r="D8" s="7"/>
      <c r="E8" s="8" t="s">
        <v>1</v>
      </c>
      <c r="H8" s="9"/>
      <c r="I8" s="8" t="s">
        <v>2</v>
      </c>
    </row>
    <row r="9" spans="1:16" s="5" customFormat="1">
      <c r="D9" s="10"/>
      <c r="E9" s="8" t="s">
        <v>0</v>
      </c>
    </row>
    <row r="10" spans="1:16" s="5" customFormat="1">
      <c r="D10" s="11"/>
      <c r="E10" s="8" t="s">
        <v>3</v>
      </c>
    </row>
    <row r="11" spans="1:16" s="5" customFormat="1"/>
    <row r="12" spans="1:16" s="2" customFormat="1">
      <c r="A12" s="6"/>
      <c r="C12" s="2" t="s">
        <v>6</v>
      </c>
      <c r="G12" s="3"/>
      <c r="H12" s="3"/>
      <c r="I12" s="3"/>
      <c r="J12" s="3"/>
      <c r="K12" s="3"/>
      <c r="L12" s="3"/>
      <c r="M12" s="3"/>
      <c r="N12" s="3"/>
      <c r="O12" s="3"/>
      <c r="P12" s="3"/>
    </row>
    <row r="13" spans="1:16" s="14" customFormat="1">
      <c r="B13" s="15"/>
    </row>
    <row r="14" spans="1:16" s="14" customFormat="1">
      <c r="B14" s="15"/>
      <c r="D14" s="14" t="s">
        <v>57</v>
      </c>
      <c r="E14" s="49">
        <v>1</v>
      </c>
      <c r="F14" s="15" t="s">
        <v>56</v>
      </c>
      <c r="H14" s="17"/>
    </row>
    <row r="15" spans="1:16" s="5" customFormat="1"/>
    <row r="16" spans="1:16" s="2" customFormat="1">
      <c r="A16" s="6"/>
      <c r="C16" s="2" t="s">
        <v>55</v>
      </c>
      <c r="G16" s="3"/>
      <c r="H16" s="3"/>
      <c r="I16" s="3"/>
      <c r="J16" s="3"/>
      <c r="K16" s="3"/>
      <c r="L16" s="3"/>
      <c r="M16" s="3"/>
      <c r="N16" s="3"/>
      <c r="O16" s="3"/>
      <c r="P16" s="3"/>
    </row>
    <row r="18" spans="2:7">
      <c r="B18" s="4" t="s">
        <v>54</v>
      </c>
    </row>
    <row r="19" spans="2:7">
      <c r="D19" s="49">
        <v>1000000</v>
      </c>
      <c r="E19" s="21" t="s">
        <v>53</v>
      </c>
    </row>
    <row r="20" spans="2:7">
      <c r="E20" s="21"/>
    </row>
    <row r="21" spans="2:7">
      <c r="E21" s="21"/>
    </row>
    <row r="22" spans="2:7">
      <c r="E22" s="21"/>
    </row>
    <row r="23" spans="2:7">
      <c r="B23" s="4" t="s">
        <v>52</v>
      </c>
      <c r="E23" t="s">
        <v>51</v>
      </c>
      <c r="F23" t="s">
        <v>50</v>
      </c>
      <c r="G23" t="s">
        <v>49</v>
      </c>
    </row>
    <row r="24" spans="2:7">
      <c r="B24" s="4"/>
      <c r="C24" t="s">
        <v>48</v>
      </c>
      <c r="D24" s="48" t="str">
        <f>INDEX(E24:G24,glossaryLanguage)</f>
        <v>Chevron Financial Fluency Tool</v>
      </c>
      <c r="E24" s="47" t="s">
        <v>171</v>
      </c>
      <c r="F24" s="47"/>
      <c r="G24" s="47"/>
    </row>
    <row r="25" spans="2:7">
      <c r="B25" s="4"/>
      <c r="C25" t="s">
        <v>47</v>
      </c>
      <c r="D25" s="48" t="str">
        <f>INDEX(E25:G25,glossaryLanguage)</f>
        <v>Part One</v>
      </c>
      <c r="E25" s="47" t="s">
        <v>172</v>
      </c>
      <c r="F25" s="47"/>
      <c r="G25" s="47"/>
    </row>
    <row r="26" spans="2:7">
      <c r="C26" t="s">
        <v>46</v>
      </c>
      <c r="D26" s="48" t="str">
        <f>INDEX(E26:G26,glossaryLanguage)</f>
        <v>Team Name</v>
      </c>
      <c r="E26" s="47" t="s">
        <v>15</v>
      </c>
      <c r="F26" s="47"/>
      <c r="G26" s="47"/>
    </row>
    <row r="27" spans="2:7">
      <c r="C27" t="s">
        <v>45</v>
      </c>
      <c r="D27" s="48" t="str">
        <f>INDEX(E27:G27,glossaryLanguage)</f>
        <v>Team Number</v>
      </c>
      <c r="E27" s="47" t="s">
        <v>14</v>
      </c>
      <c r="F27" s="47"/>
      <c r="G27" s="47"/>
    </row>
    <row r="28" spans="2:7">
      <c r="C28" t="s">
        <v>44</v>
      </c>
      <c r="D28" s="48" t="str">
        <f>INDEX(E28:G28,glossaryLanguage)</f>
        <v>Round</v>
      </c>
      <c r="E28" s="47" t="s">
        <v>13</v>
      </c>
      <c r="F28" s="47"/>
      <c r="G28" s="47"/>
    </row>
    <row r="30" spans="2:7">
      <c r="C30" t="s">
        <v>43</v>
      </c>
      <c r="D30" s="48" t="str">
        <f>INDEX(E30:G30,glossaryLanguage)</f>
        <v>Mn</v>
      </c>
      <c r="E30" s="47" t="s">
        <v>42</v>
      </c>
      <c r="F30" s="47"/>
      <c r="G30" s="47"/>
    </row>
    <row r="32" spans="2:7">
      <c r="C32" t="s">
        <v>41</v>
      </c>
      <c r="D32" s="48" t="str">
        <f>INDEX(E32:G32,glossaryLanguage)</f>
        <v>Product 1</v>
      </c>
      <c r="E32" s="47" t="s">
        <v>20</v>
      </c>
      <c r="F32" s="47"/>
      <c r="G32" s="47"/>
    </row>
    <row r="33" spans="3:7">
      <c r="C33" t="s">
        <v>40</v>
      </c>
      <c r="D33" s="48" t="str">
        <f>INDEX(E33:G33,glossaryLanguage)</f>
        <v>Seg A</v>
      </c>
      <c r="E33" s="47" t="s">
        <v>39</v>
      </c>
      <c r="F33" s="47"/>
      <c r="G33" s="47"/>
    </row>
    <row r="34" spans="3:7">
      <c r="C34" t="s">
        <v>38</v>
      </c>
      <c r="D34" s="48" t="str">
        <f>INDEX(E34:G34,glossaryLanguage)</f>
        <v>Seg B</v>
      </c>
      <c r="E34" s="47" t="s">
        <v>37</v>
      </c>
      <c r="F34" s="47"/>
      <c r="G34" s="47"/>
    </row>
    <row r="35" spans="3:7">
      <c r="C35" t="s">
        <v>36</v>
      </c>
      <c r="D35" s="48" t="str">
        <f>INDEX(E35:G35,glossaryLanguage)</f>
        <v>Seg C</v>
      </c>
      <c r="E35" s="47" t="s">
        <v>35</v>
      </c>
      <c r="F35" s="47"/>
      <c r="G35" s="47"/>
    </row>
    <row r="37" spans="3:7">
      <c r="C37" t="s">
        <v>34</v>
      </c>
      <c r="D37" s="48" t="str">
        <f>INDEX(E37:G37,glossaryLanguage)</f>
        <v>Forecast</v>
      </c>
      <c r="E37" s="47" t="s">
        <v>33</v>
      </c>
      <c r="F37" s="47"/>
      <c r="G37" s="47"/>
    </row>
    <row r="38" spans="3:7">
      <c r="C38" t="s">
        <v>32</v>
      </c>
      <c r="D38" s="48" t="str">
        <f>INDEX(E38:G38,glossaryLanguage)</f>
        <v>Price</v>
      </c>
      <c r="E38" s="47" t="s">
        <v>19</v>
      </c>
      <c r="F38" s="47"/>
      <c r="G38" s="47"/>
    </row>
    <row r="39" spans="3:7">
      <c r="C39" t="s">
        <v>31</v>
      </c>
      <c r="D39" s="48" t="str">
        <f>INDEX(E39:G39,glossaryLanguage)</f>
        <v>Marketing</v>
      </c>
      <c r="E39" s="47" t="s">
        <v>30</v>
      </c>
      <c r="F39" s="47"/>
      <c r="G39" s="47"/>
    </row>
    <row r="41" spans="3:7">
      <c r="C41" t="s">
        <v>29</v>
      </c>
      <c r="D41" s="48" t="str">
        <f>INDEX(E41:G41,glossaryLanguage)</f>
        <v>Strategic Initiatives</v>
      </c>
      <c r="E41" s="47" t="s">
        <v>12</v>
      </c>
      <c r="F41" s="47"/>
      <c r="G41" s="47"/>
    </row>
    <row r="44" spans="3:7">
      <c r="C44" t="s">
        <v>28</v>
      </c>
      <c r="D44" s="48" t="str">
        <f>INDEX(E44:G44,glossaryLanguage)</f>
        <v>Revenue</v>
      </c>
      <c r="E44" s="47" t="s">
        <v>27</v>
      </c>
      <c r="F44" s="47"/>
      <c r="G44" s="47"/>
    </row>
    <row r="45" spans="3:7">
      <c r="C45" t="s">
        <v>26</v>
      </c>
      <c r="D45" s="48" t="str">
        <f>INDEX(E45:G45,glossaryLanguage)</f>
        <v>COGS</v>
      </c>
      <c r="E45" s="47" t="s">
        <v>25</v>
      </c>
      <c r="F45" s="47"/>
      <c r="G45" s="47"/>
    </row>
    <row r="46" spans="3:7">
      <c r="C46" t="s">
        <v>24</v>
      </c>
      <c r="D46" s="48" t="str">
        <f>INDEX(E46:G46,glossaryLanguage)</f>
        <v>Gross Profit</v>
      </c>
      <c r="E46" s="47" t="s">
        <v>23</v>
      </c>
      <c r="F46" s="47"/>
      <c r="G46" s="47"/>
    </row>
    <row r="47" spans="3:7">
      <c r="C47" t="s">
        <v>22</v>
      </c>
      <c r="D47" s="48" t="str">
        <f>INDEX(E47:G47,glossaryLanguage)</f>
        <v>Gross Margin</v>
      </c>
      <c r="E47" s="47" t="s">
        <v>21</v>
      </c>
      <c r="F47" s="47"/>
      <c r="G47" s="47"/>
    </row>
  </sheetData>
  <hyperlinks>
    <hyperlink ref="E3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597</vt:i4>
      </vt:variant>
    </vt:vector>
  </HeadingPairs>
  <TitlesOfParts>
    <vt:vector size="604" baseType="lpstr">
      <vt:lpstr>Dashboard</vt:lpstr>
      <vt:lpstr>tlIntro</vt:lpstr>
      <vt:lpstr>tlInputFinancials</vt:lpstr>
      <vt:lpstr>Calc</vt:lpstr>
      <vt:lpstr>Fin</vt:lpstr>
      <vt:lpstr>Graphs</vt:lpstr>
      <vt:lpstr>Glossary</vt:lpstr>
      <vt:lpstr>BaseCapEmp</vt:lpstr>
      <vt:lpstr>BaseDD_A</vt:lpstr>
      <vt:lpstr>BaseInv</vt:lpstr>
      <vt:lpstr>BaseOpEx</vt:lpstr>
      <vt:lpstr>BaseProdRate</vt:lpstr>
      <vt:lpstr>BaseRel</vt:lpstr>
      <vt:lpstr>BaseRes</vt:lpstr>
      <vt:lpstr>BaseRoyalty</vt:lpstr>
      <vt:lpstr>BaseTax</vt:lpstr>
      <vt:lpstr>CalcBUFin</vt:lpstr>
      <vt:lpstr>CalcCapExClosing</vt:lpstr>
      <vt:lpstr>CalcOpEx</vt:lpstr>
      <vt:lpstr>CalcOpExBBL</vt:lpstr>
      <vt:lpstr>CalcProdAdded</vt:lpstr>
      <vt:lpstr>CalcProdBase</vt:lpstr>
      <vt:lpstr>CalcProdClosing</vt:lpstr>
      <vt:lpstr>CalcProdProfile</vt:lpstr>
      <vt:lpstr>CalcProdProfileRef</vt:lpstr>
      <vt:lpstr>CalcProdRateAdded</vt:lpstr>
      <vt:lpstr>CalcProdRateClosing</vt:lpstr>
      <vt:lpstr>CalcProdRateOpening</vt:lpstr>
      <vt:lpstr>CalcProjFin</vt:lpstr>
      <vt:lpstr>CalcRefQuarter</vt:lpstr>
      <vt:lpstr>CalcResAddClosing</vt:lpstr>
      <vt:lpstr>CalcResAdded</vt:lpstr>
      <vt:lpstr>CalcResAddProd</vt:lpstr>
      <vt:lpstr>CalcResAddRem</vt:lpstr>
      <vt:lpstr>CalcResClosing</vt:lpstr>
      <vt:lpstr>CalcResOpening</vt:lpstr>
      <vt:lpstr>CalcResProduced</vt:lpstr>
      <vt:lpstr>CalcSched</vt:lpstr>
      <vt:lpstr>CalcSchedCapEx</vt:lpstr>
      <vt:lpstr>CalcWorkingCap</vt:lpstr>
      <vt:lpstr>CalcWorkingCapBase</vt:lpstr>
      <vt:lpstr>CalcWorkingCapPerc</vt:lpstr>
      <vt:lpstr>cnstMillion</vt:lpstr>
      <vt:lpstr>Compare</vt:lpstr>
      <vt:lpstr>DB_ArrayDash1Names</vt:lpstr>
      <vt:lpstr>DB_ArrayDash1Values</vt:lpstr>
      <vt:lpstr>DB_ArrayDash2Names</vt:lpstr>
      <vt:lpstr>DB_ArrayDash2Values</vt:lpstr>
      <vt:lpstr>DB_ArrayDash3Names</vt:lpstr>
      <vt:lpstr>DB_ArrayDash3Values</vt:lpstr>
      <vt:lpstr>DB_ArrayDash4Names</vt:lpstr>
      <vt:lpstr>DB_ArrayDash4Values</vt:lpstr>
      <vt:lpstr>DB_ArrayDash5Names</vt:lpstr>
      <vt:lpstr>DB_ArrayDash5Values</vt:lpstr>
      <vt:lpstr>DB_Dashboard1</vt:lpstr>
      <vt:lpstr>DB_Dashboard2</vt:lpstr>
      <vt:lpstr>DB_Dashboard3</vt:lpstr>
      <vt:lpstr>DB_Dashboard4</vt:lpstr>
      <vt:lpstr>DB_Dashboard5</vt:lpstr>
      <vt:lpstr>DB_LargeWhiteSpace</vt:lpstr>
      <vt:lpstr>DB_LargeWhiteSpaceLength</vt:lpstr>
      <vt:lpstr>DB_SubWhiteSpace</vt:lpstr>
      <vt:lpstr>DB_SubWhiteSpaceLength</vt:lpstr>
      <vt:lpstr>DB_WhiteSpace</vt:lpstr>
      <vt:lpstr>DB_WhiteSpaceLength</vt:lpstr>
      <vt:lpstr>FinBaseCapEmpClosing</vt:lpstr>
      <vt:lpstr>FinBaseCapEmpOpening</vt:lpstr>
      <vt:lpstr>FinBaseCapExClosing</vt:lpstr>
      <vt:lpstr>FinBaseCashFlow</vt:lpstr>
      <vt:lpstr>FinBaseCashMargin</vt:lpstr>
      <vt:lpstr>FinBaseDDAClosing</vt:lpstr>
      <vt:lpstr>FinBaseNetEarn</vt:lpstr>
      <vt:lpstr>FinBaseNetEarnBBL</vt:lpstr>
      <vt:lpstr>FinBaseOpEarn</vt:lpstr>
      <vt:lpstr>FinBaseOpEx</vt:lpstr>
      <vt:lpstr>FinBaseOpExBBL</vt:lpstr>
      <vt:lpstr>FinBaseProdAdded</vt:lpstr>
      <vt:lpstr>FinBaseProdBBL</vt:lpstr>
      <vt:lpstr>FinBaseProdClosing</vt:lpstr>
      <vt:lpstr>FinBaseProdOpening</vt:lpstr>
      <vt:lpstr>FinBaseResAdded</vt:lpstr>
      <vt:lpstr>FinBaseResClosing</vt:lpstr>
      <vt:lpstr>FinBaseResOpening</vt:lpstr>
      <vt:lpstr>FinBaseResProduced</vt:lpstr>
      <vt:lpstr>FinBaseRev</vt:lpstr>
      <vt:lpstr>FinBaseROCE</vt:lpstr>
      <vt:lpstr>FinBaseRoyalty</vt:lpstr>
      <vt:lpstr>FinBaseTax</vt:lpstr>
      <vt:lpstr>FinBaseWorkingCap</vt:lpstr>
      <vt:lpstr>FinBaseWorkingCapDelta</vt:lpstr>
      <vt:lpstr>FinCapEmpClosing</vt:lpstr>
      <vt:lpstr>FinCapEmpOpening</vt:lpstr>
      <vt:lpstr>FinCapExClosing</vt:lpstr>
      <vt:lpstr>FinCashFlow</vt:lpstr>
      <vt:lpstr>FinCashMargin</vt:lpstr>
      <vt:lpstr>FinCompare</vt:lpstr>
      <vt:lpstr>FinCopy</vt:lpstr>
      <vt:lpstr>FinDDAClosing</vt:lpstr>
      <vt:lpstr>finDeltaCapEx</vt:lpstr>
      <vt:lpstr>finDeltaCashFlow</vt:lpstr>
      <vt:lpstr>finDeltaCumCashFlow</vt:lpstr>
      <vt:lpstr>finDeltaDDA</vt:lpstr>
      <vt:lpstr>finDeltaNetEarn</vt:lpstr>
      <vt:lpstr>finDeltaNetEarnBBL</vt:lpstr>
      <vt:lpstr>finDeltaOpEx</vt:lpstr>
      <vt:lpstr>finDeltaPaybackYearMark</vt:lpstr>
      <vt:lpstr>finDeltaProd</vt:lpstr>
      <vt:lpstr>finDeltaProdBBL</vt:lpstr>
      <vt:lpstr>finDeltaRev</vt:lpstr>
      <vt:lpstr>finDeltaRoyalty</vt:lpstr>
      <vt:lpstr>finDeltaTaxRoyalty</vt:lpstr>
      <vt:lpstr>finDeltaWorkingCapDelta</vt:lpstr>
      <vt:lpstr>finEndRef</vt:lpstr>
      <vt:lpstr>finIRR</vt:lpstr>
      <vt:lpstr>FinNetEarn</vt:lpstr>
      <vt:lpstr>FinNetEarnBBL</vt:lpstr>
      <vt:lpstr>finNPV</vt:lpstr>
      <vt:lpstr>FinOpEarn</vt:lpstr>
      <vt:lpstr>FinOpEx</vt:lpstr>
      <vt:lpstr>FinOpExBBL</vt:lpstr>
      <vt:lpstr>FinPaste</vt:lpstr>
      <vt:lpstr>finPaybackFinal</vt:lpstr>
      <vt:lpstr>FinProdAdded</vt:lpstr>
      <vt:lpstr>FinProdBBL</vt:lpstr>
      <vt:lpstr>FinProdClosing</vt:lpstr>
      <vt:lpstr>FinProdOpening</vt:lpstr>
      <vt:lpstr>finPV</vt:lpstr>
      <vt:lpstr>finRefYear</vt:lpstr>
      <vt:lpstr>FinResAdded</vt:lpstr>
      <vt:lpstr>FinResClosing</vt:lpstr>
      <vt:lpstr>FinResOpening</vt:lpstr>
      <vt:lpstr>FinResProduced</vt:lpstr>
      <vt:lpstr>FinRev</vt:lpstr>
      <vt:lpstr>FinROCE</vt:lpstr>
      <vt:lpstr>FinRoyalty</vt:lpstr>
      <vt:lpstr>finStart2Ref</vt:lpstr>
      <vt:lpstr>finStart3Ref</vt:lpstr>
      <vt:lpstr>finStart3Reft</vt:lpstr>
      <vt:lpstr>finStartRef</vt:lpstr>
      <vt:lpstr>FinTax</vt:lpstr>
      <vt:lpstr>FinWorkingCap</vt:lpstr>
      <vt:lpstr>FinWorkingCapDelta</vt:lpstr>
      <vt:lpstr>glossaryLanguage</vt:lpstr>
      <vt:lpstr>GraphOutput</vt:lpstr>
      <vt:lpstr>LMS_FINISHED</vt:lpstr>
      <vt:lpstr>LMS_HIT</vt:lpstr>
      <vt:lpstr>LMS_NAME</vt:lpstr>
      <vt:lpstr>LMS_NICK_NAME</vt:lpstr>
      <vt:lpstr>LMS_OTHER_TEXT</vt:lpstr>
      <vt:lpstr>LMS_SCORE</vt:lpstr>
      <vt:lpstr>nmCOGS</vt:lpstr>
      <vt:lpstr>nmForecast</vt:lpstr>
      <vt:lpstr>nmGrossMargin</vt:lpstr>
      <vt:lpstr>nmGrossProfit</vt:lpstr>
      <vt:lpstr>nmInitiatives</vt:lpstr>
      <vt:lpstr>nmMarketing</vt:lpstr>
      <vt:lpstr>nmMillion</vt:lpstr>
      <vt:lpstr>nmPrice</vt:lpstr>
      <vt:lpstr>nmProd1</vt:lpstr>
      <vt:lpstr>nmProd1Seg1</vt:lpstr>
      <vt:lpstr>nmProd1Seg2</vt:lpstr>
      <vt:lpstr>nmProd1Seg3</vt:lpstr>
      <vt:lpstr>nmProgramSubtitle</vt:lpstr>
      <vt:lpstr>nmProgramTitle</vt:lpstr>
      <vt:lpstr>nmRevenue</vt:lpstr>
      <vt:lpstr>nmRound</vt:lpstr>
      <vt:lpstr>nmTeamName</vt:lpstr>
      <vt:lpstr>nmTeamNumber</vt:lpstr>
      <vt:lpstr>Screen</vt:lpstr>
      <vt:lpstr>tlInput_LMS_FINISHED</vt:lpstr>
      <vt:lpstr>tlInputCapEx</vt:lpstr>
      <vt:lpstr>tlInputNetback</vt:lpstr>
      <vt:lpstr>tlInputOpEx</vt:lpstr>
      <vt:lpstr>tlInputProd</vt:lpstr>
      <vt:lpstr>tlInputRel</vt:lpstr>
      <vt:lpstr>tlInputRes</vt:lpstr>
      <vt:lpstr>tlInputSched</vt:lpstr>
      <vt:lpstr>tlInputWorkingCap</vt:lpstr>
      <vt:lpstr>tlOutput_Graphs_E13</vt:lpstr>
      <vt:lpstr>tlOutput_Graphs_E14</vt:lpstr>
      <vt:lpstr>tlOutput_Graphs_E3</vt:lpstr>
      <vt:lpstr>tlOutput_Graphs_E4</vt:lpstr>
      <vt:lpstr>tlOutput_Graphs_E5</vt:lpstr>
      <vt:lpstr>tlOutput_Graphs_E6</vt:lpstr>
      <vt:lpstr>tlOutput_Graphs_E7</vt:lpstr>
      <vt:lpstr>tlOutput_Graphs_E8</vt:lpstr>
      <vt:lpstr>tlOutput_Graphs_E9</vt:lpstr>
      <vt:lpstr>tlOutput_Graphs_F13</vt:lpstr>
      <vt:lpstr>tlOutput_Graphs_F14</vt:lpstr>
      <vt:lpstr>tlOutput_Graphs_F3</vt:lpstr>
      <vt:lpstr>tlOutput_Graphs_F4</vt:lpstr>
      <vt:lpstr>tlOutput_Graphs_F5</vt:lpstr>
      <vt:lpstr>tlOutput_Graphs_F6</vt:lpstr>
      <vt:lpstr>tlOutput_Graphs_F7</vt:lpstr>
      <vt:lpstr>tlOutput_Graphs_F8</vt:lpstr>
      <vt:lpstr>tlOutput_Graphs_F9</vt:lpstr>
      <vt:lpstr>tlOutput_Graphs_G13</vt:lpstr>
      <vt:lpstr>tlOutput_Graphs_G14</vt:lpstr>
      <vt:lpstr>tlOutput_Graphs_G3</vt:lpstr>
      <vt:lpstr>tlOutput_Graphs_G4</vt:lpstr>
      <vt:lpstr>tlOutput_Graphs_G5</vt:lpstr>
      <vt:lpstr>tlOutput_Graphs_G6</vt:lpstr>
      <vt:lpstr>tlOutput_Graphs_G7</vt:lpstr>
      <vt:lpstr>tlOutput_Graphs_G8</vt:lpstr>
      <vt:lpstr>tlOutput_Graphs_G9</vt:lpstr>
      <vt:lpstr>tlOutput_Graphs_H13</vt:lpstr>
      <vt:lpstr>tlOutput_Graphs_H14</vt:lpstr>
      <vt:lpstr>tlOutput_Graphs_H3</vt:lpstr>
      <vt:lpstr>tlOutput_Graphs_H4</vt:lpstr>
      <vt:lpstr>tlOutput_Graphs_H5</vt:lpstr>
      <vt:lpstr>tlOutput_Graphs_H6</vt:lpstr>
      <vt:lpstr>tlOutput_Graphs_H7</vt:lpstr>
      <vt:lpstr>tlOutput_Graphs_H8</vt:lpstr>
      <vt:lpstr>tlOutput_Graphs_H9</vt:lpstr>
      <vt:lpstr>tlOutput_Graphs_I13</vt:lpstr>
      <vt:lpstr>tlOutput_Graphs_I14</vt:lpstr>
      <vt:lpstr>tlOutput_Graphs_I3</vt:lpstr>
      <vt:lpstr>tlOutput_Graphs_I4</vt:lpstr>
      <vt:lpstr>tlOutput_Graphs_I5</vt:lpstr>
      <vt:lpstr>tlOutput_Graphs_I6</vt:lpstr>
      <vt:lpstr>tlOutput_Graphs_I7</vt:lpstr>
      <vt:lpstr>tlOutput_Graphs_I8</vt:lpstr>
      <vt:lpstr>tlOutput_Graphs_I9</vt:lpstr>
      <vt:lpstr>tlOutput_Graphs_J13</vt:lpstr>
      <vt:lpstr>tlOutput_Graphs_J14</vt:lpstr>
      <vt:lpstr>tlOutput_Graphs_J3</vt:lpstr>
      <vt:lpstr>tlOutput_Graphs_J4</vt:lpstr>
      <vt:lpstr>tlOutput_Graphs_J5</vt:lpstr>
      <vt:lpstr>tlOutput_Graphs_J6</vt:lpstr>
      <vt:lpstr>tlOutput_Graphs_J7</vt:lpstr>
      <vt:lpstr>tlOutput_Graphs_J8</vt:lpstr>
      <vt:lpstr>tlOutput_Graphs_J9</vt:lpstr>
      <vt:lpstr>tlOutput_Graphs_K13</vt:lpstr>
      <vt:lpstr>tlOutput_Graphs_K14</vt:lpstr>
      <vt:lpstr>tlOutput_Graphs_K3</vt:lpstr>
      <vt:lpstr>tlOutput_Graphs_K4</vt:lpstr>
      <vt:lpstr>tlOutput_Graphs_K5</vt:lpstr>
      <vt:lpstr>tlOutput_Graphs_K6</vt:lpstr>
      <vt:lpstr>tlOutput_Graphs_K7</vt:lpstr>
      <vt:lpstr>tlOutput_Graphs_K8</vt:lpstr>
      <vt:lpstr>tlOutput_Graphs_K9</vt:lpstr>
      <vt:lpstr>tlOutput_Graphs_L13</vt:lpstr>
      <vt:lpstr>tlOutput_Graphs_L14</vt:lpstr>
      <vt:lpstr>tlOutput_Graphs_L3</vt:lpstr>
      <vt:lpstr>tlOutput_Graphs_L4</vt:lpstr>
      <vt:lpstr>tlOutput_Graphs_L5</vt:lpstr>
      <vt:lpstr>tlOutput_Graphs_L6</vt:lpstr>
      <vt:lpstr>tlOutput_Graphs_L7</vt:lpstr>
      <vt:lpstr>tlOutput_Graphs_L8</vt:lpstr>
      <vt:lpstr>tlOutput_Graphs_L9</vt:lpstr>
      <vt:lpstr>tlOutput_Graphs_M3</vt:lpstr>
      <vt:lpstr>tlOutput_Graphs_M4</vt:lpstr>
      <vt:lpstr>tlOutput_Graphs_M5</vt:lpstr>
      <vt:lpstr>tlOutput_Graphs_M6</vt:lpstr>
      <vt:lpstr>tlOutput_Graphs_M7</vt:lpstr>
      <vt:lpstr>tlOutput_Graphs_M8</vt:lpstr>
      <vt:lpstr>tlOutput_Graphs_M9</vt:lpstr>
      <vt:lpstr>tlOutput_Graphs_N3</vt:lpstr>
      <vt:lpstr>tlOutput_Graphs_N4</vt:lpstr>
      <vt:lpstr>tlOutput_Graphs_N5</vt:lpstr>
      <vt:lpstr>tlOutput_Graphs_N6</vt:lpstr>
      <vt:lpstr>tlOutput_Graphs_N7</vt:lpstr>
      <vt:lpstr>tlOutput_Graphs_N8</vt:lpstr>
      <vt:lpstr>tlOutput_Graphs_N9</vt:lpstr>
      <vt:lpstr>tlOutput_tlInputFinancials_AA52</vt:lpstr>
      <vt:lpstr>tlOutput_tlInputFinancials_AA53</vt:lpstr>
      <vt:lpstr>tlOutput_tlInputFinancials_AA55</vt:lpstr>
      <vt:lpstr>tlOutput_tlInputFinancials_AA56</vt:lpstr>
      <vt:lpstr>tlOutput_tlInputFinancials_AA57</vt:lpstr>
      <vt:lpstr>tlOutput_tlInputFinancials_AA58</vt:lpstr>
      <vt:lpstr>tlOutput_tlInputFinancials_AA60</vt:lpstr>
      <vt:lpstr>tlOutput_tlInputFinancials_AA61</vt:lpstr>
      <vt:lpstr>tlOutput_tlInputFinancials_AA68</vt:lpstr>
      <vt:lpstr>tlOutput_tlInputFinancials_AA69</vt:lpstr>
      <vt:lpstr>tlOutput_tlInputFinancials_AA70</vt:lpstr>
      <vt:lpstr>tlOutput_tlInputFinancials_AA71</vt:lpstr>
      <vt:lpstr>tlOutput_tlInputFinancials_AA72</vt:lpstr>
      <vt:lpstr>tlOutput_tlInputFinancials_AA73</vt:lpstr>
      <vt:lpstr>tlOutput_tlInputFinancials_AA75</vt:lpstr>
      <vt:lpstr>tlOutput_tlInputFinancials_AA76</vt:lpstr>
      <vt:lpstr>tlOutput_tlInputFinancials_AA77</vt:lpstr>
      <vt:lpstr>tlOutput_tlInputFinancials_AC52</vt:lpstr>
      <vt:lpstr>tlOutput_tlInputFinancials_AC53</vt:lpstr>
      <vt:lpstr>tlOutput_tlInputFinancials_AC55</vt:lpstr>
      <vt:lpstr>tlOutput_tlInputFinancials_AC56</vt:lpstr>
      <vt:lpstr>tlOutput_tlInputFinancials_AC57</vt:lpstr>
      <vt:lpstr>tlOutput_tlInputFinancials_AC58</vt:lpstr>
      <vt:lpstr>tlOutput_tlInputFinancials_AC60</vt:lpstr>
      <vt:lpstr>tlOutput_tlInputFinancials_AC61</vt:lpstr>
      <vt:lpstr>tlOutput_tlInputFinancials_AC68</vt:lpstr>
      <vt:lpstr>tlOutput_tlInputFinancials_AC69</vt:lpstr>
      <vt:lpstr>tlOutput_tlInputFinancials_AC70</vt:lpstr>
      <vt:lpstr>tlOutput_tlInputFinancials_AC71</vt:lpstr>
      <vt:lpstr>tlOutput_tlInputFinancials_AC72</vt:lpstr>
      <vt:lpstr>tlOutput_tlInputFinancials_AC73</vt:lpstr>
      <vt:lpstr>tlOutput_tlInputFinancials_AC75</vt:lpstr>
      <vt:lpstr>tlOutput_tlInputFinancials_AC76</vt:lpstr>
      <vt:lpstr>tlOutput_tlInputFinancials_AC77</vt:lpstr>
      <vt:lpstr>tlOutput_tlInputFinancials_AD52</vt:lpstr>
      <vt:lpstr>tlOutput_tlInputFinancials_AD53</vt:lpstr>
      <vt:lpstr>tlOutput_tlInputFinancials_AD55</vt:lpstr>
      <vt:lpstr>tlOutput_tlInputFinancials_AD56</vt:lpstr>
      <vt:lpstr>tlOutput_tlInputFinancials_AD57</vt:lpstr>
      <vt:lpstr>tlOutput_tlInputFinancials_AD58</vt:lpstr>
      <vt:lpstr>tlOutput_tlInputFinancials_AD60</vt:lpstr>
      <vt:lpstr>tlOutput_tlInputFinancials_AD61</vt:lpstr>
      <vt:lpstr>tlOutput_tlInputFinancials_AD68</vt:lpstr>
      <vt:lpstr>tlOutput_tlInputFinancials_AD69</vt:lpstr>
      <vt:lpstr>tlOutput_tlInputFinancials_AD70</vt:lpstr>
      <vt:lpstr>tlOutput_tlInputFinancials_AD71</vt:lpstr>
      <vt:lpstr>tlOutput_tlInputFinancials_AD72</vt:lpstr>
      <vt:lpstr>tlOutput_tlInputFinancials_AD73</vt:lpstr>
      <vt:lpstr>tlOutput_tlInputFinancials_AD75</vt:lpstr>
      <vt:lpstr>tlOutput_tlInputFinancials_AD76</vt:lpstr>
      <vt:lpstr>tlOutput_tlInputFinancials_AD77</vt:lpstr>
      <vt:lpstr>tlOutput_tlInputFinancials_AE52</vt:lpstr>
      <vt:lpstr>tlOutput_tlInputFinancials_AE53</vt:lpstr>
      <vt:lpstr>tlOutput_tlInputFinancials_AE55</vt:lpstr>
      <vt:lpstr>tlOutput_tlInputFinancials_AE56</vt:lpstr>
      <vt:lpstr>tlOutput_tlInputFinancials_AE57</vt:lpstr>
      <vt:lpstr>tlOutput_tlInputFinancials_AE58</vt:lpstr>
      <vt:lpstr>tlOutput_tlInputFinancials_AE60</vt:lpstr>
      <vt:lpstr>tlOutput_tlInputFinancials_AE61</vt:lpstr>
      <vt:lpstr>tlOutput_tlInputFinancials_AE68</vt:lpstr>
      <vt:lpstr>tlOutput_tlInputFinancials_AE69</vt:lpstr>
      <vt:lpstr>tlOutput_tlInputFinancials_AE70</vt:lpstr>
      <vt:lpstr>tlOutput_tlInputFinancials_AE71</vt:lpstr>
      <vt:lpstr>tlOutput_tlInputFinancials_AE72</vt:lpstr>
      <vt:lpstr>tlOutput_tlInputFinancials_AE73</vt:lpstr>
      <vt:lpstr>tlOutput_tlInputFinancials_AE75</vt:lpstr>
      <vt:lpstr>tlOutput_tlInputFinancials_AE76</vt:lpstr>
      <vt:lpstr>tlOutput_tlInputFinancials_AE77</vt:lpstr>
      <vt:lpstr>tlOutput_tlInputFinancials_AG52</vt:lpstr>
      <vt:lpstr>tlOutput_tlInputFinancials_AG53</vt:lpstr>
      <vt:lpstr>tlOutput_tlInputFinancials_AG55</vt:lpstr>
      <vt:lpstr>tlOutput_tlInputFinancials_AG56</vt:lpstr>
      <vt:lpstr>tlOutput_tlInputFinancials_AG57</vt:lpstr>
      <vt:lpstr>tlOutput_tlInputFinancials_AG58</vt:lpstr>
      <vt:lpstr>tlOutput_tlInputFinancials_AG60</vt:lpstr>
      <vt:lpstr>tlOutput_tlInputFinancials_AG61</vt:lpstr>
      <vt:lpstr>tlOutput_tlInputFinancials_AG68</vt:lpstr>
      <vt:lpstr>tlOutput_tlInputFinancials_AG69</vt:lpstr>
      <vt:lpstr>tlOutput_tlInputFinancials_AG70</vt:lpstr>
      <vt:lpstr>tlOutput_tlInputFinancials_AG71</vt:lpstr>
      <vt:lpstr>tlOutput_tlInputFinancials_AG72</vt:lpstr>
      <vt:lpstr>tlOutput_tlInputFinancials_AG73</vt:lpstr>
      <vt:lpstr>tlOutput_tlInputFinancials_AG75</vt:lpstr>
      <vt:lpstr>tlOutput_tlInputFinancials_AG76</vt:lpstr>
      <vt:lpstr>tlOutput_tlInputFinancials_AG77</vt:lpstr>
      <vt:lpstr>tlOutput_tlInputFinancials_AH52</vt:lpstr>
      <vt:lpstr>tlOutput_tlInputFinancials_AH53</vt:lpstr>
      <vt:lpstr>tlOutput_tlInputFinancials_AH55</vt:lpstr>
      <vt:lpstr>tlOutput_tlInputFinancials_AH56</vt:lpstr>
      <vt:lpstr>tlOutput_tlInputFinancials_AH57</vt:lpstr>
      <vt:lpstr>tlOutput_tlInputFinancials_AH58</vt:lpstr>
      <vt:lpstr>tlOutput_tlInputFinancials_AH60</vt:lpstr>
      <vt:lpstr>tlOutput_tlInputFinancials_AH61</vt:lpstr>
      <vt:lpstr>tlOutput_tlInputFinancials_AH68</vt:lpstr>
      <vt:lpstr>tlOutput_tlInputFinancials_AH69</vt:lpstr>
      <vt:lpstr>tlOutput_tlInputFinancials_AH70</vt:lpstr>
      <vt:lpstr>tlOutput_tlInputFinancials_AH71</vt:lpstr>
      <vt:lpstr>tlOutput_tlInputFinancials_AH72</vt:lpstr>
      <vt:lpstr>tlOutput_tlInputFinancials_AH73</vt:lpstr>
      <vt:lpstr>tlOutput_tlInputFinancials_AH75</vt:lpstr>
      <vt:lpstr>tlOutput_tlInputFinancials_AH76</vt:lpstr>
      <vt:lpstr>tlOutput_tlInputFinancials_AH77</vt:lpstr>
      <vt:lpstr>tlOutput_tlInputFinancials_E23</vt:lpstr>
      <vt:lpstr>tlOutput_tlInputFinancials_E24</vt:lpstr>
      <vt:lpstr>tlOutput_tlInputFinancials_E26</vt:lpstr>
      <vt:lpstr>tlOutput_tlInputFinancials_E27</vt:lpstr>
      <vt:lpstr>tlOutput_tlInputFinancials_E28</vt:lpstr>
      <vt:lpstr>tlOutput_tlInputFinancials_E29</vt:lpstr>
      <vt:lpstr>tlOutput_tlInputFinancials_E30</vt:lpstr>
      <vt:lpstr>tlOutput_tlInputFinancials_E31</vt:lpstr>
      <vt:lpstr>tlOutput_tlInputFinancials_E32</vt:lpstr>
      <vt:lpstr>tlOutput_tlInputFinancials_E39</vt:lpstr>
      <vt:lpstr>tlOutput_tlInputFinancials_E40</vt:lpstr>
      <vt:lpstr>tlOutput_tlInputFinancials_E41</vt:lpstr>
      <vt:lpstr>tlOutput_tlInputFinancials_E42</vt:lpstr>
      <vt:lpstr>tlOutput_tlInputFinancials_E43</vt:lpstr>
      <vt:lpstr>tlOutput_tlInputFinancials_E51</vt:lpstr>
      <vt:lpstr>tlOutput_tlInputFinancials_E52</vt:lpstr>
      <vt:lpstr>tlOutput_tlInputFinancials_E54</vt:lpstr>
      <vt:lpstr>tlOutput_tlInputFinancials_E55</vt:lpstr>
      <vt:lpstr>tlOutput_tlInputFinancials_E56</vt:lpstr>
      <vt:lpstr>tlOutput_tlInputFinancials_E57</vt:lpstr>
      <vt:lpstr>tlOutput_tlInputFinancials_E59</vt:lpstr>
      <vt:lpstr>tlOutput_tlInputFinancials_E60</vt:lpstr>
      <vt:lpstr>tlOutput_tlInputFinancials_E67</vt:lpstr>
      <vt:lpstr>tlOutput_tlInputFinancials_E68</vt:lpstr>
      <vt:lpstr>tlOutput_tlInputFinancials_E69</vt:lpstr>
      <vt:lpstr>tlOutput_tlInputFinancials_E70</vt:lpstr>
      <vt:lpstr>tlOutput_tlInputFinancials_E71</vt:lpstr>
      <vt:lpstr>tlOutput_tlInputFinancials_E72</vt:lpstr>
      <vt:lpstr>tlOutput_tlInputFinancials_E74</vt:lpstr>
      <vt:lpstr>tlOutput_tlInputFinancials_E75</vt:lpstr>
      <vt:lpstr>tlOutput_tlInputFinancials_G23</vt:lpstr>
      <vt:lpstr>tlOutput_tlInputFinancials_G24</vt:lpstr>
      <vt:lpstr>tlOutput_tlInputFinancials_G26</vt:lpstr>
      <vt:lpstr>tlOutput_tlInputFinancials_G27</vt:lpstr>
      <vt:lpstr>tlOutput_tlInputFinancials_G28</vt:lpstr>
      <vt:lpstr>tlOutput_tlInputFinancials_G29</vt:lpstr>
      <vt:lpstr>tlOutput_tlInputFinancials_G30</vt:lpstr>
      <vt:lpstr>tlOutput_tlInputFinancials_G31</vt:lpstr>
      <vt:lpstr>tlOutput_tlInputFinancials_G32</vt:lpstr>
      <vt:lpstr>tlOutput_tlInputFinancials_G39</vt:lpstr>
      <vt:lpstr>tlOutput_tlInputFinancials_G40</vt:lpstr>
      <vt:lpstr>tlOutput_tlInputFinancials_G41</vt:lpstr>
      <vt:lpstr>tlOutput_tlInputFinancials_G42</vt:lpstr>
      <vt:lpstr>tlOutput_tlInputFinancials_G43</vt:lpstr>
      <vt:lpstr>tlOutput_tlInputFinancials_G51</vt:lpstr>
      <vt:lpstr>tlOutput_tlInputFinancials_G52</vt:lpstr>
      <vt:lpstr>tlOutput_tlInputFinancials_G54</vt:lpstr>
      <vt:lpstr>tlOutput_tlInputFinancials_G55</vt:lpstr>
      <vt:lpstr>tlOutput_tlInputFinancials_G56</vt:lpstr>
      <vt:lpstr>tlOutput_tlInputFinancials_G57</vt:lpstr>
      <vt:lpstr>tlOutput_tlInputFinancials_G59</vt:lpstr>
      <vt:lpstr>tlOutput_tlInputFinancials_G60</vt:lpstr>
      <vt:lpstr>tlOutput_tlInputFinancials_G67</vt:lpstr>
      <vt:lpstr>tlOutput_tlInputFinancials_G68</vt:lpstr>
      <vt:lpstr>tlOutput_tlInputFinancials_G69</vt:lpstr>
      <vt:lpstr>tlOutput_tlInputFinancials_G70</vt:lpstr>
      <vt:lpstr>tlOutput_tlInputFinancials_G71</vt:lpstr>
      <vt:lpstr>tlOutput_tlInputFinancials_G72</vt:lpstr>
      <vt:lpstr>tlOutput_tlInputFinancials_G74</vt:lpstr>
      <vt:lpstr>tlOutput_tlInputFinancials_G75</vt:lpstr>
      <vt:lpstr>tlOutput_tlInputFinancials_H23</vt:lpstr>
      <vt:lpstr>tlOutput_tlInputFinancials_H24</vt:lpstr>
      <vt:lpstr>tlOutput_tlInputFinancials_H26</vt:lpstr>
      <vt:lpstr>tlOutput_tlInputFinancials_H27</vt:lpstr>
      <vt:lpstr>tlOutput_tlInputFinancials_H28</vt:lpstr>
      <vt:lpstr>tlOutput_tlInputFinancials_H29</vt:lpstr>
      <vt:lpstr>tlOutput_tlInputFinancials_H30</vt:lpstr>
      <vt:lpstr>tlOutput_tlInputFinancials_H31</vt:lpstr>
      <vt:lpstr>tlOutput_tlInputFinancials_H32</vt:lpstr>
      <vt:lpstr>tlOutput_tlInputFinancials_H39</vt:lpstr>
      <vt:lpstr>tlOutput_tlInputFinancials_H40</vt:lpstr>
      <vt:lpstr>tlOutput_tlInputFinancials_H41</vt:lpstr>
      <vt:lpstr>tlOutput_tlInputFinancials_H42</vt:lpstr>
      <vt:lpstr>tlOutput_tlInputFinancials_H43</vt:lpstr>
      <vt:lpstr>tlOutput_tlInputFinancials_H51</vt:lpstr>
      <vt:lpstr>tlOutput_tlInputFinancials_H52</vt:lpstr>
      <vt:lpstr>tlOutput_tlInputFinancials_H54</vt:lpstr>
      <vt:lpstr>tlOutput_tlInputFinancials_H55</vt:lpstr>
      <vt:lpstr>tlOutput_tlInputFinancials_H56</vt:lpstr>
      <vt:lpstr>tlOutput_tlInputFinancials_H57</vt:lpstr>
      <vt:lpstr>tlOutput_tlInputFinancials_H59</vt:lpstr>
      <vt:lpstr>tlOutput_tlInputFinancials_H60</vt:lpstr>
      <vt:lpstr>tlOutput_tlInputFinancials_H67</vt:lpstr>
      <vt:lpstr>tlOutput_tlInputFinancials_H68</vt:lpstr>
      <vt:lpstr>tlOutput_tlInputFinancials_H69</vt:lpstr>
      <vt:lpstr>tlOutput_tlInputFinancials_H70</vt:lpstr>
      <vt:lpstr>tlOutput_tlInputFinancials_H71</vt:lpstr>
      <vt:lpstr>tlOutput_tlInputFinancials_H72</vt:lpstr>
      <vt:lpstr>tlOutput_tlInputFinancials_H74</vt:lpstr>
      <vt:lpstr>tlOutput_tlInputFinancials_H75</vt:lpstr>
      <vt:lpstr>tlOutput_tlInputFinancials_I23</vt:lpstr>
      <vt:lpstr>tlOutput_tlInputFinancials_I24</vt:lpstr>
      <vt:lpstr>tlOutput_tlInputFinancials_I26</vt:lpstr>
      <vt:lpstr>tlOutput_tlInputFinancials_I27</vt:lpstr>
      <vt:lpstr>tlOutput_tlInputFinancials_I28</vt:lpstr>
      <vt:lpstr>tlOutput_tlInputFinancials_I29</vt:lpstr>
      <vt:lpstr>tlOutput_tlInputFinancials_I30</vt:lpstr>
      <vt:lpstr>tlOutput_tlInputFinancials_I31</vt:lpstr>
      <vt:lpstr>tlOutput_tlInputFinancials_I32</vt:lpstr>
      <vt:lpstr>tlOutput_tlInputFinancials_I39</vt:lpstr>
      <vt:lpstr>tlOutput_tlInputFinancials_I40</vt:lpstr>
      <vt:lpstr>tlOutput_tlInputFinancials_I41</vt:lpstr>
      <vt:lpstr>tlOutput_tlInputFinancials_I42</vt:lpstr>
      <vt:lpstr>tlOutput_tlInputFinancials_I43</vt:lpstr>
      <vt:lpstr>tlOutput_tlInputFinancials_I51</vt:lpstr>
      <vt:lpstr>tlOutput_tlInputFinancials_I52</vt:lpstr>
      <vt:lpstr>tlOutput_tlInputFinancials_I54</vt:lpstr>
      <vt:lpstr>tlOutput_tlInputFinancials_I55</vt:lpstr>
      <vt:lpstr>tlOutput_tlInputFinancials_I56</vt:lpstr>
      <vt:lpstr>tlOutput_tlInputFinancials_I57</vt:lpstr>
      <vt:lpstr>tlOutput_tlInputFinancials_I59</vt:lpstr>
      <vt:lpstr>tlOutput_tlInputFinancials_I60</vt:lpstr>
      <vt:lpstr>tlOutput_tlInputFinancials_I67</vt:lpstr>
      <vt:lpstr>tlOutput_tlInputFinancials_I68</vt:lpstr>
      <vt:lpstr>tlOutput_tlInputFinancials_I69</vt:lpstr>
      <vt:lpstr>tlOutput_tlInputFinancials_I70</vt:lpstr>
      <vt:lpstr>tlOutput_tlInputFinancials_I71</vt:lpstr>
      <vt:lpstr>tlOutput_tlInputFinancials_I72</vt:lpstr>
      <vt:lpstr>tlOutput_tlInputFinancials_I74</vt:lpstr>
      <vt:lpstr>tlOutput_tlInputFinancials_I75</vt:lpstr>
      <vt:lpstr>tlOutput_tlInputFinancials_K11</vt:lpstr>
      <vt:lpstr>tlOutput_tlInputFinancials_K12</vt:lpstr>
      <vt:lpstr>tlOutput_tlInputFinancials_K13</vt:lpstr>
      <vt:lpstr>tlOutput_tlInputFinancials_K14</vt:lpstr>
      <vt:lpstr>tlOutput_tlInputFinancials_K15</vt:lpstr>
      <vt:lpstr>tlOutput_tlInputFinancials_K23</vt:lpstr>
      <vt:lpstr>tlOutput_tlInputFinancials_K24</vt:lpstr>
      <vt:lpstr>tlOutput_tlInputFinancials_K26</vt:lpstr>
      <vt:lpstr>tlOutput_tlInputFinancials_K27</vt:lpstr>
      <vt:lpstr>tlOutput_tlInputFinancials_K28</vt:lpstr>
      <vt:lpstr>tlOutput_tlInputFinancials_K29</vt:lpstr>
      <vt:lpstr>tlOutput_tlInputFinancials_K30</vt:lpstr>
      <vt:lpstr>tlOutput_tlInputFinancials_K31</vt:lpstr>
      <vt:lpstr>tlOutput_tlInputFinancials_K32</vt:lpstr>
      <vt:lpstr>tlOutput_tlInputFinancials_K39</vt:lpstr>
      <vt:lpstr>tlOutput_tlInputFinancials_K40</vt:lpstr>
      <vt:lpstr>tlOutput_tlInputFinancials_K41</vt:lpstr>
      <vt:lpstr>tlOutput_tlInputFinancials_K42</vt:lpstr>
      <vt:lpstr>tlOutput_tlInputFinancials_K43</vt:lpstr>
      <vt:lpstr>tlOutput_tlInputFinancials_K51</vt:lpstr>
      <vt:lpstr>tlOutput_tlInputFinancials_K52</vt:lpstr>
      <vt:lpstr>tlOutput_tlInputFinancials_K54</vt:lpstr>
      <vt:lpstr>tlOutput_tlInputFinancials_K55</vt:lpstr>
      <vt:lpstr>tlOutput_tlInputFinancials_K56</vt:lpstr>
      <vt:lpstr>tlOutput_tlInputFinancials_K57</vt:lpstr>
      <vt:lpstr>tlOutput_tlInputFinancials_K59</vt:lpstr>
      <vt:lpstr>tlOutput_tlInputFinancials_K6</vt:lpstr>
      <vt:lpstr>tlOutput_tlInputFinancials_K60</vt:lpstr>
      <vt:lpstr>tlOutput_tlInputFinancials_K67</vt:lpstr>
      <vt:lpstr>tlOutput_tlInputFinancials_K68</vt:lpstr>
      <vt:lpstr>tlOutput_tlInputFinancials_K69</vt:lpstr>
      <vt:lpstr>tlOutput_tlInputFinancials_K7</vt:lpstr>
      <vt:lpstr>tlOutput_tlInputFinancials_K70</vt:lpstr>
      <vt:lpstr>tlOutput_tlInputFinancials_K71</vt:lpstr>
      <vt:lpstr>tlOutput_tlInputFinancials_K72</vt:lpstr>
      <vt:lpstr>tlOutput_tlInputFinancials_K74</vt:lpstr>
      <vt:lpstr>tlOutput_tlInputFinancials_K75</vt:lpstr>
      <vt:lpstr>tlOutput_tlInputFinancials_K8</vt:lpstr>
      <vt:lpstr>tlOutput_tlInputFinancials_K9</vt:lpstr>
      <vt:lpstr>tlOutput_tlInputFinancials_L11</vt:lpstr>
      <vt:lpstr>tlOutput_tlInputFinancials_L12</vt:lpstr>
      <vt:lpstr>tlOutput_tlInputFinancials_L13</vt:lpstr>
      <vt:lpstr>tlOutput_tlInputFinancials_L14</vt:lpstr>
      <vt:lpstr>tlOutput_tlInputFinancials_L15</vt:lpstr>
      <vt:lpstr>tlOutput_tlInputFinancials_L23</vt:lpstr>
      <vt:lpstr>tlOutput_tlInputFinancials_L24</vt:lpstr>
      <vt:lpstr>tlOutput_tlInputFinancials_L26</vt:lpstr>
      <vt:lpstr>tlOutput_tlInputFinancials_L27</vt:lpstr>
      <vt:lpstr>tlOutput_tlInputFinancials_L28</vt:lpstr>
      <vt:lpstr>tlOutput_tlInputFinancials_L29</vt:lpstr>
      <vt:lpstr>tlOutput_tlInputFinancials_L30</vt:lpstr>
      <vt:lpstr>tlOutput_tlInputFinancials_L31</vt:lpstr>
      <vt:lpstr>tlOutput_tlInputFinancials_L32</vt:lpstr>
      <vt:lpstr>tlOutput_tlInputFinancials_L39</vt:lpstr>
      <vt:lpstr>tlOutput_tlInputFinancials_L40</vt:lpstr>
      <vt:lpstr>tlOutput_tlInputFinancials_L41</vt:lpstr>
      <vt:lpstr>tlOutput_tlInputFinancials_L42</vt:lpstr>
      <vt:lpstr>tlOutput_tlInputFinancials_L43</vt:lpstr>
      <vt:lpstr>tlOutput_tlInputFinancials_L51</vt:lpstr>
      <vt:lpstr>tlOutput_tlInputFinancials_L52</vt:lpstr>
      <vt:lpstr>tlOutput_tlInputFinancials_L54</vt:lpstr>
      <vt:lpstr>tlOutput_tlInputFinancials_L55</vt:lpstr>
      <vt:lpstr>tlOutput_tlInputFinancials_L56</vt:lpstr>
      <vt:lpstr>tlOutput_tlInputFinancials_L57</vt:lpstr>
      <vt:lpstr>tlOutput_tlInputFinancials_L59</vt:lpstr>
      <vt:lpstr>tlOutput_tlInputFinancials_L6</vt:lpstr>
      <vt:lpstr>tlOutput_tlInputFinancials_L60</vt:lpstr>
      <vt:lpstr>tlOutput_tlInputFinancials_L67</vt:lpstr>
      <vt:lpstr>tlOutput_tlInputFinancials_L68</vt:lpstr>
      <vt:lpstr>tlOutput_tlInputFinancials_L69</vt:lpstr>
      <vt:lpstr>tlOutput_tlInputFinancials_L7</vt:lpstr>
      <vt:lpstr>tlOutput_tlInputFinancials_L70</vt:lpstr>
      <vt:lpstr>tlOutput_tlInputFinancials_L71</vt:lpstr>
      <vt:lpstr>tlOutput_tlInputFinancials_L72</vt:lpstr>
      <vt:lpstr>tlOutput_tlInputFinancials_L74</vt:lpstr>
      <vt:lpstr>tlOutput_tlInputFinancials_L75</vt:lpstr>
      <vt:lpstr>tlOutput_tlInputFinancials_L8</vt:lpstr>
      <vt:lpstr>tlOutput_tlInputFinancials_L9</vt:lpstr>
      <vt:lpstr>tlOutput_tlInputFinancials_M11</vt:lpstr>
      <vt:lpstr>tlOutput_tlInputFinancials_M12</vt:lpstr>
      <vt:lpstr>tlOutput_tlInputFinancials_M13</vt:lpstr>
      <vt:lpstr>tlOutput_tlInputFinancials_M15</vt:lpstr>
      <vt:lpstr>tlOutput_tlInputFinancials_M16</vt:lpstr>
      <vt:lpstr>tlOutput_tlInputFinancials_M6</vt:lpstr>
      <vt:lpstr>tlOutput_tlInputFinancials_M7</vt:lpstr>
      <vt:lpstr>tlOutput_tlInputFinancials_M8</vt:lpstr>
      <vt:lpstr>tlOutput_tlInputFinancials_M9</vt:lpstr>
      <vt:lpstr>tlOutput_tlInputFinancials_N11</vt:lpstr>
      <vt:lpstr>tlOutput_tlInputFinancials_N12</vt:lpstr>
      <vt:lpstr>tlOutput_tlInputFinancials_N13</vt:lpstr>
      <vt:lpstr>tlOutput_tlInputFinancials_N15</vt:lpstr>
      <vt:lpstr>tlOutput_tlInputFinancials_N16</vt:lpstr>
      <vt:lpstr>tlOutput_tlInputFinancials_N6</vt:lpstr>
      <vt:lpstr>tlOutput_tlInputFinancials_N7</vt:lpstr>
      <vt:lpstr>tlOutput_tlInputFinancials_N8</vt:lpstr>
      <vt:lpstr>tlOutput_tlInputFinancials_N9</vt:lpstr>
      <vt:lpstr>tlOutputCashFlow0</vt:lpstr>
      <vt:lpstr>tlOutputCashFlow1</vt:lpstr>
      <vt:lpstr>tlOutputCashFlow10</vt:lpstr>
      <vt:lpstr>tlOutputCashFlow2</vt:lpstr>
      <vt:lpstr>tlOutputCashFlow3</vt:lpstr>
      <vt:lpstr>tlOutputCashFlow5</vt:lpstr>
      <vt:lpstr>tlOutputDash1</vt:lpstr>
      <vt:lpstr>tlOutputDash2</vt:lpstr>
      <vt:lpstr>tlOutputDash3</vt:lpstr>
      <vt:lpstr>tlOutputDash4</vt:lpstr>
      <vt:lpstr>tlOutputDash5</vt:lpstr>
      <vt:lpstr>tlOutputResetCapEx</vt:lpstr>
      <vt:lpstr>tlOutputResetNetback</vt:lpstr>
      <vt:lpstr>tlOutputResetOpEx</vt:lpstr>
      <vt:lpstr>tlOutputResetProd</vt:lpstr>
      <vt:lpstr>tlOutputResetRel</vt:lpstr>
      <vt:lpstr>tlOutputResetRes</vt:lpstr>
      <vt:lpstr>tlOutputResetSched</vt:lpstr>
      <vt:lpstr>tlOutputResetWorkingCap</vt:lpstr>
      <vt:lpstr>tlTeamName</vt:lpstr>
      <vt:lpstr>ToolBU</vt:lpstr>
      <vt:lpstr>ToolProj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BTS London IT</dc:creator>
  <cp:lastModifiedBy>LENOVO</cp:lastModifiedBy>
  <dcterms:created xsi:type="dcterms:W3CDTF">2014-12-08T07:15:00Z</dcterms:created>
  <dcterms:modified xsi:type="dcterms:W3CDTF">2018-06-13T10:47:06Z</dcterms:modified>
</cp:coreProperties>
</file>